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ivot Table 1" sheetId="2" state="visible" r:id="rId4"/>
    <sheet name="Agreed HL Data Structure" sheetId="3" state="visible" r:id="rId5"/>
    <sheet name="export (11)" sheetId="4" state="visible" r:id="rId6"/>
  </sheets>
  <definedNames>
    <definedName function="false" hidden="true" localSheetId="0" name="_xlnm._FilterDatabase" vbProcedure="false">Sheet1!$A$1:$AQ$25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<sst xmlns="http://schemas.openxmlformats.org/spreadsheetml/2006/main" count="19748" uniqueCount="3989">
  <si>
    <t xml:space="preserve">ID</t>
  </si>
  <si>
    <t xml:space="preserve">Code</t>
  </si>
  <si>
    <t xml:space="preserve">Price Category</t>
  </si>
  <si>
    <t xml:space="preserve">Market</t>
  </si>
  <si>
    <t xml:space="preserve">Product</t>
  </si>
  <si>
    <t xml:space="preserve">Sub-Product</t>
  </si>
  <si>
    <t xml:space="preserve">Normalisation Factor</t>
  </si>
  <si>
    <t xml:space="preserve">Capacity (Nominal/Anode/Cathode)</t>
  </si>
  <si>
    <t xml:space="preserve">Cell Format</t>
  </si>
  <si>
    <t xml:space="preserve">Feedstock</t>
  </si>
  <si>
    <t xml:space="preserve">Purity</t>
  </si>
  <si>
    <t xml:space="preserve">Sustainable</t>
  </si>
  <si>
    <t xml:space="preserve">Thickness</t>
  </si>
  <si>
    <t xml:space="preserve">Mesh size</t>
  </si>
  <si>
    <t xml:space="preserve">Service</t>
  </si>
  <si>
    <t xml:space="preserve">Incoterm</t>
  </si>
  <si>
    <t xml:space="preserve">Region</t>
  </si>
  <si>
    <t xml:space="preserve">Country(OnlyforDiffs)</t>
  </si>
  <si>
    <t xml:space="preserve">Frequency</t>
  </si>
  <si>
    <t xml:space="preserve">Shipping Route (Legacy)</t>
  </si>
  <si>
    <t xml:space="preserve">Trade Type?</t>
  </si>
  <si>
    <t xml:space="preserve">Default Currency</t>
  </si>
  <si>
    <t xml:space="preserve">Price Type</t>
  </si>
  <si>
    <t xml:space="preserve">UOM</t>
  </si>
  <si>
    <t xml:space="preserve">Grade</t>
  </si>
  <si>
    <t xml:space="preserve">Full Name</t>
  </si>
  <si>
    <t xml:space="preserve">Short Name (40 char max)</t>
  </si>
  <si>
    <t xml:space="preserve">Spec</t>
  </si>
  <si>
    <t xml:space="preserve">Assessment Launched</t>
  </si>
  <si>
    <t xml:space="preserve">Last Assessed</t>
  </si>
  <si>
    <t xml:space="preserve">Current (Price)</t>
  </si>
  <si>
    <t xml:space="preserve">isSpot</t>
  </si>
  <si>
    <t xml:space="preserve">IOSCO Audit</t>
  </si>
  <si>
    <t xml:space="preserve">Is Public?</t>
  </si>
  <si>
    <t xml:space="preserve">Is Active</t>
  </si>
  <si>
    <t xml:space="preserve">YTD Change</t>
  </si>
  <si>
    <t xml:space="preserve">YOY Change</t>
  </si>
  <si>
    <t xml:space="preserve">Low</t>
  </si>
  <si>
    <t xml:space="preserve">Mid</t>
  </si>
  <si>
    <t xml:space="preserve">High</t>
  </si>
  <si>
    <t xml:space="preserve">Rolling 3M Value</t>
  </si>
  <si>
    <t xml:space="preserve">Rolling 12M Value</t>
  </si>
  <si>
    <t xml:space="preserve">Notes</t>
  </si>
  <si>
    <t xml:space="preserve">BMIDIFFLUO_1A</t>
  </si>
  <si>
    <t xml:space="preserve">Differential</t>
  </si>
  <si>
    <t xml:space="preserve">Fluorspar</t>
  </si>
  <si>
    <t xml:space="preserve">Calcium fluoride</t>
  </si>
  <si>
    <t xml:space="preserve">CIF </t>
  </si>
  <si>
    <t xml:space="preserve">Australia</t>
  </si>
  <si>
    <t xml:space="preserve">Monthly</t>
  </si>
  <si>
    <t xml:space="preserve">USD</t>
  </si>
  <si>
    <t xml:space="preserve">Price</t>
  </si>
  <si>
    <t xml:space="preserve">Tonne</t>
  </si>
  <si>
    <t xml:space="preserve">Fluorspar; Differential; Calcium fluoride; CIF Australia; Price; USD; Tonne</t>
  </si>
  <si>
    <t xml:space="preserve">Fluorspar; Differential; Calcium fluoride; CIF Australia; USD; Tonne</t>
  </si>
  <si>
    <t xml:space="preserve">BMIDIFFLUO_1B</t>
  </si>
  <si>
    <t xml:space="preserve">Canada</t>
  </si>
  <si>
    <t xml:space="preserve">Fluorspar; Differential; Calcium fluoride; CIF Canada; Price; USD; Tonne</t>
  </si>
  <si>
    <t xml:space="preserve">Fluorspar; Differential; Calcium fluoride; CIF Canada; USD; Tonne</t>
  </si>
  <si>
    <t xml:space="preserve">BMIDIFFLUO_1C</t>
  </si>
  <si>
    <t xml:space="preserve">Chile</t>
  </si>
  <si>
    <t xml:space="preserve">Fluorspar; Differential; Calcium fluoride; CIF Chile; Price; USD; Tonne</t>
  </si>
  <si>
    <t xml:space="preserve">Fluorspar; Differential; Calcium fluoride; CIF Chile; USD; Tonne</t>
  </si>
  <si>
    <t xml:space="preserve">BMIDIFFLUO_1D</t>
  </si>
  <si>
    <t xml:space="preserve">China</t>
  </si>
  <si>
    <t xml:space="preserve">Fluorspar; Differential; Calcium fluoride; CIF China; Price; USD; Tonne</t>
  </si>
  <si>
    <t xml:space="preserve">Fluorspar; Differential; Calcium fluoride; CIF China; USD; Tonne</t>
  </si>
  <si>
    <t xml:space="preserve">BMIDIFFLUO_1E</t>
  </si>
  <si>
    <t xml:space="preserve">Denmark</t>
  </si>
  <si>
    <t xml:space="preserve">Fluorspar; Differential; Calcium fluoride; CIF Denmark; Price; USD; Tonne</t>
  </si>
  <si>
    <t xml:space="preserve">Fluorspar; Differential; Calcium fluoride; CIF Denmark; USD; Tonne</t>
  </si>
  <si>
    <t xml:space="preserve">BMIDIFFLUO_1F</t>
  </si>
  <si>
    <t xml:space="preserve">Finland</t>
  </si>
  <si>
    <t xml:space="preserve">Fluorspar; Differential; Calcium fluoride; CIF Finland; Price; USD; Tonne</t>
  </si>
  <si>
    <t xml:space="preserve">Fluorspar; Differential; Calcium fluoride; CIF Finland; USD; Tonne</t>
  </si>
  <si>
    <t xml:space="preserve">BMIDIFFLUO_1G</t>
  </si>
  <si>
    <t xml:space="preserve">France</t>
  </si>
  <si>
    <t xml:space="preserve">Fluorspar; Differential; Calcium fluoride; CIF France; Price; USD; Tonne</t>
  </si>
  <si>
    <t xml:space="preserve">Fluorspar; Differential; Calcium fluoride; CIF France; USD; Tonne</t>
  </si>
  <si>
    <t xml:space="preserve">BMIDIFFLUO_1H</t>
  </si>
  <si>
    <t xml:space="preserve">Germany</t>
  </si>
  <si>
    <t xml:space="preserve">Fluorspar; Differential; Calcium fluoride; CIF Germany; Price; USD; Tonne</t>
  </si>
  <si>
    <t xml:space="preserve">Fluorspar; Differential; Calcium fluoride; CIF Germany; USD; Tonne</t>
  </si>
  <si>
    <t xml:space="preserve">BMIDIFFLUO_1I</t>
  </si>
  <si>
    <t xml:space="preserve">Hungary</t>
  </si>
  <si>
    <t xml:space="preserve">Fluorspar; Differential; Calcium fluoride; CIF Hungary; Price; USD; Tonne</t>
  </si>
  <si>
    <t xml:space="preserve">Fluorspar; Differential; Calcium fluoride; CIF Hungary; USD; Tonne</t>
  </si>
  <si>
    <t xml:space="preserve">BMIDIFFLUO_1J</t>
  </si>
  <si>
    <t xml:space="preserve">India</t>
  </si>
  <si>
    <t xml:space="preserve">Fluorspar; Differential; Calcium fluoride; CIF India; Price; USD; Tonne</t>
  </si>
  <si>
    <t xml:space="preserve">Fluorspar; Differential; Calcium fluoride; CIF India; USD; Tonne</t>
  </si>
  <si>
    <t xml:space="preserve">BMIDIFFLUO_1K</t>
  </si>
  <si>
    <t xml:space="preserve">Indonesia</t>
  </si>
  <si>
    <t xml:space="preserve">Fluorspar; Differential; Calcium fluoride; CIF Indonesia; Price; USD; Tonne</t>
  </si>
  <si>
    <t xml:space="preserve">Fluorspar; Differential; Calcium fluoride; CIF Indonesia; USD; Tonne</t>
  </si>
  <si>
    <t xml:space="preserve">BMIDIFFLUO_1L</t>
  </si>
  <si>
    <t xml:space="preserve">Japan</t>
  </si>
  <si>
    <t xml:space="preserve">Fluorspar; Differential; Calcium fluoride; CIF Japan; Price; USD; Tonne</t>
  </si>
  <si>
    <t xml:space="preserve">Fluorspar; Differential; Calcium fluoride; CIF Japan; USD; Tonne</t>
  </si>
  <si>
    <t xml:space="preserve">BMIDIFFLUO_1M</t>
  </si>
  <si>
    <t xml:space="preserve">Malaysia</t>
  </si>
  <si>
    <t xml:space="preserve">Fluorspar; Differential; Calcium fluoride; CIF Malaysia; Price; USD; Tonne</t>
  </si>
  <si>
    <t xml:space="preserve">Fluorspar; Differential; Calcium fluoride; CIF Malaysia; USD; Tonne</t>
  </si>
  <si>
    <t xml:space="preserve">BMIDIFFLUO_1N</t>
  </si>
  <si>
    <t xml:space="preserve">Morocco</t>
  </si>
  <si>
    <t xml:space="preserve">Fluorspar; Differential; Calcium fluoride; CIF Morocco; Price; USD; Tonne</t>
  </si>
  <si>
    <t xml:space="preserve">Fluorspar; Differential; Calcium fluoride; CIF Morocco; USD; Tonne</t>
  </si>
  <si>
    <t xml:space="preserve">BMIDIFFLUO_1O</t>
  </si>
  <si>
    <t xml:space="preserve">Poland</t>
  </si>
  <si>
    <t xml:space="preserve">Fluorspar; Differential; Calcium fluoride; CIF Poland; Price; USD; Tonne</t>
  </si>
  <si>
    <t xml:space="preserve">Fluorspar; Differential; Calcium fluoride; CIF Poland; USD; Tonne</t>
  </si>
  <si>
    <t xml:space="preserve">BMIDIFFLUO_1P</t>
  </si>
  <si>
    <t xml:space="preserve">SouthKorea</t>
  </si>
  <si>
    <t xml:space="preserve">Fluorspar; Differential; Calcium fluoride; CIF SouthKorea; Price; USD; Tonne</t>
  </si>
  <si>
    <t xml:space="preserve">Fluorspar; Differential; Calcium fluoride; CIF SouthKorea; USD; Tonne</t>
  </si>
  <si>
    <t xml:space="preserve">BMIDIFFLUO_1Q</t>
  </si>
  <si>
    <t xml:space="preserve">Spain</t>
  </si>
  <si>
    <t xml:space="preserve">Fluorspar; Differential; Calcium fluoride; CIF Spain; Price; USD; Tonne</t>
  </si>
  <si>
    <t xml:space="preserve">Fluorspar; Differential; Calcium fluoride; CIF Spain; USD; Tonne</t>
  </si>
  <si>
    <t xml:space="preserve">BMIDIFFLUO_1R</t>
  </si>
  <si>
    <t xml:space="preserve">Sweden</t>
  </si>
  <si>
    <t xml:space="preserve">Fluorspar; Differential; Calcium fluoride; CIF Sweden; Price; USD; Tonne</t>
  </si>
  <si>
    <t xml:space="preserve">Fluorspar; Differential; Calcium fluoride; CIF Sweden; USD; Tonne</t>
  </si>
  <si>
    <t xml:space="preserve">BMIDIFFLUO_1S</t>
  </si>
  <si>
    <t xml:space="preserve">Switzerland</t>
  </si>
  <si>
    <t xml:space="preserve">Fluorspar; Differential; Calcium fluoride; CIF Switzerland; Price; USD; Tonne</t>
  </si>
  <si>
    <t xml:space="preserve">Fluorspar; Differential; Calcium fluoride; CIF Switzerland; USD; Tonne</t>
  </si>
  <si>
    <t xml:space="preserve">BMIDIFFLUO_1T</t>
  </si>
  <si>
    <t xml:space="preserve">Taiwan</t>
  </si>
  <si>
    <t xml:space="preserve">Fluorspar; Differential; Calcium fluoride; CIF Taiwan; Price; USD; Tonne</t>
  </si>
  <si>
    <t xml:space="preserve">Fluorspar; Differential; Calcium fluoride; CIF Taiwan; USD; Tonne</t>
  </si>
  <si>
    <t xml:space="preserve">BMIDIFFLUO_1U</t>
  </si>
  <si>
    <t xml:space="preserve">UK</t>
  </si>
  <si>
    <t xml:space="preserve">Fluorspar; Differential; Calcium fluoride; CIF UK; Price; USD; Tonne</t>
  </si>
  <si>
    <t xml:space="preserve">Fluorspar; Differential; Calcium fluoride; CIF UK; USD; Tonne</t>
  </si>
  <si>
    <t xml:space="preserve">BMIDIFFLUO_1V</t>
  </si>
  <si>
    <t xml:space="preserve">USA</t>
  </si>
  <si>
    <t xml:space="preserve">Fluorspar; Differential; Calcium fluoride; CIF USA; Price; USD; Tonne</t>
  </si>
  <si>
    <t xml:space="preserve">Fluorspar; Differential; Calcium fluoride; CIF USA; USD; Tonne</t>
  </si>
  <si>
    <t xml:space="preserve">BMIDIFFLUO_1X</t>
  </si>
  <si>
    <t xml:space="preserve">Vietnam</t>
  </si>
  <si>
    <t xml:space="preserve">Fluorspar; Differential; Calcium fluoride; CIF Vietnam; Price; USD; Tonne</t>
  </si>
  <si>
    <t xml:space="preserve">Fluorspar; Differential; Calcium fluoride; CIF Vietnam; USD; Tonne</t>
  </si>
  <si>
    <t xml:space="preserve">BMIGIFLUO_1</t>
  </si>
  <si>
    <t xml:space="preserve">Global Indicator</t>
  </si>
  <si>
    <t xml:space="preserve">Global</t>
  </si>
  <si>
    <t xml:space="preserve">Fluorspar; Global Indicator; Calcium fluoride; Global; Global; USD; Tonne</t>
  </si>
  <si>
    <t xml:space="preserve">Fluorspar; Global Indicator; Calcium fluoride; Global; USD; Tonne</t>
  </si>
  <si>
    <t xml:space="preserve">COUNTA of Code</t>
  </si>
  <si>
    <t xml:space="preserve">(empty)</t>
  </si>
  <si>
    <t xml:space="preserve">Total Result</t>
  </si>
  <si>
    <t xml:space="preserve">Product </t>
  </si>
  <si>
    <t xml:space="preserve">Incoterm (cleaned)</t>
  </si>
  <si>
    <t xml:space="preserve">Country (Only for Diffs)</t>
  </si>
  <si>
    <t xml:space="preserve">Currency</t>
  </si>
  <si>
    <t xml:space="preserve">BMI Price</t>
  </si>
  <si>
    <t xml:space="preserve">Recycling</t>
  </si>
  <si>
    <t xml:space="preserve">Aluminium Scrap</t>
  </si>
  <si>
    <t xml:space="preserve">DDP</t>
  </si>
  <si>
    <t xml:space="preserve">North America</t>
  </si>
  <si>
    <t xml:space="preserve">Payable</t>
  </si>
  <si>
    <t xml:space="preserve">%</t>
  </si>
  <si>
    <t xml:space="preserve">Monthy</t>
  </si>
  <si>
    <t xml:space="preserve">No</t>
  </si>
  <si>
    <t xml:space="preserve">Copper Scrap</t>
  </si>
  <si>
    <t xml:space="preserve">Black Mass</t>
  </si>
  <si>
    <t xml:space="preserve">BMIGIAL_3</t>
  </si>
  <si>
    <t xml:space="preserve">Foils</t>
  </si>
  <si>
    <t xml:space="preserve">Aluminium (Battery Grade)</t>
  </si>
  <si>
    <t xml:space="preserve">12μm</t>
  </si>
  <si>
    <t xml:space="preserve">Date</t>
  </si>
  <si>
    <t xml:space="preserve">Yes/No</t>
  </si>
  <si>
    <t xml:space="preserve">BMIGIAL_4</t>
  </si>
  <si>
    <t xml:space="preserve">10μm</t>
  </si>
  <si>
    <t xml:space="preserve">BMIGIAL_5</t>
  </si>
  <si>
    <t xml:space="preserve">8μm</t>
  </si>
  <si>
    <t xml:space="preserve">BMIGIANO_33</t>
  </si>
  <si>
    <t xml:space="preserve">Anode</t>
  </si>
  <si>
    <t xml:space="preserve">Silicon Oxide Anode</t>
  </si>
  <si>
    <t xml:space="preserve">5-10um</t>
  </si>
  <si>
    <t xml:space="preserve">Silicon Oxide Anode, 5-10um</t>
  </si>
  <si>
    <t xml:space="preserve">BMIGIANO_34</t>
  </si>
  <si>
    <t xml:space="preserve">Natural Graphite Anode</t>
  </si>
  <si>
    <t xml:space="preserve">High (360-370 mAh/g)</t>
  </si>
  <si>
    <t xml:space="preserve">Min 99.7% C</t>
  </si>
  <si>
    <t xml:space="preserve">DDP China</t>
  </si>
  <si>
    <t xml:space="preserve">RMB</t>
  </si>
  <si>
    <t xml:space="preserve">tonne</t>
  </si>
  <si>
    <t xml:space="preserve">Natural Graphite Anode, High (360-370 mAh/g), Min 99.97% C, USD/Tonne</t>
  </si>
  <si>
    <t xml:space="preserve">High (360-370 mAh/g) (&gt;2.5 C for EV)</t>
  </si>
  <si>
    <t xml:space="preserve">BMIGIANO_35</t>
  </si>
  <si>
    <t xml:space="preserve">Medium (360-370 mAh/g)</t>
  </si>
  <si>
    <t xml:space="preserve">Min 99.95% C</t>
  </si>
  <si>
    <t xml:space="preserve">Natural Graphite Anode, Medium (360-370 mAh/g), Min 99.95% C, USD/Tonne</t>
  </si>
  <si>
    <t xml:space="preserve">BMIGIANO_36</t>
  </si>
  <si>
    <t xml:space="preserve">Low (345-360 mAh/g)</t>
  </si>
  <si>
    <t xml:space="preserve">Min 99.90% C</t>
  </si>
  <si>
    <t xml:space="preserve">Natural Graphite Anode, Low (345-360 mAh/g), Min 99.90% C, USD/Tonne</t>
  </si>
  <si>
    <t xml:space="preserve">Synthetic Graphite Anode</t>
  </si>
  <si>
    <t xml:space="preserve">High (350-370 mAh/g)</t>
  </si>
  <si>
    <t xml:space="preserve">BMIGIANO_37</t>
  </si>
  <si>
    <t xml:space="preserve">High (350-370 mAh/g) (&gt;2.5C for EV)</t>
  </si>
  <si>
    <t xml:space="preserve">Synthetic Graphite Anode, High (350-370 mAh/g), Min 99.97% C, USD/Tonne</t>
  </si>
  <si>
    <t xml:space="preserve">BMIGIANO_38</t>
  </si>
  <si>
    <t xml:space="preserve">Medium (330-350 mAh/g)</t>
  </si>
  <si>
    <t xml:space="preserve">Synthetic Graphite Anode, Medium (330-350 mAh/g), Min 99.95% C, USD/Tonne</t>
  </si>
  <si>
    <t xml:space="preserve">BMIGIANO_39</t>
  </si>
  <si>
    <t xml:space="preserve">Low (310-330 mAh/g)</t>
  </si>
  <si>
    <t xml:space="preserve">Min 99.70% C</t>
  </si>
  <si>
    <t xml:space="preserve">Synthetic Graphite Anode, Low (310-330 mAh/g), Min 99.70% C, USD/Tonne</t>
  </si>
  <si>
    <t xml:space="preserve">BMIGIBAA_40</t>
  </si>
  <si>
    <t xml:space="preserve">Binders &amp; Additives</t>
  </si>
  <si>
    <t xml:space="preserve">Additive</t>
  </si>
  <si>
    <t xml:space="preserve">Conductive Carbon Black (SP)</t>
  </si>
  <si>
    <t xml:space="preserve">BMIGIBAA_41</t>
  </si>
  <si>
    <t xml:space="preserve">Conductive Carbon Black (KS6)</t>
  </si>
  <si>
    <t xml:space="preserve">BMIGIBAA_42</t>
  </si>
  <si>
    <t xml:space="preserve">Binder</t>
  </si>
  <si>
    <t xml:space="preserve">Styrene butadiene rubber (SBR)</t>
  </si>
  <si>
    <t xml:space="preserve">BMIGIBAA_43</t>
  </si>
  <si>
    <t xml:space="preserve">N-Methylpyrrolidone (NMP)</t>
  </si>
  <si>
    <t xml:space="preserve">BMIGIBAA_44</t>
  </si>
  <si>
    <t xml:space="preserve">Polyvinylidene fluoride (PVDF)</t>
  </si>
  <si>
    <t xml:space="preserve">BMIGIBAA_45</t>
  </si>
  <si>
    <t xml:space="preserve">Carboxymethyl Cellulose</t>
  </si>
  <si>
    <t xml:space="preserve">BMIGIBAA_46</t>
  </si>
  <si>
    <t xml:space="preserve">Lithium bis(fluorosulfonyl)imide (LiFSI)</t>
  </si>
  <si>
    <t xml:space="preserve">BMIGIBAA_47</t>
  </si>
  <si>
    <t xml:space="preserve">Propylene sulfite</t>
  </si>
  <si>
    <t xml:space="preserve">BMIGIBAA_48</t>
  </si>
  <si>
    <t xml:space="preserve">PVP (polyvinyl pyrrolidone)</t>
  </si>
  <si>
    <t xml:space="preserve">BMIGIBAA_49</t>
  </si>
  <si>
    <t xml:space="preserve">Molybdenum disulfide</t>
  </si>
  <si>
    <t xml:space="preserve">BMIGIBAA_50</t>
  </si>
  <si>
    <t xml:space="preserve">Polyacrylic acid (PAA)</t>
  </si>
  <si>
    <t xml:space="preserve">BMIGICAT_51</t>
  </si>
  <si>
    <t xml:space="preserve">Cathode</t>
  </si>
  <si>
    <t xml:space="preserve">NCM613</t>
  </si>
  <si>
    <t xml:space="preserve">170-200 mAh/g</t>
  </si>
  <si>
    <t xml:space="preserve">Cathode, NCM613, 170-200 mAh/g</t>
  </si>
  <si>
    <t xml:space="preserve">BMIGICAT_52</t>
  </si>
  <si>
    <t xml:space="preserve">NCM111</t>
  </si>
  <si>
    <t xml:space="preserve">140-160 mAh/g</t>
  </si>
  <si>
    <t xml:space="preserve">Cathode, NCM111, 140-160 mAh/g</t>
  </si>
  <si>
    <t xml:space="preserve">BMIGICAT_53</t>
  </si>
  <si>
    <t xml:space="preserve">NCM523</t>
  </si>
  <si>
    <t xml:space="preserve">150-170 mAh/g</t>
  </si>
  <si>
    <t xml:space="preserve">Cathode, NCM523, 150-170 mAh/g</t>
  </si>
  <si>
    <t xml:space="preserve">BMIGICAT_54</t>
  </si>
  <si>
    <t xml:space="preserve">NCM622</t>
  </si>
  <si>
    <t xml:space="preserve">155-180 mAh/g</t>
  </si>
  <si>
    <t xml:space="preserve">Cathode, NCM622, 155-180 mAh/g</t>
  </si>
  <si>
    <t xml:space="preserve">Cell, Cathode, Cathode, NCM622, 155-180 mAh/g, Global</t>
  </si>
  <si>
    <t xml:space="preserve">BMIGICAT_55</t>
  </si>
  <si>
    <t xml:space="preserve">NCM811</t>
  </si>
  <si>
    <t xml:space="preserve"> ≥200 mAh/g</t>
  </si>
  <si>
    <t xml:space="preserve">Cathode, NCM811, ≥200 mAh/g</t>
  </si>
  <si>
    <t xml:space="preserve">Cell, Cathode, Cathode, NCM811, ≥200 mAh/g, Global</t>
  </si>
  <si>
    <t xml:space="preserve">BMIGICAT_56</t>
  </si>
  <si>
    <t xml:space="preserve">NCA</t>
  </si>
  <si>
    <t xml:space="preserve"> ≥175 mAh/g</t>
  </si>
  <si>
    <t xml:space="preserve">Cathode, NCA, ≥175 mAh/g</t>
  </si>
  <si>
    <t xml:space="preserve">Cell, Cathode, Cathode, NCA, ≥175 mAh/g, Global</t>
  </si>
  <si>
    <t xml:space="preserve">BMIGICAT_57</t>
  </si>
  <si>
    <t xml:space="preserve">LFP</t>
  </si>
  <si>
    <t xml:space="preserve">≥160 mAh/g</t>
  </si>
  <si>
    <t xml:space="preserve">Cathode, LFP, ≥160 mAh/g</t>
  </si>
  <si>
    <t xml:space="preserve">Cell, Cathode, Cathode, LFP, ≥160 mAh/g, Global</t>
  </si>
  <si>
    <t xml:space="preserve">BMIGICAT_58</t>
  </si>
  <si>
    <t xml:space="preserve">LCO</t>
  </si>
  <si>
    <t xml:space="preserve">≥155 mAh/g</t>
  </si>
  <si>
    <t xml:space="preserve">Cathode, LCO, ≥155 mAh/g</t>
  </si>
  <si>
    <t xml:space="preserve">BMIGICO_10</t>
  </si>
  <si>
    <t xml:space="preserve">Cobalt</t>
  </si>
  <si>
    <t xml:space="preserve">Cobalt Sulphate</t>
  </si>
  <si>
    <t xml:space="preserve">BMIGICO_6</t>
  </si>
  <si>
    <t xml:space="preserve">Cobalt Hydroxide</t>
  </si>
  <si>
    <t xml:space="preserve">BMIGICO_7</t>
  </si>
  <si>
    <t xml:space="preserve">Cobalt Mixed Hydroxide Precipitate</t>
  </si>
  <si>
    <t xml:space="preserve">BMIGICO_8</t>
  </si>
  <si>
    <t xml:space="preserve">Cobalt Oxide</t>
  </si>
  <si>
    <t xml:space="preserve">BMIGICO_9</t>
  </si>
  <si>
    <t xml:space="preserve">Cobalt Metal</t>
  </si>
  <si>
    <t xml:space="preserve">BMIGICU_1</t>
  </si>
  <si>
    <t xml:space="preserve">Copper (Battery Grade)</t>
  </si>
  <si>
    <t xml:space="preserve">5μm</t>
  </si>
  <si>
    <t xml:space="preserve">BMIGICU_2</t>
  </si>
  <si>
    <t xml:space="preserve">6μm</t>
  </si>
  <si>
    <t xml:space="preserve">BMIGIELE_59</t>
  </si>
  <si>
    <t xml:space="preserve">Electrolyte</t>
  </si>
  <si>
    <t xml:space="preserve">LiPF6</t>
  </si>
  <si>
    <t xml:space="preserve">LiPF6, 0.9995, USD/Tonne</t>
  </si>
  <si>
    <t xml:space="preserve">BMIGIELE_60</t>
  </si>
  <si>
    <t xml:space="preserve">Additives</t>
  </si>
  <si>
    <t xml:space="preserve">Additives, Lithium bis(oxalatoborate)</t>
  </si>
  <si>
    <t xml:space="preserve">BMIGIELE_61</t>
  </si>
  <si>
    <t xml:space="preserve">Additives, Lithium tetrafluoroborate</t>
  </si>
  <si>
    <t xml:space="preserve">BMIGIELE_62</t>
  </si>
  <si>
    <t xml:space="preserve">Additives, Vinyl sulfate</t>
  </si>
  <si>
    <t xml:space="preserve">BMIGIELE_63</t>
  </si>
  <si>
    <t xml:space="preserve">Additives, 1,3-Propane Sultone</t>
  </si>
  <si>
    <t xml:space="preserve">BMIGIELE_64</t>
  </si>
  <si>
    <t xml:space="preserve">Additives, Lithium difluorooxalatoborate</t>
  </si>
  <si>
    <t xml:space="preserve">BMIGIELE_65</t>
  </si>
  <si>
    <t xml:space="preserve">Additives, Ethyl difluoroacetate</t>
  </si>
  <si>
    <t xml:space="preserve">BMIGIELE_66</t>
  </si>
  <si>
    <t xml:space="preserve">Additives, Methyl acetate</t>
  </si>
  <si>
    <t xml:space="preserve">BMIGIGRA_67</t>
  </si>
  <si>
    <t xml:space="preserve">Graphite</t>
  </si>
  <si>
    <t xml:space="preserve">Flake Graphite</t>
  </si>
  <si>
    <t xml:space="preserve">94-95% C</t>
  </si>
  <si>
    <t xml:space="preserve">Flake Graphite, 94-95% C, -100 Mesh</t>
  </si>
  <si>
    <t xml:space="preserve">BMIGIGRA_68</t>
  </si>
  <si>
    <t xml:space="preserve">Graphitisation Tolling Fees</t>
  </si>
  <si>
    <t xml:space="preserve">C≥90%</t>
  </si>
  <si>
    <t xml:space="preserve">Graphitisation Tolling Fees, C≥90%, USD/Tonne</t>
  </si>
  <si>
    <t xml:space="preserve">BMIGIGRA_69</t>
  </si>
  <si>
    <t xml:space="preserve">Medium Sulphur Pre-calcined Pet Coke</t>
  </si>
  <si>
    <t xml:space="preserve">0.5%&lt;S&lt;3.0%</t>
  </si>
  <si>
    <t xml:space="preserve">Medium Sulphur Pre-calcined Pet Coke, 0.5%&lt;S&lt;3.0%, USD/Tonne</t>
  </si>
  <si>
    <t xml:space="preserve">BMIGIGRA_70</t>
  </si>
  <si>
    <t xml:space="preserve">Calcined Pet Coke</t>
  </si>
  <si>
    <t xml:space="preserve">S&lt;0.5%</t>
  </si>
  <si>
    <t xml:space="preserve">Calcined Pet Coke, S&lt;0.5%, USD/Tonne</t>
  </si>
  <si>
    <t xml:space="preserve">BMIGIGRA_71</t>
  </si>
  <si>
    <t xml:space="preserve">Calcined Pet Needle Coke</t>
  </si>
  <si>
    <t xml:space="preserve">Calcined Pet Needle Coke, S&lt;0.5%, USD/Tonne</t>
  </si>
  <si>
    <t xml:space="preserve">BMIGIGRA_72</t>
  </si>
  <si>
    <t xml:space="preserve">Calcined Pitch Needle Coke</t>
  </si>
  <si>
    <t xml:space="preserve">Calcined Pitch Needle Coke, S&lt;0.5%, USD/Tonne</t>
  </si>
  <si>
    <t xml:space="preserve">BMIGIGRA_73</t>
  </si>
  <si>
    <t xml:space="preserve">Pre-calcined Pet Coke</t>
  </si>
  <si>
    <t xml:space="preserve">Pre-calcined Pet Coke, S&lt;0.5%, USD/Tonne</t>
  </si>
  <si>
    <t xml:space="preserve">BMIGIGRA_74</t>
  </si>
  <si>
    <t xml:space="preserve">Pre-calcined Pet Needle Coke</t>
  </si>
  <si>
    <t xml:space="preserve">Pre-calcined Pet Needle Coke, S&lt;0.5%, USD/Tonne</t>
  </si>
  <si>
    <t xml:space="preserve">BMIGIGRA_75</t>
  </si>
  <si>
    <t xml:space="preserve">Pre-calcined Pitch Needle Coke</t>
  </si>
  <si>
    <t xml:space="preserve">Pre-calcined Pitch Needle Coke, S&lt;0.5%, USD/Tonne</t>
  </si>
  <si>
    <t xml:space="preserve">BMIGIGRA_76</t>
  </si>
  <si>
    <t xml:space="preserve">Flake Graphite, 94-95% C, +100 Mesh</t>
  </si>
  <si>
    <t xml:space="preserve">BMIGIGRA_77</t>
  </si>
  <si>
    <t xml:space="preserve">Spherical Uncoated Graphite</t>
  </si>
  <si>
    <t xml:space="preserve">10 microns</t>
  </si>
  <si>
    <t xml:space="preserve">Spherical Uncoated Graphite,99.95%, 10 Microns</t>
  </si>
  <si>
    <t xml:space="preserve">BMIGIGRA_78</t>
  </si>
  <si>
    <t xml:space="preserve">25 microns</t>
  </si>
  <si>
    <t xml:space="preserve">Spherical Uncoated Graphite,99.95%, 25 Microns</t>
  </si>
  <si>
    <t xml:space="preserve">BMIGIGRA_79</t>
  </si>
  <si>
    <t xml:space="preserve">90-93% C</t>
  </si>
  <si>
    <t xml:space="preserve">Flake Graphite, 90-93% C, -100 Mesh</t>
  </si>
  <si>
    <t xml:space="preserve">BMIGIGRA_80</t>
  </si>
  <si>
    <t xml:space="preserve">Flake Graphite, 90-93% C, +100 Mesh</t>
  </si>
  <si>
    <t xml:space="preserve">BMIGIGRA_81</t>
  </si>
  <si>
    <t xml:space="preserve">Flake Graphite, 94-95% C, +50 Mesh</t>
  </si>
  <si>
    <t xml:space="preserve">BMIGIGRA_82</t>
  </si>
  <si>
    <t xml:space="preserve">Flake Graphite, 94-95% C, +80 Mesh</t>
  </si>
  <si>
    <t xml:space="preserve">BMIGIGRA_83</t>
  </si>
  <si>
    <t xml:space="preserve">Spherical Uncoated Graphite,99.95%, 15 Microns</t>
  </si>
  <si>
    <t xml:space="preserve">BMIGILI_28</t>
  </si>
  <si>
    <t xml:space="preserve">Lithium</t>
  </si>
  <si>
    <t xml:space="preserve">Lithium Carbonate</t>
  </si>
  <si>
    <t xml:space="preserve">BMIGILI_29</t>
  </si>
  <si>
    <t xml:space="preserve">Lithium Chloride</t>
  </si>
  <si>
    <t xml:space="preserve">BMIGILI_30</t>
  </si>
  <si>
    <t xml:space="preserve">BMIGILI_31</t>
  </si>
  <si>
    <t xml:space="preserve">Lithium Carbonate (Sustainable)</t>
  </si>
  <si>
    <t xml:space="preserve">BMIGILI_32</t>
  </si>
  <si>
    <t xml:space="preserve">Lithium Hydroxide</t>
  </si>
  <si>
    <t xml:space="preserve">BMIGIMN_11</t>
  </si>
  <si>
    <t xml:space="preserve">Manganese</t>
  </si>
  <si>
    <t xml:space="preserve">Manganese Sulphate</t>
  </si>
  <si>
    <t xml:space="preserve">BMIGIMN_12</t>
  </si>
  <si>
    <t xml:space="preserve">Electrolytic Manganese</t>
  </si>
  <si>
    <t xml:space="preserve">Manganese (Electrolytic)</t>
  </si>
  <si>
    <t xml:space="preserve">BMIGINI_13</t>
  </si>
  <si>
    <t xml:space="preserve">Nickel</t>
  </si>
  <si>
    <t xml:space="preserve">Nickel Metal</t>
  </si>
  <si>
    <t xml:space="preserve">BMIGINI_14</t>
  </si>
  <si>
    <t xml:space="preserve">Nickel Sulphate</t>
  </si>
  <si>
    <t xml:space="preserve">BMIGINI_15</t>
  </si>
  <si>
    <t xml:space="preserve">Nickel Mixed Hydroxide Precipitate</t>
  </si>
  <si>
    <t xml:space="preserve">BMIGIPRE_16</t>
  </si>
  <si>
    <t xml:space="preserve">Precursor</t>
  </si>
  <si>
    <t xml:space="preserve">Ferric Phosphate</t>
  </si>
  <si>
    <t xml:space="preserve">Ferric Phosphate (Dihydrate)</t>
  </si>
  <si>
    <t xml:space="preserve">BMIGIPRE_17</t>
  </si>
  <si>
    <t xml:space="preserve">Ferric Phosphate (Anhydrous)</t>
  </si>
  <si>
    <t xml:space="preserve">BMIGIPRE_18</t>
  </si>
  <si>
    <t xml:space="preserve">Cobalt Tetroxide</t>
  </si>
  <si>
    <t xml:space="preserve">BMIGIPRE_19</t>
  </si>
  <si>
    <t xml:space="preserve">NCM Low Nickel</t>
  </si>
  <si>
    <t xml:space="preserve">BMIGIPRE_20</t>
  </si>
  <si>
    <t xml:space="preserve">NCM Mid Nickel</t>
  </si>
  <si>
    <t xml:space="preserve">BMIGIPRE_21</t>
  </si>
  <si>
    <t xml:space="preserve">NCM High Nickel</t>
  </si>
  <si>
    <t xml:space="preserve">BMIGIPRE_22</t>
  </si>
  <si>
    <t xml:space="preserve">BMIGIPRE_23</t>
  </si>
  <si>
    <t xml:space="preserve">Ferrophosphate (Dihydrate)</t>
  </si>
  <si>
    <t xml:space="preserve">BMIGIPRE_24</t>
  </si>
  <si>
    <t xml:space="preserve">Ferrophosphate (Anhydrous)</t>
  </si>
  <si>
    <t xml:space="preserve">BMIGIPRE_25</t>
  </si>
  <si>
    <t xml:space="preserve">Lithium Manganese Oxide, High Energy Uses</t>
  </si>
  <si>
    <t xml:space="preserve">BMIGIPRE_26</t>
  </si>
  <si>
    <t xml:space="preserve">Lithium Manganese Oxide, Low Energy Uses</t>
  </si>
  <si>
    <t xml:space="preserve">BMIGIPRE_27</t>
  </si>
  <si>
    <t xml:space="preserve">Lithium Manganese Oxide</t>
  </si>
  <si>
    <t xml:space="preserve">BMIGIREE_94</t>
  </si>
  <si>
    <t xml:space="preserve">Rare Earths</t>
  </si>
  <si>
    <t xml:space="preserve">Neodymium-Praseodymium Oxide, &gt;22%&gt;70%, USD/Tonne</t>
  </si>
  <si>
    <t xml:space="preserve">BMIGIREE_95</t>
  </si>
  <si>
    <t xml:space="preserve">Dysprosium Oxide, 99.0-99.5%, USD/Tonne</t>
  </si>
  <si>
    <t xml:space="preserve">BMIGIREE_96</t>
  </si>
  <si>
    <t xml:space="preserve">Samarium Oxide, 99.0-99.9%, USD/Tonne</t>
  </si>
  <si>
    <t xml:space="preserve">BMIGIREE_97</t>
  </si>
  <si>
    <t xml:space="preserve">Terbium Oxide, 99.0-99.9%, USD/Tonne</t>
  </si>
  <si>
    <t xml:space="preserve">BMIGISOL_84</t>
  </si>
  <si>
    <t xml:space="preserve">Solvent</t>
  </si>
  <si>
    <t xml:space="preserve">Dimethyl carbonate DMC</t>
  </si>
  <si>
    <t xml:space="preserve">BMIGISOL_85</t>
  </si>
  <si>
    <t xml:space="preserve">Propylene carbonate PC</t>
  </si>
  <si>
    <t xml:space="preserve">BMIGISOL_86</t>
  </si>
  <si>
    <t xml:space="preserve">Diethyl carbonate DEC</t>
  </si>
  <si>
    <t xml:space="preserve">BMIGISOL_87</t>
  </si>
  <si>
    <t xml:space="preserve">Ethylene carbonate EC</t>
  </si>
  <si>
    <t xml:space="preserve">BMIGISOL_88</t>
  </si>
  <si>
    <t xml:space="preserve">Ethyl methyl carbonate EMC</t>
  </si>
  <si>
    <t xml:space="preserve">BMIGISOL_89</t>
  </si>
  <si>
    <t xml:space="preserve">Vinylene carbonate VC</t>
  </si>
  <si>
    <t xml:space="preserve">BMIGISOL_90</t>
  </si>
  <si>
    <t xml:space="preserve">Fluoroethylene carbonate FEC</t>
  </si>
  <si>
    <t xml:space="preserve">BMIGISOL_91</t>
  </si>
  <si>
    <t xml:space="preserve">Chloroethylene carbonate CEC</t>
  </si>
  <si>
    <t xml:space="preserve">BMIGISOL_92</t>
  </si>
  <si>
    <t xml:space="preserve">GBL (γ-butyrolactone)</t>
  </si>
  <si>
    <t xml:space="preserve">BMIGISOL_93</t>
  </si>
  <si>
    <t xml:space="preserve">1,4-Butanediol BDO</t>
  </si>
  <si>
    <t xml:space="preserve">BMIDIFAL3511</t>
  </si>
  <si>
    <t xml:space="preserve">Differentials</t>
  </si>
  <si>
    <t xml:space="preserve">CIF Argentina</t>
  </si>
  <si>
    <t xml:space="preserve">Argentina</t>
  </si>
  <si>
    <t xml:space="preserve">South America</t>
  </si>
  <si>
    <t xml:space="preserve">BMIDIFAL3533</t>
  </si>
  <si>
    <t xml:space="preserve">BMIDIFAL3555</t>
  </si>
  <si>
    <t xml:space="preserve">BMIDIFCU3577</t>
  </si>
  <si>
    <t xml:space="preserve">BMIDIFCU3599</t>
  </si>
  <si>
    <t xml:space="preserve">BMIDIFLI2997</t>
  </si>
  <si>
    <t xml:space="preserve">BMIDIFLI2998</t>
  </si>
  <si>
    <t xml:space="preserve">BMIDIFLI2999</t>
  </si>
  <si>
    <t xml:space="preserve">BMIDIFLI3000</t>
  </si>
  <si>
    <t xml:space="preserve">BMIDIFLI3001</t>
  </si>
  <si>
    <t xml:space="preserve">BMIDIFPRE3002</t>
  </si>
  <si>
    <t xml:space="preserve">BMIDIFPRE3003</t>
  </si>
  <si>
    <t xml:space="preserve">BMIDIFPRE3004</t>
  </si>
  <si>
    <t xml:space="preserve">BMIDIFPRE3005</t>
  </si>
  <si>
    <t xml:space="preserve">BMIDIFPRE3006</t>
  </si>
  <si>
    <t xml:space="preserve">BMIDIFPRE3007</t>
  </si>
  <si>
    <t xml:space="preserve">BMIDIFPRE3008</t>
  </si>
  <si>
    <t xml:space="preserve">BMIDIFPRE3009</t>
  </si>
  <si>
    <t xml:space="preserve">BMIDIFPRE3010</t>
  </si>
  <si>
    <t xml:space="preserve">BMIDIFPRE3011</t>
  </si>
  <si>
    <t xml:space="preserve">BMIDIFPRE3012</t>
  </si>
  <si>
    <t xml:space="preserve">BMIDIFPRE3013</t>
  </si>
  <si>
    <t xml:space="preserve">BMIDIFAL3517</t>
  </si>
  <si>
    <t xml:space="preserve">CIF Australia</t>
  </si>
  <si>
    <t xml:space="preserve">Oceania</t>
  </si>
  <si>
    <t xml:space="preserve">AUD</t>
  </si>
  <si>
    <t xml:space="preserve">BMIDIFAL3539</t>
  </si>
  <si>
    <t xml:space="preserve">BMIDIFAL3561</t>
  </si>
  <si>
    <t xml:space="preserve">BMIDIFCU3583</t>
  </si>
  <si>
    <t xml:space="preserve">BMIDIFCU3605</t>
  </si>
  <si>
    <t xml:space="preserve">BMIDIFLI3099</t>
  </si>
  <si>
    <t xml:space="preserve">BMIDIFLI3100</t>
  </si>
  <si>
    <t xml:space="preserve">BMIDIFLI3101</t>
  </si>
  <si>
    <t xml:space="preserve">BMIDIFLI3102</t>
  </si>
  <si>
    <t xml:space="preserve">BMIDIFLI3103</t>
  </si>
  <si>
    <t xml:space="preserve">BMIDIFPRE3104</t>
  </si>
  <si>
    <t xml:space="preserve">BMIDIFPRE3105</t>
  </si>
  <si>
    <t xml:space="preserve">BMIDIFPRE3106</t>
  </si>
  <si>
    <t xml:space="preserve">BMIDIFPRE3107</t>
  </si>
  <si>
    <t xml:space="preserve">BMIDIFPRE3108</t>
  </si>
  <si>
    <t xml:space="preserve">BMIDIFPRE3109</t>
  </si>
  <si>
    <t xml:space="preserve">BMIDIFPRE3110</t>
  </si>
  <si>
    <t xml:space="preserve">BMIDIFPRE3111</t>
  </si>
  <si>
    <t xml:space="preserve">BMIDIFPRE3112</t>
  </si>
  <si>
    <t xml:space="preserve">BMIDIFPRE3113</t>
  </si>
  <si>
    <t xml:space="preserve">BMIDIFPRE3114</t>
  </si>
  <si>
    <t xml:space="preserve">BMIDIFPRE3115</t>
  </si>
  <si>
    <t xml:space="preserve">BMIDIFREE1005</t>
  </si>
  <si>
    <t xml:space="preserve">BMIDIFREE1006</t>
  </si>
  <si>
    <t xml:space="preserve">BMIDIFREE1007</t>
  </si>
  <si>
    <t xml:space="preserve">BMIDIFREE1008</t>
  </si>
  <si>
    <t xml:space="preserve">BMIDIFCO3506</t>
  </si>
  <si>
    <t xml:space="preserve">CIF Belgium (Diff)</t>
  </si>
  <si>
    <t xml:space="preserve">EUR</t>
  </si>
  <si>
    <t xml:space="preserve">KG</t>
  </si>
  <si>
    <t xml:space="preserve">BMIDIFCO3507</t>
  </si>
  <si>
    <t xml:space="preserve">BMIDIFCO3508</t>
  </si>
  <si>
    <t xml:space="preserve">BMIDIFCO3509</t>
  </si>
  <si>
    <t xml:space="preserve">BMIDIFCO3510</t>
  </si>
  <si>
    <t xml:space="preserve">BMIDIFMN3504</t>
  </si>
  <si>
    <t xml:space="preserve">Precursor, Manganese, Manganese (Electrolytic), CIF Belgium (Diff)</t>
  </si>
  <si>
    <t xml:space="preserve">BMIDIFMN3505</t>
  </si>
  <si>
    <t xml:space="preserve">Precursor, Manganese, Manganese Sulphate, CIF Belgium (Diff)</t>
  </si>
  <si>
    <t xml:space="preserve">BMIDIFNI3501</t>
  </si>
  <si>
    <t xml:space="preserve">Precursor, Nickel, Nickel Mixed Hydroxide Precipitate, CIF Belgium (Diff)</t>
  </si>
  <si>
    <t xml:space="preserve">BMIDIFNI3502</t>
  </si>
  <si>
    <t xml:space="preserve">Precursor, Nickel, Nickel Sulphate, CIF Belgium (Diff)</t>
  </si>
  <si>
    <t xml:space="preserve">BMIDIFNI3503</t>
  </si>
  <si>
    <t xml:space="preserve">Precursor, Nickel, Nickel Metal, CIF Belgium (Diff)</t>
  </si>
  <si>
    <t xml:space="preserve">BMIDIFCO3496</t>
  </si>
  <si>
    <t xml:space="preserve">CIF Brazil (Diff)</t>
  </si>
  <si>
    <t xml:space="preserve">Precursor, Cobalt, Cobalt Sulphate, CIF Brazil (Diff)</t>
  </si>
  <si>
    <t xml:space="preserve">BMIDIFCO3497</t>
  </si>
  <si>
    <t xml:space="preserve">Precursor, Cobalt, Cobalt Metal, CIF Brazil (Diff)</t>
  </si>
  <si>
    <t xml:space="preserve">BMIDIFCO3498</t>
  </si>
  <si>
    <t xml:space="preserve">Precursor, Cobalt, Cobalt Oxide, CIF Brazil (Diff)</t>
  </si>
  <si>
    <t xml:space="preserve">BMIDIFCO3499</t>
  </si>
  <si>
    <t xml:space="preserve">Precursor, Cobalt, Cobalt Mixed Hydroxide Precipitate, CIF Brazil (Diff)</t>
  </si>
  <si>
    <t xml:space="preserve">BMIDIFCO3500</t>
  </si>
  <si>
    <t xml:space="preserve">Precursor, Cobalt, Cobalt Hydroxide, CIF Brazil (Diff)</t>
  </si>
  <si>
    <t xml:space="preserve">BMIDIFMN3494</t>
  </si>
  <si>
    <t xml:space="preserve">BMIDIFMN3495</t>
  </si>
  <si>
    <t xml:space="preserve">BMIDIFNI3491</t>
  </si>
  <si>
    <t xml:space="preserve">BMIDIFNI3492</t>
  </si>
  <si>
    <t xml:space="preserve">BMIDIFNI3493</t>
  </si>
  <si>
    <t xml:space="preserve">BMIDIFANO1282</t>
  </si>
  <si>
    <t xml:space="preserve">CIF Bulgaria (Diff)</t>
  </si>
  <si>
    <t xml:space="preserve">BMIDIFANO1283</t>
  </si>
  <si>
    <t xml:space="preserve">BMIDIFANO1284</t>
  </si>
  <si>
    <t xml:space="preserve">BMIDIFANO1285</t>
  </si>
  <si>
    <t xml:space="preserve">BMIDIFANO1286</t>
  </si>
  <si>
    <t xml:space="preserve">BMIDIFANO1287</t>
  </si>
  <si>
    <t xml:space="preserve">BMIDIFANO1288</t>
  </si>
  <si>
    <t xml:space="preserve">BMIDIFBAA1271</t>
  </si>
  <si>
    <t xml:space="preserve">BMIDIFBAA1272</t>
  </si>
  <si>
    <t xml:space="preserve">BMIDIFBAA1273</t>
  </si>
  <si>
    <t xml:space="preserve">BMIDIFBAA1274</t>
  </si>
  <si>
    <t xml:space="preserve">BMIDIFBAA1275</t>
  </si>
  <si>
    <t xml:space="preserve">BMIDIFBAA1276</t>
  </si>
  <si>
    <t xml:space="preserve">BMIDIFBAA1277</t>
  </si>
  <si>
    <t xml:space="preserve">BMIDIFBAA1278</t>
  </si>
  <si>
    <t xml:space="preserve">BMIDIFBAA1279</t>
  </si>
  <si>
    <t xml:space="preserve">BMIDIFBAA1280</t>
  </si>
  <si>
    <t xml:space="preserve">BMIDIFBAA1281</t>
  </si>
  <si>
    <t xml:space="preserve">BMIDIFCAT1263</t>
  </si>
  <si>
    <t xml:space="preserve">BMIDIFCAT1264</t>
  </si>
  <si>
    <t xml:space="preserve">BMIDIFCAT1265</t>
  </si>
  <si>
    <t xml:space="preserve">BMIDIFCAT1266</t>
  </si>
  <si>
    <t xml:space="preserve">BMIDIFCAT1267</t>
  </si>
  <si>
    <t xml:space="preserve">BMIDIFCAT1268</t>
  </si>
  <si>
    <t xml:space="preserve">BMIDIFCAT1269</t>
  </si>
  <si>
    <t xml:space="preserve">BMIDIFCAT1270</t>
  </si>
  <si>
    <t xml:space="preserve">BMIDIFELE1255</t>
  </si>
  <si>
    <t xml:space="preserve">BMIDIFELE1256</t>
  </si>
  <si>
    <t xml:space="preserve">BMIDIFELE1257</t>
  </si>
  <si>
    <t xml:space="preserve">BMIDIFELE1258</t>
  </si>
  <si>
    <t xml:space="preserve">BMIDIFELE1259</t>
  </si>
  <si>
    <t xml:space="preserve">BMIDIFELE1260</t>
  </si>
  <si>
    <t xml:space="preserve">BMIDIFELE1261</t>
  </si>
  <si>
    <t xml:space="preserve">BMIDIFELE1262</t>
  </si>
  <si>
    <t xml:space="preserve">BMIDIFGRA1238</t>
  </si>
  <si>
    <t xml:space="preserve">BMIDIFGRA1239</t>
  </si>
  <si>
    <t xml:space="preserve">BMIDIFGRA1240</t>
  </si>
  <si>
    <t xml:space="preserve">BMIDIFGRA1241</t>
  </si>
  <si>
    <t xml:space="preserve">BMIDIFGRA1242</t>
  </si>
  <si>
    <t xml:space="preserve">BMIDIFGRA1243</t>
  </si>
  <si>
    <t xml:space="preserve">BMIDIFGRA1244</t>
  </si>
  <si>
    <t xml:space="preserve">BMIDIFGRA1245</t>
  </si>
  <si>
    <t xml:space="preserve">BMIDIFGRA1246</t>
  </si>
  <si>
    <t xml:space="preserve">BMIDIFGRA1247</t>
  </si>
  <si>
    <t xml:space="preserve">BMIDIFGRA1248</t>
  </si>
  <si>
    <t xml:space="preserve">BMIDIFGRA1249</t>
  </si>
  <si>
    <t xml:space="preserve">BMIDIFGRA1250</t>
  </si>
  <si>
    <t xml:space="preserve">BMIDIFGRA1251</t>
  </si>
  <si>
    <t xml:space="preserve">BMIDIFGRA1252</t>
  </si>
  <si>
    <t xml:space="preserve">BMIDIFGRA1253</t>
  </si>
  <si>
    <t xml:space="preserve">BMIDIFGRA1254</t>
  </si>
  <si>
    <t xml:space="preserve">BMIDIFSOL1228</t>
  </si>
  <si>
    <t xml:space="preserve">BMIDIFSOL1229</t>
  </si>
  <si>
    <t xml:space="preserve">BMIDIFSOL1230</t>
  </si>
  <si>
    <t xml:space="preserve">BMIDIFSOL1231</t>
  </si>
  <si>
    <t xml:space="preserve">BMIDIFSOL1232</t>
  </si>
  <si>
    <t xml:space="preserve">BMIDIFSOL1233</t>
  </si>
  <si>
    <t xml:space="preserve">BMIDIFSOL1234</t>
  </si>
  <si>
    <t xml:space="preserve">BMIDIFSOL1235</t>
  </si>
  <si>
    <t xml:space="preserve">BMIDIFSOL1236</t>
  </si>
  <si>
    <t xml:space="preserve">BMIDIFSOL1237</t>
  </si>
  <si>
    <t xml:space="preserve">BMIDIFAL3524</t>
  </si>
  <si>
    <t xml:space="preserve">CIF Canada (Diff)</t>
  </si>
  <si>
    <t xml:space="preserve">BMIDIFAL3546</t>
  </si>
  <si>
    <t xml:space="preserve">BMIDIFAL3568</t>
  </si>
  <si>
    <t xml:space="preserve">BMIDIFANO2624</t>
  </si>
  <si>
    <t xml:space="preserve">BMIDIFANO2625</t>
  </si>
  <si>
    <t xml:space="preserve">BMIDIFANO2626</t>
  </si>
  <si>
    <t xml:space="preserve">BMIDIFANO2627</t>
  </si>
  <si>
    <t xml:space="preserve">BMIDIFANO2628</t>
  </si>
  <si>
    <t xml:space="preserve">BMIDIFANO2629</t>
  </si>
  <si>
    <t xml:space="preserve">BMIDIFANO2630</t>
  </si>
  <si>
    <t xml:space="preserve">BMIDIFBAA2613</t>
  </si>
  <si>
    <t xml:space="preserve">BMIDIFBAA2614</t>
  </si>
  <si>
    <t xml:space="preserve">BMIDIFBAA2615</t>
  </si>
  <si>
    <t xml:space="preserve">BMIDIFBAA2616</t>
  </si>
  <si>
    <t xml:space="preserve">BMIDIFBAA2617</t>
  </si>
  <si>
    <t xml:space="preserve">BMIDIFBAA2618</t>
  </si>
  <si>
    <t xml:space="preserve">BMIDIFBAA2619</t>
  </si>
  <si>
    <t xml:space="preserve">BMIDIFBAA2620</t>
  </si>
  <si>
    <t xml:space="preserve">BMIDIFBAA2621</t>
  </si>
  <si>
    <t xml:space="preserve">BMIDIFBAA2622</t>
  </si>
  <si>
    <t xml:space="preserve">BMIDIFBAA2623</t>
  </si>
  <si>
    <t xml:space="preserve">BMIDIFCAT2605</t>
  </si>
  <si>
    <t xml:space="preserve">BMIDIFCAT2606</t>
  </si>
  <si>
    <t xml:space="preserve">BMIDIFCAT2607</t>
  </si>
  <si>
    <t xml:space="preserve">BMIDIFCAT2608</t>
  </si>
  <si>
    <t xml:space="preserve">BMIDIFCAT2609</t>
  </si>
  <si>
    <t xml:space="preserve">BMIDIFCAT2610</t>
  </si>
  <si>
    <t xml:space="preserve">BMIDIFCAT2611</t>
  </si>
  <si>
    <t xml:space="preserve">BMIDIFCAT2612</t>
  </si>
  <si>
    <t xml:space="preserve">BMIDIFCO3486</t>
  </si>
  <si>
    <t xml:space="preserve">BMIDIFCO3487</t>
  </si>
  <si>
    <t xml:space="preserve">BMIDIFCO3488</t>
  </si>
  <si>
    <t xml:space="preserve">BMIDIFCO3489</t>
  </si>
  <si>
    <t xml:space="preserve">BMIDIFCO3490</t>
  </si>
  <si>
    <t xml:space="preserve">BMIDIFCU3590</t>
  </si>
  <si>
    <t xml:space="preserve">BMIDIFCU3612</t>
  </si>
  <si>
    <t xml:space="preserve">BMIDIFELE2597</t>
  </si>
  <si>
    <t xml:space="preserve">BMIDIFELE2598</t>
  </si>
  <si>
    <t xml:space="preserve">BMIDIFELE2599</t>
  </si>
  <si>
    <t xml:space="preserve">BMIDIFELE2600</t>
  </si>
  <si>
    <t xml:space="preserve">BMIDIFELE2601</t>
  </si>
  <si>
    <t xml:space="preserve">BMIDIFELE2602</t>
  </si>
  <si>
    <t xml:space="preserve">BMIDIFELE2603</t>
  </si>
  <si>
    <t xml:space="preserve">BMIDIFELE2604</t>
  </si>
  <si>
    <t xml:space="preserve">BMIDIFGRA2580</t>
  </si>
  <si>
    <t xml:space="preserve">BMIDIFGRA2581</t>
  </si>
  <si>
    <t xml:space="preserve">BMIDIFGRA2582</t>
  </si>
  <si>
    <t xml:space="preserve">BMIDIFGRA2583</t>
  </si>
  <si>
    <t xml:space="preserve">BMIDIFGRA2584</t>
  </si>
  <si>
    <t xml:space="preserve">BMIDIFGRA2585</t>
  </si>
  <si>
    <t xml:space="preserve">BMIDIFGRA2586</t>
  </si>
  <si>
    <t xml:space="preserve">BMIDIFGRA2587</t>
  </si>
  <si>
    <t xml:space="preserve">BMIDIFGRA2588</t>
  </si>
  <si>
    <t xml:space="preserve">BMIDIFGRA2589</t>
  </si>
  <si>
    <t xml:space="preserve">BMIDIFGRA2590</t>
  </si>
  <si>
    <t xml:space="preserve">BMIDIFGRA2591</t>
  </si>
  <si>
    <t xml:space="preserve">BMIDIFGRA2592</t>
  </si>
  <si>
    <t xml:space="preserve">BMIDIFGRA2593</t>
  </si>
  <si>
    <t xml:space="preserve">BMIDIFGRA2594</t>
  </si>
  <si>
    <t xml:space="preserve">BMIDIFGRA2595</t>
  </si>
  <si>
    <t xml:space="preserve">BMIDIFGRA2596</t>
  </si>
  <si>
    <t xml:space="preserve">BMIDIFLI3218</t>
  </si>
  <si>
    <t xml:space="preserve">BMIDIFLI3219</t>
  </si>
  <si>
    <t xml:space="preserve">BMIDIFLI3220</t>
  </si>
  <si>
    <t xml:space="preserve">BMIDIFLI3221</t>
  </si>
  <si>
    <t xml:space="preserve">BMIDIFLI3222</t>
  </si>
  <si>
    <t xml:space="preserve">BMIDIFMN3484</t>
  </si>
  <si>
    <t xml:space="preserve">BMIDIFMN3485</t>
  </si>
  <si>
    <t xml:space="preserve">BMIDIFNI3481</t>
  </si>
  <si>
    <t xml:space="preserve">BMIDIFNI3482</t>
  </si>
  <si>
    <t xml:space="preserve">BMIDIFNI3483</t>
  </si>
  <si>
    <t xml:space="preserve">BMIDIFPRE3223</t>
  </si>
  <si>
    <t xml:space="preserve">BMIDIFPRE3224</t>
  </si>
  <si>
    <t xml:space="preserve">BMIDIFPRE3225</t>
  </si>
  <si>
    <t xml:space="preserve">BMIDIFPRE3226</t>
  </si>
  <si>
    <t xml:space="preserve">BMIDIFPRE3227</t>
  </si>
  <si>
    <t xml:space="preserve">BMIDIFPRE3228</t>
  </si>
  <si>
    <t xml:space="preserve">BMIDIFPRE3229</t>
  </si>
  <si>
    <t xml:space="preserve">BMIDIFPRE3230</t>
  </si>
  <si>
    <t xml:space="preserve">BMIDIFPRE3231</t>
  </si>
  <si>
    <t xml:space="preserve">BMIDIFPRE3232</t>
  </si>
  <si>
    <t xml:space="preserve">BMIDIFPRE3233</t>
  </si>
  <si>
    <t xml:space="preserve">BMIDIFPRE3234</t>
  </si>
  <si>
    <t xml:space="preserve">BMIDIFREE1013</t>
  </si>
  <si>
    <t xml:space="preserve">BMIDIFREE1014</t>
  </si>
  <si>
    <t xml:space="preserve">BMIDIFREE1015</t>
  </si>
  <si>
    <t xml:space="preserve">BMIDIFREE1016</t>
  </si>
  <si>
    <t xml:space="preserve">BMIDIFSOL2570</t>
  </si>
  <si>
    <t xml:space="preserve">BMIDIFSOL2571</t>
  </si>
  <si>
    <t xml:space="preserve">BMIDIFSOL2572</t>
  </si>
  <si>
    <t xml:space="preserve">BMIDIFSOL2573</t>
  </si>
  <si>
    <t xml:space="preserve">BMIDIFSOL2574</t>
  </si>
  <si>
    <t xml:space="preserve">BMIDIFSOL2575</t>
  </si>
  <si>
    <t xml:space="preserve">BMIDIFSOL2576</t>
  </si>
  <si>
    <t xml:space="preserve">BMIDIFSOL2577</t>
  </si>
  <si>
    <t xml:space="preserve">BMIDIFSOL2578</t>
  </si>
  <si>
    <t xml:space="preserve">BMIDIFSOL2579</t>
  </si>
  <si>
    <t xml:space="preserve">BMIDIFAL3515</t>
  </si>
  <si>
    <t xml:space="preserve">CIF Chile (Diff)</t>
  </si>
  <si>
    <t xml:space="preserve">BMIDIFAL3537</t>
  </si>
  <si>
    <t xml:space="preserve">BMIDIFAL3559</t>
  </si>
  <si>
    <t xml:space="preserve">BMIDIFCU3581</t>
  </si>
  <si>
    <t xml:space="preserve">BMIDIFCU3603</t>
  </si>
  <si>
    <t xml:space="preserve">BMIDIFLI3065</t>
  </si>
  <si>
    <t xml:space="preserve">BMIDIFLI3066</t>
  </si>
  <si>
    <t xml:space="preserve">BMIDIFLI3067</t>
  </si>
  <si>
    <t xml:space="preserve">BMIDIFLI3068</t>
  </si>
  <si>
    <t xml:space="preserve">BMIDIFLI3069</t>
  </si>
  <si>
    <t xml:space="preserve">BMIDIFPRE3070</t>
  </si>
  <si>
    <t xml:space="preserve">BMIDIFPRE3071</t>
  </si>
  <si>
    <t xml:space="preserve">BMIDIFPRE3072</t>
  </si>
  <si>
    <t xml:space="preserve">BMIDIFPRE3073</t>
  </si>
  <si>
    <t xml:space="preserve">BMIDIFPRE3074</t>
  </si>
  <si>
    <t xml:space="preserve">BMIDIFPRE3075</t>
  </si>
  <si>
    <t xml:space="preserve">BMIDIFPRE3076</t>
  </si>
  <si>
    <t xml:space="preserve">BMIDIFPRE3077</t>
  </si>
  <si>
    <t xml:space="preserve">BMIDIFPRE3078</t>
  </si>
  <si>
    <t xml:space="preserve">BMIDIFPRE3079</t>
  </si>
  <si>
    <t xml:space="preserve">BMIDIFPRE3080</t>
  </si>
  <si>
    <t xml:space="preserve">BMIDIFPRE3081</t>
  </si>
  <si>
    <t xml:space="preserve">BMIDIFANO2868</t>
  </si>
  <si>
    <t xml:space="preserve">CIF China (Diff)</t>
  </si>
  <si>
    <t xml:space="preserve">BMIDIFANO2869</t>
  </si>
  <si>
    <t xml:space="preserve">BMIDIFANO2870</t>
  </si>
  <si>
    <t xml:space="preserve">BMIDIFANO2871</t>
  </si>
  <si>
    <t xml:space="preserve">BMIDIFANO2872</t>
  </si>
  <si>
    <t xml:space="preserve">BMIDIFANO2873</t>
  </si>
  <si>
    <t xml:space="preserve">BMIDIFANO2874</t>
  </si>
  <si>
    <t xml:space="preserve">BMIDIFBAA2857</t>
  </si>
  <si>
    <t xml:space="preserve">BMIDIFBAA2858</t>
  </si>
  <si>
    <t xml:space="preserve">BMIDIFBAA2859</t>
  </si>
  <si>
    <t xml:space="preserve">BMIDIFBAA2860</t>
  </si>
  <si>
    <t xml:space="preserve">BMIDIFBAA2861</t>
  </si>
  <si>
    <t xml:space="preserve">BMIDIFBAA2862</t>
  </si>
  <si>
    <t xml:space="preserve">BMIDIFBAA2863</t>
  </si>
  <si>
    <t xml:space="preserve">BMIDIFBAA2864</t>
  </si>
  <si>
    <t xml:space="preserve">BMIDIFBAA2865</t>
  </si>
  <si>
    <t xml:space="preserve">BMIDIFBAA2866</t>
  </si>
  <si>
    <t xml:space="preserve">BMIDIFBAA2867</t>
  </si>
  <si>
    <t xml:space="preserve">BMIDIFCAT2849</t>
  </si>
  <si>
    <t xml:space="preserve">BMIDIFCAT2850</t>
  </si>
  <si>
    <t xml:space="preserve">BMIDIFCAT2851</t>
  </si>
  <si>
    <t xml:space="preserve">BMIDIFCAT2852</t>
  </si>
  <si>
    <t xml:space="preserve">BMIDIFCAT2853</t>
  </si>
  <si>
    <t xml:space="preserve">BMIDIFCAT2854</t>
  </si>
  <si>
    <t xml:space="preserve">BMIDIFCAT2855</t>
  </si>
  <si>
    <t xml:space="preserve">BMIDIFCAT2856</t>
  </si>
  <si>
    <t xml:space="preserve">BMIDIFELE2841</t>
  </si>
  <si>
    <t xml:space="preserve">BMIDIFELE2842</t>
  </si>
  <si>
    <t xml:space="preserve">BMIDIFELE2843</t>
  </si>
  <si>
    <t xml:space="preserve">BMIDIFELE2844</t>
  </si>
  <si>
    <t xml:space="preserve">BMIDIFELE2845</t>
  </si>
  <si>
    <t xml:space="preserve">BMIDIFELE2846</t>
  </si>
  <si>
    <t xml:space="preserve">BMIDIFELE2847</t>
  </si>
  <si>
    <t xml:space="preserve">BMIDIFELE2848</t>
  </si>
  <si>
    <t xml:space="preserve">BMIDIFGRA2824</t>
  </si>
  <si>
    <t xml:space="preserve">BMIDIFGRA2825</t>
  </si>
  <si>
    <t xml:space="preserve">BMIDIFGRA2826</t>
  </si>
  <si>
    <t xml:space="preserve">BMIDIFGRA2827</t>
  </si>
  <si>
    <t xml:space="preserve">BMIDIFGRA2828</t>
  </si>
  <si>
    <t xml:space="preserve">BMIDIFGRA2829</t>
  </si>
  <si>
    <t xml:space="preserve">BMIDIFGRA2830</t>
  </si>
  <si>
    <t xml:space="preserve">BMIDIFGRA2831</t>
  </si>
  <si>
    <t xml:space="preserve">BMIDIFGRA2832</t>
  </si>
  <si>
    <t xml:space="preserve">BMIDIFGRA2833</t>
  </si>
  <si>
    <t xml:space="preserve">BMIDIFGRA2834</t>
  </si>
  <si>
    <t xml:space="preserve">BMIDIFGRA2835</t>
  </si>
  <si>
    <t xml:space="preserve">BMIDIFGRA2836</t>
  </si>
  <si>
    <t xml:space="preserve">BMIDIFGRA2837</t>
  </si>
  <si>
    <t xml:space="preserve">BMIDIFGRA2838</t>
  </si>
  <si>
    <t xml:space="preserve">BMIDIFGRA2839</t>
  </si>
  <si>
    <t xml:space="preserve">BMIDIFGRA2840</t>
  </si>
  <si>
    <t xml:space="preserve">BMIDIFSOL2814</t>
  </si>
  <si>
    <t xml:space="preserve">BMIDIFSOL2815</t>
  </si>
  <si>
    <t xml:space="preserve">BMIDIFSOL2816</t>
  </si>
  <si>
    <t xml:space="preserve">BMIDIFSOL2817</t>
  </si>
  <si>
    <t xml:space="preserve">BMIDIFSOL2818</t>
  </si>
  <si>
    <t xml:space="preserve">BMIDIFSOL2819</t>
  </si>
  <si>
    <t xml:space="preserve">BMIDIFSOL2820</t>
  </si>
  <si>
    <t xml:space="preserve">BMIDIFSOL2821</t>
  </si>
  <si>
    <t xml:space="preserve">BMIDIFSOL2822</t>
  </si>
  <si>
    <t xml:space="preserve">BMIDIFSOL2823</t>
  </si>
  <si>
    <t xml:space="preserve">BMIDIFANO1648</t>
  </si>
  <si>
    <t xml:space="preserve">CIF Czechia (Diff)</t>
  </si>
  <si>
    <t xml:space="preserve">BMIDIFANO1649</t>
  </si>
  <si>
    <t xml:space="preserve">BMIDIFANO1650</t>
  </si>
  <si>
    <t xml:space="preserve">BMIDIFANO1651</t>
  </si>
  <si>
    <t xml:space="preserve">BMIDIFANO1652</t>
  </si>
  <si>
    <t xml:space="preserve">BMIDIFANO1653</t>
  </si>
  <si>
    <t xml:space="preserve">BMIDIFANO1654</t>
  </si>
  <si>
    <t xml:space="preserve">BMIDIFBAA1637</t>
  </si>
  <si>
    <t xml:space="preserve">BMIDIFBAA1638</t>
  </si>
  <si>
    <t xml:space="preserve">BMIDIFBAA1639</t>
  </si>
  <si>
    <t xml:space="preserve">BMIDIFBAA1640</t>
  </si>
  <si>
    <t xml:space="preserve">BMIDIFBAA1641</t>
  </si>
  <si>
    <t xml:space="preserve">BMIDIFBAA1642</t>
  </si>
  <si>
    <t xml:space="preserve">BMIDIFBAA1643</t>
  </si>
  <si>
    <t xml:space="preserve">BMIDIFBAA1644</t>
  </si>
  <si>
    <t xml:space="preserve">BMIDIFBAA1645</t>
  </si>
  <si>
    <t xml:space="preserve">BMIDIFBAA1646</t>
  </si>
  <si>
    <t xml:space="preserve">BMIDIFBAA1647</t>
  </si>
  <si>
    <t xml:space="preserve">BMIDIFCAT1629</t>
  </si>
  <si>
    <t xml:space="preserve">BMIDIFCAT1630</t>
  </si>
  <si>
    <t xml:space="preserve">BMIDIFCAT1631</t>
  </si>
  <si>
    <t xml:space="preserve">BMIDIFCAT1632</t>
  </si>
  <si>
    <t xml:space="preserve">BMIDIFCAT1633</t>
  </si>
  <si>
    <t xml:space="preserve">BMIDIFCAT1634</t>
  </si>
  <si>
    <t xml:space="preserve">BMIDIFCAT1635</t>
  </si>
  <si>
    <t xml:space="preserve">BMIDIFCAT1636</t>
  </si>
  <si>
    <t xml:space="preserve">BMIDIFELE1621</t>
  </si>
  <si>
    <t xml:space="preserve">BMIDIFELE1622</t>
  </si>
  <si>
    <t xml:space="preserve">BMIDIFELE1623</t>
  </si>
  <si>
    <t xml:space="preserve">BMIDIFELE1624</t>
  </si>
  <si>
    <t xml:space="preserve">BMIDIFELE1625</t>
  </si>
  <si>
    <t xml:space="preserve">BMIDIFELE1626</t>
  </si>
  <si>
    <t xml:space="preserve">BMIDIFELE1627</t>
  </si>
  <si>
    <t xml:space="preserve">BMIDIFELE1628</t>
  </si>
  <si>
    <t xml:space="preserve">BMIDIFGRA1604</t>
  </si>
  <si>
    <t xml:space="preserve">BMIDIFGRA1605</t>
  </si>
  <si>
    <t xml:space="preserve">BMIDIFGRA1606</t>
  </si>
  <si>
    <t xml:space="preserve">BMIDIFGRA1607</t>
  </si>
  <si>
    <t xml:space="preserve">BMIDIFGRA1608</t>
  </si>
  <si>
    <t xml:space="preserve">BMIDIFGRA1609</t>
  </si>
  <si>
    <t xml:space="preserve">BMIDIFGRA1610</t>
  </si>
  <si>
    <t xml:space="preserve">BMIDIFGRA1611</t>
  </si>
  <si>
    <t xml:space="preserve">BMIDIFGRA1612</t>
  </si>
  <si>
    <t xml:space="preserve">BMIDIFGRA1613</t>
  </si>
  <si>
    <t xml:space="preserve">BMIDIFGRA1614</t>
  </si>
  <si>
    <t xml:space="preserve">BMIDIFGRA1615</t>
  </si>
  <si>
    <t xml:space="preserve">BMIDIFGRA1616</t>
  </si>
  <si>
    <t xml:space="preserve">BMIDIFGRA1617</t>
  </si>
  <si>
    <t xml:space="preserve">BMIDIFGRA1618</t>
  </si>
  <si>
    <t xml:space="preserve">BMIDIFGRA1619</t>
  </si>
  <si>
    <t xml:space="preserve">BMIDIFGRA1620</t>
  </si>
  <si>
    <t xml:space="preserve">BMIDIFSOL1594</t>
  </si>
  <si>
    <t xml:space="preserve">BMIDIFSOL1595</t>
  </si>
  <si>
    <t xml:space="preserve">BMIDIFSOL1596</t>
  </si>
  <si>
    <t xml:space="preserve">BMIDIFSOL1597</t>
  </si>
  <si>
    <t xml:space="preserve">BMIDIFSOL1598</t>
  </si>
  <si>
    <t xml:space="preserve">BMIDIFSOL1599</t>
  </si>
  <si>
    <t xml:space="preserve">BMIDIFSOL1600</t>
  </si>
  <si>
    <t xml:space="preserve">BMIDIFSOL1601</t>
  </si>
  <si>
    <t xml:space="preserve">BMIDIFSOL1602</t>
  </si>
  <si>
    <t xml:space="preserve">BMIDIFSOL1603</t>
  </si>
  <si>
    <t xml:space="preserve">BMIDIFREE1042</t>
  </si>
  <si>
    <t xml:space="preserve">CIF Europe</t>
  </si>
  <si>
    <t xml:space="preserve">Europe</t>
  </si>
  <si>
    <t xml:space="preserve">Dysprosium Oxide, 99.0-99.9%, USD/Tonne</t>
  </si>
  <si>
    <t xml:space="preserve">BMIDIFREE1043</t>
  </si>
  <si>
    <t xml:space="preserve">BMIDIFREE1044</t>
  </si>
  <si>
    <t xml:space="preserve">BMIDIFCO3476</t>
  </si>
  <si>
    <t xml:space="preserve">CIF Europe (Diff)</t>
  </si>
  <si>
    <t xml:space="preserve">BMIDIFCO3477</t>
  </si>
  <si>
    <t xml:space="preserve">BMIDIFCO3478</t>
  </si>
  <si>
    <t xml:space="preserve">BMIDIFCO3479</t>
  </si>
  <si>
    <t xml:space="preserve">BMIDIFCO3480</t>
  </si>
  <si>
    <t xml:space="preserve">BMIDIFMN3474</t>
  </si>
  <si>
    <t xml:space="preserve">BMIDIFMN3475</t>
  </si>
  <si>
    <t xml:space="preserve">BMIDIFNI3471</t>
  </si>
  <si>
    <t xml:space="preserve">BMIDIFNI3472</t>
  </si>
  <si>
    <t xml:space="preserve">BMIDIFNI3473</t>
  </si>
  <si>
    <t xml:space="preserve">BMIDIFAL3530</t>
  </si>
  <si>
    <t xml:space="preserve">CIF Finland (Diff)</t>
  </si>
  <si>
    <t xml:space="preserve">BMIDIFAL3552</t>
  </si>
  <si>
    <t xml:space="preserve">BMIDIFAL3574</t>
  </si>
  <si>
    <t xml:space="preserve">Foils, Aluminium (Battery Grade), 12μm, CIF Finland (Diff)</t>
  </si>
  <si>
    <t xml:space="preserve">BMIDIFCO3466</t>
  </si>
  <si>
    <t xml:space="preserve">BMIDIFCO3467</t>
  </si>
  <si>
    <t xml:space="preserve">BMIDIFCO3468</t>
  </si>
  <si>
    <t xml:space="preserve">BMIDIFCO3469</t>
  </si>
  <si>
    <t xml:space="preserve">BMIDIFCO3470</t>
  </si>
  <si>
    <t xml:space="preserve">BMIDIFCU3596</t>
  </si>
  <si>
    <t xml:space="preserve">BMIDIFCU3618</t>
  </si>
  <si>
    <t xml:space="preserve">BMIDIFLI3320</t>
  </si>
  <si>
    <t xml:space="preserve">BMIDIFLI3321</t>
  </si>
  <si>
    <t xml:space="preserve">BMIDIFLI3322</t>
  </si>
  <si>
    <t xml:space="preserve">BMIDIFLI3323</t>
  </si>
  <si>
    <t xml:space="preserve">BMIDIFLI3324</t>
  </si>
  <si>
    <t xml:space="preserve">BMIDIFMN3464</t>
  </si>
  <si>
    <t xml:space="preserve">BMIDIFMN3465</t>
  </si>
  <si>
    <t xml:space="preserve">BMIDIFNI3461</t>
  </si>
  <si>
    <t xml:space="preserve">BMIDIFNI3462</t>
  </si>
  <si>
    <t xml:space="preserve">BMIDIFNI3463</t>
  </si>
  <si>
    <t xml:space="preserve">BMIDIFPRE3325</t>
  </si>
  <si>
    <t xml:space="preserve">BMIDIFPRE3326</t>
  </si>
  <si>
    <t xml:space="preserve">BMIDIFPRE3327</t>
  </si>
  <si>
    <t xml:space="preserve">BMIDIFPRE3328</t>
  </si>
  <si>
    <t xml:space="preserve">BMIDIFPRE3329</t>
  </si>
  <si>
    <t xml:space="preserve">BMIDIFPRE3330</t>
  </si>
  <si>
    <t xml:space="preserve">BMIDIFPRE3331</t>
  </si>
  <si>
    <t xml:space="preserve">BMIDIFPRE3332</t>
  </si>
  <si>
    <t xml:space="preserve">BMIDIFPRE3333</t>
  </si>
  <si>
    <t xml:space="preserve">BMIDIFPRE3334</t>
  </si>
  <si>
    <t xml:space="preserve">BMIDIFPRE3335</t>
  </si>
  <si>
    <t xml:space="preserve">BMIDIFPRE3336</t>
  </si>
  <si>
    <t xml:space="preserve">BMIDIFAL3532</t>
  </si>
  <si>
    <t xml:space="preserve">CIF France (Diff)</t>
  </si>
  <si>
    <t xml:space="preserve">BMIDIFAL3554</t>
  </si>
  <si>
    <t xml:space="preserve">BMIDIFAL3576</t>
  </si>
  <si>
    <t xml:space="preserve">BMIDIFANO2014</t>
  </si>
  <si>
    <t xml:space="preserve">BMIDIFANO2015</t>
  </si>
  <si>
    <t xml:space="preserve">BMIDIFANO2016</t>
  </si>
  <si>
    <t xml:space="preserve">BMIDIFANO2017</t>
  </si>
  <si>
    <t xml:space="preserve">BMIDIFANO2018</t>
  </si>
  <si>
    <t xml:space="preserve">BMIDIFANO2019</t>
  </si>
  <si>
    <t xml:space="preserve">BMIDIFANO2020</t>
  </si>
  <si>
    <t xml:space="preserve">BMIDIFBAA2003</t>
  </si>
  <si>
    <t xml:space="preserve">BMIDIFBAA2004</t>
  </si>
  <si>
    <t xml:space="preserve">BMIDIFBAA2005</t>
  </si>
  <si>
    <t xml:space="preserve">BMIDIFBAA2006</t>
  </si>
  <si>
    <t xml:space="preserve">BMIDIFBAA2007</t>
  </si>
  <si>
    <t xml:space="preserve">BMIDIFBAA2008</t>
  </si>
  <si>
    <t xml:space="preserve">BMIDIFBAA2009</t>
  </si>
  <si>
    <t xml:space="preserve">BMIDIFBAA2010</t>
  </si>
  <si>
    <t xml:space="preserve">BMIDIFBAA2011</t>
  </si>
  <si>
    <t xml:space="preserve">BMIDIFBAA2012</t>
  </si>
  <si>
    <t xml:space="preserve">BMIDIFBAA2013</t>
  </si>
  <si>
    <t xml:space="preserve">BMIDIFCAT1995</t>
  </si>
  <si>
    <t xml:space="preserve">BMIDIFCAT1996</t>
  </si>
  <si>
    <t xml:space="preserve">BMIDIFCAT1997</t>
  </si>
  <si>
    <t xml:space="preserve">BMIDIFCAT1998</t>
  </si>
  <si>
    <t xml:space="preserve">BMIDIFCAT1999</t>
  </si>
  <si>
    <t xml:space="preserve">BMIDIFCAT2000</t>
  </si>
  <si>
    <t xml:space="preserve">BMIDIFCAT2001</t>
  </si>
  <si>
    <t xml:space="preserve">BMIDIFCAT2002</t>
  </si>
  <si>
    <t xml:space="preserve">BMIDIFCO3456</t>
  </si>
  <si>
    <t xml:space="preserve">BMIDIFCO3457</t>
  </si>
  <si>
    <t xml:space="preserve">BMIDIFCO3458</t>
  </si>
  <si>
    <t xml:space="preserve">BMIDIFCO3459</t>
  </si>
  <si>
    <t xml:space="preserve">BMIDIFCO3460</t>
  </si>
  <si>
    <t xml:space="preserve">BMIDIFCU3598</t>
  </si>
  <si>
    <t xml:space="preserve">BMIDIFCU3620</t>
  </si>
  <si>
    <t xml:space="preserve">Foils, Copper (Battery Grade), 5μm, CIF France (Diff)</t>
  </si>
  <si>
    <t xml:space="preserve">BMIDIFELE1987</t>
  </si>
  <si>
    <t xml:space="preserve">BMIDIFELE1988</t>
  </si>
  <si>
    <t xml:space="preserve">BMIDIFELE1989</t>
  </si>
  <si>
    <t xml:space="preserve">BMIDIFELE1990</t>
  </si>
  <si>
    <t xml:space="preserve">BMIDIFELE1991</t>
  </si>
  <si>
    <t xml:space="preserve">BMIDIFELE1992</t>
  </si>
  <si>
    <t xml:space="preserve">BMIDIFELE1993</t>
  </si>
  <si>
    <t xml:space="preserve">BMIDIFELE1994</t>
  </si>
  <si>
    <t xml:space="preserve">BMIDIFGRA1970</t>
  </si>
  <si>
    <t xml:space="preserve">BMIDIFGRA1971</t>
  </si>
  <si>
    <t xml:space="preserve">BMIDIFGRA1972</t>
  </si>
  <si>
    <t xml:space="preserve">BMIDIFGRA1973</t>
  </si>
  <si>
    <t xml:space="preserve">BMIDIFGRA1974</t>
  </si>
  <si>
    <t xml:space="preserve">BMIDIFGRA1975</t>
  </si>
  <si>
    <t xml:space="preserve">BMIDIFGRA1976</t>
  </si>
  <si>
    <t xml:space="preserve">BMIDIFGRA1977</t>
  </si>
  <si>
    <t xml:space="preserve">BMIDIFGRA1978</t>
  </si>
  <si>
    <t xml:space="preserve">BMIDIFGRA1979</t>
  </si>
  <si>
    <t xml:space="preserve">BMIDIFGRA1980</t>
  </si>
  <si>
    <t xml:space="preserve">BMIDIFGRA1981</t>
  </si>
  <si>
    <t xml:space="preserve">BMIDIFGRA1982</t>
  </si>
  <si>
    <t xml:space="preserve">BMIDIFGRA1983</t>
  </si>
  <si>
    <t xml:space="preserve">BMIDIFGRA1984</t>
  </si>
  <si>
    <t xml:space="preserve">BMIDIFGRA1985</t>
  </si>
  <si>
    <t xml:space="preserve">BMIDIFGRA1986</t>
  </si>
  <si>
    <t xml:space="preserve">BMIDIFLI3354</t>
  </si>
  <si>
    <t xml:space="preserve">Cathode, Lithium, Lithium Hydroxide, CIF France (Diff)</t>
  </si>
  <si>
    <t xml:space="preserve">BMIDIFLI3355</t>
  </si>
  <si>
    <t xml:space="preserve">Cathode, Lithium, Lithium Carbonate (Sustainable), CIF France (Diff)</t>
  </si>
  <si>
    <t xml:space="preserve">BMIDIFLI3356</t>
  </si>
  <si>
    <t xml:space="preserve">BMIDIFLI3357</t>
  </si>
  <si>
    <t xml:space="preserve">BMIDIFLI3358</t>
  </si>
  <si>
    <t xml:space="preserve">BMIDIFMN3454</t>
  </si>
  <si>
    <t xml:space="preserve">BMIDIFMN3455</t>
  </si>
  <si>
    <t xml:space="preserve">BMIDIFNI3451</t>
  </si>
  <si>
    <t xml:space="preserve">BMIDIFNI3452</t>
  </si>
  <si>
    <t xml:space="preserve">BMIDIFNI3453</t>
  </si>
  <si>
    <t xml:space="preserve">BMIDIFPRE3359</t>
  </si>
  <si>
    <t xml:space="preserve">BMIDIFPRE3360</t>
  </si>
  <si>
    <t xml:space="preserve">BMIDIFPRE3361</t>
  </si>
  <si>
    <t xml:space="preserve">BMIDIFPRE3362</t>
  </si>
  <si>
    <t xml:space="preserve">BMIDIFPRE3363</t>
  </si>
  <si>
    <t xml:space="preserve">BMIDIFPRE3364</t>
  </si>
  <si>
    <t xml:space="preserve">BMIDIFPRE3365</t>
  </si>
  <si>
    <t xml:space="preserve">BMIDIFPRE3366</t>
  </si>
  <si>
    <t xml:space="preserve">BMIDIFPRE3367</t>
  </si>
  <si>
    <t xml:space="preserve">BMIDIFPRE3368</t>
  </si>
  <si>
    <t xml:space="preserve">BMIDIFPRE3369</t>
  </si>
  <si>
    <t xml:space="preserve">BMIDIFPRE3370</t>
  </si>
  <si>
    <t xml:space="preserve">BMIDIFSOL1960</t>
  </si>
  <si>
    <t xml:space="preserve">BMIDIFSOL1961</t>
  </si>
  <si>
    <t xml:space="preserve">BMIDIFSOL1962</t>
  </si>
  <si>
    <t xml:space="preserve">BMIDIFSOL1963</t>
  </si>
  <si>
    <t xml:space="preserve">BMIDIFSOL1964</t>
  </si>
  <si>
    <t xml:space="preserve">BMIDIFSOL1965</t>
  </si>
  <si>
    <t xml:space="preserve">BMIDIFSOL1966</t>
  </si>
  <si>
    <t xml:space="preserve">BMIDIFSOL1967</t>
  </si>
  <si>
    <t xml:space="preserve">BMIDIFSOL1968</t>
  </si>
  <si>
    <t xml:space="preserve">BMIDIFSOL1969</t>
  </si>
  <si>
    <t xml:space="preserve">BMIDIFAL3521</t>
  </si>
  <si>
    <t xml:space="preserve">CIF Germany (Diff)</t>
  </si>
  <si>
    <t xml:space="preserve">BMIDIFAL3543</t>
  </si>
  <si>
    <t xml:space="preserve">BMIDIFAL3565</t>
  </si>
  <si>
    <t xml:space="preserve">BMIDIFANO2807</t>
  </si>
  <si>
    <t xml:space="preserve">BMIDIFANO2808</t>
  </si>
  <si>
    <t xml:space="preserve">BMIDIFANO2809</t>
  </si>
  <si>
    <t xml:space="preserve">BMIDIFANO2810</t>
  </si>
  <si>
    <t xml:space="preserve">BMIDIFANO2811</t>
  </si>
  <si>
    <t xml:space="preserve">BMIDIFANO2812</t>
  </si>
  <si>
    <t xml:space="preserve">BMIDIFANO2813</t>
  </si>
  <si>
    <t xml:space="preserve">BMIDIFBAA2796</t>
  </si>
  <si>
    <t xml:space="preserve">BMIDIFBAA2797</t>
  </si>
  <si>
    <t xml:space="preserve">BMIDIFBAA2798</t>
  </si>
  <si>
    <t xml:space="preserve">BMIDIFBAA2799</t>
  </si>
  <si>
    <t xml:space="preserve">BMIDIFBAA2800</t>
  </si>
  <si>
    <t xml:space="preserve">BMIDIFBAA2801</t>
  </si>
  <si>
    <t xml:space="preserve">BMIDIFBAA2802</t>
  </si>
  <si>
    <t xml:space="preserve">BMIDIFBAA2803</t>
  </si>
  <si>
    <t xml:space="preserve">BMIDIFBAA2804</t>
  </si>
  <si>
    <t xml:space="preserve">BMIDIFBAA2805</t>
  </si>
  <si>
    <t xml:space="preserve">BMIDIFBAA2806</t>
  </si>
  <si>
    <t xml:space="preserve">BMIDIFCAT2788</t>
  </si>
  <si>
    <t xml:space="preserve">BMIDIFCAT2789</t>
  </si>
  <si>
    <t xml:space="preserve">BMIDIFCAT2790</t>
  </si>
  <si>
    <t xml:space="preserve">BMIDIFCAT2791</t>
  </si>
  <si>
    <t xml:space="preserve">BMIDIFCAT2792</t>
  </si>
  <si>
    <t xml:space="preserve">BMIDIFCAT2793</t>
  </si>
  <si>
    <t xml:space="preserve">BMIDIFCAT2794</t>
  </si>
  <si>
    <t xml:space="preserve">BMIDIFCAT2795</t>
  </si>
  <si>
    <t xml:space="preserve">BMIDIFCO3446</t>
  </si>
  <si>
    <t xml:space="preserve">BMIDIFCO3447</t>
  </si>
  <si>
    <t xml:space="preserve">BMIDIFCO3448</t>
  </si>
  <si>
    <t xml:space="preserve">BMIDIFCO3449</t>
  </si>
  <si>
    <t xml:space="preserve">BMIDIFCO3450</t>
  </si>
  <si>
    <t xml:space="preserve">BMIDIFCU3587</t>
  </si>
  <si>
    <t xml:space="preserve">BMIDIFCU3609</t>
  </si>
  <si>
    <t xml:space="preserve">BMIDIFELE2780</t>
  </si>
  <si>
    <t xml:space="preserve">BMIDIFELE2781</t>
  </si>
  <si>
    <t xml:space="preserve">BMIDIFELE2782</t>
  </si>
  <si>
    <t xml:space="preserve">BMIDIFELE2783</t>
  </si>
  <si>
    <t xml:space="preserve">BMIDIFELE2784</t>
  </si>
  <si>
    <t xml:space="preserve">BMIDIFELE2785</t>
  </si>
  <si>
    <t xml:space="preserve">BMIDIFELE2786</t>
  </si>
  <si>
    <t xml:space="preserve">BMIDIFELE2787</t>
  </si>
  <si>
    <t xml:space="preserve">BMIDIFGRA2763</t>
  </si>
  <si>
    <t xml:space="preserve">BMIDIFGRA2764</t>
  </si>
  <si>
    <t xml:space="preserve">BMIDIFGRA2765</t>
  </si>
  <si>
    <t xml:space="preserve">BMIDIFGRA2766</t>
  </si>
  <si>
    <t xml:space="preserve">BMIDIFGRA2767</t>
  </si>
  <si>
    <t xml:space="preserve">BMIDIFGRA2768</t>
  </si>
  <si>
    <t xml:space="preserve">BMIDIFGRA2769</t>
  </si>
  <si>
    <t xml:space="preserve">BMIDIFGRA2770</t>
  </si>
  <si>
    <t xml:space="preserve">BMIDIFGRA2771</t>
  </si>
  <si>
    <t xml:space="preserve">BMIDIFGRA2772</t>
  </si>
  <si>
    <t xml:space="preserve">BMIDIFGRA2773</t>
  </si>
  <si>
    <t xml:space="preserve">BMIDIFGRA2774</t>
  </si>
  <si>
    <t xml:space="preserve">BMIDIFGRA2775</t>
  </si>
  <si>
    <t xml:space="preserve">BMIDIFGRA2776</t>
  </si>
  <si>
    <t xml:space="preserve">BMIDIFGRA2777</t>
  </si>
  <si>
    <t xml:space="preserve">BMIDIFGRA2778</t>
  </si>
  <si>
    <t xml:space="preserve">BMIDIFGRA2779</t>
  </si>
  <si>
    <t xml:space="preserve">BMIDIFLI3167</t>
  </si>
  <si>
    <t xml:space="preserve">BMIDIFLI3168</t>
  </si>
  <si>
    <t xml:space="preserve">BMIDIFLI3169</t>
  </si>
  <si>
    <t xml:space="preserve">BMIDIFLI3170</t>
  </si>
  <si>
    <t xml:space="preserve">BMIDIFLI3171</t>
  </si>
  <si>
    <t xml:space="preserve">BMIDIFMN3444</t>
  </si>
  <si>
    <t xml:space="preserve">BMIDIFMN3445</t>
  </si>
  <si>
    <t xml:space="preserve">BMIDIFNI3441</t>
  </si>
  <si>
    <t xml:space="preserve">BMIDIFNI3442</t>
  </si>
  <si>
    <t xml:space="preserve">BMIDIFNI3443</t>
  </si>
  <si>
    <t xml:space="preserve">BMIDIFPRE3172</t>
  </si>
  <si>
    <t xml:space="preserve">BMIDIFPRE3173</t>
  </si>
  <si>
    <t xml:space="preserve">BMIDIFPRE3174</t>
  </si>
  <si>
    <t xml:space="preserve">BMIDIFPRE3175</t>
  </si>
  <si>
    <t xml:space="preserve">BMIDIFPRE3176</t>
  </si>
  <si>
    <t xml:space="preserve">BMIDIFPRE3177</t>
  </si>
  <si>
    <t xml:space="preserve">BMIDIFPRE3178</t>
  </si>
  <si>
    <t xml:space="preserve">BMIDIFPRE3179</t>
  </si>
  <si>
    <t xml:space="preserve">BMIDIFPRE3180</t>
  </si>
  <si>
    <t xml:space="preserve">BMIDIFPRE3181</t>
  </si>
  <si>
    <t xml:space="preserve">BMIDIFPRE3182</t>
  </si>
  <si>
    <t xml:space="preserve">BMIDIFPRE3183</t>
  </si>
  <si>
    <t xml:space="preserve">BMIDIFREE1017</t>
  </si>
  <si>
    <t xml:space="preserve">BMIDIFREE1018</t>
  </si>
  <si>
    <t xml:space="preserve">BMIDIFREE1019</t>
  </si>
  <si>
    <t xml:space="preserve">BMIDIFREE1020</t>
  </si>
  <si>
    <t xml:space="preserve">BMIDIFSOL2753</t>
  </si>
  <si>
    <t xml:space="preserve">BMIDIFSOL2754</t>
  </si>
  <si>
    <t xml:space="preserve">BMIDIFSOL2755</t>
  </si>
  <si>
    <t xml:space="preserve">BMIDIFSOL2756</t>
  </si>
  <si>
    <t xml:space="preserve">BMIDIFSOL2757</t>
  </si>
  <si>
    <t xml:space="preserve">BMIDIFSOL2758</t>
  </si>
  <si>
    <t xml:space="preserve">BMIDIFSOL2759</t>
  </si>
  <si>
    <t xml:space="preserve">BMIDIFSOL2760</t>
  </si>
  <si>
    <t xml:space="preserve">BMIDIFSOL2761</t>
  </si>
  <si>
    <t xml:space="preserve">BMIDIFSOL2762</t>
  </si>
  <si>
    <t xml:space="preserve">BMIDIFAL3527</t>
  </si>
  <si>
    <t xml:space="preserve">CIF Hungary (Diff)</t>
  </si>
  <si>
    <t xml:space="preserve">BMIDIFAL3549</t>
  </si>
  <si>
    <t xml:space="preserve">BMIDIFAL3571</t>
  </si>
  <si>
    <t xml:space="preserve">BMIDIFANO2502</t>
  </si>
  <si>
    <t xml:space="preserve">BMIDIFANO2503</t>
  </si>
  <si>
    <t xml:space="preserve">BMIDIFANO2504</t>
  </si>
  <si>
    <t xml:space="preserve">BMIDIFANO2505</t>
  </si>
  <si>
    <t xml:space="preserve">BMIDIFANO2506</t>
  </si>
  <si>
    <t xml:space="preserve">BMIDIFANO2507</t>
  </si>
  <si>
    <t xml:space="preserve">BMIDIFANO2508</t>
  </si>
  <si>
    <t xml:space="preserve">BMIDIFBAA2491</t>
  </si>
  <si>
    <t xml:space="preserve">BMIDIFBAA2492</t>
  </si>
  <si>
    <t xml:space="preserve">BMIDIFBAA2493</t>
  </si>
  <si>
    <t xml:space="preserve">BMIDIFBAA2494</t>
  </si>
  <si>
    <t xml:space="preserve">BMIDIFBAA2495</t>
  </si>
  <si>
    <t xml:space="preserve">BMIDIFBAA2496</t>
  </si>
  <si>
    <t xml:space="preserve">BMIDIFBAA2497</t>
  </si>
  <si>
    <t xml:space="preserve">BMIDIFBAA2498</t>
  </si>
  <si>
    <t xml:space="preserve">BMIDIFBAA2499</t>
  </si>
  <si>
    <t xml:space="preserve">BMIDIFBAA2500</t>
  </si>
  <si>
    <t xml:space="preserve">BMIDIFBAA2501</t>
  </si>
  <si>
    <t xml:space="preserve">BMIDIFCAT2483</t>
  </si>
  <si>
    <t xml:space="preserve">BMIDIFCAT2484</t>
  </si>
  <si>
    <t xml:space="preserve">BMIDIFCAT2485</t>
  </si>
  <si>
    <t xml:space="preserve">BMIDIFCAT2486</t>
  </si>
  <si>
    <t xml:space="preserve">BMIDIFCAT2487</t>
  </si>
  <si>
    <t xml:space="preserve">BMIDIFCAT2488</t>
  </si>
  <si>
    <t xml:space="preserve">BMIDIFCAT2489</t>
  </si>
  <si>
    <t xml:space="preserve">BMIDIFCAT2490</t>
  </si>
  <si>
    <t xml:space="preserve">BMIDIFCO3436</t>
  </si>
  <si>
    <t xml:space="preserve">BMIDIFCO3437</t>
  </si>
  <si>
    <t xml:space="preserve">BMIDIFCO3438</t>
  </si>
  <si>
    <t xml:space="preserve">BMIDIFCO3439</t>
  </si>
  <si>
    <t xml:space="preserve">BMIDIFCO3440</t>
  </si>
  <si>
    <t xml:space="preserve">BMIDIFCU3593</t>
  </si>
  <si>
    <t xml:space="preserve">BMIDIFCU3615</t>
  </si>
  <si>
    <t xml:space="preserve">BMIDIFELE2475</t>
  </si>
  <si>
    <t xml:space="preserve">BMIDIFELE2476</t>
  </si>
  <si>
    <t xml:space="preserve">BMIDIFELE2477</t>
  </si>
  <si>
    <t xml:space="preserve">BMIDIFELE2478</t>
  </si>
  <si>
    <t xml:space="preserve">BMIDIFELE2479</t>
  </si>
  <si>
    <t xml:space="preserve">BMIDIFELE2480</t>
  </si>
  <si>
    <t xml:space="preserve">BMIDIFELE2481</t>
  </si>
  <si>
    <t xml:space="preserve">BMIDIFELE2482</t>
  </si>
  <si>
    <t xml:space="preserve">BMIDIFGRA2458</t>
  </si>
  <si>
    <t xml:space="preserve">BMIDIFGRA2459</t>
  </si>
  <si>
    <t xml:space="preserve">BMIDIFGRA2460</t>
  </si>
  <si>
    <t xml:space="preserve">BMIDIFGRA2461</t>
  </si>
  <si>
    <t xml:space="preserve">BMIDIFGRA2462</t>
  </si>
  <si>
    <t xml:space="preserve">BMIDIFGRA2463</t>
  </si>
  <si>
    <t xml:space="preserve">BMIDIFGRA2464</t>
  </si>
  <si>
    <t xml:space="preserve">BMIDIFGRA2465</t>
  </si>
  <si>
    <t xml:space="preserve">BMIDIFGRA2466</t>
  </si>
  <si>
    <t xml:space="preserve">BMIDIFGRA2467</t>
  </si>
  <si>
    <t xml:space="preserve">BMIDIFGRA2468</t>
  </si>
  <si>
    <t xml:space="preserve">BMIDIFGRA2469</t>
  </si>
  <si>
    <t xml:space="preserve">BMIDIFGRA2470</t>
  </si>
  <si>
    <t xml:space="preserve">BMIDIFGRA2471</t>
  </si>
  <si>
    <t xml:space="preserve">BMIDIFGRA2472</t>
  </si>
  <si>
    <t xml:space="preserve">BMIDIFGRA2473</t>
  </si>
  <si>
    <t xml:space="preserve">BMIDIFGRA2474</t>
  </si>
  <si>
    <t xml:space="preserve">BMIDIFLI3269</t>
  </si>
  <si>
    <t xml:space="preserve">BMIDIFLI3270</t>
  </si>
  <si>
    <t xml:space="preserve">BMIDIFLI3271</t>
  </si>
  <si>
    <t xml:space="preserve">BMIDIFLI3272</t>
  </si>
  <si>
    <t xml:space="preserve">BMIDIFLI3273</t>
  </si>
  <si>
    <t xml:space="preserve">BMIDIFMN3434</t>
  </si>
  <si>
    <t xml:space="preserve">BMIDIFMN3435</t>
  </si>
  <si>
    <t xml:space="preserve">BMIDIFNI3431</t>
  </si>
  <si>
    <t xml:space="preserve">BMIDIFNI3432</t>
  </si>
  <si>
    <t xml:space="preserve">BMIDIFNI3433</t>
  </si>
  <si>
    <t xml:space="preserve">BMIDIFPRE3274</t>
  </si>
  <si>
    <t xml:space="preserve">BMIDIFPRE3275</t>
  </si>
  <si>
    <t xml:space="preserve">BMIDIFPRE3276</t>
  </si>
  <si>
    <t xml:space="preserve">BMIDIFPRE3277</t>
  </si>
  <si>
    <t xml:space="preserve">BMIDIFPRE3278</t>
  </si>
  <si>
    <t xml:space="preserve">BMIDIFPRE3279</t>
  </si>
  <si>
    <t xml:space="preserve">BMIDIFPRE3280</t>
  </si>
  <si>
    <t xml:space="preserve">BMIDIFPRE3281</t>
  </si>
  <si>
    <t xml:space="preserve">BMIDIFPRE3282</t>
  </si>
  <si>
    <t xml:space="preserve">BMIDIFPRE3283</t>
  </si>
  <si>
    <t xml:space="preserve">BMIDIFPRE3284</t>
  </si>
  <si>
    <t xml:space="preserve">BMIDIFPRE3285</t>
  </si>
  <si>
    <t xml:space="preserve">BMIDIFSOL2448</t>
  </si>
  <si>
    <t xml:space="preserve">BMIDIFSOL2449</t>
  </si>
  <si>
    <t xml:space="preserve">BMIDIFSOL2450</t>
  </si>
  <si>
    <t xml:space="preserve">BMIDIFSOL2451</t>
  </si>
  <si>
    <t xml:space="preserve">BMIDIFSOL2452</t>
  </si>
  <si>
    <t xml:space="preserve">BMIDIFSOL2453</t>
  </si>
  <si>
    <t xml:space="preserve">BMIDIFSOL2454</t>
  </si>
  <si>
    <t xml:space="preserve">BMIDIFSOL2455</t>
  </si>
  <si>
    <t xml:space="preserve">BMIDIFSOL2456</t>
  </si>
  <si>
    <t xml:space="preserve">BMIDIFSOL2457</t>
  </si>
  <si>
    <t xml:space="preserve">BMIDIFAL3518</t>
  </si>
  <si>
    <t xml:space="preserve">CIF India (Diff)</t>
  </si>
  <si>
    <t xml:space="preserve">BMIDIFAL3540</t>
  </si>
  <si>
    <t xml:space="preserve">BMIDIFAL3562</t>
  </si>
  <si>
    <t xml:space="preserve">BMIDIFANO2136</t>
  </si>
  <si>
    <t xml:space="preserve">BMIDIFANO2137</t>
  </si>
  <si>
    <t xml:space="preserve">BMIDIFANO2138</t>
  </si>
  <si>
    <t xml:space="preserve">BMIDIFANO2139</t>
  </si>
  <si>
    <t xml:space="preserve">BMIDIFANO2140</t>
  </si>
  <si>
    <t xml:space="preserve">BMIDIFANO2141</t>
  </si>
  <si>
    <t xml:space="preserve">BMIDIFANO2142</t>
  </si>
  <si>
    <t xml:space="preserve">BMIDIFBAA2125</t>
  </si>
  <si>
    <t xml:space="preserve">BMIDIFBAA2126</t>
  </si>
  <si>
    <t xml:space="preserve">BMIDIFBAA2127</t>
  </si>
  <si>
    <t xml:space="preserve">BMIDIFBAA2128</t>
  </si>
  <si>
    <t xml:space="preserve">BMIDIFBAA2129</t>
  </si>
  <si>
    <t xml:space="preserve">BMIDIFBAA2130</t>
  </si>
  <si>
    <t xml:space="preserve">BMIDIFBAA2131</t>
  </si>
  <si>
    <t xml:space="preserve">BMIDIFBAA2132</t>
  </si>
  <si>
    <t xml:space="preserve">BMIDIFBAA2133</t>
  </si>
  <si>
    <t xml:space="preserve">BMIDIFBAA2134</t>
  </si>
  <si>
    <t xml:space="preserve">BMIDIFBAA2135</t>
  </si>
  <si>
    <t xml:space="preserve">BMIDIFCAT2117</t>
  </si>
  <si>
    <t xml:space="preserve">BMIDIFCAT2118</t>
  </si>
  <si>
    <t xml:space="preserve">BMIDIFCAT2119</t>
  </si>
  <si>
    <t xml:space="preserve">BMIDIFCAT2120</t>
  </si>
  <si>
    <t xml:space="preserve">BMIDIFCAT2121</t>
  </si>
  <si>
    <t xml:space="preserve">BMIDIFCAT2122</t>
  </si>
  <si>
    <t xml:space="preserve">BMIDIFCAT2123</t>
  </si>
  <si>
    <t xml:space="preserve">BMIDIFCAT2124</t>
  </si>
  <si>
    <t xml:space="preserve">BMIDIFCU3584</t>
  </si>
  <si>
    <t xml:space="preserve">BMIDIFCU3606</t>
  </si>
  <si>
    <t xml:space="preserve">BMIDIFELE2109</t>
  </si>
  <si>
    <t xml:space="preserve">BMIDIFELE2110</t>
  </si>
  <si>
    <t xml:space="preserve">BMIDIFELE2111</t>
  </si>
  <si>
    <t xml:space="preserve">BMIDIFELE2112</t>
  </si>
  <si>
    <t xml:space="preserve">BMIDIFELE2113</t>
  </si>
  <si>
    <t xml:space="preserve">BMIDIFELE2114</t>
  </si>
  <si>
    <t xml:space="preserve">BMIDIFELE2115</t>
  </si>
  <si>
    <t xml:space="preserve">BMIDIFELE2116</t>
  </si>
  <si>
    <t xml:space="preserve">BMIDIFGRA2092</t>
  </si>
  <si>
    <t xml:space="preserve">BMIDIFGRA2093</t>
  </si>
  <si>
    <t xml:space="preserve">BMIDIFGRA2094</t>
  </si>
  <si>
    <t xml:space="preserve">BMIDIFGRA2095</t>
  </si>
  <si>
    <t xml:space="preserve">BMIDIFGRA2096</t>
  </si>
  <si>
    <t xml:space="preserve">BMIDIFGRA2097</t>
  </si>
  <si>
    <t xml:space="preserve">BMIDIFGRA2098</t>
  </si>
  <si>
    <t xml:space="preserve">BMIDIFGRA2099</t>
  </si>
  <si>
    <t xml:space="preserve">BMIDIFGRA2100</t>
  </si>
  <si>
    <t xml:space="preserve">BMIDIFGRA2101</t>
  </si>
  <si>
    <t xml:space="preserve">BMIDIFGRA2102</t>
  </si>
  <si>
    <t xml:space="preserve">BMIDIFGRA2103</t>
  </si>
  <si>
    <t xml:space="preserve">BMIDIFGRA2104</t>
  </si>
  <si>
    <t xml:space="preserve">BMIDIFGRA2105</t>
  </si>
  <si>
    <t xml:space="preserve">BMIDIFGRA2106</t>
  </si>
  <si>
    <t xml:space="preserve">BMIDIFGRA2107</t>
  </si>
  <si>
    <t xml:space="preserve">BMIDIFGRA2108</t>
  </si>
  <si>
    <t xml:space="preserve">BMIDIFLI3116</t>
  </si>
  <si>
    <t xml:space="preserve">BMIDIFLI3117</t>
  </si>
  <si>
    <t xml:space="preserve">BMIDIFLI3118</t>
  </si>
  <si>
    <t xml:space="preserve">BMIDIFLI3119</t>
  </si>
  <si>
    <t xml:space="preserve">BMIDIFLI3120</t>
  </si>
  <si>
    <t xml:space="preserve">BMIDIFPRE3121</t>
  </si>
  <si>
    <t xml:space="preserve">BMIDIFPRE3122</t>
  </si>
  <si>
    <t xml:space="preserve">BMIDIFPRE3123</t>
  </si>
  <si>
    <t xml:space="preserve">BMIDIFPRE3124</t>
  </si>
  <si>
    <t xml:space="preserve">BMIDIFPRE3125</t>
  </si>
  <si>
    <t xml:space="preserve">BMIDIFPRE3126</t>
  </si>
  <si>
    <t xml:space="preserve">BMIDIFPRE3127</t>
  </si>
  <si>
    <t xml:space="preserve">BMIDIFPRE3128</t>
  </si>
  <si>
    <t xml:space="preserve">BMIDIFPRE3129</t>
  </si>
  <si>
    <t xml:space="preserve">BMIDIFPRE3130</t>
  </si>
  <si>
    <t xml:space="preserve">BMIDIFPRE3131</t>
  </si>
  <si>
    <t xml:space="preserve">BMIDIFPRE3132</t>
  </si>
  <si>
    <t xml:space="preserve">BMIDIFREE1033</t>
  </si>
  <si>
    <t xml:space="preserve">BMIDIFREE1034</t>
  </si>
  <si>
    <t xml:space="preserve">BMIDIFREE1035</t>
  </si>
  <si>
    <t xml:space="preserve">BMIDIFREE1036</t>
  </si>
  <si>
    <t xml:space="preserve">BMIDIFSOL2082</t>
  </si>
  <si>
    <t xml:space="preserve">BMIDIFSOL2083</t>
  </si>
  <si>
    <t xml:space="preserve">BMIDIFSOL2084</t>
  </si>
  <si>
    <t xml:space="preserve">BMIDIFSOL2085</t>
  </si>
  <si>
    <t xml:space="preserve">BMIDIFSOL2086</t>
  </si>
  <si>
    <t xml:space="preserve">BMIDIFSOL2087</t>
  </si>
  <si>
    <t xml:space="preserve">BMIDIFSOL2088</t>
  </si>
  <si>
    <t xml:space="preserve">BMIDIFSOL2089</t>
  </si>
  <si>
    <t xml:space="preserve">BMIDIFSOL2090</t>
  </si>
  <si>
    <t xml:space="preserve">BMIDIFSOL2091</t>
  </si>
  <si>
    <t xml:space="preserve">BMIDIFAL3519</t>
  </si>
  <si>
    <t xml:space="preserve">CIF Indonesia (Diff)</t>
  </si>
  <si>
    <t xml:space="preserve">BMIDIFAL3541</t>
  </si>
  <si>
    <t xml:space="preserve">BMIDIFAL3563</t>
  </si>
  <si>
    <t xml:space="preserve">BMIDIFANO2563</t>
  </si>
  <si>
    <t xml:space="preserve">BMIDIFANO2564</t>
  </si>
  <si>
    <t xml:space="preserve">BMIDIFANO2565</t>
  </si>
  <si>
    <t xml:space="preserve">BMIDIFANO2566</t>
  </si>
  <si>
    <t xml:space="preserve">BMIDIFANO2567</t>
  </si>
  <si>
    <t xml:space="preserve">BMIDIFANO2568</t>
  </si>
  <si>
    <t xml:space="preserve">BMIDIFANO2569</t>
  </si>
  <si>
    <t xml:space="preserve">BMIDIFBAA2552</t>
  </si>
  <si>
    <t xml:space="preserve">BMIDIFBAA2553</t>
  </si>
  <si>
    <t xml:space="preserve">BMIDIFBAA2554</t>
  </si>
  <si>
    <t xml:space="preserve">BMIDIFBAA2555</t>
  </si>
  <si>
    <t xml:space="preserve">BMIDIFBAA2556</t>
  </si>
  <si>
    <t xml:space="preserve">BMIDIFBAA2557</t>
  </si>
  <si>
    <t xml:space="preserve">BMIDIFBAA2558</t>
  </si>
  <si>
    <t xml:space="preserve">BMIDIFBAA2559</t>
  </si>
  <si>
    <t xml:space="preserve">BMIDIFBAA2560</t>
  </si>
  <si>
    <t xml:space="preserve">BMIDIFBAA2561</t>
  </si>
  <si>
    <t xml:space="preserve">BMIDIFBAA2562</t>
  </si>
  <si>
    <t xml:space="preserve">BMIDIFCAT2544</t>
  </si>
  <si>
    <t xml:space="preserve">BMIDIFCAT2545</t>
  </si>
  <si>
    <t xml:space="preserve">BMIDIFCAT2546</t>
  </si>
  <si>
    <t xml:space="preserve">BMIDIFCAT2547</t>
  </si>
  <si>
    <t xml:space="preserve">BMIDIFCAT2548</t>
  </si>
  <si>
    <t xml:space="preserve">BMIDIFCAT2549</t>
  </si>
  <si>
    <t xml:space="preserve">BMIDIFCAT2550</t>
  </si>
  <si>
    <t xml:space="preserve">BMIDIFCAT2551</t>
  </si>
  <si>
    <t xml:space="preserve">BMIDIFCO3426</t>
  </si>
  <si>
    <t xml:space="preserve">BMIDIFCO3427</t>
  </si>
  <si>
    <t xml:space="preserve">BMIDIFCO3428</t>
  </si>
  <si>
    <t xml:space="preserve">BMIDIFCO3429</t>
  </si>
  <si>
    <t xml:space="preserve">BMIDIFCO3430</t>
  </si>
  <si>
    <t xml:space="preserve">BMIDIFCU3585</t>
  </si>
  <si>
    <t xml:space="preserve">BMIDIFCU3607</t>
  </si>
  <si>
    <t xml:space="preserve">BMIDIFELE2536</t>
  </si>
  <si>
    <t xml:space="preserve">BMIDIFELE2537</t>
  </si>
  <si>
    <t xml:space="preserve">BMIDIFELE2538</t>
  </si>
  <si>
    <t xml:space="preserve">BMIDIFELE2539</t>
  </si>
  <si>
    <t xml:space="preserve">BMIDIFELE2540</t>
  </si>
  <si>
    <t xml:space="preserve">BMIDIFELE2541</t>
  </si>
  <si>
    <t xml:space="preserve">BMIDIFELE2542</t>
  </si>
  <si>
    <t xml:space="preserve">BMIDIFELE2543</t>
  </si>
  <si>
    <t xml:space="preserve">BMIDIFGRA2519</t>
  </si>
  <si>
    <t xml:space="preserve">BMIDIFGRA2520</t>
  </si>
  <si>
    <t xml:space="preserve">BMIDIFGRA2521</t>
  </si>
  <si>
    <t xml:space="preserve">BMIDIFGRA2522</t>
  </si>
  <si>
    <t xml:space="preserve">BMIDIFGRA2523</t>
  </si>
  <si>
    <t xml:space="preserve">BMIDIFGRA2524</t>
  </si>
  <si>
    <t xml:space="preserve">BMIDIFGRA2525</t>
  </si>
  <si>
    <t xml:space="preserve">BMIDIFGRA2526</t>
  </si>
  <si>
    <t xml:space="preserve">BMIDIFGRA2527</t>
  </si>
  <si>
    <t xml:space="preserve">BMIDIFGRA2528</t>
  </si>
  <si>
    <t xml:space="preserve">BMIDIFGRA2529</t>
  </si>
  <si>
    <t xml:space="preserve">BMIDIFGRA2530</t>
  </si>
  <si>
    <t xml:space="preserve">BMIDIFGRA2531</t>
  </si>
  <si>
    <t xml:space="preserve">BMIDIFGRA2532</t>
  </si>
  <si>
    <t xml:space="preserve">BMIDIFGRA2533</t>
  </si>
  <si>
    <t xml:space="preserve">BMIDIFGRA2534</t>
  </si>
  <si>
    <t xml:space="preserve">BMIDIFGRA2535</t>
  </si>
  <si>
    <t xml:space="preserve">BMIDIFLI3133</t>
  </si>
  <si>
    <t xml:space="preserve">BMIDIFLI3134</t>
  </si>
  <si>
    <t xml:space="preserve">BMIDIFLI3135</t>
  </si>
  <si>
    <t xml:space="preserve">BMIDIFLI3136</t>
  </si>
  <si>
    <t xml:space="preserve">BMIDIFLI3137</t>
  </si>
  <si>
    <t xml:space="preserve">BMIDIFMN3424</t>
  </si>
  <si>
    <t xml:space="preserve">BMIDIFMN3425</t>
  </si>
  <si>
    <t xml:space="preserve">BMIDIFNI3421</t>
  </si>
  <si>
    <t xml:space="preserve">BMIDIFNI3422</t>
  </si>
  <si>
    <t xml:space="preserve">BMIDIFNI3423</t>
  </si>
  <si>
    <t xml:space="preserve">BMIDIFPRE3138</t>
  </si>
  <si>
    <t xml:space="preserve">BMIDIFPRE3139</t>
  </si>
  <si>
    <t xml:space="preserve">BMIDIFPRE3140</t>
  </si>
  <si>
    <t xml:space="preserve">BMIDIFPRE3141</t>
  </si>
  <si>
    <t xml:space="preserve">BMIDIFPRE3142</t>
  </si>
  <si>
    <t xml:space="preserve">BMIDIFPRE3143</t>
  </si>
  <si>
    <t xml:space="preserve">BMIDIFPRE3144</t>
  </si>
  <si>
    <t xml:space="preserve">BMIDIFPRE3145</t>
  </si>
  <si>
    <t xml:space="preserve">BMIDIFPRE3146</t>
  </si>
  <si>
    <t xml:space="preserve">BMIDIFPRE3147</t>
  </si>
  <si>
    <t xml:space="preserve">BMIDIFPRE3148</t>
  </si>
  <si>
    <t xml:space="preserve">BMIDIFPRE3149</t>
  </si>
  <si>
    <t xml:space="preserve">BMIDIFSOL2509</t>
  </si>
  <si>
    <t xml:space="preserve">BMIDIFSOL2510</t>
  </si>
  <si>
    <t xml:space="preserve">BMIDIFSOL2511</t>
  </si>
  <si>
    <t xml:space="preserve">BMIDIFSOL2512</t>
  </si>
  <si>
    <t xml:space="preserve">BMIDIFSOL2513</t>
  </si>
  <si>
    <t xml:space="preserve">BMIDIFSOL2514</t>
  </si>
  <si>
    <t xml:space="preserve">BMIDIFSOL2515</t>
  </si>
  <si>
    <t xml:space="preserve">BMIDIFSOL2516</t>
  </si>
  <si>
    <t xml:space="preserve">BMIDIFSOL2517</t>
  </si>
  <si>
    <t xml:space="preserve">BMIDIFSOL2518</t>
  </si>
  <si>
    <t xml:space="preserve">BMIDIFANO1221</t>
  </si>
  <si>
    <t xml:space="preserve">CIF Italy (Diff)</t>
  </si>
  <si>
    <t xml:space="preserve">BMIDIFANO1222</t>
  </si>
  <si>
    <t xml:space="preserve">BMIDIFANO1223</t>
  </si>
  <si>
    <t xml:space="preserve">BMIDIFANO1224</t>
  </si>
  <si>
    <t xml:space="preserve">BMIDIFANO1225</t>
  </si>
  <si>
    <t xml:space="preserve">BMIDIFANO1226</t>
  </si>
  <si>
    <t xml:space="preserve">BMIDIFANO1227</t>
  </si>
  <si>
    <t xml:space="preserve">BMIDIFBAA1210</t>
  </si>
  <si>
    <t xml:space="preserve">BMIDIFBAA1211</t>
  </si>
  <si>
    <t xml:space="preserve">BMIDIFBAA1212</t>
  </si>
  <si>
    <t xml:space="preserve">BMIDIFBAA1213</t>
  </si>
  <si>
    <t xml:space="preserve">BMIDIFBAA1214</t>
  </si>
  <si>
    <t xml:space="preserve">BMIDIFBAA1215</t>
  </si>
  <si>
    <t xml:space="preserve">BMIDIFBAA1216</t>
  </si>
  <si>
    <t xml:space="preserve">BMIDIFBAA1217</t>
  </si>
  <si>
    <t xml:space="preserve">BMIDIFBAA1218</t>
  </si>
  <si>
    <t xml:space="preserve">$277</t>
  </si>
  <si>
    <t xml:space="preserve">BMIDIFBAA1219</t>
  </si>
  <si>
    <t xml:space="preserve">BMIDIFBAA1220</t>
  </si>
  <si>
    <t xml:space="preserve">BMIDIFCAT1202</t>
  </si>
  <si>
    <t xml:space="preserve">BMIDIFCAT1203</t>
  </si>
  <si>
    <t xml:space="preserve">BMIDIFCAT1204</t>
  </si>
  <si>
    <t xml:space="preserve">$176</t>
  </si>
  <si>
    <t xml:space="preserve">BMIDIFCAT1205</t>
  </si>
  <si>
    <t xml:space="preserve">BMIDIFCAT1206</t>
  </si>
  <si>
    <t xml:space="preserve">BMIDIFCAT1207</t>
  </si>
  <si>
    <t xml:space="preserve">BMIDIFCAT1208</t>
  </si>
  <si>
    <t xml:space="preserve">BMIDIFCAT1209</t>
  </si>
  <si>
    <t xml:space="preserve">BMIDIFELE1194</t>
  </si>
  <si>
    <t xml:space="preserve">BMIDIFELE1195</t>
  </si>
  <si>
    <t xml:space="preserve">BMIDIFELE1196</t>
  </si>
  <si>
    <t xml:space="preserve">BMIDIFELE1197</t>
  </si>
  <si>
    <t xml:space="preserve">BMIDIFELE1198</t>
  </si>
  <si>
    <t xml:space="preserve">BMIDIFELE1199</t>
  </si>
  <si>
    <t xml:space="preserve">BMIDIFELE1200</t>
  </si>
  <si>
    <t xml:space="preserve">BMIDIFELE1201</t>
  </si>
  <si>
    <t xml:space="preserve">BMIDIFGRA1177</t>
  </si>
  <si>
    <t xml:space="preserve">BMIDIFGRA1178</t>
  </si>
  <si>
    <t xml:space="preserve">BMIDIFGRA1179</t>
  </si>
  <si>
    <t xml:space="preserve">BMIDIFGRA1180</t>
  </si>
  <si>
    <t xml:space="preserve">BMIDIFGRA1181</t>
  </si>
  <si>
    <t xml:space="preserve">BMIDIFGRA1182</t>
  </si>
  <si>
    <t xml:space="preserve">BMIDIFGRA1183</t>
  </si>
  <si>
    <t xml:space="preserve">BMIDIFGRA1184</t>
  </si>
  <si>
    <t xml:space="preserve">BMIDIFGRA1185</t>
  </si>
  <si>
    <t xml:space="preserve">BMIDIFGRA1186</t>
  </si>
  <si>
    <t xml:space="preserve">BMIDIFGRA1187</t>
  </si>
  <si>
    <t xml:space="preserve">BMIDIFGRA1188</t>
  </si>
  <si>
    <t xml:space="preserve">BMIDIFGRA1189</t>
  </si>
  <si>
    <t xml:space="preserve">BMIDIFGRA1190</t>
  </si>
  <si>
    <t xml:space="preserve">BMIDIFGRA1191</t>
  </si>
  <si>
    <t xml:space="preserve">BMIDIFGRA1192</t>
  </si>
  <si>
    <t xml:space="preserve">BMIDIFGRA1193</t>
  </si>
  <si>
    <t xml:space="preserve">BMIDIFREE1009</t>
  </si>
  <si>
    <t xml:space="preserve">BMIDIFREE1010</t>
  </si>
  <si>
    <t xml:space="preserve">BMIDIFREE1011</t>
  </si>
  <si>
    <t xml:space="preserve">BMIDIFREE1012</t>
  </si>
  <si>
    <t xml:space="preserve">BMIDIFSOL1167</t>
  </si>
  <si>
    <t xml:space="preserve">BMIDIFSOL1168</t>
  </si>
  <si>
    <t xml:space="preserve">BMIDIFSOL1169</t>
  </si>
  <si>
    <t xml:space="preserve">BMIDIFSOL1170</t>
  </si>
  <si>
    <t xml:space="preserve">BMIDIFSOL1171</t>
  </si>
  <si>
    <t xml:space="preserve">BMIDIFSOL1172</t>
  </si>
  <si>
    <t xml:space="preserve">BMIDIFSOL1173</t>
  </si>
  <si>
    <t xml:space="preserve">BMIDIFSOL1174</t>
  </si>
  <si>
    <t xml:space="preserve">BMIDIFSOL1175</t>
  </si>
  <si>
    <t xml:space="preserve">BMIDIFSOL1176</t>
  </si>
  <si>
    <t xml:space="preserve">BMIDIFAL3526</t>
  </si>
  <si>
    <t xml:space="preserve">CIF Japan (Diff)</t>
  </si>
  <si>
    <t xml:space="preserve">BMIDIFAL3548</t>
  </si>
  <si>
    <t xml:space="preserve">BMIDIFAL3570</t>
  </si>
  <si>
    <t xml:space="preserve">BMIDIFANO2380</t>
  </si>
  <si>
    <t xml:space="preserve">BMIDIFANO2381</t>
  </si>
  <si>
    <t xml:space="preserve">BMIDIFANO2382</t>
  </si>
  <si>
    <t xml:space="preserve">BMIDIFANO2383</t>
  </si>
  <si>
    <t xml:space="preserve">BMIDIFANO2384</t>
  </si>
  <si>
    <t xml:space="preserve">BMIDIFANO2385</t>
  </si>
  <si>
    <t xml:space="preserve">BMIDIFANO2386</t>
  </si>
  <si>
    <t xml:space="preserve">BMIDIFBAA2369</t>
  </si>
  <si>
    <t xml:space="preserve">BMIDIFBAA2370</t>
  </si>
  <si>
    <t xml:space="preserve">BMIDIFBAA2371</t>
  </si>
  <si>
    <t xml:space="preserve">BMIDIFBAA2372</t>
  </si>
  <si>
    <t xml:space="preserve">BMIDIFBAA2373</t>
  </si>
  <si>
    <t xml:space="preserve">BMIDIFBAA2374</t>
  </si>
  <si>
    <t xml:space="preserve">BMIDIFBAA2375</t>
  </si>
  <si>
    <t xml:space="preserve">BMIDIFBAA2376</t>
  </si>
  <si>
    <t xml:space="preserve">BMIDIFBAA2377</t>
  </si>
  <si>
    <t xml:space="preserve">BMIDIFBAA2378</t>
  </si>
  <si>
    <t xml:space="preserve">BMIDIFBAA2379</t>
  </si>
  <si>
    <t xml:space="preserve">BMIDIFCAT2361</t>
  </si>
  <si>
    <t xml:space="preserve">BMIDIFCAT2362</t>
  </si>
  <si>
    <t xml:space="preserve">BMIDIFCAT2363</t>
  </si>
  <si>
    <t xml:space="preserve">BMIDIFCAT2364</t>
  </si>
  <si>
    <t xml:space="preserve">BMIDIFCAT2365</t>
  </si>
  <si>
    <t xml:space="preserve">BMIDIFCAT2366</t>
  </si>
  <si>
    <t xml:space="preserve">BMIDIFCAT2367</t>
  </si>
  <si>
    <t xml:space="preserve">BMIDIFCAT2368</t>
  </si>
  <si>
    <t xml:space="preserve">BMIDIFCO3416</t>
  </si>
  <si>
    <t xml:space="preserve">BMIDIFCO3417</t>
  </si>
  <si>
    <t xml:space="preserve">BMIDIFCO3418</t>
  </si>
  <si>
    <t xml:space="preserve">BMIDIFCO3419</t>
  </si>
  <si>
    <t xml:space="preserve">BMIDIFCO3420</t>
  </si>
  <si>
    <t xml:space="preserve">BMIDIFCU3592</t>
  </si>
  <si>
    <t xml:space="preserve">BMIDIFCU3614</t>
  </si>
  <si>
    <t xml:space="preserve">BMIDIFELE2353</t>
  </si>
  <si>
    <t xml:space="preserve">BMIDIFELE2354</t>
  </si>
  <si>
    <t xml:space="preserve">BMIDIFELE2355</t>
  </si>
  <si>
    <t xml:space="preserve">BMIDIFELE2356</t>
  </si>
  <si>
    <t xml:space="preserve">BMIDIFELE2357</t>
  </si>
  <si>
    <t xml:space="preserve">BMIDIFELE2358</t>
  </si>
  <si>
    <t xml:space="preserve">BMIDIFELE2359</t>
  </si>
  <si>
    <t xml:space="preserve">BMIDIFELE2360</t>
  </si>
  <si>
    <t xml:space="preserve">BMIDIFGRA2336</t>
  </si>
  <si>
    <t xml:space="preserve">BMIDIFGRA2337</t>
  </si>
  <si>
    <t xml:space="preserve">BMIDIFGRA2338</t>
  </si>
  <si>
    <t xml:space="preserve">BMIDIFGRA2339</t>
  </si>
  <si>
    <t xml:space="preserve">BMIDIFGRA2340</t>
  </si>
  <si>
    <t xml:space="preserve">BMIDIFGRA2341</t>
  </si>
  <si>
    <t xml:space="preserve">BMIDIFGRA2342</t>
  </si>
  <si>
    <t xml:space="preserve">BMIDIFGRA2343</t>
  </si>
  <si>
    <t xml:space="preserve">BMIDIFGRA2344</t>
  </si>
  <si>
    <t xml:space="preserve">BMIDIFGRA2345</t>
  </si>
  <si>
    <t xml:space="preserve">BMIDIFGRA2346</t>
  </si>
  <si>
    <t xml:space="preserve">BMIDIFGRA2347</t>
  </si>
  <si>
    <t xml:space="preserve">BMIDIFGRA2348</t>
  </si>
  <si>
    <t xml:space="preserve">BMIDIFGRA2349</t>
  </si>
  <si>
    <t xml:space="preserve">BMIDIFGRA2350</t>
  </si>
  <si>
    <t xml:space="preserve">BMIDIFGRA2351</t>
  </si>
  <si>
    <t xml:space="preserve">BMIDIFGRA2352</t>
  </si>
  <si>
    <t xml:space="preserve">BMIDIFLI3252</t>
  </si>
  <si>
    <t xml:space="preserve">BMIDIFLI3253</t>
  </si>
  <si>
    <t xml:space="preserve">BMIDIFLI3254</t>
  </si>
  <si>
    <t xml:space="preserve">BMIDIFLI3255</t>
  </si>
  <si>
    <t xml:space="preserve">BMIDIFLI3256</t>
  </si>
  <si>
    <t xml:space="preserve">BMIDIFMN3414</t>
  </si>
  <si>
    <t xml:space="preserve">BMIDIFMN3415</t>
  </si>
  <si>
    <t xml:space="preserve">BMIDIFNI3411</t>
  </si>
  <si>
    <t xml:space="preserve">BMIDIFNI3412</t>
  </si>
  <si>
    <t xml:space="preserve">BMIDIFNI3413</t>
  </si>
  <si>
    <t xml:space="preserve">BMIDIFPRE3257</t>
  </si>
  <si>
    <t xml:space="preserve">BMIDIFPRE3258</t>
  </si>
  <si>
    <t xml:space="preserve">BMIDIFPRE3259</t>
  </si>
  <si>
    <t xml:space="preserve">BMIDIFPRE3260</t>
  </si>
  <si>
    <t xml:space="preserve">BMIDIFPRE3261</t>
  </si>
  <si>
    <t xml:space="preserve">BMIDIFPRE3262</t>
  </si>
  <si>
    <t xml:space="preserve">BMIDIFPRE3263</t>
  </si>
  <si>
    <t xml:space="preserve">BMIDIFPRE3264</t>
  </si>
  <si>
    <t xml:space="preserve">BMIDIFPRE3265</t>
  </si>
  <si>
    <t xml:space="preserve">BMIDIFPRE3266</t>
  </si>
  <si>
    <t xml:space="preserve">BMIDIFPRE3267</t>
  </si>
  <si>
    <t xml:space="preserve">BMIDIFPRE3268</t>
  </si>
  <si>
    <t xml:space="preserve">BMIDIFREE1021</t>
  </si>
  <si>
    <t xml:space="preserve">BMIDIFREE1022</t>
  </si>
  <si>
    <t xml:space="preserve">BMIDIFREE1023</t>
  </si>
  <si>
    <t xml:space="preserve">BMIDIFREE1024</t>
  </si>
  <si>
    <t xml:space="preserve">BMIDIFSOL2326</t>
  </si>
  <si>
    <t xml:space="preserve">BMIDIFSOL2327</t>
  </si>
  <si>
    <t xml:space="preserve">BMIDIFSOL2328</t>
  </si>
  <si>
    <t xml:space="preserve">BMIDIFSOL2329</t>
  </si>
  <si>
    <t xml:space="preserve">BMIDIFSOL2330</t>
  </si>
  <si>
    <t xml:space="preserve">BMIDIFSOL2331</t>
  </si>
  <si>
    <t xml:space="preserve">BMIDIFSOL2332</t>
  </si>
  <si>
    <t xml:space="preserve">BMIDIFSOL2333</t>
  </si>
  <si>
    <t xml:space="preserve">BMIDIFSOL2334</t>
  </si>
  <si>
    <t xml:space="preserve">BMIDIFSOL2335</t>
  </si>
  <si>
    <t xml:space="preserve">BMIDIFAL3512</t>
  </si>
  <si>
    <t xml:space="preserve">CIF Jordan (Diff)</t>
  </si>
  <si>
    <t xml:space="preserve">BMIDIFAL3534</t>
  </si>
  <si>
    <t xml:space="preserve">BMIDIFAL3556</t>
  </si>
  <si>
    <t xml:space="preserve">BMIDIFCU3578</t>
  </si>
  <si>
    <t xml:space="preserve">BMIDIFCU3600</t>
  </si>
  <si>
    <t xml:space="preserve">BMIDIFLI3014</t>
  </si>
  <si>
    <t xml:space="preserve">BMIDIFLI3015</t>
  </si>
  <si>
    <t xml:space="preserve">BMIDIFLI3016</t>
  </si>
  <si>
    <t xml:space="preserve">BMIDIFLI3017</t>
  </si>
  <si>
    <t xml:space="preserve">BMIDIFLI3018</t>
  </si>
  <si>
    <t xml:space="preserve">BMIDIFPRE3019</t>
  </si>
  <si>
    <t xml:space="preserve">BMIDIFPRE3020</t>
  </si>
  <si>
    <t xml:space="preserve">BMIDIFPRE3021</t>
  </si>
  <si>
    <t xml:space="preserve">BMIDIFPRE3022</t>
  </si>
  <si>
    <t xml:space="preserve">BMIDIFPRE3023</t>
  </si>
  <si>
    <t xml:space="preserve">BMIDIFPRE3024</t>
  </si>
  <si>
    <t xml:space="preserve">BMIDIFPRE3025</t>
  </si>
  <si>
    <t xml:space="preserve">BMIDIFPRE3026</t>
  </si>
  <si>
    <t xml:space="preserve">BMIDIFPRE3027</t>
  </si>
  <si>
    <t xml:space="preserve">BMIDIFPRE3028</t>
  </si>
  <si>
    <t xml:space="preserve">BMIDIFPRE3029</t>
  </si>
  <si>
    <t xml:space="preserve">BMIDIFPRE3030</t>
  </si>
  <si>
    <t xml:space="preserve">BMIDIFANO2441</t>
  </si>
  <si>
    <t xml:space="preserve">CIF Malaysia (Diff)</t>
  </si>
  <si>
    <t xml:space="preserve">BMIDIFANO2442</t>
  </si>
  <si>
    <t xml:space="preserve">BMIDIFANO2443</t>
  </si>
  <si>
    <t xml:space="preserve">BMIDIFANO2444</t>
  </si>
  <si>
    <t xml:space="preserve">BMIDIFANO2445</t>
  </si>
  <si>
    <t xml:space="preserve">BMIDIFANO2446</t>
  </si>
  <si>
    <t xml:space="preserve">BMIDIFANO2447</t>
  </si>
  <si>
    <t xml:space="preserve">BMIDIFBAA2430</t>
  </si>
  <si>
    <t xml:space="preserve">BMIDIFBAA2431</t>
  </si>
  <si>
    <t xml:space="preserve">BMIDIFBAA2432</t>
  </si>
  <si>
    <t xml:space="preserve">BMIDIFBAA2433</t>
  </si>
  <si>
    <t xml:space="preserve">BMIDIFBAA2434</t>
  </si>
  <si>
    <t xml:space="preserve">BMIDIFBAA2435</t>
  </si>
  <si>
    <t xml:space="preserve">BMIDIFBAA2436</t>
  </si>
  <si>
    <t xml:space="preserve">BMIDIFBAA2437</t>
  </si>
  <si>
    <t xml:space="preserve">BMIDIFBAA2438</t>
  </si>
  <si>
    <t xml:space="preserve">BMIDIFBAA2439</t>
  </si>
  <si>
    <t xml:space="preserve">BMIDIFBAA2440</t>
  </si>
  <si>
    <t xml:space="preserve">BMIDIFCAT2422</t>
  </si>
  <si>
    <t xml:space="preserve">BMIDIFCAT2423</t>
  </si>
  <si>
    <t xml:space="preserve">BMIDIFCAT2424</t>
  </si>
  <si>
    <t xml:space="preserve">BMIDIFCAT2425</t>
  </si>
  <si>
    <t xml:space="preserve">BMIDIFCAT2426</t>
  </si>
  <si>
    <t xml:space="preserve">BMIDIFCAT2427</t>
  </si>
  <si>
    <t xml:space="preserve">BMIDIFCAT2428</t>
  </si>
  <si>
    <t xml:space="preserve">BMIDIFCAT2429</t>
  </si>
  <si>
    <t xml:space="preserve">BMIDIFELE2414</t>
  </si>
  <si>
    <t xml:space="preserve">BMIDIFELE2415</t>
  </si>
  <si>
    <t xml:space="preserve">BMIDIFELE2416</t>
  </si>
  <si>
    <t xml:space="preserve">BMIDIFELE2417</t>
  </si>
  <si>
    <t xml:space="preserve">BMIDIFELE2418</t>
  </si>
  <si>
    <t xml:space="preserve">BMIDIFELE2419</t>
  </si>
  <si>
    <t xml:space="preserve">BMIDIFELE2420</t>
  </si>
  <si>
    <t xml:space="preserve">BMIDIFELE2421</t>
  </si>
  <si>
    <t xml:space="preserve">BMIDIFGRA2397</t>
  </si>
  <si>
    <t xml:space="preserve">BMIDIFGRA2398</t>
  </si>
  <si>
    <t xml:space="preserve">BMIDIFGRA2399</t>
  </si>
  <si>
    <t xml:space="preserve">BMIDIFGRA2400</t>
  </si>
  <si>
    <t xml:space="preserve">BMIDIFGRA2401</t>
  </si>
  <si>
    <t xml:space="preserve">BMIDIFGRA2402</t>
  </si>
  <si>
    <t xml:space="preserve">BMIDIFGRA2403</t>
  </si>
  <si>
    <t xml:space="preserve">BMIDIFGRA2404</t>
  </si>
  <si>
    <t xml:space="preserve">BMIDIFGRA2405</t>
  </si>
  <si>
    <t xml:space="preserve">BMIDIFGRA2406</t>
  </si>
  <si>
    <t xml:space="preserve">BMIDIFGRA2407</t>
  </si>
  <si>
    <t xml:space="preserve">BMIDIFGRA2408</t>
  </si>
  <si>
    <t xml:space="preserve">BMIDIFGRA2409</t>
  </si>
  <si>
    <t xml:space="preserve">BMIDIFGRA2410</t>
  </si>
  <si>
    <t xml:space="preserve">BMIDIFGRA2411</t>
  </si>
  <si>
    <t xml:space="preserve">BMIDIFGRA2412</t>
  </si>
  <si>
    <t xml:space="preserve">BMIDIFGRA2413</t>
  </si>
  <si>
    <t xml:space="preserve">BMIDIFSOL2387</t>
  </si>
  <si>
    <t xml:space="preserve">BMIDIFSOL2388</t>
  </si>
  <si>
    <t xml:space="preserve">BMIDIFSOL2389</t>
  </si>
  <si>
    <t xml:space="preserve">BMIDIFSOL2390</t>
  </si>
  <si>
    <t xml:space="preserve">BMIDIFSOL2391</t>
  </si>
  <si>
    <t xml:space="preserve">BMIDIFSOL2392</t>
  </si>
  <si>
    <t xml:space="preserve">BMIDIFSOL2393</t>
  </si>
  <si>
    <t xml:space="preserve">BMIDIFSOL2394</t>
  </si>
  <si>
    <t xml:space="preserve">BMIDIFSOL2395</t>
  </si>
  <si>
    <t xml:space="preserve">BMIDIFSOL2396</t>
  </si>
  <si>
    <t xml:space="preserve">BMIDIFAL3531</t>
  </si>
  <si>
    <t xml:space="preserve">CIF Morocco (Diff)</t>
  </si>
  <si>
    <t xml:space="preserve">BMIDIFAL3553</t>
  </si>
  <si>
    <t xml:space="preserve">BMIDIFAL3575</t>
  </si>
  <si>
    <t xml:space="preserve">BMIDIFANO1831</t>
  </si>
  <si>
    <t xml:space="preserve">BMIDIFANO1832</t>
  </si>
  <si>
    <t xml:space="preserve">BMIDIFANO1833</t>
  </si>
  <si>
    <t xml:space="preserve">BMIDIFANO1834</t>
  </si>
  <si>
    <t xml:space="preserve">BMIDIFANO1835</t>
  </si>
  <si>
    <t xml:space="preserve">BMIDIFANO1836</t>
  </si>
  <si>
    <t xml:space="preserve">BMIDIFANO1837</t>
  </si>
  <si>
    <t xml:space="preserve">BMIDIFBAA1820</t>
  </si>
  <si>
    <t xml:space="preserve">BMIDIFBAA1821</t>
  </si>
  <si>
    <t xml:space="preserve">BMIDIFBAA1822</t>
  </si>
  <si>
    <t xml:space="preserve">BMIDIFBAA1823</t>
  </si>
  <si>
    <t xml:space="preserve">BMIDIFBAA1824</t>
  </si>
  <si>
    <t xml:space="preserve">BMIDIFBAA1825</t>
  </si>
  <si>
    <t xml:space="preserve">BMIDIFBAA1826</t>
  </si>
  <si>
    <t xml:space="preserve">BMIDIFBAA1827</t>
  </si>
  <si>
    <t xml:space="preserve">BMIDIFBAA1828</t>
  </si>
  <si>
    <t xml:space="preserve">BMIDIFBAA1829</t>
  </si>
  <si>
    <t xml:space="preserve">BMIDIFBAA1830</t>
  </si>
  <si>
    <t xml:space="preserve">BMIDIFCAT1812</t>
  </si>
  <si>
    <t xml:space="preserve">BMIDIFCAT1813</t>
  </si>
  <si>
    <t xml:space="preserve">BMIDIFCAT1814</t>
  </si>
  <si>
    <t xml:space="preserve">BMIDIFCAT1815</t>
  </si>
  <si>
    <t xml:space="preserve">BMIDIFCAT1816</t>
  </si>
  <si>
    <t xml:space="preserve">BMIDIFCAT1817</t>
  </si>
  <si>
    <t xml:space="preserve">BMIDIFCAT1818</t>
  </si>
  <si>
    <t xml:space="preserve">BMIDIFCAT1819</t>
  </si>
  <si>
    <t xml:space="preserve">BMIDIFCO3406</t>
  </si>
  <si>
    <t xml:space="preserve">BMIDIFCO3407</t>
  </si>
  <si>
    <t xml:space="preserve">BMIDIFCO3408</t>
  </si>
  <si>
    <t xml:space="preserve">BMIDIFCO3409</t>
  </si>
  <si>
    <t xml:space="preserve">BMIDIFCO3410</t>
  </si>
  <si>
    <t xml:space="preserve">BMIDIFCU3597</t>
  </si>
  <si>
    <t xml:space="preserve">Foils, Copper (Battery Grade), 6μm, CIF Morocco (Diff)</t>
  </si>
  <si>
    <t xml:space="preserve">BMIDIFCU3619</t>
  </si>
  <si>
    <t xml:space="preserve">BMIDIFELE1804</t>
  </si>
  <si>
    <t xml:space="preserve">BMIDIFELE1805</t>
  </si>
  <si>
    <t xml:space="preserve">BMIDIFELE1806</t>
  </si>
  <si>
    <t xml:space="preserve">BMIDIFELE1807</t>
  </si>
  <si>
    <t xml:space="preserve">BMIDIFELE1808</t>
  </si>
  <si>
    <t xml:space="preserve">BMIDIFELE1809</t>
  </si>
  <si>
    <t xml:space="preserve">BMIDIFELE1810</t>
  </si>
  <si>
    <t xml:space="preserve">BMIDIFELE1811</t>
  </si>
  <si>
    <t xml:space="preserve">BMIDIFGRA1787</t>
  </si>
  <si>
    <t xml:space="preserve">BMIDIFGRA1788</t>
  </si>
  <si>
    <t xml:space="preserve">BMIDIFGRA1789</t>
  </si>
  <si>
    <t xml:space="preserve">BMIDIFGRA1790</t>
  </si>
  <si>
    <t xml:space="preserve">BMIDIFGRA1791</t>
  </si>
  <si>
    <t xml:space="preserve">BMIDIFGRA1792</t>
  </si>
  <si>
    <t xml:space="preserve">BMIDIFGRA1793</t>
  </si>
  <si>
    <t xml:space="preserve">BMIDIFGRA1794</t>
  </si>
  <si>
    <t xml:space="preserve">BMIDIFGRA1795</t>
  </si>
  <si>
    <t xml:space="preserve">BMIDIFGRA1796</t>
  </si>
  <si>
    <t xml:space="preserve">BMIDIFGRA1797</t>
  </si>
  <si>
    <t xml:space="preserve">BMIDIFGRA1798</t>
  </si>
  <si>
    <t xml:space="preserve">BMIDIFGRA1799</t>
  </si>
  <si>
    <t xml:space="preserve">BMIDIFGRA1800</t>
  </si>
  <si>
    <t xml:space="preserve">BMIDIFGRA1801</t>
  </si>
  <si>
    <t xml:space="preserve">BMIDIFGRA1802</t>
  </si>
  <si>
    <t xml:space="preserve">BMIDIFGRA1803</t>
  </si>
  <si>
    <t xml:space="preserve">BMIDIFLI3337</t>
  </si>
  <si>
    <t xml:space="preserve">BMIDIFLI3338</t>
  </si>
  <si>
    <t xml:space="preserve">BMIDIFLI3339</t>
  </si>
  <si>
    <t xml:space="preserve">Cathode, Lithium, Lithium Carbonate, CIF Morocco (Diff)</t>
  </si>
  <si>
    <t xml:space="preserve">BMIDIFLI3340</t>
  </si>
  <si>
    <t xml:space="preserve">Cathode, Lithium, Lithium Chloride, CIF Morocco (Diff)</t>
  </si>
  <si>
    <t xml:space="preserve">BMIDIFLI3341</t>
  </si>
  <si>
    <t xml:space="preserve">BMIDIFMN3404</t>
  </si>
  <si>
    <t xml:space="preserve">BMIDIFMN3405</t>
  </si>
  <si>
    <t xml:space="preserve">BMIDIFNI3401</t>
  </si>
  <si>
    <t xml:space="preserve">BMIDIFNI3402</t>
  </si>
  <si>
    <t xml:space="preserve">BMIDIFNI3403</t>
  </si>
  <si>
    <t xml:space="preserve">BMIDIFPRE3342</t>
  </si>
  <si>
    <t xml:space="preserve">Cathode, Precursor, Lithium Manganese Oxide, CIF Morocco (Diff)</t>
  </si>
  <si>
    <t xml:space="preserve">BMIDIFPRE3343</t>
  </si>
  <si>
    <t xml:space="preserve">Cathode, Precursor, Lithium Manganese Oxide, Low Energy Uses, CIF Morocco (Diff)</t>
  </si>
  <si>
    <t xml:space="preserve">BMIDIFPRE3344</t>
  </si>
  <si>
    <t xml:space="preserve">Cathode, Precursor, Lithium Manganese Oxide, High Energy Uses, CIF Morocco (Diff)</t>
  </si>
  <si>
    <t xml:space="preserve">BMIDIFPRE3345</t>
  </si>
  <si>
    <t xml:space="preserve">Cathode, Precursor, Ferrophosphate (Anhydrous), CIF Morocco (Diff)</t>
  </si>
  <si>
    <t xml:space="preserve">BMIDIFPRE3346</t>
  </si>
  <si>
    <t xml:space="preserve">Cathode, Precursor, Ferrophosphate (Dihydrate), CIF Morocco (Diff)</t>
  </si>
  <si>
    <t xml:space="preserve">BMIDIFPRE3347</t>
  </si>
  <si>
    <t xml:space="preserve">Cathode, Precursor, NCA , CIF Morocco (Diff)</t>
  </si>
  <si>
    <t xml:space="preserve">BMIDIFPRE3348</t>
  </si>
  <si>
    <t xml:space="preserve">Cathode, Precursor, NCM High Nickel, CIF Morocco (Diff)</t>
  </si>
  <si>
    <t xml:space="preserve">BMIDIFPRE3349</t>
  </si>
  <si>
    <t xml:space="preserve">Cathode, Precursor, NCM Mid Nickel, CIF Morocco (Diff)</t>
  </si>
  <si>
    <t xml:space="preserve">BMIDIFPRE3350</t>
  </si>
  <si>
    <t xml:space="preserve">Cathode, Precursor, NCM Low Nickel, CIF Morocco (Diff)</t>
  </si>
  <si>
    <t xml:space="preserve">BMIDIFPRE3351</t>
  </si>
  <si>
    <t xml:space="preserve">Cathode, Precursor, Cobalt Tetroxide , CIF Morocco (Diff)</t>
  </si>
  <si>
    <t xml:space="preserve">BMIDIFPRE3352</t>
  </si>
  <si>
    <t xml:space="preserve">Cathode, Precursor, Ferric Phosphate (Anhydrous), CIF Morocco (Diff)</t>
  </si>
  <si>
    <t xml:space="preserve">BMIDIFPRE3353</t>
  </si>
  <si>
    <t xml:space="preserve">Cathode, Precursor, Ferric Phosphate (Dihydrate), CIF Morocco (Diff)</t>
  </si>
  <si>
    <t xml:space="preserve">BMIDIFSOL1777</t>
  </si>
  <si>
    <t xml:space="preserve">BMIDIFSOL1778</t>
  </si>
  <si>
    <t xml:space="preserve">BMIDIFSOL1779</t>
  </si>
  <si>
    <t xml:space="preserve">BMIDIFSOL1780</t>
  </si>
  <si>
    <t xml:space="preserve">BMIDIFSOL1781</t>
  </si>
  <si>
    <t xml:space="preserve">BMIDIFSOL1782</t>
  </si>
  <si>
    <t xml:space="preserve">BMIDIFSOL1783</t>
  </si>
  <si>
    <t xml:space="preserve">BMIDIFSOL1784</t>
  </si>
  <si>
    <t xml:space="preserve">BMIDIFSOL1785</t>
  </si>
  <si>
    <t xml:space="preserve">BMIDIFSOL1786</t>
  </si>
  <si>
    <t xml:space="preserve">BMIDIFREE1041</t>
  </si>
  <si>
    <t xml:space="preserve">CIF North America</t>
  </si>
  <si>
    <t xml:space="preserve">BMIDIFANO1343</t>
  </si>
  <si>
    <t xml:space="preserve">CIF Norway (Diff)</t>
  </si>
  <si>
    <t xml:space="preserve">BMIDIFANO1344</t>
  </si>
  <si>
    <t xml:space="preserve">BMIDIFANO1345</t>
  </si>
  <si>
    <t xml:space="preserve">BMIDIFANO1346</t>
  </si>
  <si>
    <t xml:space="preserve">BMIDIFANO1347</t>
  </si>
  <si>
    <t xml:space="preserve">BMIDIFANO1348</t>
  </si>
  <si>
    <t xml:space="preserve">BMIDIFANO1349</t>
  </si>
  <si>
    <t xml:space="preserve">BMIDIFBAA1332</t>
  </si>
  <si>
    <t xml:space="preserve">BMIDIFBAA1333</t>
  </si>
  <si>
    <t xml:space="preserve">BMIDIFBAA1334</t>
  </si>
  <si>
    <t xml:space="preserve">BMIDIFBAA1335</t>
  </si>
  <si>
    <t xml:space="preserve">BMIDIFBAA1336</t>
  </si>
  <si>
    <t xml:space="preserve">BMIDIFBAA1337</t>
  </si>
  <si>
    <t xml:space="preserve">BMIDIFBAA1338</t>
  </si>
  <si>
    <t xml:space="preserve">BMIDIFBAA1339</t>
  </si>
  <si>
    <t xml:space="preserve">BMIDIFBAA1340</t>
  </si>
  <si>
    <t xml:space="preserve">BMIDIFBAA1341</t>
  </si>
  <si>
    <t xml:space="preserve">BMIDIFBAA1342</t>
  </si>
  <si>
    <t xml:space="preserve">BMIDIFCAT1324</t>
  </si>
  <si>
    <t xml:space="preserve">BMIDIFCAT1325</t>
  </si>
  <si>
    <t xml:space="preserve">BMIDIFCAT1326</t>
  </si>
  <si>
    <t xml:space="preserve">BMIDIFCAT1327</t>
  </si>
  <si>
    <t xml:space="preserve">BMIDIFCAT1328</t>
  </si>
  <si>
    <t xml:space="preserve">BMIDIFCAT1329</t>
  </si>
  <si>
    <t xml:space="preserve">BMIDIFCAT1330</t>
  </si>
  <si>
    <t xml:space="preserve">BMIDIFCAT1331</t>
  </si>
  <si>
    <t xml:space="preserve">BMIDIFELE1316</t>
  </si>
  <si>
    <t xml:space="preserve">BMIDIFELE1317</t>
  </si>
  <si>
    <t xml:space="preserve">BMIDIFELE1318</t>
  </si>
  <si>
    <t xml:space="preserve">BMIDIFELE1319</t>
  </si>
  <si>
    <t xml:space="preserve">BMIDIFELE1320</t>
  </si>
  <si>
    <t xml:space="preserve">BMIDIFELE1321</t>
  </si>
  <si>
    <t xml:space="preserve">BMIDIFELE1322</t>
  </si>
  <si>
    <t xml:space="preserve">BMIDIFELE1323</t>
  </si>
  <si>
    <t xml:space="preserve">BMIDIFGRA1299</t>
  </si>
  <si>
    <t xml:space="preserve">BMIDIFGRA1300</t>
  </si>
  <si>
    <t xml:space="preserve">BMIDIFGRA1301</t>
  </si>
  <si>
    <t xml:space="preserve">BMIDIFGRA1302</t>
  </si>
  <si>
    <t xml:space="preserve">BMIDIFGRA1303</t>
  </si>
  <si>
    <t xml:space="preserve">BMIDIFGRA1304</t>
  </si>
  <si>
    <t xml:space="preserve">BMIDIFGRA1305</t>
  </si>
  <si>
    <t xml:space="preserve">BMIDIFGRA1306</t>
  </si>
  <si>
    <t xml:space="preserve">BMIDIFGRA1307</t>
  </si>
  <si>
    <t xml:space="preserve">BMIDIFGRA1308</t>
  </si>
  <si>
    <t xml:space="preserve">BMIDIFGRA1309</t>
  </si>
  <si>
    <t xml:space="preserve">BMIDIFGRA1310</t>
  </si>
  <si>
    <t xml:space="preserve">BMIDIFGRA1311</t>
  </si>
  <si>
    <t xml:space="preserve">BMIDIFGRA1312</t>
  </si>
  <si>
    <t xml:space="preserve">BMIDIFGRA1313</t>
  </si>
  <si>
    <t xml:space="preserve">BMIDIFGRA1314</t>
  </si>
  <si>
    <t xml:space="preserve">BMIDIFGRA1315</t>
  </si>
  <si>
    <t xml:space="preserve">BMIDIFSOL1289</t>
  </si>
  <si>
    <t xml:space="preserve">BMIDIFSOL1290</t>
  </si>
  <si>
    <t xml:space="preserve">BMIDIFSOL1291</t>
  </si>
  <si>
    <t xml:space="preserve">BMIDIFSOL1292</t>
  </si>
  <si>
    <t xml:space="preserve">BMIDIFSOL1293</t>
  </si>
  <si>
    <t xml:space="preserve">BMIDIFSOL1294</t>
  </si>
  <si>
    <t xml:space="preserve">BMIDIFSOL1295</t>
  </si>
  <si>
    <t xml:space="preserve">BMIDIFSOL1296</t>
  </si>
  <si>
    <t xml:space="preserve">BMIDIFSOL1297</t>
  </si>
  <si>
    <t xml:space="preserve">BMIDIFSOL1298</t>
  </si>
  <si>
    <t xml:space="preserve">BMIDIFAL3522</t>
  </si>
  <si>
    <t xml:space="preserve">CIF Poland (Diff)</t>
  </si>
  <si>
    <t xml:space="preserve">BMIDIFAL3544</t>
  </si>
  <si>
    <t xml:space="preserve">BMIDIFAL3566</t>
  </si>
  <si>
    <t xml:space="preserve">BMIDIFANO2746</t>
  </si>
  <si>
    <t xml:space="preserve">BMIDIFANO2747</t>
  </si>
  <si>
    <t xml:space="preserve">BMIDIFANO2748</t>
  </si>
  <si>
    <t xml:space="preserve">BMIDIFANO2749</t>
  </si>
  <si>
    <t xml:space="preserve">BMIDIFANO2750</t>
  </si>
  <si>
    <t xml:space="preserve">BMIDIFANO2751</t>
  </si>
  <si>
    <t xml:space="preserve">BMIDIFANO2752</t>
  </si>
  <si>
    <t xml:space="preserve">BMIDIFBAA2735</t>
  </si>
  <si>
    <t xml:space="preserve">BMIDIFBAA2736</t>
  </si>
  <si>
    <t xml:space="preserve">BMIDIFBAA2737</t>
  </si>
  <si>
    <t xml:space="preserve">BMIDIFBAA2738</t>
  </si>
  <si>
    <t xml:space="preserve">BMIDIFBAA2739</t>
  </si>
  <si>
    <t xml:space="preserve">BMIDIFBAA2740</t>
  </si>
  <si>
    <t xml:space="preserve">BMIDIFBAA2741</t>
  </si>
  <si>
    <t xml:space="preserve">BMIDIFBAA2742</t>
  </si>
  <si>
    <t xml:space="preserve">BMIDIFBAA2743</t>
  </si>
  <si>
    <t xml:space="preserve">BMIDIFBAA2744</t>
  </si>
  <si>
    <t xml:space="preserve">BMIDIFBAA2745</t>
  </si>
  <si>
    <t xml:space="preserve">BMIDIFCAT2727</t>
  </si>
  <si>
    <t xml:space="preserve">BMIDIFCAT2728</t>
  </si>
  <si>
    <t xml:space="preserve">BMIDIFCAT2729</t>
  </si>
  <si>
    <t xml:space="preserve">BMIDIFCAT2730</t>
  </si>
  <si>
    <t xml:space="preserve">BMIDIFCAT2731</t>
  </si>
  <si>
    <t xml:space="preserve">BMIDIFCAT2732</t>
  </si>
  <si>
    <t xml:space="preserve">BMIDIFCAT2733</t>
  </si>
  <si>
    <t xml:space="preserve">BMIDIFCAT2734</t>
  </si>
  <si>
    <t xml:space="preserve">BMIDIFCO3396</t>
  </si>
  <si>
    <t xml:space="preserve">BMIDIFCO3397</t>
  </si>
  <si>
    <t xml:space="preserve">BMIDIFCO3398</t>
  </si>
  <si>
    <t xml:space="preserve">BMIDIFCO3399</t>
  </si>
  <si>
    <t xml:space="preserve">BMIDIFCO3400</t>
  </si>
  <si>
    <t xml:space="preserve">BMIDIFCU3588</t>
  </si>
  <si>
    <t xml:space="preserve">BMIDIFCU3610</t>
  </si>
  <si>
    <t xml:space="preserve">BMIDIFELE2719</t>
  </si>
  <si>
    <t xml:space="preserve">BMIDIFELE2720</t>
  </si>
  <si>
    <t xml:space="preserve">BMIDIFELE2721</t>
  </si>
  <si>
    <t xml:space="preserve">BMIDIFELE2722</t>
  </si>
  <si>
    <t xml:space="preserve">BMIDIFELE2723</t>
  </si>
  <si>
    <t xml:space="preserve">BMIDIFELE2724</t>
  </si>
  <si>
    <t xml:space="preserve">BMIDIFELE2725</t>
  </si>
  <si>
    <t xml:space="preserve">BMIDIFELE2726</t>
  </si>
  <si>
    <t xml:space="preserve">BMIDIFGRA2702</t>
  </si>
  <si>
    <t xml:space="preserve">BMIDIFGRA2703</t>
  </si>
  <si>
    <t xml:space="preserve">BMIDIFGRA2704</t>
  </si>
  <si>
    <t xml:space="preserve">BMIDIFGRA2705</t>
  </si>
  <si>
    <t xml:space="preserve">BMIDIFGRA2706</t>
  </si>
  <si>
    <t xml:space="preserve">BMIDIFGRA2707</t>
  </si>
  <si>
    <t xml:space="preserve">BMIDIFGRA2708</t>
  </si>
  <si>
    <t xml:space="preserve">BMIDIFGRA2709</t>
  </si>
  <si>
    <t xml:space="preserve">BMIDIFGRA2710</t>
  </si>
  <si>
    <t xml:space="preserve">BMIDIFGRA2711</t>
  </si>
  <si>
    <t xml:space="preserve">BMIDIFGRA2712</t>
  </si>
  <si>
    <t xml:space="preserve">BMIDIFGRA2713</t>
  </si>
  <si>
    <t xml:space="preserve">BMIDIFGRA2714</t>
  </si>
  <si>
    <t xml:space="preserve">BMIDIFGRA2715</t>
  </si>
  <si>
    <t xml:space="preserve">BMIDIFGRA2716</t>
  </si>
  <si>
    <t xml:space="preserve">BMIDIFGRA2717</t>
  </si>
  <si>
    <t xml:space="preserve">BMIDIFGRA2718</t>
  </si>
  <si>
    <t xml:space="preserve">BMIDIFLI3184</t>
  </si>
  <si>
    <t xml:space="preserve">BMIDIFLI3185</t>
  </si>
  <si>
    <t xml:space="preserve">BMIDIFLI3186</t>
  </si>
  <si>
    <t xml:space="preserve">BMIDIFLI3187</t>
  </si>
  <si>
    <t xml:space="preserve">BMIDIFLI3188</t>
  </si>
  <si>
    <t xml:space="preserve">BMIDIFMN3394</t>
  </si>
  <si>
    <t xml:space="preserve">BMIDIFMN3395</t>
  </si>
  <si>
    <t xml:space="preserve">BMIDIFNI3391</t>
  </si>
  <si>
    <t xml:space="preserve">BMIDIFNI3392</t>
  </si>
  <si>
    <t xml:space="preserve">BMIDIFNI3393</t>
  </si>
  <si>
    <t xml:space="preserve">BMIDIFPRE3189</t>
  </si>
  <si>
    <t xml:space="preserve">BMIDIFPRE3190</t>
  </si>
  <si>
    <t xml:space="preserve">BMIDIFPRE3191</t>
  </si>
  <si>
    <t xml:space="preserve">BMIDIFPRE3192</t>
  </si>
  <si>
    <t xml:space="preserve">BMIDIFPRE3193</t>
  </si>
  <si>
    <t xml:space="preserve">BMIDIFPRE3194</t>
  </si>
  <si>
    <t xml:space="preserve">BMIDIFPRE3195</t>
  </si>
  <si>
    <t xml:space="preserve">BMIDIFPRE3196</t>
  </si>
  <si>
    <t xml:space="preserve">BMIDIFPRE3197</t>
  </si>
  <si>
    <t xml:space="preserve">BMIDIFPRE3198</t>
  </si>
  <si>
    <t xml:space="preserve">BMIDIFPRE3199</t>
  </si>
  <si>
    <t xml:space="preserve">BMIDIFPRE3200</t>
  </si>
  <si>
    <t xml:space="preserve">BMIDIFSOL2692</t>
  </si>
  <si>
    <t xml:space="preserve">BMIDIFSOL2693</t>
  </si>
  <si>
    <t xml:space="preserve">BMIDIFSOL2694</t>
  </si>
  <si>
    <t xml:space="preserve">BMIDIFSOL2695</t>
  </si>
  <si>
    <t xml:space="preserve">BMIDIFSOL2696</t>
  </si>
  <si>
    <t xml:space="preserve">BMIDIFSOL2697</t>
  </si>
  <si>
    <t xml:space="preserve">BMIDIFSOL2698</t>
  </si>
  <si>
    <t xml:space="preserve">BMIDIFSOL2699</t>
  </si>
  <si>
    <t xml:space="preserve">BMIDIFSOL2700</t>
  </si>
  <si>
    <t xml:space="preserve">BMIDIFSOL2701</t>
  </si>
  <si>
    <t xml:space="preserve">BMIDIFANO2258</t>
  </si>
  <si>
    <t xml:space="preserve">CIF Portugal (Diff)</t>
  </si>
  <si>
    <t xml:space="preserve">BMIDIFANO2259</t>
  </si>
  <si>
    <t xml:space="preserve">BMIDIFANO2260</t>
  </si>
  <si>
    <t xml:space="preserve">BMIDIFANO2261</t>
  </si>
  <si>
    <t xml:space="preserve">BMIDIFANO2262</t>
  </si>
  <si>
    <t xml:space="preserve">BMIDIFANO2263</t>
  </si>
  <si>
    <t xml:space="preserve">BMIDIFANO2264</t>
  </si>
  <si>
    <t xml:space="preserve">BMIDIFBAA2247</t>
  </si>
  <si>
    <t xml:space="preserve">BMIDIFBAA2248</t>
  </si>
  <si>
    <t xml:space="preserve">BMIDIFBAA2249</t>
  </si>
  <si>
    <t xml:space="preserve">BMIDIFBAA2250</t>
  </si>
  <si>
    <t xml:space="preserve">BMIDIFBAA2251</t>
  </si>
  <si>
    <t xml:space="preserve">BMIDIFBAA2252</t>
  </si>
  <si>
    <t xml:space="preserve">BMIDIFBAA2253</t>
  </si>
  <si>
    <t xml:space="preserve">BMIDIFBAA2254</t>
  </si>
  <si>
    <t xml:space="preserve">BMIDIFBAA2255</t>
  </si>
  <si>
    <t xml:space="preserve">BMIDIFBAA2256</t>
  </si>
  <si>
    <t xml:space="preserve">BMIDIFBAA2257</t>
  </si>
  <si>
    <t xml:space="preserve">BMIDIFCAT2239</t>
  </si>
  <si>
    <t xml:space="preserve">BMIDIFCAT2240</t>
  </si>
  <si>
    <t xml:space="preserve">BMIDIFCAT2241</t>
  </si>
  <si>
    <t xml:space="preserve">BMIDIFCAT2242</t>
  </si>
  <si>
    <t xml:space="preserve">BMIDIFCAT2243</t>
  </si>
  <si>
    <t xml:space="preserve">BMIDIFCAT2244</t>
  </si>
  <si>
    <t xml:space="preserve">BMIDIFCAT2245</t>
  </si>
  <si>
    <t xml:space="preserve">BMIDIFCAT2246</t>
  </si>
  <si>
    <t xml:space="preserve">BMIDIFELE2231</t>
  </si>
  <si>
    <t xml:space="preserve">BMIDIFELE2232</t>
  </si>
  <si>
    <t xml:space="preserve">BMIDIFELE2233</t>
  </si>
  <si>
    <t xml:space="preserve">BMIDIFELE2234</t>
  </si>
  <si>
    <t xml:space="preserve">BMIDIFELE2235</t>
  </si>
  <si>
    <t xml:space="preserve">BMIDIFELE2236</t>
  </si>
  <si>
    <t xml:space="preserve">BMIDIFELE2237</t>
  </si>
  <si>
    <t xml:space="preserve">BMIDIFELE2238</t>
  </si>
  <si>
    <t xml:space="preserve">BMIDIFGRA2214</t>
  </si>
  <si>
    <t xml:space="preserve">BMIDIFGRA2215</t>
  </si>
  <si>
    <t xml:space="preserve">BMIDIFGRA2216</t>
  </si>
  <si>
    <t xml:space="preserve">BMIDIFGRA2217</t>
  </si>
  <si>
    <t xml:space="preserve">BMIDIFGRA2218</t>
  </si>
  <si>
    <t xml:space="preserve">BMIDIFGRA2219</t>
  </si>
  <si>
    <t xml:space="preserve">BMIDIFGRA2220</t>
  </si>
  <si>
    <t xml:space="preserve">BMIDIFGRA2221</t>
  </si>
  <si>
    <t xml:space="preserve">BMIDIFGRA2222</t>
  </si>
  <si>
    <t xml:space="preserve">BMIDIFGRA2223</t>
  </si>
  <si>
    <t xml:space="preserve">BMIDIFGRA2224</t>
  </si>
  <si>
    <t xml:space="preserve">BMIDIFGRA2225</t>
  </si>
  <si>
    <t xml:space="preserve">BMIDIFGRA2226</t>
  </si>
  <si>
    <t xml:space="preserve">BMIDIFGRA2227</t>
  </si>
  <si>
    <t xml:space="preserve">BMIDIFGRA2228</t>
  </si>
  <si>
    <t xml:space="preserve">BMIDIFGRA2229</t>
  </si>
  <si>
    <t xml:space="preserve">BMIDIFGRA2230</t>
  </si>
  <si>
    <t xml:space="preserve">BMIDIFSOL2204</t>
  </si>
  <si>
    <t xml:space="preserve">BMIDIFSOL2205</t>
  </si>
  <si>
    <t xml:space="preserve">BMIDIFSOL2206</t>
  </si>
  <si>
    <t xml:space="preserve">BMIDIFSOL2207</t>
  </si>
  <si>
    <t xml:space="preserve">BMIDIFSOL2208</t>
  </si>
  <si>
    <t xml:space="preserve">BMIDIFSOL2209</t>
  </si>
  <si>
    <t xml:space="preserve">BMIDIFSOL2210</t>
  </si>
  <si>
    <t xml:space="preserve">BMIDIFSOL2211</t>
  </si>
  <si>
    <t xml:space="preserve">BMIDIFSOL2212</t>
  </si>
  <si>
    <t xml:space="preserve">BMIDIFSOL2213</t>
  </si>
  <si>
    <t xml:space="preserve">BMIDIFANO1404</t>
  </si>
  <si>
    <t xml:space="preserve">CIF Russia (Diff)</t>
  </si>
  <si>
    <t xml:space="preserve">BMIDIFANO1405</t>
  </si>
  <si>
    <t xml:space="preserve">BMIDIFANO1406</t>
  </si>
  <si>
    <t xml:space="preserve">BMIDIFANO1407</t>
  </si>
  <si>
    <t xml:space="preserve">BMIDIFANO1408</t>
  </si>
  <si>
    <t xml:space="preserve">BMIDIFANO1409</t>
  </si>
  <si>
    <t xml:space="preserve">BMIDIFANO1410</t>
  </si>
  <si>
    <t xml:space="preserve">BMIDIFBAA1393</t>
  </si>
  <si>
    <t xml:space="preserve">BMIDIFBAA1394</t>
  </si>
  <si>
    <t xml:space="preserve">BMIDIFBAA1395</t>
  </si>
  <si>
    <t xml:space="preserve">BMIDIFBAA1396</t>
  </si>
  <si>
    <t xml:space="preserve">BMIDIFBAA1397</t>
  </si>
  <si>
    <t xml:space="preserve">BMIDIFBAA1398</t>
  </si>
  <si>
    <t xml:space="preserve">BMIDIFBAA1399</t>
  </si>
  <si>
    <t xml:space="preserve">BMIDIFBAA1400</t>
  </si>
  <si>
    <t xml:space="preserve">BMIDIFBAA1401</t>
  </si>
  <si>
    <t xml:space="preserve">BMIDIFBAA1402</t>
  </si>
  <si>
    <t xml:space="preserve">BMIDIFBAA1403</t>
  </si>
  <si>
    <t xml:space="preserve">BMIDIFCAT1385</t>
  </si>
  <si>
    <t xml:space="preserve">BMIDIFCAT1386</t>
  </si>
  <si>
    <t xml:space="preserve">BMIDIFCAT1387</t>
  </si>
  <si>
    <t xml:space="preserve">BMIDIFCAT1388</t>
  </si>
  <si>
    <t xml:space="preserve">BMIDIFCAT1389</t>
  </si>
  <si>
    <t xml:space="preserve">BMIDIFCAT1390</t>
  </si>
  <si>
    <t xml:space="preserve">BMIDIFCAT1391</t>
  </si>
  <si>
    <t xml:space="preserve">BMIDIFCAT1392</t>
  </si>
  <si>
    <t xml:space="preserve">BMIDIFELE1377</t>
  </si>
  <si>
    <t xml:space="preserve">BMIDIFELE1378</t>
  </si>
  <si>
    <t xml:space="preserve">BMIDIFELE1379</t>
  </si>
  <si>
    <t xml:space="preserve">BMIDIFELE1380</t>
  </si>
  <si>
    <t xml:space="preserve">BMIDIFELE1381</t>
  </si>
  <si>
    <t xml:space="preserve">BMIDIFELE1382</t>
  </si>
  <si>
    <t xml:space="preserve">BMIDIFELE1383</t>
  </si>
  <si>
    <t xml:space="preserve">BMIDIFELE1384</t>
  </si>
  <si>
    <t xml:space="preserve">BMIDIFGRA1360</t>
  </si>
  <si>
    <t xml:space="preserve">BMIDIFGRA1361</t>
  </si>
  <si>
    <t xml:space="preserve">BMIDIFGRA1362</t>
  </si>
  <si>
    <t xml:space="preserve">BMIDIFGRA1363</t>
  </si>
  <si>
    <t xml:space="preserve">BMIDIFGRA1364</t>
  </si>
  <si>
    <t xml:space="preserve">BMIDIFGRA1365</t>
  </si>
  <si>
    <t xml:space="preserve">BMIDIFGRA1366</t>
  </si>
  <si>
    <t xml:space="preserve">BMIDIFGRA1367</t>
  </si>
  <si>
    <t xml:space="preserve">BMIDIFGRA1368</t>
  </si>
  <si>
    <t xml:space="preserve">BMIDIFGRA1369</t>
  </si>
  <si>
    <t xml:space="preserve">BMIDIFGRA1370</t>
  </si>
  <si>
    <t xml:space="preserve">BMIDIFGRA1371</t>
  </si>
  <si>
    <t xml:space="preserve">BMIDIFGRA1372</t>
  </si>
  <si>
    <t xml:space="preserve">BMIDIFGRA1373</t>
  </si>
  <si>
    <t xml:space="preserve">BMIDIFGRA1374</t>
  </si>
  <si>
    <t xml:space="preserve">BMIDIFGRA1375</t>
  </si>
  <si>
    <t xml:space="preserve">BMIDIFGRA1376</t>
  </si>
  <si>
    <t xml:space="preserve">BMIDIFSOL1350</t>
  </si>
  <si>
    <t xml:space="preserve">BMIDIFSOL1351</t>
  </si>
  <si>
    <t xml:space="preserve">BMIDIFSOL1352</t>
  </si>
  <si>
    <t xml:space="preserve">BMIDIFSOL1353</t>
  </si>
  <si>
    <t xml:space="preserve">BMIDIFSOL1354</t>
  </si>
  <si>
    <t xml:space="preserve">BMIDIFSOL1355</t>
  </si>
  <si>
    <t xml:space="preserve">BMIDIFSOL1356</t>
  </si>
  <si>
    <t xml:space="preserve">BMIDIFSOL1357</t>
  </si>
  <si>
    <t xml:space="preserve">BMIDIFSOL1358</t>
  </si>
  <si>
    <t xml:space="preserve">BMIDIFSOL1359</t>
  </si>
  <si>
    <t xml:space="preserve">BMIDIFANO1526</t>
  </si>
  <si>
    <t xml:space="preserve">CIF Serbia (Diff)</t>
  </si>
  <si>
    <t xml:space="preserve">BMIDIFANO1527</t>
  </si>
  <si>
    <t xml:space="preserve">BMIDIFANO1528</t>
  </si>
  <si>
    <t xml:space="preserve">BMIDIFANO1529</t>
  </si>
  <si>
    <t xml:space="preserve">BMIDIFANO1530</t>
  </si>
  <si>
    <t xml:space="preserve">BMIDIFANO1531</t>
  </si>
  <si>
    <t xml:space="preserve">BMIDIFANO1532</t>
  </si>
  <si>
    <t xml:space="preserve">BMIDIFBAA1515</t>
  </si>
  <si>
    <t xml:space="preserve">BMIDIFBAA1516</t>
  </si>
  <si>
    <t xml:space="preserve">BMIDIFBAA1517</t>
  </si>
  <si>
    <t xml:space="preserve">BMIDIFBAA1518</t>
  </si>
  <si>
    <t xml:space="preserve">BMIDIFBAA1519</t>
  </si>
  <si>
    <t xml:space="preserve">BMIDIFBAA1520</t>
  </si>
  <si>
    <t xml:space="preserve">BMIDIFBAA1521</t>
  </si>
  <si>
    <t xml:space="preserve">BMIDIFBAA1522</t>
  </si>
  <si>
    <t xml:space="preserve">BMIDIFBAA1523</t>
  </si>
  <si>
    <t xml:space="preserve">BMIDIFBAA1524</t>
  </si>
  <si>
    <t xml:space="preserve">BMIDIFBAA1525</t>
  </si>
  <si>
    <t xml:space="preserve">BMIDIFCAT1507</t>
  </si>
  <si>
    <t xml:space="preserve">BMIDIFCAT1508</t>
  </si>
  <si>
    <t xml:space="preserve">BMIDIFCAT1509</t>
  </si>
  <si>
    <t xml:space="preserve">BMIDIFCAT1510</t>
  </si>
  <si>
    <t xml:space="preserve">BMIDIFCAT1511</t>
  </si>
  <si>
    <t xml:space="preserve">BMIDIFCAT1512</t>
  </si>
  <si>
    <t xml:space="preserve">BMIDIFCAT1513</t>
  </si>
  <si>
    <t xml:space="preserve">BMIDIFCAT1514</t>
  </si>
  <si>
    <t xml:space="preserve">BMIDIFELE1499</t>
  </si>
  <si>
    <t xml:space="preserve">BMIDIFELE1500</t>
  </si>
  <si>
    <t xml:space="preserve">BMIDIFELE1501</t>
  </si>
  <si>
    <t xml:space="preserve">BMIDIFELE1502</t>
  </si>
  <si>
    <t xml:space="preserve">BMIDIFELE1503</t>
  </si>
  <si>
    <t xml:space="preserve">BMIDIFELE1504</t>
  </si>
  <si>
    <t xml:space="preserve">BMIDIFELE1505</t>
  </si>
  <si>
    <t xml:space="preserve">BMIDIFELE1506</t>
  </si>
  <si>
    <t xml:space="preserve">BMIDIFGRA1482</t>
  </si>
  <si>
    <t xml:space="preserve">BMIDIFGRA1483</t>
  </si>
  <si>
    <t xml:space="preserve">BMIDIFGRA1484</t>
  </si>
  <si>
    <t xml:space="preserve">BMIDIFGRA1485</t>
  </si>
  <si>
    <t xml:space="preserve">BMIDIFGRA1486</t>
  </si>
  <si>
    <t xml:space="preserve">BMIDIFGRA1487</t>
  </si>
  <si>
    <t xml:space="preserve">BMIDIFGRA1488</t>
  </si>
  <si>
    <t xml:space="preserve">BMIDIFGRA1489</t>
  </si>
  <si>
    <t xml:space="preserve">BMIDIFGRA1490</t>
  </si>
  <si>
    <t xml:space="preserve">BMIDIFGRA1491</t>
  </si>
  <si>
    <t xml:space="preserve">BMIDIFGRA1492</t>
  </si>
  <si>
    <t xml:space="preserve">BMIDIFGRA1493</t>
  </si>
  <si>
    <t xml:space="preserve">BMIDIFGRA1494</t>
  </si>
  <si>
    <t xml:space="preserve">BMIDIFGRA1495</t>
  </si>
  <si>
    <t xml:space="preserve">BMIDIFGRA1496</t>
  </si>
  <si>
    <t xml:space="preserve">BMIDIFGRA1497</t>
  </si>
  <si>
    <t xml:space="preserve">BMIDIFGRA1498</t>
  </si>
  <si>
    <t xml:space="preserve">BMIDIFSOL1472</t>
  </si>
  <si>
    <t xml:space="preserve">BMIDIFSOL1473</t>
  </si>
  <si>
    <t xml:space="preserve">BMIDIFSOL1474</t>
  </si>
  <si>
    <t xml:space="preserve">BMIDIFSOL1475</t>
  </si>
  <si>
    <t xml:space="preserve">BMIDIFSOL1476</t>
  </si>
  <si>
    <t xml:space="preserve">BMIDIFSOL1477</t>
  </si>
  <si>
    <t xml:space="preserve">BMIDIFSOL1478</t>
  </si>
  <si>
    <t xml:space="preserve">BMIDIFSOL1479</t>
  </si>
  <si>
    <t xml:space="preserve">BMIDIFSOL1480</t>
  </si>
  <si>
    <t xml:space="preserve">BMIDIFSOL1481</t>
  </si>
  <si>
    <t xml:space="preserve">BMIDIFANO1770</t>
  </si>
  <si>
    <t xml:space="preserve">CIF Singapore (Diff)</t>
  </si>
  <si>
    <t xml:space="preserve">BMIDIFANO1771</t>
  </si>
  <si>
    <t xml:space="preserve">BMIDIFANO1772</t>
  </si>
  <si>
    <t xml:space="preserve">BMIDIFANO1773</t>
  </si>
  <si>
    <t xml:space="preserve">BMIDIFANO1774</t>
  </si>
  <si>
    <t xml:space="preserve">BMIDIFANO1775</t>
  </si>
  <si>
    <t xml:space="preserve">BMIDIFANO1776</t>
  </si>
  <si>
    <t xml:space="preserve">BMIDIFBAA1759</t>
  </si>
  <si>
    <t xml:space="preserve">BMIDIFBAA1760</t>
  </si>
  <si>
    <t xml:space="preserve">BMIDIFBAA1761</t>
  </si>
  <si>
    <t xml:space="preserve">BMIDIFBAA1762</t>
  </si>
  <si>
    <t xml:space="preserve">BMIDIFBAA1763</t>
  </si>
  <si>
    <t xml:space="preserve">BMIDIFBAA1764</t>
  </si>
  <si>
    <t xml:space="preserve">BMIDIFBAA1765</t>
  </si>
  <si>
    <t xml:space="preserve">BMIDIFBAA1766</t>
  </si>
  <si>
    <t xml:space="preserve">BMIDIFBAA1767</t>
  </si>
  <si>
    <t xml:space="preserve">BMIDIFBAA1768</t>
  </si>
  <si>
    <t xml:space="preserve">BMIDIFBAA1769</t>
  </si>
  <si>
    <t xml:space="preserve">BMIDIFCAT1751</t>
  </si>
  <si>
    <t xml:space="preserve">BMIDIFCAT1752</t>
  </si>
  <si>
    <t xml:space="preserve">BMIDIFCAT1753</t>
  </si>
  <si>
    <t xml:space="preserve">BMIDIFCAT1754</t>
  </si>
  <si>
    <t xml:space="preserve">BMIDIFCAT1755</t>
  </si>
  <si>
    <t xml:space="preserve">BMIDIFCAT1756</t>
  </si>
  <si>
    <t xml:space="preserve">BMIDIFCAT1757</t>
  </si>
  <si>
    <t xml:space="preserve">BMIDIFCAT1758</t>
  </si>
  <si>
    <t xml:space="preserve">BMIDIFELE1743</t>
  </si>
  <si>
    <t xml:space="preserve">BMIDIFELE1744</t>
  </si>
  <si>
    <t xml:space="preserve">BMIDIFELE1745</t>
  </si>
  <si>
    <t xml:space="preserve">BMIDIFELE1746</t>
  </si>
  <si>
    <t xml:space="preserve">BMIDIFELE1747</t>
  </si>
  <si>
    <t xml:space="preserve">BMIDIFELE1748</t>
  </si>
  <si>
    <t xml:space="preserve">BMIDIFELE1749</t>
  </si>
  <si>
    <t xml:space="preserve">BMIDIFELE1750</t>
  </si>
  <si>
    <t xml:space="preserve">BMIDIFGRA1726</t>
  </si>
  <si>
    <t xml:space="preserve">BMIDIFGRA1727</t>
  </si>
  <si>
    <t xml:space="preserve">BMIDIFGRA1728</t>
  </si>
  <si>
    <t xml:space="preserve">BMIDIFGRA1729</t>
  </si>
  <si>
    <t xml:space="preserve">BMIDIFGRA1730</t>
  </si>
  <si>
    <t xml:space="preserve">BMIDIFGRA1731</t>
  </si>
  <si>
    <t xml:space="preserve">BMIDIFGRA1732</t>
  </si>
  <si>
    <t xml:space="preserve">BMIDIFGRA1733</t>
  </si>
  <si>
    <t xml:space="preserve">BMIDIFGRA1734</t>
  </si>
  <si>
    <t xml:space="preserve">BMIDIFGRA1735</t>
  </si>
  <si>
    <t xml:space="preserve">BMIDIFGRA1736</t>
  </si>
  <si>
    <t xml:space="preserve">BMIDIFGRA1737</t>
  </si>
  <si>
    <t xml:space="preserve">BMIDIFGRA1738</t>
  </si>
  <si>
    <t xml:space="preserve">BMIDIFGRA1739</t>
  </si>
  <si>
    <t xml:space="preserve">BMIDIFGRA1740</t>
  </si>
  <si>
    <t xml:space="preserve">BMIDIFGRA1741</t>
  </si>
  <si>
    <t xml:space="preserve">BMIDIFGRA1742</t>
  </si>
  <si>
    <t xml:space="preserve">BMIDIFSOL1716</t>
  </si>
  <si>
    <t xml:space="preserve">BMIDIFSOL1717</t>
  </si>
  <si>
    <t xml:space="preserve">BMIDIFSOL1718</t>
  </si>
  <si>
    <t xml:space="preserve">BMIDIFSOL1719</t>
  </si>
  <si>
    <t xml:space="preserve">BMIDIFSOL1720</t>
  </si>
  <si>
    <t xml:space="preserve">BMIDIFSOL1721</t>
  </si>
  <si>
    <t xml:space="preserve">BMIDIFSOL1722</t>
  </si>
  <si>
    <t xml:space="preserve">BMIDIFSOL1723</t>
  </si>
  <si>
    <t xml:space="preserve">BMIDIFSOL1724</t>
  </si>
  <si>
    <t xml:space="preserve">BMIDIFSOL1725</t>
  </si>
  <si>
    <t xml:space="preserve">BMIDIFANO1892</t>
  </si>
  <si>
    <t xml:space="preserve">CIF Slovakia (Diff)</t>
  </si>
  <si>
    <t xml:space="preserve">BMIDIFANO1893</t>
  </si>
  <si>
    <t xml:space="preserve">BMIDIFANO1894</t>
  </si>
  <si>
    <t xml:space="preserve">BMIDIFANO1895</t>
  </si>
  <si>
    <t xml:space="preserve">BMIDIFANO1896</t>
  </si>
  <si>
    <t xml:space="preserve">BMIDIFANO1897</t>
  </si>
  <si>
    <t xml:space="preserve">BMIDIFANO1898</t>
  </si>
  <si>
    <t xml:space="preserve">BMIDIFBAA1881</t>
  </si>
  <si>
    <t xml:space="preserve">BMIDIFBAA1882</t>
  </si>
  <si>
    <t xml:space="preserve">BMIDIFBAA1883</t>
  </si>
  <si>
    <t xml:space="preserve">BMIDIFBAA1884</t>
  </si>
  <si>
    <t xml:space="preserve">BMIDIFBAA1885</t>
  </si>
  <si>
    <t xml:space="preserve">BMIDIFBAA1886</t>
  </si>
  <si>
    <t xml:space="preserve">BMIDIFBAA1887</t>
  </si>
  <si>
    <t xml:space="preserve">BMIDIFBAA1888</t>
  </si>
  <si>
    <t xml:space="preserve">BMIDIFBAA1889</t>
  </si>
  <si>
    <t xml:space="preserve">BMIDIFBAA1890</t>
  </si>
  <si>
    <t xml:space="preserve">BMIDIFBAA1891</t>
  </si>
  <si>
    <t xml:space="preserve">BMIDIFCAT1873</t>
  </si>
  <si>
    <t xml:space="preserve">BMIDIFCAT1874</t>
  </si>
  <si>
    <t xml:space="preserve">BMIDIFCAT1875</t>
  </si>
  <si>
    <t xml:space="preserve">BMIDIFCAT1876</t>
  </si>
  <si>
    <t xml:space="preserve">BMIDIFCAT1877</t>
  </si>
  <si>
    <t xml:space="preserve">BMIDIFCAT1878</t>
  </si>
  <si>
    <t xml:space="preserve">BMIDIFCAT1879</t>
  </si>
  <si>
    <t xml:space="preserve">BMIDIFCAT1880</t>
  </si>
  <si>
    <t xml:space="preserve">BMIDIFELE1865</t>
  </si>
  <si>
    <t xml:space="preserve">BMIDIFELE1866</t>
  </si>
  <si>
    <t xml:space="preserve">BMIDIFELE1867</t>
  </si>
  <si>
    <t xml:space="preserve">BMIDIFELE1868</t>
  </si>
  <si>
    <t xml:space="preserve">BMIDIFELE1869</t>
  </si>
  <si>
    <t xml:space="preserve">BMIDIFELE1870</t>
  </si>
  <si>
    <t xml:space="preserve">BMIDIFELE1871</t>
  </si>
  <si>
    <t xml:space="preserve">BMIDIFELE1872</t>
  </si>
  <si>
    <t xml:space="preserve">BMIDIFGRA1848</t>
  </si>
  <si>
    <t xml:space="preserve">BMIDIFGRA1849</t>
  </si>
  <si>
    <t xml:space="preserve">BMIDIFGRA1850</t>
  </si>
  <si>
    <t xml:space="preserve">BMIDIFGRA1851</t>
  </si>
  <si>
    <t xml:space="preserve">BMIDIFGRA1852</t>
  </si>
  <si>
    <t xml:space="preserve">BMIDIFGRA1853</t>
  </si>
  <si>
    <t xml:space="preserve">BMIDIFGRA1854</t>
  </si>
  <si>
    <t xml:space="preserve">BMIDIFGRA1855</t>
  </si>
  <si>
    <t xml:space="preserve">BMIDIFGRA1856</t>
  </si>
  <si>
    <t xml:space="preserve">BMIDIFGRA1857</t>
  </si>
  <si>
    <t xml:space="preserve">BMIDIFGRA1858</t>
  </si>
  <si>
    <t xml:space="preserve">BMIDIFGRA1859</t>
  </si>
  <si>
    <t xml:space="preserve">BMIDIFGRA1860</t>
  </si>
  <si>
    <t xml:space="preserve">BMIDIFGRA1861</t>
  </si>
  <si>
    <t xml:space="preserve">BMIDIFGRA1862</t>
  </si>
  <si>
    <t xml:space="preserve">BMIDIFGRA1863</t>
  </si>
  <si>
    <t xml:space="preserve">BMIDIFGRA1864</t>
  </si>
  <si>
    <t xml:space="preserve">BMIDIFSOL1838</t>
  </si>
  <si>
    <t xml:space="preserve">BMIDIFSOL1839</t>
  </si>
  <si>
    <t xml:space="preserve">BMIDIFSOL1840</t>
  </si>
  <si>
    <t xml:space="preserve">BMIDIFSOL1841</t>
  </si>
  <si>
    <t xml:space="preserve">BMIDIFSOL1842</t>
  </si>
  <si>
    <t xml:space="preserve">BMIDIFSOL1843</t>
  </si>
  <si>
    <t xml:space="preserve">BMIDIFSOL1844</t>
  </si>
  <si>
    <t xml:space="preserve">BMIDIFSOL1845</t>
  </si>
  <si>
    <t xml:space="preserve">BMIDIFSOL1846</t>
  </si>
  <si>
    <t xml:space="preserve">BMIDIFSOL1847</t>
  </si>
  <si>
    <t xml:space="preserve">BMIDIFREE1029</t>
  </si>
  <si>
    <t xml:space="preserve">CIF South Africa (Diff)</t>
  </si>
  <si>
    <t xml:space="preserve">BMIDIFREE1030</t>
  </si>
  <si>
    <t xml:space="preserve">BMIDIFREE1031</t>
  </si>
  <si>
    <t xml:space="preserve">BMIDIFREE1032</t>
  </si>
  <si>
    <t xml:space="preserve">BMIDIFAL3528</t>
  </si>
  <si>
    <t xml:space="preserve">CIF South Korea (Diff)</t>
  </si>
  <si>
    <t xml:space="preserve">Foils, Aluminium (Battery Grade), 8μm, CIF South Korea (Diff)</t>
  </si>
  <si>
    <t xml:space="preserve">BMIDIFAL3550</t>
  </si>
  <si>
    <t xml:space="preserve">BMIDIFAL3572</t>
  </si>
  <si>
    <t xml:space="preserve">BMIDIFANO2685</t>
  </si>
  <si>
    <t xml:space="preserve">BMIDIFANO2686</t>
  </si>
  <si>
    <t xml:space="preserve">BMIDIFANO2687</t>
  </si>
  <si>
    <t xml:space="preserve">BMIDIFANO2688</t>
  </si>
  <si>
    <t xml:space="preserve">BMIDIFANO2689</t>
  </si>
  <si>
    <t xml:space="preserve">BMIDIFANO2690</t>
  </si>
  <si>
    <t xml:space="preserve">BMIDIFANO2691</t>
  </si>
  <si>
    <t xml:space="preserve">BMIDIFBAA2674</t>
  </si>
  <si>
    <t xml:space="preserve">BMIDIFBAA2675</t>
  </si>
  <si>
    <t xml:space="preserve">BMIDIFBAA2676</t>
  </si>
  <si>
    <t xml:space="preserve">BMIDIFBAA2677</t>
  </si>
  <si>
    <t xml:space="preserve">BMIDIFBAA2678</t>
  </si>
  <si>
    <t xml:space="preserve">BMIDIFBAA2679</t>
  </si>
  <si>
    <t xml:space="preserve">BMIDIFBAA2680</t>
  </si>
  <si>
    <t xml:space="preserve">BMIDIFBAA2681</t>
  </si>
  <si>
    <t xml:space="preserve">BMIDIFBAA2682</t>
  </si>
  <si>
    <t xml:space="preserve">BMIDIFBAA2683</t>
  </si>
  <si>
    <t xml:space="preserve">BMIDIFBAA2684</t>
  </si>
  <si>
    <t xml:space="preserve">BMIDIFCAT2666</t>
  </si>
  <si>
    <t xml:space="preserve">BMIDIFCAT2667</t>
  </si>
  <si>
    <t xml:space="preserve">BMIDIFCAT2668</t>
  </si>
  <si>
    <t xml:space="preserve">BMIDIFCAT2669</t>
  </si>
  <si>
    <t xml:space="preserve">BMIDIFCAT2670</t>
  </si>
  <si>
    <t xml:space="preserve">BMIDIFCAT2671</t>
  </si>
  <si>
    <t xml:space="preserve">BMIDIFCAT2672</t>
  </si>
  <si>
    <t xml:space="preserve">BMIDIFCAT2673</t>
  </si>
  <si>
    <t xml:space="preserve">BMIDIFCO3386</t>
  </si>
  <si>
    <t xml:space="preserve">BMIDIFCO3387</t>
  </si>
  <si>
    <t xml:space="preserve">BMIDIFCO3388</t>
  </si>
  <si>
    <t xml:space="preserve">BMIDIFCO3389</t>
  </si>
  <si>
    <t xml:space="preserve">BMIDIFCO3390</t>
  </si>
  <si>
    <t xml:space="preserve">BMIDIFCU3594</t>
  </si>
  <si>
    <t xml:space="preserve">BMIDIFCU3616</t>
  </si>
  <si>
    <t xml:space="preserve">BMIDIFELE2658</t>
  </si>
  <si>
    <t xml:space="preserve">BMIDIFELE2659</t>
  </si>
  <si>
    <t xml:space="preserve">BMIDIFELE2660</t>
  </si>
  <si>
    <t xml:space="preserve">BMIDIFELE2661</t>
  </si>
  <si>
    <t xml:space="preserve">BMIDIFELE2662</t>
  </si>
  <si>
    <t xml:space="preserve">BMIDIFELE2663</t>
  </si>
  <si>
    <t xml:space="preserve">BMIDIFELE2664</t>
  </si>
  <si>
    <t xml:space="preserve">BMIDIFELE2665</t>
  </si>
  <si>
    <t xml:space="preserve">BMIDIFGRA2641</t>
  </si>
  <si>
    <t xml:space="preserve">BMIDIFGRA2642</t>
  </si>
  <si>
    <t xml:space="preserve">BMIDIFGRA2643</t>
  </si>
  <si>
    <t xml:space="preserve">BMIDIFGRA2644</t>
  </si>
  <si>
    <t xml:space="preserve">BMIDIFGRA2645</t>
  </si>
  <si>
    <t xml:space="preserve">BMIDIFGRA2646</t>
  </si>
  <si>
    <t xml:space="preserve">BMIDIFGRA2647</t>
  </si>
  <si>
    <t xml:space="preserve">BMIDIFGRA2648</t>
  </si>
  <si>
    <t xml:space="preserve">BMIDIFGRA2649</t>
  </si>
  <si>
    <t xml:space="preserve">BMIDIFGRA2650</t>
  </si>
  <si>
    <t xml:space="preserve">BMIDIFGRA2651</t>
  </si>
  <si>
    <t xml:space="preserve">BMIDIFGRA2652</t>
  </si>
  <si>
    <t xml:space="preserve">BMIDIFGRA2653</t>
  </si>
  <si>
    <t xml:space="preserve">BMIDIFGRA2654</t>
  </si>
  <si>
    <t xml:space="preserve">BMIDIFGRA2655</t>
  </si>
  <si>
    <t xml:space="preserve">BMIDIFGRA2656</t>
  </si>
  <si>
    <t xml:space="preserve">BMIDIFGRA2657</t>
  </si>
  <si>
    <t xml:space="preserve">BMIDIFLI3286</t>
  </si>
  <si>
    <t xml:space="preserve">BMIDIFLI3287</t>
  </si>
  <si>
    <t xml:space="preserve">BMIDIFLI3288</t>
  </si>
  <si>
    <t xml:space="preserve">BMIDIFLI3289</t>
  </si>
  <si>
    <t xml:space="preserve">BMIDIFLI3290</t>
  </si>
  <si>
    <t xml:space="preserve">BMIDIFMN3384</t>
  </si>
  <si>
    <t xml:space="preserve">BMIDIFMN3385</t>
  </si>
  <si>
    <t xml:space="preserve">BMIDIFNI3381</t>
  </si>
  <si>
    <t xml:space="preserve">BMIDIFNI3382</t>
  </si>
  <si>
    <t xml:space="preserve">BMIDIFNI3383</t>
  </si>
  <si>
    <t xml:space="preserve">BMIDIFPRE3291</t>
  </si>
  <si>
    <t xml:space="preserve">BMIDIFPRE3292</t>
  </si>
  <si>
    <t xml:space="preserve">BMIDIFPRE3293</t>
  </si>
  <si>
    <t xml:space="preserve">BMIDIFPRE3294</t>
  </si>
  <si>
    <t xml:space="preserve">BMIDIFPRE3295</t>
  </si>
  <si>
    <t xml:space="preserve">BMIDIFPRE3296</t>
  </si>
  <si>
    <t xml:space="preserve">BMIDIFPRE3297</t>
  </si>
  <si>
    <t xml:space="preserve">BMIDIFPRE3298</t>
  </si>
  <si>
    <t xml:space="preserve">BMIDIFPRE3299</t>
  </si>
  <si>
    <t xml:space="preserve">BMIDIFPRE3300</t>
  </si>
  <si>
    <t xml:space="preserve">BMIDIFPRE3301</t>
  </si>
  <si>
    <t xml:space="preserve">BMIDIFPRE3302</t>
  </si>
  <si>
    <t xml:space="preserve">BMIDIFREE1001</t>
  </si>
  <si>
    <t xml:space="preserve">BMIDIFREE1002</t>
  </si>
  <si>
    <t xml:space="preserve">BMIDIFREE1003</t>
  </si>
  <si>
    <t xml:space="preserve">BMIDIFREE1004</t>
  </si>
  <si>
    <t xml:space="preserve">BMIDIFSOL2631</t>
  </si>
  <si>
    <t xml:space="preserve">BMIDIFSOL2632</t>
  </si>
  <si>
    <t xml:space="preserve">BMIDIFSOL2633</t>
  </si>
  <si>
    <t xml:space="preserve">BMIDIFSOL2634</t>
  </si>
  <si>
    <t xml:space="preserve">BMIDIFSOL2635</t>
  </si>
  <si>
    <t xml:space="preserve">BMIDIFSOL2636</t>
  </si>
  <si>
    <t xml:space="preserve">BMIDIFSOL2637</t>
  </si>
  <si>
    <t xml:space="preserve">BMIDIFSOL2638</t>
  </si>
  <si>
    <t xml:space="preserve">BMIDIFSOL2639</t>
  </si>
  <si>
    <t xml:space="preserve">BMIDIFSOL2640</t>
  </si>
  <si>
    <t xml:space="preserve">BMIDIFAL3514</t>
  </si>
  <si>
    <t xml:space="preserve">CIF Spain (Diff)</t>
  </si>
  <si>
    <t xml:space="preserve">BMIDIFAL3536</t>
  </si>
  <si>
    <t xml:space="preserve">BMIDIFAL3558</t>
  </si>
  <si>
    <t xml:space="preserve">BMIDIFANO2319</t>
  </si>
  <si>
    <t xml:space="preserve">BMIDIFANO2320</t>
  </si>
  <si>
    <t xml:space="preserve">BMIDIFANO2321</t>
  </si>
  <si>
    <t xml:space="preserve">BMIDIFANO2322</t>
  </si>
  <si>
    <t xml:space="preserve">BMIDIFANO2323</t>
  </si>
  <si>
    <t xml:space="preserve">BMIDIFANO2324</t>
  </si>
  <si>
    <t xml:space="preserve">BMIDIFANO2325</t>
  </si>
  <si>
    <t xml:space="preserve">BMIDIFBAA2308</t>
  </si>
  <si>
    <t xml:space="preserve">BMIDIFBAA2309</t>
  </si>
  <si>
    <t xml:space="preserve">BMIDIFBAA2310</t>
  </si>
  <si>
    <t xml:space="preserve">BMIDIFBAA2311</t>
  </si>
  <si>
    <t xml:space="preserve">BMIDIFBAA2312</t>
  </si>
  <si>
    <t xml:space="preserve">BMIDIFBAA2313</t>
  </si>
  <si>
    <t xml:space="preserve">BMIDIFBAA2314</t>
  </si>
  <si>
    <t xml:space="preserve">BMIDIFBAA2315</t>
  </si>
  <si>
    <t xml:space="preserve">BMIDIFBAA2316</t>
  </si>
  <si>
    <t xml:space="preserve">BMIDIFBAA2317</t>
  </si>
  <si>
    <t xml:space="preserve">BMIDIFBAA2318</t>
  </si>
  <si>
    <t xml:space="preserve">BMIDIFCAT2300</t>
  </si>
  <si>
    <t xml:space="preserve">BMIDIFCAT2301</t>
  </si>
  <si>
    <t xml:space="preserve">BMIDIFCAT2302</t>
  </si>
  <si>
    <t xml:space="preserve">BMIDIFCAT2303</t>
  </si>
  <si>
    <t xml:space="preserve">BMIDIFCAT2304</t>
  </si>
  <si>
    <t xml:space="preserve">BMIDIFCAT2305</t>
  </si>
  <si>
    <t xml:space="preserve">BMIDIFCAT2306</t>
  </si>
  <si>
    <t xml:space="preserve">BMIDIFCAT2307</t>
  </si>
  <si>
    <t xml:space="preserve">BMIDIFCU3580</t>
  </si>
  <si>
    <t xml:space="preserve">BMIDIFCU3602</t>
  </si>
  <si>
    <t xml:space="preserve">BMIDIFELE2292</t>
  </si>
  <si>
    <t xml:space="preserve">BMIDIFELE2293</t>
  </si>
  <si>
    <t xml:space="preserve">BMIDIFELE2294</t>
  </si>
  <si>
    <t xml:space="preserve">BMIDIFELE2295</t>
  </si>
  <si>
    <t xml:space="preserve">BMIDIFELE2296</t>
  </si>
  <si>
    <t xml:space="preserve">BMIDIFELE2297</t>
  </si>
  <si>
    <t xml:space="preserve">BMIDIFELE2298</t>
  </si>
  <si>
    <t xml:space="preserve">BMIDIFELE2299</t>
  </si>
  <si>
    <t xml:space="preserve">BMIDIFGRA2275</t>
  </si>
  <si>
    <t xml:space="preserve">BMIDIFGRA2276</t>
  </si>
  <si>
    <t xml:space="preserve">BMIDIFGRA2277</t>
  </si>
  <si>
    <t xml:space="preserve">BMIDIFGRA2278</t>
  </si>
  <si>
    <t xml:space="preserve">BMIDIFGRA2279</t>
  </si>
  <si>
    <t xml:space="preserve">BMIDIFGRA2280</t>
  </si>
  <si>
    <t xml:space="preserve">BMIDIFGRA2281</t>
  </si>
  <si>
    <t xml:space="preserve">BMIDIFGRA2282</t>
  </si>
  <si>
    <t xml:space="preserve">BMIDIFGRA2283</t>
  </si>
  <si>
    <t xml:space="preserve">BMIDIFGRA2284</t>
  </si>
  <si>
    <t xml:space="preserve">BMIDIFGRA2285</t>
  </si>
  <si>
    <t xml:space="preserve">BMIDIFGRA2286</t>
  </si>
  <si>
    <t xml:space="preserve">BMIDIFGRA2287</t>
  </si>
  <si>
    <t xml:space="preserve">BMIDIFGRA2288</t>
  </si>
  <si>
    <t xml:space="preserve">BMIDIFGRA2289</t>
  </si>
  <si>
    <t xml:space="preserve">BMIDIFGRA2290</t>
  </si>
  <si>
    <t xml:space="preserve">BMIDIFGRA2291</t>
  </si>
  <si>
    <t xml:space="preserve">BMIDIFLI3048</t>
  </si>
  <si>
    <t xml:space="preserve">BMIDIFLI3049</t>
  </si>
  <si>
    <t xml:space="preserve">BMIDIFLI3050</t>
  </si>
  <si>
    <t xml:space="preserve">BMIDIFLI3051</t>
  </si>
  <si>
    <t xml:space="preserve">BMIDIFLI3052</t>
  </si>
  <si>
    <t xml:space="preserve">BMIDIFPRE3053</t>
  </si>
  <si>
    <t xml:space="preserve">BMIDIFPRE3054</t>
  </si>
  <si>
    <t xml:space="preserve">BMIDIFPRE3055</t>
  </si>
  <si>
    <t xml:space="preserve">BMIDIFPRE3056</t>
  </si>
  <si>
    <t xml:space="preserve">BMIDIFPRE3057</t>
  </si>
  <si>
    <t xml:space="preserve">BMIDIFPRE3058</t>
  </si>
  <si>
    <t xml:space="preserve">BMIDIFPRE3059</t>
  </si>
  <si>
    <t xml:space="preserve">BMIDIFPRE3060</t>
  </si>
  <si>
    <t xml:space="preserve">BMIDIFPRE3061</t>
  </si>
  <si>
    <t xml:space="preserve">BMIDIFPRE3062</t>
  </si>
  <si>
    <t xml:space="preserve">BMIDIFPRE3063</t>
  </si>
  <si>
    <t xml:space="preserve">BMIDIFPRE3064</t>
  </si>
  <si>
    <t xml:space="preserve">BMIDIFSOL2265</t>
  </si>
  <si>
    <t xml:space="preserve">BMIDIFSOL2266</t>
  </si>
  <si>
    <t xml:space="preserve">BMIDIFSOL2267</t>
  </si>
  <si>
    <t xml:space="preserve">BMIDIFSOL2268</t>
  </si>
  <si>
    <t xml:space="preserve">BMIDIFSOL2269</t>
  </si>
  <si>
    <t xml:space="preserve">BMIDIFSOL2270</t>
  </si>
  <si>
    <t xml:space="preserve">BMIDIFSOL2271</t>
  </si>
  <si>
    <t xml:space="preserve">BMIDIFSOL2272</t>
  </si>
  <si>
    <t xml:space="preserve">BMIDIFSOL2273</t>
  </si>
  <si>
    <t xml:space="preserve">BMIDIFSOL2274</t>
  </si>
  <si>
    <t xml:space="preserve">BMIDIFAL3520</t>
  </si>
  <si>
    <t xml:space="preserve">CIF Sweden (Diff)</t>
  </si>
  <si>
    <t xml:space="preserve">BMIDIFAL3542</t>
  </si>
  <si>
    <t xml:space="preserve">BMIDIFAL3564</t>
  </si>
  <si>
    <t xml:space="preserve">BMIDIFANO2197</t>
  </si>
  <si>
    <t xml:space="preserve">BMIDIFANO2198</t>
  </si>
  <si>
    <t xml:space="preserve">BMIDIFANO2199</t>
  </si>
  <si>
    <t xml:space="preserve">BMIDIFANO2200</t>
  </si>
  <si>
    <t xml:space="preserve">BMIDIFANO2201</t>
  </si>
  <si>
    <t xml:space="preserve">BMIDIFANO2202</t>
  </si>
  <si>
    <t xml:space="preserve">BMIDIFANO2203</t>
  </si>
  <si>
    <t xml:space="preserve">BMIDIFBAA2186</t>
  </si>
  <si>
    <t xml:space="preserve">BMIDIFBAA2187</t>
  </si>
  <si>
    <t xml:space="preserve">BMIDIFBAA2188</t>
  </si>
  <si>
    <t xml:space="preserve">BMIDIFBAA2189</t>
  </si>
  <si>
    <t xml:space="preserve">BMIDIFBAA2190</t>
  </si>
  <si>
    <t xml:space="preserve">BMIDIFBAA2191</t>
  </si>
  <si>
    <t xml:space="preserve">BMIDIFBAA2192</t>
  </si>
  <si>
    <t xml:space="preserve">BMIDIFBAA2193</t>
  </si>
  <si>
    <t xml:space="preserve">BMIDIFBAA2194</t>
  </si>
  <si>
    <t xml:space="preserve">BMIDIFBAA2195</t>
  </si>
  <si>
    <t xml:space="preserve">BMIDIFBAA2196</t>
  </si>
  <si>
    <t xml:space="preserve">BMIDIFCAT2178</t>
  </si>
  <si>
    <t xml:space="preserve">BMIDIFCAT2179</t>
  </si>
  <si>
    <t xml:space="preserve">BMIDIFCAT2180</t>
  </si>
  <si>
    <t xml:space="preserve">BMIDIFCAT2181</t>
  </si>
  <si>
    <t xml:space="preserve">BMIDIFCAT2182</t>
  </si>
  <si>
    <t xml:space="preserve">BMIDIFCAT2183</t>
  </si>
  <si>
    <t xml:space="preserve">BMIDIFCAT2184</t>
  </si>
  <si>
    <t xml:space="preserve">BMIDIFCAT2185</t>
  </si>
  <si>
    <t xml:space="preserve">BMIDIFCU3586</t>
  </si>
  <si>
    <t xml:space="preserve">BMIDIFCU3608</t>
  </si>
  <si>
    <t xml:space="preserve">BMIDIFELE2170</t>
  </si>
  <si>
    <t xml:space="preserve">BMIDIFELE2171</t>
  </si>
  <si>
    <t xml:space="preserve">BMIDIFELE2172</t>
  </si>
  <si>
    <t xml:space="preserve">BMIDIFELE2173</t>
  </si>
  <si>
    <t xml:space="preserve">BMIDIFELE2174</t>
  </si>
  <si>
    <t xml:space="preserve">BMIDIFELE2175</t>
  </si>
  <si>
    <t xml:space="preserve">BMIDIFELE2176</t>
  </si>
  <si>
    <t xml:space="preserve">BMIDIFELE2177</t>
  </si>
  <si>
    <t xml:space="preserve">BMIDIFGRA2153</t>
  </si>
  <si>
    <t xml:space="preserve">BMIDIFGRA2154</t>
  </si>
  <si>
    <t xml:space="preserve">BMIDIFGRA2155</t>
  </si>
  <si>
    <t xml:space="preserve">BMIDIFGRA2156</t>
  </si>
  <si>
    <t xml:space="preserve">BMIDIFGRA2157</t>
  </si>
  <si>
    <t xml:space="preserve">BMIDIFGRA2158</t>
  </si>
  <si>
    <t xml:space="preserve">BMIDIFGRA2159</t>
  </si>
  <si>
    <t xml:space="preserve">BMIDIFGRA2160</t>
  </si>
  <si>
    <t xml:space="preserve">BMIDIFGRA2161</t>
  </si>
  <si>
    <t xml:space="preserve">BMIDIFGRA2162</t>
  </si>
  <si>
    <t xml:space="preserve">BMIDIFGRA2163</t>
  </si>
  <si>
    <t xml:space="preserve">BMIDIFGRA2164</t>
  </si>
  <si>
    <t xml:space="preserve">BMIDIFGRA2165</t>
  </si>
  <si>
    <t xml:space="preserve">BMIDIFGRA2166</t>
  </si>
  <si>
    <t xml:space="preserve">BMIDIFGRA2167</t>
  </si>
  <si>
    <t xml:space="preserve">BMIDIFGRA2168</t>
  </si>
  <si>
    <t xml:space="preserve">BMIDIFGRA2169</t>
  </si>
  <si>
    <t xml:space="preserve">BMIDIFLI3150</t>
  </si>
  <si>
    <t xml:space="preserve">BMIDIFLI3151</t>
  </si>
  <si>
    <t xml:space="preserve">BMIDIFLI3152</t>
  </si>
  <si>
    <t xml:space="preserve">BMIDIFLI3153</t>
  </si>
  <si>
    <t xml:space="preserve">BMIDIFLI3154</t>
  </si>
  <si>
    <t xml:space="preserve">BMIDIFPRE3155</t>
  </si>
  <si>
    <t xml:space="preserve">BMIDIFPRE3156</t>
  </si>
  <si>
    <t xml:space="preserve">BMIDIFPRE3157</t>
  </si>
  <si>
    <t xml:space="preserve">BMIDIFPRE3158</t>
  </si>
  <si>
    <t xml:space="preserve">BMIDIFPRE3159</t>
  </si>
  <si>
    <t xml:space="preserve">BMIDIFPRE3160</t>
  </si>
  <si>
    <t xml:space="preserve">BMIDIFPRE3161</t>
  </si>
  <si>
    <t xml:space="preserve">BMIDIFPRE3162</t>
  </si>
  <si>
    <t xml:space="preserve">BMIDIFPRE3163</t>
  </si>
  <si>
    <t xml:space="preserve">BMIDIFPRE3164</t>
  </si>
  <si>
    <t xml:space="preserve">BMIDIFPRE3165</t>
  </si>
  <si>
    <t xml:space="preserve">BMIDIFPRE3166</t>
  </si>
  <si>
    <t xml:space="preserve">BMIDIFSOL2143</t>
  </si>
  <si>
    <t xml:space="preserve">BMIDIFSOL2144</t>
  </si>
  <si>
    <t xml:space="preserve">BMIDIFSOL2145</t>
  </si>
  <si>
    <t xml:space="preserve">BMIDIFSOL2146</t>
  </si>
  <si>
    <t xml:space="preserve">BMIDIFSOL2147</t>
  </si>
  <si>
    <t xml:space="preserve">BMIDIFSOL2148</t>
  </si>
  <si>
    <t xml:space="preserve">BMIDIFSOL2149</t>
  </si>
  <si>
    <t xml:space="preserve">BMIDIFSOL2150</t>
  </si>
  <si>
    <t xml:space="preserve">BMIDIFSOL2151</t>
  </si>
  <si>
    <t xml:space="preserve">BMIDIFSOL2152</t>
  </si>
  <si>
    <t xml:space="preserve">BMIDIFAL3513</t>
  </si>
  <si>
    <t xml:space="preserve">CIF Switzerland (Diff)</t>
  </si>
  <si>
    <t xml:space="preserve">BMIDIFAL3535</t>
  </si>
  <si>
    <t xml:space="preserve">BMIDIFAL3557</t>
  </si>
  <si>
    <t xml:space="preserve">BMIDIFANO1099</t>
  </si>
  <si>
    <t xml:space="preserve">BMIDIFANO1100</t>
  </si>
  <si>
    <t xml:space="preserve">BMIDIFANO1101</t>
  </si>
  <si>
    <t xml:space="preserve">BMIDIFANO1102</t>
  </si>
  <si>
    <t xml:space="preserve">BMIDIFANO1103</t>
  </si>
  <si>
    <t xml:space="preserve">BMIDIFANO1104</t>
  </si>
  <si>
    <t xml:space="preserve">BMIDIFANO1105</t>
  </si>
  <si>
    <t xml:space="preserve">BMIDIFBAA1088</t>
  </si>
  <si>
    <t xml:space="preserve">BMIDIFBAA1089</t>
  </si>
  <si>
    <t xml:space="preserve">BMIDIFBAA1090</t>
  </si>
  <si>
    <t xml:space="preserve">BMIDIFBAA1091</t>
  </si>
  <si>
    <t xml:space="preserve">BMIDIFBAA1092</t>
  </si>
  <si>
    <t xml:space="preserve">BMIDIFBAA1093</t>
  </si>
  <si>
    <t xml:space="preserve">BMIDIFBAA1094</t>
  </si>
  <si>
    <t xml:space="preserve">BMIDIFBAA1095</t>
  </si>
  <si>
    <t xml:space="preserve">BMIDIFBAA1096</t>
  </si>
  <si>
    <t xml:space="preserve">BMIDIFBAA1097</t>
  </si>
  <si>
    <t xml:space="preserve">BMIDIFBAA1098</t>
  </si>
  <si>
    <t xml:space="preserve">BMIDIFCAT1080</t>
  </si>
  <si>
    <t xml:space="preserve">BMIDIFCAT1081</t>
  </si>
  <si>
    <t xml:space="preserve">BMIDIFCAT1082</t>
  </si>
  <si>
    <t xml:space="preserve">BMIDIFCAT1083</t>
  </si>
  <si>
    <t xml:space="preserve">BMIDIFCAT1084</t>
  </si>
  <si>
    <t xml:space="preserve">BMIDIFCAT1085</t>
  </si>
  <si>
    <t xml:space="preserve">BMIDIFCAT1086</t>
  </si>
  <si>
    <t xml:space="preserve">BMIDIFCAT1087</t>
  </si>
  <si>
    <t xml:space="preserve">BMIDIFCU3579</t>
  </si>
  <si>
    <t xml:space="preserve">BMIDIFCU3601</t>
  </si>
  <si>
    <t xml:space="preserve">BMIDIFELE1072</t>
  </si>
  <si>
    <t xml:space="preserve">BMIDIFELE1073</t>
  </si>
  <si>
    <t xml:space="preserve">BMIDIFELE1074</t>
  </si>
  <si>
    <t xml:space="preserve">BMIDIFELE1075</t>
  </si>
  <si>
    <t xml:space="preserve">BMIDIFELE1076</t>
  </si>
  <si>
    <t xml:space="preserve">BMIDIFELE1077</t>
  </si>
  <si>
    <t xml:space="preserve">BMIDIFELE1078</t>
  </si>
  <si>
    <t xml:space="preserve">BMIDIFELE1079</t>
  </si>
  <si>
    <t xml:space="preserve">BMIDIFGRA1055</t>
  </si>
  <si>
    <t xml:space="preserve">BMIDIFGRA1056</t>
  </si>
  <si>
    <t xml:space="preserve">BMIDIFGRA1057</t>
  </si>
  <si>
    <t xml:space="preserve">BMIDIFGRA1058</t>
  </si>
  <si>
    <t xml:space="preserve">BMIDIFGRA1059</t>
  </si>
  <si>
    <t xml:space="preserve">BMIDIFGRA1060</t>
  </si>
  <si>
    <t xml:space="preserve">BMIDIFGRA1061</t>
  </si>
  <si>
    <t xml:space="preserve">BMIDIFGRA1062</t>
  </si>
  <si>
    <t xml:space="preserve">BMIDIFGRA1063</t>
  </si>
  <si>
    <t xml:space="preserve">BMIDIFGRA1064</t>
  </si>
  <si>
    <t xml:space="preserve">BMIDIFGRA1065</t>
  </si>
  <si>
    <t xml:space="preserve">BMIDIFGRA1066</t>
  </si>
  <si>
    <t xml:space="preserve">BMIDIFGRA1067</t>
  </si>
  <si>
    <t xml:space="preserve">BMIDIFGRA1068</t>
  </si>
  <si>
    <t xml:space="preserve">BMIDIFGRA1069</t>
  </si>
  <si>
    <t xml:space="preserve">BMIDIFGRA1070</t>
  </si>
  <si>
    <t xml:space="preserve">BMIDIFGRA1071</t>
  </si>
  <si>
    <t xml:space="preserve">BMIDIFLI3031</t>
  </si>
  <si>
    <t xml:space="preserve">BMIDIFLI3032</t>
  </si>
  <si>
    <t xml:space="preserve">BMIDIFLI3033</t>
  </si>
  <si>
    <t xml:space="preserve">BMIDIFLI3034</t>
  </si>
  <si>
    <t xml:space="preserve">BMIDIFLI3035</t>
  </si>
  <si>
    <t xml:space="preserve">BMIDIFPRE3036</t>
  </si>
  <si>
    <t xml:space="preserve">BMIDIFPRE3037</t>
  </si>
  <si>
    <t xml:space="preserve">BMIDIFPRE3038</t>
  </si>
  <si>
    <t xml:space="preserve">BMIDIFPRE3039</t>
  </si>
  <si>
    <t xml:space="preserve">BMIDIFPRE3040</t>
  </si>
  <si>
    <t xml:space="preserve">BMIDIFPRE3041</t>
  </si>
  <si>
    <t xml:space="preserve">BMIDIFPRE3042</t>
  </si>
  <si>
    <t xml:space="preserve">BMIDIFPRE3043</t>
  </si>
  <si>
    <t xml:space="preserve">BMIDIFPRE3044</t>
  </si>
  <si>
    <t xml:space="preserve">BMIDIFPRE3045</t>
  </si>
  <si>
    <t xml:space="preserve">BMIDIFPRE3046</t>
  </si>
  <si>
    <t xml:space="preserve">BMIDIFPRE3047</t>
  </si>
  <si>
    <t xml:space="preserve">BMIDIFSOL1045</t>
  </si>
  <si>
    <t xml:space="preserve">BMIDIFSOL1046</t>
  </si>
  <si>
    <t xml:space="preserve">BMIDIFSOL1047</t>
  </si>
  <si>
    <t xml:space="preserve">BMIDIFSOL1048</t>
  </si>
  <si>
    <t xml:space="preserve">BMIDIFSOL1049</t>
  </si>
  <si>
    <t xml:space="preserve">BMIDIFSOL1050</t>
  </si>
  <si>
    <t xml:space="preserve">BMIDIFSOL1051</t>
  </si>
  <si>
    <t xml:space="preserve">BMIDIFSOL1052</t>
  </si>
  <si>
    <t xml:space="preserve">BMIDIFSOL1053</t>
  </si>
  <si>
    <t xml:space="preserve">BMIDIFSOL1054</t>
  </si>
  <si>
    <t xml:space="preserve">BMIDIFANO1465</t>
  </si>
  <si>
    <t xml:space="preserve">CIF Taiwan (Diff)</t>
  </si>
  <si>
    <t xml:space="preserve">BMIDIFANO1466</t>
  </si>
  <si>
    <t xml:space="preserve">BMIDIFANO1467</t>
  </si>
  <si>
    <t xml:space="preserve">BMIDIFANO1468</t>
  </si>
  <si>
    <t xml:space="preserve">BMIDIFANO1469</t>
  </si>
  <si>
    <t xml:space="preserve">BMIDIFANO1470</t>
  </si>
  <si>
    <t xml:space="preserve">BMIDIFANO1471</t>
  </si>
  <si>
    <t xml:space="preserve">BMIDIFBAA1454</t>
  </si>
  <si>
    <t xml:space="preserve">BMIDIFBAA1455</t>
  </si>
  <si>
    <t xml:space="preserve">BMIDIFBAA1456</t>
  </si>
  <si>
    <t xml:space="preserve">BMIDIFBAA1457</t>
  </si>
  <si>
    <t xml:space="preserve">BMIDIFBAA1458</t>
  </si>
  <si>
    <t xml:space="preserve">BMIDIFBAA1459</t>
  </si>
  <si>
    <t xml:space="preserve">BMIDIFBAA1460</t>
  </si>
  <si>
    <t xml:space="preserve">BMIDIFBAA1461</t>
  </si>
  <si>
    <t xml:space="preserve">BMIDIFBAA1462</t>
  </si>
  <si>
    <t xml:space="preserve">BMIDIFBAA1463</t>
  </si>
  <si>
    <t xml:space="preserve">BMIDIFBAA1464</t>
  </si>
  <si>
    <t xml:space="preserve">BMIDIFCAT1446</t>
  </si>
  <si>
    <t xml:space="preserve">BMIDIFCAT1447</t>
  </si>
  <si>
    <t xml:space="preserve">BMIDIFCAT1448</t>
  </si>
  <si>
    <t xml:space="preserve">BMIDIFCAT1449</t>
  </si>
  <si>
    <t xml:space="preserve">BMIDIFCAT1450</t>
  </si>
  <si>
    <t xml:space="preserve">BMIDIFCAT1451</t>
  </si>
  <si>
    <t xml:space="preserve">BMIDIFCAT1452</t>
  </si>
  <si>
    <t xml:space="preserve">BMIDIFCAT1453</t>
  </si>
  <si>
    <t xml:space="preserve">BMIDIFELE1438</t>
  </si>
  <si>
    <t xml:space="preserve">BMIDIFELE1439</t>
  </si>
  <si>
    <t xml:space="preserve">BMIDIFELE1440</t>
  </si>
  <si>
    <t xml:space="preserve">BMIDIFELE1441</t>
  </si>
  <si>
    <t xml:space="preserve">BMIDIFELE1442</t>
  </si>
  <si>
    <t xml:space="preserve">BMIDIFELE1443</t>
  </si>
  <si>
    <t xml:space="preserve">BMIDIFELE1444</t>
  </si>
  <si>
    <t xml:space="preserve">BMIDIFELE1445</t>
  </si>
  <si>
    <t xml:space="preserve">BMIDIFGRA1421</t>
  </si>
  <si>
    <t xml:space="preserve">BMIDIFGRA1422</t>
  </si>
  <si>
    <t xml:space="preserve">BMIDIFGRA1423</t>
  </si>
  <si>
    <t xml:space="preserve">BMIDIFGRA1424</t>
  </si>
  <si>
    <t xml:space="preserve">BMIDIFGRA1425</t>
  </si>
  <si>
    <t xml:space="preserve">BMIDIFGRA1426</t>
  </si>
  <si>
    <t xml:space="preserve">BMIDIFGRA1427</t>
  </si>
  <si>
    <t xml:space="preserve">BMIDIFGRA1428</t>
  </si>
  <si>
    <t xml:space="preserve">BMIDIFGRA1429</t>
  </si>
  <si>
    <t xml:space="preserve">BMIDIFGRA1430</t>
  </si>
  <si>
    <t xml:space="preserve">BMIDIFGRA1431</t>
  </si>
  <si>
    <t xml:space="preserve">BMIDIFGRA1432</t>
  </si>
  <si>
    <t xml:space="preserve">BMIDIFGRA1433</t>
  </si>
  <si>
    <t xml:space="preserve">BMIDIFGRA1434</t>
  </si>
  <si>
    <t xml:space="preserve">BMIDIFGRA1435</t>
  </si>
  <si>
    <t xml:space="preserve">BMIDIFGRA1436</t>
  </si>
  <si>
    <t xml:space="preserve">BMIDIFGRA1437</t>
  </si>
  <si>
    <t xml:space="preserve">BMIDIFSOL1411</t>
  </si>
  <si>
    <t xml:space="preserve">BMIDIFSOL1412</t>
  </si>
  <si>
    <t xml:space="preserve">BMIDIFSOL1413</t>
  </si>
  <si>
    <t xml:space="preserve">BMIDIFSOL1414</t>
  </si>
  <si>
    <t xml:space="preserve">BMIDIFSOL1415</t>
  </si>
  <si>
    <t xml:space="preserve">BMIDIFSOL1416</t>
  </si>
  <si>
    <t xml:space="preserve">BMIDIFSOL1417</t>
  </si>
  <si>
    <t xml:space="preserve">BMIDIFSOL1418</t>
  </si>
  <si>
    <t xml:space="preserve">BMIDIFSOL1419</t>
  </si>
  <si>
    <t xml:space="preserve">BMIDIFSOL1420</t>
  </si>
  <si>
    <t xml:space="preserve">BMIDIFLI3201</t>
  </si>
  <si>
    <t xml:space="preserve">CIF Taiwan, (Diff)</t>
  </si>
  <si>
    <t xml:space="preserve">BMIDIFLI3202</t>
  </si>
  <si>
    <t xml:space="preserve">BMIDIFLI3203</t>
  </si>
  <si>
    <t xml:space="preserve">BMIDIFLI3204</t>
  </si>
  <si>
    <t xml:space="preserve">BMIDIFLI3205</t>
  </si>
  <si>
    <t xml:space="preserve">BMIDIFPRE3206</t>
  </si>
  <si>
    <t xml:space="preserve">BMIDIFPRE3207</t>
  </si>
  <si>
    <t xml:space="preserve">BMIDIFPRE3208</t>
  </si>
  <si>
    <t xml:space="preserve">BMIDIFPRE3209</t>
  </si>
  <si>
    <t xml:space="preserve">BMIDIFPRE3210</t>
  </si>
  <si>
    <t xml:space="preserve">BMIDIFPRE3211</t>
  </si>
  <si>
    <t xml:space="preserve">BMIDIFPRE3212</t>
  </si>
  <si>
    <t xml:space="preserve">BMIDIFPRE3213</t>
  </si>
  <si>
    <t xml:space="preserve">BMIDIFPRE3214</t>
  </si>
  <si>
    <t xml:space="preserve">BMIDIFPRE3215</t>
  </si>
  <si>
    <t xml:space="preserve">BMIDIFPRE3216</t>
  </si>
  <si>
    <t xml:space="preserve">BMIDIFPRE3217</t>
  </si>
  <si>
    <t xml:space="preserve">BMIDIFAL3523</t>
  </si>
  <si>
    <t xml:space="preserve">CIF Taiwan, Province of China (Diff)</t>
  </si>
  <si>
    <t xml:space="preserve">BMIDIFAL3545</t>
  </si>
  <si>
    <t xml:space="preserve">BMIDIFAL3567</t>
  </si>
  <si>
    <t xml:space="preserve">BMIDIFCU3589</t>
  </si>
  <si>
    <t xml:space="preserve">BMIDIFCU3611</t>
  </si>
  <si>
    <t xml:space="preserve">BMIDIFANO1587</t>
  </si>
  <si>
    <t xml:space="preserve">CIF Thailand (Diff)</t>
  </si>
  <si>
    <t xml:space="preserve">BMIDIFANO1588</t>
  </si>
  <si>
    <t xml:space="preserve">BMIDIFANO1589</t>
  </si>
  <si>
    <t xml:space="preserve">BMIDIFANO1590</t>
  </si>
  <si>
    <t xml:space="preserve">BMIDIFANO1591</t>
  </si>
  <si>
    <t xml:space="preserve">BMIDIFANO1592</t>
  </si>
  <si>
    <t xml:space="preserve">BMIDIFANO1593</t>
  </si>
  <si>
    <t xml:space="preserve">BMIDIFBAA1576</t>
  </si>
  <si>
    <t xml:space="preserve">BMIDIFBAA1577</t>
  </si>
  <si>
    <t xml:space="preserve">BMIDIFBAA1578</t>
  </si>
  <si>
    <t xml:space="preserve">BMIDIFBAA1579</t>
  </si>
  <si>
    <t xml:space="preserve">BMIDIFBAA1580</t>
  </si>
  <si>
    <t xml:space="preserve">BMIDIFBAA1581</t>
  </si>
  <si>
    <t xml:space="preserve">BMIDIFBAA1582</t>
  </si>
  <si>
    <t xml:space="preserve">BMIDIFBAA1583</t>
  </si>
  <si>
    <t xml:space="preserve">BMIDIFBAA1584</t>
  </si>
  <si>
    <t xml:space="preserve">BMIDIFBAA1585</t>
  </si>
  <si>
    <t xml:space="preserve">BMIDIFBAA1586</t>
  </si>
  <si>
    <t xml:space="preserve">BMIDIFCAT1568</t>
  </si>
  <si>
    <t xml:space="preserve">BMIDIFCAT1569</t>
  </si>
  <si>
    <t xml:space="preserve">BMIDIFCAT1570</t>
  </si>
  <si>
    <t xml:space="preserve">BMIDIFCAT1571</t>
  </si>
  <si>
    <t xml:space="preserve">BMIDIFCAT1572</t>
  </si>
  <si>
    <t xml:space="preserve">BMIDIFCAT1573</t>
  </si>
  <si>
    <t xml:space="preserve">BMIDIFCAT1574</t>
  </si>
  <si>
    <t xml:space="preserve">BMIDIFCAT1575</t>
  </si>
  <si>
    <t xml:space="preserve">BMIDIFELE1560</t>
  </si>
  <si>
    <t xml:space="preserve">BMIDIFELE1561</t>
  </si>
  <si>
    <t xml:space="preserve">BMIDIFELE1562</t>
  </si>
  <si>
    <t xml:space="preserve">BMIDIFELE1563</t>
  </si>
  <si>
    <t xml:space="preserve">BMIDIFELE1564</t>
  </si>
  <si>
    <t xml:space="preserve">BMIDIFELE1565</t>
  </si>
  <si>
    <t xml:space="preserve">BMIDIFELE1566</t>
  </si>
  <si>
    <t xml:space="preserve">BMIDIFELE1567</t>
  </si>
  <si>
    <t xml:space="preserve">BMIDIFGRA1543</t>
  </si>
  <si>
    <t xml:space="preserve">BMIDIFGRA1544</t>
  </si>
  <si>
    <t xml:space="preserve">BMIDIFGRA1545</t>
  </si>
  <si>
    <t xml:space="preserve">BMIDIFGRA1546</t>
  </si>
  <si>
    <t xml:space="preserve">BMIDIFGRA1547</t>
  </si>
  <si>
    <t xml:space="preserve">BMIDIFGRA1548</t>
  </si>
  <si>
    <t xml:space="preserve">BMIDIFGRA1549</t>
  </si>
  <si>
    <t xml:space="preserve">BMIDIFGRA1550</t>
  </si>
  <si>
    <t xml:space="preserve">BMIDIFGRA1551</t>
  </si>
  <si>
    <t xml:space="preserve">BMIDIFGRA1552</t>
  </si>
  <si>
    <t xml:space="preserve">BMIDIFGRA1553</t>
  </si>
  <si>
    <t xml:space="preserve">BMIDIFGRA1554</t>
  </si>
  <si>
    <t xml:space="preserve">BMIDIFGRA1555</t>
  </si>
  <si>
    <t xml:space="preserve">BMIDIFGRA1556</t>
  </si>
  <si>
    <t xml:space="preserve">BMIDIFGRA1557</t>
  </si>
  <si>
    <t xml:space="preserve">BMIDIFGRA1558</t>
  </si>
  <si>
    <t xml:space="preserve">BMIDIFGRA1559</t>
  </si>
  <si>
    <t xml:space="preserve">BMIDIFSOL1533</t>
  </si>
  <si>
    <t xml:space="preserve">BMIDIFSOL1534</t>
  </si>
  <si>
    <t xml:space="preserve">BMIDIFSOL1535</t>
  </si>
  <si>
    <t xml:space="preserve">BMIDIFSOL1536</t>
  </si>
  <si>
    <t xml:space="preserve">BMIDIFSOL1537</t>
  </si>
  <si>
    <t xml:space="preserve">BMIDIFSOL1538</t>
  </si>
  <si>
    <t xml:space="preserve">BMIDIFSOL1539</t>
  </si>
  <si>
    <t xml:space="preserve">BMIDIFSOL1540</t>
  </si>
  <si>
    <t xml:space="preserve">BMIDIFSOL1541</t>
  </si>
  <si>
    <t xml:space="preserve">BMIDIFSOL1542</t>
  </si>
  <si>
    <t xml:space="preserve">BMIDIFANO1709</t>
  </si>
  <si>
    <t xml:space="preserve">CIF Turkey (Diff)</t>
  </si>
  <si>
    <t xml:space="preserve">BMIDIFANO1710</t>
  </si>
  <si>
    <t xml:space="preserve">BMIDIFANO1711</t>
  </si>
  <si>
    <t xml:space="preserve">BMIDIFANO1712</t>
  </si>
  <si>
    <t xml:space="preserve">BMIDIFANO1713</t>
  </si>
  <si>
    <t xml:space="preserve">BMIDIFANO1714</t>
  </si>
  <si>
    <t xml:space="preserve">BMIDIFANO1715</t>
  </si>
  <si>
    <t xml:space="preserve">BMIDIFBAA1698</t>
  </si>
  <si>
    <t xml:space="preserve">BMIDIFBAA1699</t>
  </si>
  <si>
    <t xml:space="preserve">BMIDIFBAA1700</t>
  </si>
  <si>
    <t xml:space="preserve">BMIDIFBAA1701</t>
  </si>
  <si>
    <t xml:space="preserve">BMIDIFBAA1702</t>
  </si>
  <si>
    <t xml:space="preserve">BMIDIFBAA1703</t>
  </si>
  <si>
    <t xml:space="preserve">BMIDIFBAA1704</t>
  </si>
  <si>
    <t xml:space="preserve">BMIDIFBAA1705</t>
  </si>
  <si>
    <t xml:space="preserve">BMIDIFBAA1706</t>
  </si>
  <si>
    <t xml:space="preserve">BMIDIFBAA1707</t>
  </si>
  <si>
    <t xml:space="preserve">BMIDIFBAA1708</t>
  </si>
  <si>
    <t xml:space="preserve">BMIDIFCAT1690</t>
  </si>
  <si>
    <t xml:space="preserve">BMIDIFCAT1691</t>
  </si>
  <si>
    <t xml:space="preserve">BMIDIFCAT1692</t>
  </si>
  <si>
    <t xml:space="preserve">BMIDIFCAT1693</t>
  </si>
  <si>
    <t xml:space="preserve">BMIDIFCAT1694</t>
  </si>
  <si>
    <t xml:space="preserve">BMIDIFCAT1695</t>
  </si>
  <si>
    <t xml:space="preserve">BMIDIFCAT1696</t>
  </si>
  <si>
    <t xml:space="preserve">BMIDIFCAT1697</t>
  </si>
  <si>
    <t xml:space="preserve">BMIDIFELE1682</t>
  </si>
  <si>
    <t xml:space="preserve">BMIDIFELE1683</t>
  </si>
  <si>
    <t xml:space="preserve">BMIDIFELE1684</t>
  </si>
  <si>
    <t xml:space="preserve">BMIDIFELE1685</t>
  </si>
  <si>
    <t xml:space="preserve">BMIDIFELE1686</t>
  </si>
  <si>
    <t xml:space="preserve">BMIDIFELE1687</t>
  </si>
  <si>
    <t xml:space="preserve">BMIDIFELE1688</t>
  </si>
  <si>
    <t xml:space="preserve">BMIDIFELE1689</t>
  </si>
  <si>
    <t xml:space="preserve">BMIDIFGRA1665</t>
  </si>
  <si>
    <t xml:space="preserve">BMIDIFGRA1666</t>
  </si>
  <si>
    <t xml:space="preserve">BMIDIFGRA1667</t>
  </si>
  <si>
    <t xml:space="preserve">BMIDIFGRA1668</t>
  </si>
  <si>
    <t xml:space="preserve">BMIDIFGRA1669</t>
  </si>
  <si>
    <t xml:space="preserve">BMIDIFGRA1670</t>
  </si>
  <si>
    <t xml:space="preserve">BMIDIFGRA1671</t>
  </si>
  <si>
    <t xml:space="preserve">BMIDIFGRA1672</t>
  </si>
  <si>
    <t xml:space="preserve">BMIDIFGRA1673</t>
  </si>
  <si>
    <t xml:space="preserve">BMIDIFGRA1674</t>
  </si>
  <si>
    <t xml:space="preserve">BMIDIFGRA1675</t>
  </si>
  <si>
    <t xml:space="preserve">BMIDIFGRA1676</t>
  </si>
  <si>
    <t xml:space="preserve">BMIDIFGRA1677</t>
  </si>
  <si>
    <t xml:space="preserve">BMIDIFGRA1678</t>
  </si>
  <si>
    <t xml:space="preserve">BMIDIFGRA1679</t>
  </si>
  <si>
    <t xml:space="preserve">BMIDIFGRA1680</t>
  </si>
  <si>
    <t xml:space="preserve">BMIDIFGRA1681</t>
  </si>
  <si>
    <t xml:space="preserve">BMIDIFSOL1655</t>
  </si>
  <si>
    <t xml:space="preserve">BMIDIFSOL1656</t>
  </si>
  <si>
    <t xml:space="preserve">BMIDIFSOL1657</t>
  </si>
  <si>
    <t xml:space="preserve">BMIDIFSOL1658</t>
  </si>
  <si>
    <t xml:space="preserve">BMIDIFSOL1659</t>
  </si>
  <si>
    <t xml:space="preserve">BMIDIFSOL1660</t>
  </si>
  <si>
    <t xml:space="preserve">BMIDIFSOL1661</t>
  </si>
  <si>
    <t xml:space="preserve">BMIDIFSOL1662</t>
  </si>
  <si>
    <t xml:space="preserve">BMIDIFSOL1663</t>
  </si>
  <si>
    <t xml:space="preserve">BMIDIFSOL1664</t>
  </si>
  <si>
    <t xml:space="preserve">BMIDIFANO1160</t>
  </si>
  <si>
    <t xml:space="preserve">CIF UAE (Diff)</t>
  </si>
  <si>
    <t xml:space="preserve">BMIDIFANO1161</t>
  </si>
  <si>
    <t xml:space="preserve">BMIDIFANO1162</t>
  </si>
  <si>
    <t xml:space="preserve">BMIDIFANO1163</t>
  </si>
  <si>
    <t xml:space="preserve">BMIDIFANO1164</t>
  </si>
  <si>
    <t xml:space="preserve">BMIDIFANO1165</t>
  </si>
  <si>
    <t xml:space="preserve">BMIDIFANO1166</t>
  </si>
  <si>
    <t xml:space="preserve">BMIDIFBAA1149</t>
  </si>
  <si>
    <t xml:space="preserve">BMIDIFBAA1150</t>
  </si>
  <si>
    <t xml:space="preserve">BMIDIFBAA1151</t>
  </si>
  <si>
    <t xml:space="preserve">BMIDIFBAA1152</t>
  </si>
  <si>
    <t xml:space="preserve">BMIDIFBAA1153</t>
  </si>
  <si>
    <t xml:space="preserve">BMIDIFBAA1154</t>
  </si>
  <si>
    <t xml:space="preserve">BMIDIFBAA1155</t>
  </si>
  <si>
    <t xml:space="preserve">BMIDIFBAA1156</t>
  </si>
  <si>
    <t xml:space="preserve">BMIDIFBAA1157</t>
  </si>
  <si>
    <t xml:space="preserve">BMIDIFBAA1158</t>
  </si>
  <si>
    <t xml:space="preserve">BMIDIFBAA1159</t>
  </si>
  <si>
    <t xml:space="preserve">BMIDIFCAT1141</t>
  </si>
  <si>
    <t xml:space="preserve">BMIDIFCAT1142</t>
  </si>
  <si>
    <t xml:space="preserve">BMIDIFCAT1143</t>
  </si>
  <si>
    <t xml:space="preserve">BMIDIFCAT1144</t>
  </si>
  <si>
    <t xml:space="preserve">BMIDIFCAT1145</t>
  </si>
  <si>
    <t xml:space="preserve">BMIDIFCAT1146</t>
  </si>
  <si>
    <t xml:space="preserve">BMIDIFCAT1147</t>
  </si>
  <si>
    <t xml:space="preserve">BMIDIFCAT1148</t>
  </si>
  <si>
    <t xml:space="preserve">BMIDIFELE1133</t>
  </si>
  <si>
    <t xml:space="preserve">BMIDIFELE1134</t>
  </si>
  <si>
    <t xml:space="preserve">BMIDIFELE1135</t>
  </si>
  <si>
    <t xml:space="preserve">BMIDIFELE1136</t>
  </si>
  <si>
    <t xml:space="preserve">BMIDIFELE1137</t>
  </si>
  <si>
    <t xml:space="preserve">BMIDIFELE1138</t>
  </si>
  <si>
    <t xml:space="preserve">BMIDIFELE1139</t>
  </si>
  <si>
    <t xml:space="preserve">BMIDIFELE1140</t>
  </si>
  <si>
    <t xml:space="preserve">BMIDIFGRA1116</t>
  </si>
  <si>
    <t xml:space="preserve">BMIDIFGRA1117</t>
  </si>
  <si>
    <t xml:space="preserve">BMIDIFGRA1118</t>
  </si>
  <si>
    <t xml:space="preserve">BMIDIFGRA1119</t>
  </si>
  <si>
    <t xml:space="preserve">BMIDIFGRA1120</t>
  </si>
  <si>
    <t xml:space="preserve">BMIDIFGRA1121</t>
  </si>
  <si>
    <t xml:space="preserve">BMIDIFGRA1122</t>
  </si>
  <si>
    <t xml:space="preserve">BMIDIFGRA1123</t>
  </si>
  <si>
    <t xml:space="preserve">BMIDIFGRA1124</t>
  </si>
  <si>
    <t xml:space="preserve">BMIDIFGRA1125</t>
  </si>
  <si>
    <t xml:space="preserve">BMIDIFGRA1126</t>
  </si>
  <si>
    <t xml:space="preserve">BMIDIFGRA1127</t>
  </si>
  <si>
    <t xml:space="preserve">BMIDIFGRA1128</t>
  </si>
  <si>
    <t xml:space="preserve">BMIDIFGRA1129</t>
  </si>
  <si>
    <t xml:space="preserve">BMIDIFGRA1130</t>
  </si>
  <si>
    <t xml:space="preserve">BMIDIFGRA1131</t>
  </si>
  <si>
    <t xml:space="preserve">BMIDIFGRA1132</t>
  </si>
  <si>
    <t xml:space="preserve">BMIDIFSOL1106</t>
  </si>
  <si>
    <t xml:space="preserve">BMIDIFSOL1107</t>
  </si>
  <si>
    <t xml:space="preserve">BMIDIFSOL1108</t>
  </si>
  <si>
    <t xml:space="preserve">BMIDIFSOL1109</t>
  </si>
  <si>
    <t xml:space="preserve">BMIDIFSOL1110</t>
  </si>
  <si>
    <t xml:space="preserve">BMIDIFSOL1111</t>
  </si>
  <si>
    <t xml:space="preserve">BMIDIFSOL1112</t>
  </si>
  <si>
    <t xml:space="preserve">BMIDIFSOL1113</t>
  </si>
  <si>
    <t xml:space="preserve">BMIDIFSOL1114</t>
  </si>
  <si>
    <t xml:space="preserve">BMIDIFSOL1115</t>
  </si>
  <si>
    <t xml:space="preserve">BMIDIFAL3516</t>
  </si>
  <si>
    <t xml:space="preserve">CIF UK (Diff)</t>
  </si>
  <si>
    <t xml:space="preserve">BMIDIFAL3538</t>
  </si>
  <si>
    <t xml:space="preserve">BMIDIFAL3560</t>
  </si>
  <si>
    <t xml:space="preserve">BMIDIFANO2075</t>
  </si>
  <si>
    <t xml:space="preserve">BMIDIFANO2076</t>
  </si>
  <si>
    <t xml:space="preserve">BMIDIFANO2077</t>
  </si>
  <si>
    <t xml:space="preserve">BMIDIFANO2078</t>
  </si>
  <si>
    <t xml:space="preserve">BMIDIFANO2079</t>
  </si>
  <si>
    <t xml:space="preserve">BMIDIFANO2080</t>
  </si>
  <si>
    <t xml:space="preserve">BMIDIFANO2081</t>
  </si>
  <si>
    <t xml:space="preserve">BMIDIFBAA2064</t>
  </si>
  <si>
    <t xml:space="preserve">BMIDIFBAA2065</t>
  </si>
  <si>
    <t xml:space="preserve">BMIDIFBAA2066</t>
  </si>
  <si>
    <t xml:space="preserve">BMIDIFBAA2067</t>
  </si>
  <si>
    <t xml:space="preserve">BMIDIFBAA2068</t>
  </si>
  <si>
    <t xml:space="preserve">BMIDIFBAA2069</t>
  </si>
  <si>
    <t xml:space="preserve">BMIDIFBAA2070</t>
  </si>
  <si>
    <t xml:space="preserve">BMIDIFBAA2071</t>
  </si>
  <si>
    <t xml:space="preserve">BMIDIFBAA2072</t>
  </si>
  <si>
    <t xml:space="preserve">BMIDIFBAA2073</t>
  </si>
  <si>
    <t xml:space="preserve">BMIDIFBAA2074</t>
  </si>
  <si>
    <t xml:space="preserve">BMIDIFCAT2056</t>
  </si>
  <si>
    <t xml:space="preserve">BMIDIFCAT2057</t>
  </si>
  <si>
    <t xml:space="preserve">BMIDIFCAT2058</t>
  </si>
  <si>
    <t xml:space="preserve">BMIDIFCAT2059</t>
  </si>
  <si>
    <t xml:space="preserve">BMIDIFCAT2060</t>
  </si>
  <si>
    <t xml:space="preserve">BMIDIFCAT2061</t>
  </si>
  <si>
    <t xml:space="preserve">BMIDIFCAT2062</t>
  </si>
  <si>
    <t xml:space="preserve">BMIDIFCAT2063</t>
  </si>
  <si>
    <t xml:space="preserve">BMIDIFCU3582</t>
  </si>
  <si>
    <t xml:space="preserve">BMIDIFCU3604</t>
  </si>
  <si>
    <t xml:space="preserve">BMIDIFELE2048</t>
  </si>
  <si>
    <t xml:space="preserve">BMIDIFELE2049</t>
  </si>
  <si>
    <t xml:space="preserve">BMIDIFELE2050</t>
  </si>
  <si>
    <t xml:space="preserve">BMIDIFELE2051</t>
  </si>
  <si>
    <t xml:space="preserve">BMIDIFELE2052</t>
  </si>
  <si>
    <t xml:space="preserve">BMIDIFELE2053</t>
  </si>
  <si>
    <t xml:space="preserve">BMIDIFELE2054</t>
  </si>
  <si>
    <t xml:space="preserve">BMIDIFELE2055</t>
  </si>
  <si>
    <t xml:space="preserve">BMIDIFGRA2031</t>
  </si>
  <si>
    <t xml:space="preserve">BMIDIFGRA2032</t>
  </si>
  <si>
    <t xml:space="preserve">BMIDIFGRA2033</t>
  </si>
  <si>
    <t xml:space="preserve">BMIDIFGRA2034</t>
  </si>
  <si>
    <t xml:space="preserve">BMIDIFGRA2035</t>
  </si>
  <si>
    <t xml:space="preserve">BMIDIFGRA2036</t>
  </si>
  <si>
    <t xml:space="preserve">BMIDIFGRA2037</t>
  </si>
  <si>
    <t xml:space="preserve">BMIDIFGRA2038</t>
  </si>
  <si>
    <t xml:space="preserve">BMIDIFGRA2039</t>
  </si>
  <si>
    <t xml:space="preserve">BMIDIFGRA2040</t>
  </si>
  <si>
    <t xml:space="preserve">BMIDIFGRA2041</t>
  </si>
  <si>
    <t xml:space="preserve">BMIDIFGRA2042</t>
  </si>
  <si>
    <t xml:space="preserve">BMIDIFGRA2043</t>
  </si>
  <si>
    <t xml:space="preserve">BMIDIFGRA2044</t>
  </si>
  <si>
    <t xml:space="preserve">BMIDIFGRA2045</t>
  </si>
  <si>
    <t xml:space="preserve">BMIDIFGRA2046</t>
  </si>
  <si>
    <t xml:space="preserve">BMIDIFGRA2047</t>
  </si>
  <si>
    <t xml:space="preserve">BMIDIFLI3082</t>
  </si>
  <si>
    <t xml:space="preserve">BMIDIFLI3083</t>
  </si>
  <si>
    <t xml:space="preserve">BMIDIFLI3084</t>
  </si>
  <si>
    <t xml:space="preserve">BMIDIFLI3085</t>
  </si>
  <si>
    <t xml:space="preserve">BMIDIFLI3086</t>
  </si>
  <si>
    <t xml:space="preserve">BMIDIFPRE3087</t>
  </si>
  <si>
    <t xml:space="preserve">BMIDIFPRE3088</t>
  </si>
  <si>
    <t xml:space="preserve">BMIDIFPRE3089</t>
  </si>
  <si>
    <t xml:space="preserve">BMIDIFPRE3090</t>
  </si>
  <si>
    <t xml:space="preserve">BMIDIFPRE3091</t>
  </si>
  <si>
    <t xml:space="preserve">BMIDIFPRE3092</t>
  </si>
  <si>
    <t xml:space="preserve">BMIDIFPRE3093</t>
  </si>
  <si>
    <t xml:space="preserve">BMIDIFPRE3094</t>
  </si>
  <si>
    <t xml:space="preserve">BMIDIFPRE3095</t>
  </si>
  <si>
    <t xml:space="preserve">BMIDIFPRE3096</t>
  </si>
  <si>
    <t xml:space="preserve">BMIDIFPRE3097</t>
  </si>
  <si>
    <t xml:space="preserve">BMIDIFPRE3098</t>
  </si>
  <si>
    <t xml:space="preserve">BMIDIFREE1025</t>
  </si>
  <si>
    <t xml:space="preserve">BMIDIFREE1026</t>
  </si>
  <si>
    <t xml:space="preserve">BMIDIFREE1027</t>
  </si>
  <si>
    <t xml:space="preserve">BMIDIFREE1028</t>
  </si>
  <si>
    <t xml:space="preserve">BMIDIFSOL2021</t>
  </si>
  <si>
    <t xml:space="preserve">BMIDIFSOL2022</t>
  </si>
  <si>
    <t xml:space="preserve">BMIDIFSOL2023</t>
  </si>
  <si>
    <t xml:space="preserve">BMIDIFSOL2024</t>
  </si>
  <si>
    <t xml:space="preserve">BMIDIFSOL2025</t>
  </si>
  <si>
    <t xml:space="preserve">BMIDIFSOL2026</t>
  </si>
  <si>
    <t xml:space="preserve">BMIDIFSOL2027</t>
  </si>
  <si>
    <t xml:space="preserve">BMIDIFSOL2028</t>
  </si>
  <si>
    <t xml:space="preserve">BMIDIFSOL2029</t>
  </si>
  <si>
    <t xml:space="preserve">BMIDIFSOL2030</t>
  </si>
  <si>
    <t xml:space="preserve">BMIDIFANO2990</t>
  </si>
  <si>
    <t xml:space="preserve">CIF United States (East Coast) (Diff)</t>
  </si>
  <si>
    <t xml:space="preserve">BMIDIFANO2991</t>
  </si>
  <si>
    <t xml:space="preserve">BMIDIFANO2992</t>
  </si>
  <si>
    <t xml:space="preserve">BMIDIFANO2993</t>
  </si>
  <si>
    <t xml:space="preserve">BMIDIFANO2994</t>
  </si>
  <si>
    <t xml:space="preserve">BMIDIFANO2995</t>
  </si>
  <si>
    <t xml:space="preserve">BMIDIFANO2996</t>
  </si>
  <si>
    <t xml:space="preserve">BMIDIFBAA2979</t>
  </si>
  <si>
    <t xml:space="preserve">BMIDIFBAA2980</t>
  </si>
  <si>
    <t xml:space="preserve">BMIDIFBAA2981</t>
  </si>
  <si>
    <t xml:space="preserve">BMIDIFBAA2982</t>
  </si>
  <si>
    <t xml:space="preserve">BMIDIFBAA2983</t>
  </si>
  <si>
    <t xml:space="preserve">BMIDIFBAA2984</t>
  </si>
  <si>
    <t xml:space="preserve">BMIDIFBAA2985</t>
  </si>
  <si>
    <t xml:space="preserve">BMIDIFBAA2986</t>
  </si>
  <si>
    <t xml:space="preserve">BMIDIFBAA2987</t>
  </si>
  <si>
    <t xml:space="preserve">BMIDIFBAA2988</t>
  </si>
  <si>
    <t xml:space="preserve">BMIDIFBAA2989</t>
  </si>
  <si>
    <t xml:space="preserve">BMIDIFCAT2971</t>
  </si>
  <si>
    <t xml:space="preserve">BMIDIFCAT2972</t>
  </si>
  <si>
    <t xml:space="preserve">BMIDIFCAT2973</t>
  </si>
  <si>
    <t xml:space="preserve">BMIDIFCAT2974</t>
  </si>
  <si>
    <t xml:space="preserve">BMIDIFCAT2975</t>
  </si>
  <si>
    <t xml:space="preserve">BMIDIFCAT2976</t>
  </si>
  <si>
    <t xml:space="preserve">BMIDIFCAT2977</t>
  </si>
  <si>
    <t xml:space="preserve">BMIDIFCAT2978</t>
  </si>
  <si>
    <t xml:space="preserve">BMIDIFCO3376</t>
  </si>
  <si>
    <t xml:space="preserve">BMIDIFCO3377</t>
  </si>
  <si>
    <t xml:space="preserve">BMIDIFCO3378</t>
  </si>
  <si>
    <t xml:space="preserve">BMIDIFCO3379</t>
  </si>
  <si>
    <t xml:space="preserve">BMIDIFCO3380</t>
  </si>
  <si>
    <t xml:space="preserve">BMIDIFELE2963</t>
  </si>
  <si>
    <t xml:space="preserve">Cell, Electrolyte, Additives, Methyl acetate, CIF United States (East Coast) (Diff)</t>
  </si>
  <si>
    <t xml:space="preserve">BMIDIFELE2964</t>
  </si>
  <si>
    <t xml:space="preserve">Cell, Electrolyte, Additives, Ethyl difluoroacetate, CIF United States (East Coast) (Diff)</t>
  </si>
  <si>
    <t xml:space="preserve">BMIDIFELE2965</t>
  </si>
  <si>
    <t xml:space="preserve">BMIDIFELE2966</t>
  </si>
  <si>
    <t xml:space="preserve">BMIDIFELE2967</t>
  </si>
  <si>
    <t xml:space="preserve">BMIDIFELE2968</t>
  </si>
  <si>
    <t xml:space="preserve">BMIDIFELE2969</t>
  </si>
  <si>
    <t xml:space="preserve">BMIDIFELE2970</t>
  </si>
  <si>
    <t xml:space="preserve">BMIDIFGRA2946</t>
  </si>
  <si>
    <t xml:space="preserve">Cell, Graphite, Spherical Uncoated Graphite,99.95%, 15 Microns, CIF United States (East Coast) (Diff)</t>
  </si>
  <si>
    <t xml:space="preserve">BMIDIFGRA2947</t>
  </si>
  <si>
    <t xml:space="preserve">Cell, Graphite, Flake Graphite, 94-95% C, +80 Mesh, CIF United States (East Coast) (Diff)</t>
  </si>
  <si>
    <t xml:space="preserve">BMIDIFGRA2948</t>
  </si>
  <si>
    <t xml:space="preserve">Cell, Graphite, Flake Graphite, 94-95% C, +50 Mesh, CIF United States (East Coast) (Diff)</t>
  </si>
  <si>
    <t xml:space="preserve">BMIDIFGRA2949</t>
  </si>
  <si>
    <t xml:space="preserve">Cell, Graphite, Flake Graphite, 90-93% C, +100 Mesh, CIF United States (East Coast) (Diff)</t>
  </si>
  <si>
    <t xml:space="preserve">BMIDIFGRA2950</t>
  </si>
  <si>
    <t xml:space="preserve">Cell, Graphite, Flake Graphite, 90-93% C, -100 Mesh, CIF United States (East Coast) (Diff)</t>
  </si>
  <si>
    <t xml:space="preserve">BMIDIFGRA2951</t>
  </si>
  <si>
    <t xml:space="preserve">Cell, Graphite, Spherical Uncoated Graphite,99.95%, 25 Microns, CIF United States (East Coast) (Diff)</t>
  </si>
  <si>
    <t xml:space="preserve">BMIDIFGRA2952</t>
  </si>
  <si>
    <t xml:space="preserve">Cell, Graphite, Spherical Uncoated Graphite,99.95%, 10 Microns, CIF United States (East Coast) (Diff)</t>
  </si>
  <si>
    <t xml:space="preserve">BMIDIFGRA2953</t>
  </si>
  <si>
    <t xml:space="preserve">Cell, Graphite, Flake Graphite, 94-95% C, +100 Mesh, CIF United States (East Coast) (Diff)</t>
  </si>
  <si>
    <t xml:space="preserve">BMIDIFGRA2954</t>
  </si>
  <si>
    <t xml:space="preserve">Cell, Graphite, Pre-calcined Pitch Needle Coke, S&lt;0.5%, USD/Tonne, CIF United States (East Coast) (Diff)</t>
  </si>
  <si>
    <t xml:space="preserve">BMIDIFGRA2955</t>
  </si>
  <si>
    <t xml:space="preserve">Cell, Graphite, Pre-calcined Pet Needle Coke, S&lt;0.5%, USD/Tonne, CIF United States (East Coast) (Diff)</t>
  </si>
  <si>
    <t xml:space="preserve">BMIDIFGRA2956</t>
  </si>
  <si>
    <t xml:space="preserve">Cell, Graphite, Pre-calcined Pet Coke, S&lt;0.5%, USD/Tonne, CIF United States (East Coast) (Diff)</t>
  </si>
  <si>
    <t xml:space="preserve">BMIDIFGRA2957</t>
  </si>
  <si>
    <t xml:space="preserve">Cell, Graphite, Calcined Pitch Needle Coke, S&lt;0.5%, USD/Tonne, CIF United States (East Coast) (Diff)</t>
  </si>
  <si>
    <t xml:space="preserve">BMIDIFGRA2958</t>
  </si>
  <si>
    <t xml:space="preserve">Cell, Graphite, Calcined Pet Needle Coke, S&lt;0.5%, USD/Tonne, CIF United States (East Coast) (Diff)</t>
  </si>
  <si>
    <t xml:space="preserve">BMIDIFGRA2959</t>
  </si>
  <si>
    <t xml:space="preserve">Cell, Graphite, Calcined Pet Coke, S&lt;0.5%, USD/Tonne, CIF United States (East Coast) (Diff)</t>
  </si>
  <si>
    <t xml:space="preserve">BMIDIFGRA2960</t>
  </si>
  <si>
    <t xml:space="preserve">Cell, Graphite, Medium Sulphur Pre-calcined Pet Coke, 0.5%&lt;S&lt;3.0%, USD/Tonne, CIF United States (East Coast) (Diff)</t>
  </si>
  <si>
    <t xml:space="preserve">BMIDIFGRA2961</t>
  </si>
  <si>
    <t xml:space="preserve">Cell, Graphite, Graphitisation Tolling Fees, C≥90%, USD/Tonne, CIF United States (East Coast) (Diff)</t>
  </si>
  <si>
    <t xml:space="preserve">BMIDIFGRA2962</t>
  </si>
  <si>
    <t xml:space="preserve">Cell, Graphite, Flake Graphite, 94-95% C, -100 Mesh, CIF United States (East Coast) (Diff)</t>
  </si>
  <si>
    <t xml:space="preserve">BMIDIFMN3374</t>
  </si>
  <si>
    <t xml:space="preserve">BMIDIFMN3375</t>
  </si>
  <si>
    <t xml:space="preserve">BMIDIFNI3371</t>
  </si>
  <si>
    <t xml:space="preserve">BMIDIFNI3372</t>
  </si>
  <si>
    <t xml:space="preserve">BMIDIFNI3373</t>
  </si>
  <si>
    <t xml:space="preserve">BMIDIFSOL2936</t>
  </si>
  <si>
    <t xml:space="preserve">Cell, Solvent, 1,4-Butanediol BDO, CIF United States (East Coast) (Diff)</t>
  </si>
  <si>
    <t xml:space="preserve">BMIDIFSOL2937</t>
  </si>
  <si>
    <t xml:space="preserve">Cell, Solvent, GBL (γ-butyrolactone), CIF United States (East Coast) (Diff)</t>
  </si>
  <si>
    <t xml:space="preserve">BMIDIFSOL2938</t>
  </si>
  <si>
    <t xml:space="preserve">Cell, Solvent, Chloroethylene carbonate CEC, CIF United States (East Coast) (Diff)</t>
  </si>
  <si>
    <t xml:space="preserve">BMIDIFSOL2939</t>
  </si>
  <si>
    <t xml:space="preserve">Cell, Solvent, Fluoroethylene carbonate FEC, CIF United States (East Coast) (Diff)</t>
  </si>
  <si>
    <t xml:space="preserve">BMIDIFSOL2940</t>
  </si>
  <si>
    <t xml:space="preserve">Cell, Solvent, Vinylene carbonate VC, CIF United States (East Coast) (Diff)</t>
  </si>
  <si>
    <t xml:space="preserve">BMIDIFSOL2941</t>
  </si>
  <si>
    <t xml:space="preserve">Cell, Solvent, Ethyl methyl carbonate EMC, CIF United States (East Coast) (Diff)</t>
  </si>
  <si>
    <t xml:space="preserve">BMIDIFSOL2942</t>
  </si>
  <si>
    <t xml:space="preserve">Cell, Solvent, Ethylene carbonate EC, CIF United States (East Coast) (Diff)</t>
  </si>
  <si>
    <t xml:space="preserve">BMIDIFSOL2943</t>
  </si>
  <si>
    <t xml:space="preserve">Cell, Solvent, Diethyl carbonate DEC, CIF United States (East Coast) (Diff)</t>
  </si>
  <si>
    <t xml:space="preserve">BMIDIFSOL2944</t>
  </si>
  <si>
    <t xml:space="preserve">Cell, Solvent, Propylene carbonate PC, CIF United States (East Coast) (Diff)</t>
  </si>
  <si>
    <t xml:space="preserve">BMIDIFSOL2945</t>
  </si>
  <si>
    <t xml:space="preserve">Cell, Solvent, Dimethyl carbonate DMC, CIF United States (East Coast) (Diff)</t>
  </si>
  <si>
    <t xml:space="preserve">BMIDIFANO2929</t>
  </si>
  <si>
    <t xml:space="preserve">CIF United States (West Coast) (Diff)</t>
  </si>
  <si>
    <t xml:space="preserve">Cell, Anode, Synthetic Graphite Anode, Low (310-330 mAh/g), Min 99.70% C, USD/Tonne, CIF United States (West Coast) (Diff)</t>
  </si>
  <si>
    <t xml:space="preserve">BMIDIFANO2930</t>
  </si>
  <si>
    <t xml:space="preserve">Cell, Anode, Synthetic Graphite Anode, Medium (330-350 mAh/g), Min 99.95% C, USD/Tonne, CIF United States (West Coast) (Diff)</t>
  </si>
  <si>
    <t xml:space="preserve">BMIDIFANO2931</t>
  </si>
  <si>
    <t xml:space="preserve">Cell, Anode, Synthetic Graphite Anode, High (350-370 mAh/g), Min 99.97% C, USD/Tonne, CIF United States (West Coast) (Diff)</t>
  </si>
  <si>
    <t xml:space="preserve">BMIDIFANO2932</t>
  </si>
  <si>
    <t xml:space="preserve">Cell, Anode, Natural Graphite Anode, Low (345-360 mAh/g), Min 99.90% C, USD/Tonne, CIF United States (West Coast) (Diff)</t>
  </si>
  <si>
    <t xml:space="preserve">BMIDIFANO2933</t>
  </si>
  <si>
    <t xml:space="preserve">Cell, Anode, Natural Graphite Anode, Medium (360-370 mAh/g), Min 99.95% C, USD/Tonne, CIF United States (West Coast) (Diff)</t>
  </si>
  <si>
    <t xml:space="preserve">BMIDIFANO2934</t>
  </si>
  <si>
    <t xml:space="preserve">Cell, Anode, Natural Graphite Anode, High (360-370 mAh/g), Min 99.97% C, USD/Tonne, CIF United States (West Coast) (Diff)</t>
  </si>
  <si>
    <t xml:space="preserve">BMIDIFANO2935</t>
  </si>
  <si>
    <t xml:space="preserve">Cell, Anode, Silicon Oxide Anode, 5-10um, CIF United States (West Coast) (Diff)</t>
  </si>
  <si>
    <t xml:space="preserve">BMIDIFBAA2918</t>
  </si>
  <si>
    <t xml:space="preserve">Cell, Binders &amp; Additives, Polyacrylic acid (PAA), CIF United States (West Coast) (Diff)</t>
  </si>
  <si>
    <t xml:space="preserve">BMIDIFBAA2919</t>
  </si>
  <si>
    <t xml:space="preserve">Cell, Binders &amp; Additives, Molybdenum disulfide, CIF United States (West Coast) (Diff)</t>
  </si>
  <si>
    <t xml:space="preserve">BMIDIFBAA2920</t>
  </si>
  <si>
    <t xml:space="preserve">Cell, Binders &amp; Additives, PVP (polyvinyl pyrrolidone), CIF United States (West Coast) (Diff)</t>
  </si>
  <si>
    <t xml:space="preserve">BMIDIFBAA2921</t>
  </si>
  <si>
    <t xml:space="preserve">Cell, Binders &amp; Additives, Propylene sulfite, CIF United States (West Coast) (Diff)</t>
  </si>
  <si>
    <t xml:space="preserve">BMIDIFBAA2922</t>
  </si>
  <si>
    <t xml:space="preserve">Cell, Binders &amp; Additives, Lithium bis(fluorosulfonyl)imide (LiFSI), CIF United States (West Coast) (Diff)</t>
  </si>
  <si>
    <t xml:space="preserve">BMIDIFBAA2923</t>
  </si>
  <si>
    <t xml:space="preserve">Cell, Binders &amp; Additives, Carboxymethyl Cellulose, CIF United States (West Coast) (Diff)</t>
  </si>
  <si>
    <t xml:space="preserve">BMIDIFBAA2924</t>
  </si>
  <si>
    <t xml:space="preserve">Cell, Binders &amp; Additives, Polyvinylidene fluoride (PVDF), CIF United States (West Coast) (Diff)</t>
  </si>
  <si>
    <t xml:space="preserve">BMIDIFBAA2925</t>
  </si>
  <si>
    <t xml:space="preserve">Cell, Binders &amp; Additives, N-Methylpyrrolidone (NMP), CIF United States (West Coast) (Diff)</t>
  </si>
  <si>
    <t xml:space="preserve">BMIDIFBAA2926</t>
  </si>
  <si>
    <t xml:space="preserve">Cell, Binders &amp; Additives, Styrene butadiene rubber (SBR), CIF United States (West Coast) (Diff)</t>
  </si>
  <si>
    <t xml:space="preserve">BMIDIFBAA2927</t>
  </si>
  <si>
    <t xml:space="preserve">Cell, Binders &amp; Additives, Conductive Carbon Black (KS6), CIF United States (West Coast) (Diff)</t>
  </si>
  <si>
    <t xml:space="preserve">BMIDIFBAA2928</t>
  </si>
  <si>
    <t xml:space="preserve">Cell, Binders &amp; Additives, Conductive Carbon Black (SP), CIF United States (West Coast) (Diff)</t>
  </si>
  <si>
    <t xml:space="preserve">BMIDIFCAT2910</t>
  </si>
  <si>
    <t xml:space="preserve">Cell, Cathode, Cathode, LCO, ≥155 mAh/g, CIF United States (West Coast) (Diff)</t>
  </si>
  <si>
    <t xml:space="preserve">BMIDIFCAT2911</t>
  </si>
  <si>
    <t xml:space="preserve">Cell, Cathode, Cathode, LFP, ≥160 mAh/g, CIF United States (West Coast) (Diff)</t>
  </si>
  <si>
    <t xml:space="preserve">BMIDIFCAT2912</t>
  </si>
  <si>
    <t xml:space="preserve">Cell, Cathode, Cathode, NCA, ≥175 mAh/g, CIF United States (West Coast) (Diff)</t>
  </si>
  <si>
    <t xml:space="preserve">BMIDIFCAT2913</t>
  </si>
  <si>
    <t xml:space="preserve">Cell, Cathode, Cathode, NCM811, ≥200 mAh/g, CIF United States (West Coast) (Diff)</t>
  </si>
  <si>
    <t xml:space="preserve">BMIDIFCAT2914</t>
  </si>
  <si>
    <t xml:space="preserve">Cell, Cathode, Cathode, NCM622, 155-180 mAh/g, CIF United States (West Coast) (Diff)</t>
  </si>
  <si>
    <t xml:space="preserve">BMIDIFCAT2915</t>
  </si>
  <si>
    <t xml:space="preserve">Cell, Cathode, Cathode, NCM523, 150-170 mAh/g, CIF United States (West Coast) (Diff)</t>
  </si>
  <si>
    <t xml:space="preserve">BMIDIFCAT2916</t>
  </si>
  <si>
    <t xml:space="preserve">Cell, Cathode, Cathode, NCM111, 140-160 mAh/g, CIF United States (West Coast) (Diff)</t>
  </si>
  <si>
    <t xml:space="preserve">BMIDIFCAT2917</t>
  </si>
  <si>
    <t xml:space="preserve">Cell, Cathode, Cathode, NCM613, 170-200 mAh/g, CIF United States (West Coast) (Diff)</t>
  </si>
  <si>
    <t xml:space="preserve">BMIDIFELE2902</t>
  </si>
  <si>
    <t xml:space="preserve">BMIDIFELE2903</t>
  </si>
  <si>
    <t xml:space="preserve">BMIDIFELE2904</t>
  </si>
  <si>
    <t xml:space="preserve">Cell, Electrolyte, Additives, Lithium difluorooxalatoborate, CIF United States (West Coast) (Diff)</t>
  </si>
  <si>
    <t xml:space="preserve">BMIDIFELE2905</t>
  </si>
  <si>
    <t xml:space="preserve">Cell, Electrolyte, Additives, 1,3-Propane Sultone, CIF United States (West Coast) (Diff)</t>
  </si>
  <si>
    <t xml:space="preserve">BMIDIFELE2906</t>
  </si>
  <si>
    <t xml:space="preserve">Cell, Electrolyte, Additives, Vinyl sulfate, CIF United States (West Coast) (Diff)</t>
  </si>
  <si>
    <t xml:space="preserve">BMIDIFELE2907</t>
  </si>
  <si>
    <t xml:space="preserve">Cell, Electrolyte, Additives, Lithium tetrafluoroborate, CIF United States (West Coast) (Diff)</t>
  </si>
  <si>
    <t xml:space="preserve">BMIDIFELE2908</t>
  </si>
  <si>
    <t xml:space="preserve">Cell, Electrolyte, Additives, Lithium bis(oxalatoborate), CIF United States (West Coast) (Diff)</t>
  </si>
  <si>
    <t xml:space="preserve">BMIDIFELE2909</t>
  </si>
  <si>
    <t xml:space="preserve">Cell, Electrolyte, LiPF6, 0.9995, USD/Tonne, CIF United States (West Coast) (Diff)</t>
  </si>
  <si>
    <t xml:space="preserve">BMIDIFGRA2885</t>
  </si>
  <si>
    <t xml:space="preserve">BMIDIFGRA2886</t>
  </si>
  <si>
    <t xml:space="preserve">BMIDIFGRA2887</t>
  </si>
  <si>
    <t xml:space="preserve">BMIDIFGRA2888</t>
  </si>
  <si>
    <t xml:space="preserve">BMIDIFGRA2889</t>
  </si>
  <si>
    <t xml:space="preserve">BMIDIFGRA2890</t>
  </si>
  <si>
    <t xml:space="preserve">BMIDIFGRA2891</t>
  </si>
  <si>
    <t xml:space="preserve">BMIDIFGRA2892</t>
  </si>
  <si>
    <t xml:space="preserve">BMIDIFGRA2893</t>
  </si>
  <si>
    <t xml:space="preserve">BMIDIFGRA2894</t>
  </si>
  <si>
    <t xml:space="preserve">BMIDIFGRA2895</t>
  </si>
  <si>
    <t xml:space="preserve">BMIDIFGRA2896</t>
  </si>
  <si>
    <t xml:space="preserve">BMIDIFGRA2897</t>
  </si>
  <si>
    <t xml:space="preserve">BMIDIFGRA2898</t>
  </si>
  <si>
    <t xml:space="preserve">BMIDIFGRA2899</t>
  </si>
  <si>
    <t xml:space="preserve">BMIDIFGRA2900</t>
  </si>
  <si>
    <t xml:space="preserve">BMIDIFGRA2901</t>
  </si>
  <si>
    <t xml:space="preserve">BMIDIFSOL2875</t>
  </si>
  <si>
    <t xml:space="preserve">BMIDIFSOL2876</t>
  </si>
  <si>
    <t xml:space="preserve">BMIDIFSOL2877</t>
  </si>
  <si>
    <t xml:space="preserve">BMIDIFSOL2878</t>
  </si>
  <si>
    <t xml:space="preserve">BMIDIFSOL2879</t>
  </si>
  <si>
    <t xml:space="preserve">BMIDIFSOL2880</t>
  </si>
  <si>
    <t xml:space="preserve">BMIDIFSOL2881</t>
  </si>
  <si>
    <t xml:space="preserve">BMIDIFSOL2882</t>
  </si>
  <si>
    <t xml:space="preserve">BMIDIFSOL2883</t>
  </si>
  <si>
    <t xml:space="preserve">BMIDIFSOL2884</t>
  </si>
  <si>
    <t xml:space="preserve">BMIDIFAL3529</t>
  </si>
  <si>
    <t xml:space="preserve">CIF USA (Diff)</t>
  </si>
  <si>
    <t xml:space="preserve">BMIDIFAL3551</t>
  </si>
  <si>
    <t xml:space="preserve">Foils, Aluminium (Battery Grade), 10μm, CIF USA (Diff)</t>
  </si>
  <si>
    <t xml:space="preserve">BMIDIFAL3573</t>
  </si>
  <si>
    <t xml:space="preserve">BMIDIFCU3595</t>
  </si>
  <si>
    <t xml:space="preserve">BMIDIFCU3617</t>
  </si>
  <si>
    <t xml:space="preserve">BMIDIFLI3303</t>
  </si>
  <si>
    <t xml:space="preserve">BMIDIFLI3304</t>
  </si>
  <si>
    <t xml:space="preserve">BMIDIFLI3305</t>
  </si>
  <si>
    <t xml:space="preserve">BMIDIFLI3306</t>
  </si>
  <si>
    <t xml:space="preserve">BMIDIFLI3307</t>
  </si>
  <si>
    <t xml:space="preserve">BMIDIFPRE3308</t>
  </si>
  <si>
    <t xml:space="preserve">BMIDIFPRE3309</t>
  </si>
  <si>
    <t xml:space="preserve">BMIDIFPRE3310</t>
  </si>
  <si>
    <t xml:space="preserve">BMIDIFPRE3311</t>
  </si>
  <si>
    <t xml:space="preserve">BMIDIFPRE3312</t>
  </si>
  <si>
    <t xml:space="preserve">BMIDIFPRE3313</t>
  </si>
  <si>
    <t xml:space="preserve">BMIDIFPRE3314</t>
  </si>
  <si>
    <t xml:space="preserve">BMIDIFPRE3315</t>
  </si>
  <si>
    <t xml:space="preserve">BMIDIFPRE3316</t>
  </si>
  <si>
    <t xml:space="preserve">BMIDIFPRE3317</t>
  </si>
  <si>
    <t xml:space="preserve">BMIDIFPRE3318</t>
  </si>
  <si>
    <t xml:space="preserve">BMIDIFPRE3319</t>
  </si>
  <si>
    <t xml:space="preserve">BMIDIFAL3525</t>
  </si>
  <si>
    <t xml:space="preserve">CIF Vietnam (Diff)</t>
  </si>
  <si>
    <t xml:space="preserve">BMIDIFAL3547</t>
  </si>
  <si>
    <t xml:space="preserve">BMIDIFAL3569</t>
  </si>
  <si>
    <t xml:space="preserve">BMIDIFANO1953</t>
  </si>
  <si>
    <t xml:space="preserve">BMIDIFANO1954</t>
  </si>
  <si>
    <t xml:space="preserve">BMIDIFANO1955</t>
  </si>
  <si>
    <t xml:space="preserve">BMIDIFANO1956</t>
  </si>
  <si>
    <t xml:space="preserve">BMIDIFANO1957</t>
  </si>
  <si>
    <t xml:space="preserve">BMIDIFANO1958</t>
  </si>
  <si>
    <t xml:space="preserve">BMIDIFANO1959</t>
  </si>
  <si>
    <t xml:space="preserve">BMIDIFBAA1942</t>
  </si>
  <si>
    <t xml:space="preserve">BMIDIFBAA1943</t>
  </si>
  <si>
    <t xml:space="preserve">BMIDIFBAA1944</t>
  </si>
  <si>
    <t xml:space="preserve">BMIDIFBAA1945</t>
  </si>
  <si>
    <t xml:space="preserve">BMIDIFBAA1946</t>
  </si>
  <si>
    <t xml:space="preserve">BMIDIFBAA1947</t>
  </si>
  <si>
    <t xml:space="preserve">BMIDIFBAA1948</t>
  </si>
  <si>
    <t xml:space="preserve">BMIDIFBAA1949</t>
  </si>
  <si>
    <t xml:space="preserve">BMIDIFBAA1950</t>
  </si>
  <si>
    <t xml:space="preserve">BMIDIFBAA1951</t>
  </si>
  <si>
    <t xml:space="preserve">BMIDIFBAA1952</t>
  </si>
  <si>
    <t xml:space="preserve">BMIDIFCAT1934</t>
  </si>
  <si>
    <t xml:space="preserve">BMIDIFCAT1935</t>
  </si>
  <si>
    <t xml:space="preserve">BMIDIFCAT1936</t>
  </si>
  <si>
    <t xml:space="preserve">BMIDIFCAT1937</t>
  </si>
  <si>
    <t xml:space="preserve">$10,000</t>
  </si>
  <si>
    <t xml:space="preserve">BMIDIFCAT1938</t>
  </si>
  <si>
    <t xml:space="preserve">BMIDIFCAT1939</t>
  </si>
  <si>
    <t xml:space="preserve">BMIDIFCAT1940</t>
  </si>
  <si>
    <t xml:space="preserve">BMIDIFCAT1941</t>
  </si>
  <si>
    <t xml:space="preserve">BMIDIFCU3591</t>
  </si>
  <si>
    <t xml:space="preserve">BMIDIFCU3613</t>
  </si>
  <si>
    <t xml:space="preserve">BMIDIFELE1926</t>
  </si>
  <si>
    <t xml:space="preserve">BMIDIFELE1927</t>
  </si>
  <si>
    <t xml:space="preserve">BMIDIFELE1928</t>
  </si>
  <si>
    <t xml:space="preserve">BMIDIFELE1929</t>
  </si>
  <si>
    <t xml:space="preserve">BMIDIFELE1930</t>
  </si>
  <si>
    <t xml:space="preserve">BMIDIFELE1931</t>
  </si>
  <si>
    <t xml:space="preserve">BMIDIFELE1932</t>
  </si>
  <si>
    <t xml:space="preserve">BMIDIFELE1933</t>
  </si>
  <si>
    <t xml:space="preserve">BMIDIFGRA1909</t>
  </si>
  <si>
    <t xml:space="preserve">BMIDIFGRA1910</t>
  </si>
  <si>
    <t xml:space="preserve">BMIDIFGRA1911</t>
  </si>
  <si>
    <t xml:space="preserve">BMIDIFGRA1912</t>
  </si>
  <si>
    <t xml:space="preserve">BMIDIFGRA1913</t>
  </si>
  <si>
    <t xml:space="preserve">BMIDIFGRA1914</t>
  </si>
  <si>
    <t xml:space="preserve">BMIDIFGRA1915</t>
  </si>
  <si>
    <t xml:space="preserve">BMIDIFGRA1916</t>
  </si>
  <si>
    <t xml:space="preserve">BMIDIFGRA1917</t>
  </si>
  <si>
    <t xml:space="preserve">BMIDIFGRA1918</t>
  </si>
  <si>
    <t xml:space="preserve">BMIDIFGRA1919</t>
  </si>
  <si>
    <t xml:space="preserve">BMIDIFGRA1920</t>
  </si>
  <si>
    <t xml:space="preserve">BMIDIFGRA1921</t>
  </si>
  <si>
    <t xml:space="preserve">BMIDIFGRA1922</t>
  </si>
  <si>
    <t xml:space="preserve">BMIDIFGRA1923</t>
  </si>
  <si>
    <t xml:space="preserve">BMIDIFGRA1924</t>
  </si>
  <si>
    <t xml:space="preserve">BMIDIFGRA1925</t>
  </si>
  <si>
    <t xml:space="preserve">BMIDIFLI3235</t>
  </si>
  <si>
    <t xml:space="preserve">BMIDIFLI3236</t>
  </si>
  <si>
    <t xml:space="preserve">BMIDIFLI3237</t>
  </si>
  <si>
    <t xml:space="preserve">BMIDIFLI3238</t>
  </si>
  <si>
    <t xml:space="preserve">BMIDIFLI3239</t>
  </si>
  <si>
    <t xml:space="preserve">BMIDIFPRE3240</t>
  </si>
  <si>
    <t xml:space="preserve">BMIDIFPRE3241</t>
  </si>
  <si>
    <t xml:space="preserve">BMIDIFPRE3242</t>
  </si>
  <si>
    <t xml:space="preserve">BMIDIFPRE3243</t>
  </si>
  <si>
    <t xml:space="preserve">BMIDIFPRE3244</t>
  </si>
  <si>
    <t xml:space="preserve">BMIDIFPRE3245</t>
  </si>
  <si>
    <t xml:space="preserve">BMIDIFPRE3246</t>
  </si>
  <si>
    <t xml:space="preserve">BMIDIFPRE3247</t>
  </si>
  <si>
    <t xml:space="preserve">BMIDIFPRE3248</t>
  </si>
  <si>
    <t xml:space="preserve">BMIDIFPRE3249</t>
  </si>
  <si>
    <t xml:space="preserve">BMIDIFPRE3250</t>
  </si>
  <si>
    <t xml:space="preserve">BMIDIFPRE3251</t>
  </si>
  <si>
    <t xml:space="preserve">BMIDIFSOL1899</t>
  </si>
  <si>
    <t xml:space="preserve">BMIDIFSOL1900</t>
  </si>
  <si>
    <t xml:space="preserve">BMIDIFSOL1901</t>
  </si>
  <si>
    <t xml:space="preserve">BMIDIFSOL1902</t>
  </si>
  <si>
    <t xml:space="preserve">BMIDIFSOL1903</t>
  </si>
  <si>
    <t xml:space="preserve">BMIDIFSOL1904</t>
  </si>
  <si>
    <t xml:space="preserve">BMIDIFSOL1905</t>
  </si>
  <si>
    <t xml:space="preserve">BMIDIFSOL1906</t>
  </si>
  <si>
    <t xml:space="preserve">BMIDIFSOL1907</t>
  </si>
  <si>
    <t xml:space="preserve">BMIDIFSOL1908</t>
  </si>
  <si>
    <t xml:space="preserve">BMIDIFREE1037</t>
  </si>
  <si>
    <t xml:space="preserve">DDP China (Diff)</t>
  </si>
  <si>
    <t xml:space="preserve">BMIDIFREE1038</t>
  </si>
  <si>
    <t xml:space="preserve">BMIDIFREE1039</t>
  </si>
  <si>
    <t xml:space="preserve">BMIDIFREE1040</t>
  </si>
  <si>
    <t xml:space="preserve">Shipping Route</t>
  </si>
  <si>
    <t xml:space="preserve">Meshsize</t>
  </si>
  <si>
    <t xml:space="preserve">Capacity</t>
  </si>
  <si>
    <t xml:space="preserve">Default currency</t>
  </si>
  <si>
    <t xml:space="preserve">Is Sustainable</t>
  </si>
  <si>
    <t xml:space="preserve">Is spot</t>
  </si>
  <si>
    <t xml:space="preserve">Is IOSCO assured</t>
  </si>
  <si>
    <t xml:space="preserve">Product ID</t>
  </si>
  <si>
    <t xml:space="preserve">Market ID</t>
  </si>
  <si>
    <t xml:space="preserve">Market product id</t>
  </si>
  <si>
    <t xml:space="preserve">Shipping route ID</t>
  </si>
  <si>
    <t xml:space="preserve">Purity ID</t>
  </si>
  <si>
    <t xml:space="preserve">Unit of measure ID</t>
  </si>
  <si>
    <t xml:space="preserve">Price type ID</t>
  </si>
  <si>
    <t xml:space="preserve">Feedstock ID</t>
  </si>
  <si>
    <t xml:space="preserve">Mesh size ID</t>
  </si>
  <si>
    <t xml:space="preserve">Service ID</t>
  </si>
  <si>
    <t xml:space="preserve">Cell format ID</t>
  </si>
  <si>
    <t xml:space="preserve">Frequency ID</t>
  </si>
  <si>
    <t xml:space="preserve">Default currency ID</t>
  </si>
  <si>
    <t xml:space="preserve">Created at</t>
  </si>
  <si>
    <t xml:space="preserve">Updated at</t>
  </si>
  <si>
    <t xml:space="preserve">Product name</t>
  </si>
  <si>
    <t xml:space="preserve">Capacity ID</t>
  </si>
  <si>
    <t xml:space="preserve">Natural Graphite Anode; DDP China; High (360-370 mAh/g), min 99.97% C, (&gt;2.5C for EV); CNY/Tonne</t>
  </si>
  <si>
    <t xml:space="preserve">High (360-370 mAh/g), min 99.97% C, (&gt;2.5C for EV)</t>
  </si>
  <si>
    <t xml:space="preserve">a8188405-e7ea-4e9e-921d-c510271fb55c</t>
  </si>
  <si>
    <t xml:space="preserve">CNY</t>
  </si>
  <si>
    <t xml:space="preserve">7128f733-a82c-488d-94f8-41c880eb0d54</t>
  </si>
  <si>
    <t xml:space="preserve">2f741942-4d76-4a24-8614-bebf6406fd83</t>
  </si>
  <si>
    <t xml:space="preserve">7d3bd886-42be-4347-9ce9-656b1ef696f1</t>
  </si>
  <si>
    <t xml:space="preserve">90d24511-d91e-44c3-b1b0-65f97bf9f92d</t>
  </si>
  <si>
    <t xml:space="preserve">185a1575-d89d-4d28-b02e-982712a6f75d</t>
  </si>
  <si>
    <t xml:space="preserve">f945bd07-b82a-4c36-ba31-4901adccf0ef</t>
  </si>
  <si>
    <t xml:space="preserve">5595bb95-768d-4ebc-a1df-3c6be139eae5</t>
  </si>
  <si>
    <t xml:space="preserve">e01661f3-2840-425b-8275-f0bbd24ee572</t>
  </si>
  <si>
    <t xml:space="preserve">042b8108-9dd8-4265-a276-e951bf130f8d</t>
  </si>
  <si>
    <t xml:space="preserve">2025-10-10T15:46:53.096Z</t>
  </si>
  <si>
    <t xml:space="preserve">2025-10-21T23:43:47.289Z</t>
  </si>
  <si>
    <t xml:space="preserve">Natural Graphite Anode; DDP China; High (360-370 mAh/g), min 99.97% C; CNY/Tonne</t>
  </si>
  <si>
    <t xml:space="preserve">High (360-370 mAh/g), min 99.97% C</t>
  </si>
  <si>
    <t xml:space="preserve">d564ef24-f55f-4cd6-8f33-4d13a23197d8</t>
  </si>
  <si>
    <t xml:space="preserve">b7148ae7-7c09-495a-b517-c4892000f61a</t>
  </si>
  <si>
    <t xml:space="preserve">2025-06-20T16:26:08.695Z</t>
  </si>
  <si>
    <t xml:space="preserve">Natural Graphite Anode; DDP China; Low (345-360 mAh/g), min 99.90% C; CNY/Tonne</t>
  </si>
  <si>
    <t xml:space="preserve">Low (345-360 mAh/g), min 99.90% C</t>
  </si>
  <si>
    <t xml:space="preserve">30441ab4-eceb-4d0e-88d8-a17c9749aae1</t>
  </si>
  <si>
    <t xml:space="preserve">ce34e46f-c77a-41a7-9881-65c9177c908e</t>
  </si>
  <si>
    <t xml:space="preserve">Natural Graphite Anode; DDP China; Medium (360-370 mAh/g), min 99.95% C; CNY/Tonne</t>
  </si>
  <si>
    <t xml:space="preserve">Medium (360-370 mAh/g), min 99.95% C</t>
  </si>
  <si>
    <t xml:space="preserve">f82b451f-d335-4457-a6aa-5722adc4b69d</t>
  </si>
  <si>
    <t xml:space="preserve">f89d8c4a-b68c-4783-bead-6822ffed1b59</t>
  </si>
  <si>
    <t xml:space="preserve">Synthetic Graphite Anode; DDP China; High (350-370 mAh/g), min 99.97% C, (&gt;2.5C for EV); CNY/Tonne</t>
  </si>
  <si>
    <t xml:space="preserve">High (350-370 mAh/g), min 99.97% C, (&gt;2.5C for EV)</t>
  </si>
  <si>
    <t xml:space="preserve">fe6f7f19-c1aa-49f2-8c3c-6c09518398ff</t>
  </si>
  <si>
    <t xml:space="preserve">6433a716-dae3-45c5-8791-0b504bf344c0</t>
  </si>
  <si>
    <t xml:space="preserve">f65d9ace-f7aa-4094-b64b-75ea8da103fd</t>
  </si>
  <si>
    <t xml:space="preserve">98090ef1-8c6e-40f7-bf90-f4856b14ed63</t>
  </si>
  <si>
    <t xml:space="preserve">2025-10-10T15:41:41.147Z</t>
  </si>
  <si>
    <t xml:space="preserve">Synthetic Graphite Anode; DDP China; High (350-370 mAh/g), min 99.97% C; CNY/Tonne</t>
  </si>
  <si>
    <t xml:space="preserve">High (350-370 mAh/g), min 99.97% C</t>
  </si>
  <si>
    <t xml:space="preserve">c760c5d3-e267-40e2-9765-5dbfaae9690f</t>
  </si>
  <si>
    <t xml:space="preserve">289dba44-7df9-4d9c-9cc6-87888173a0e8</t>
  </si>
  <si>
    <t xml:space="preserve">Synthetic Graphite Anode; DDP China; Low (310-330 mAh/g), min 99.70% C; CNY/Tonne</t>
  </si>
  <si>
    <t xml:space="preserve">Low (310-330 mAh/g), min 99.70% C</t>
  </si>
  <si>
    <t xml:space="preserve">0dab71b6-b8b0-4afa-ad14-5351f5ced1e4</t>
  </si>
  <si>
    <t xml:space="preserve">636795c1-a4ba-4eda-b948-6f590950ceec</t>
  </si>
  <si>
    <t xml:space="preserve">Synthetic Graphite Anode; DDP China; Medium (330-350 mAh/g), min 99.95% C; CNY/Tonne</t>
  </si>
  <si>
    <t xml:space="preserve">Medium (330-350 mAh/g), min 99.95% C</t>
  </si>
  <si>
    <t xml:space="preserve">2e03d11c-15aa-46af-96d1-99f7bacd4e1b</t>
  </si>
  <si>
    <t xml:space="preserve">37f9ab7b-d333-4587-accd-9dbad5483e4e</t>
  </si>
  <si>
    <t xml:space="preserve">All Chemistries; CIF Asia; EOL; USD/Tonne</t>
  </si>
  <si>
    <t xml:space="preserve">CIF Asia</t>
  </si>
  <si>
    <t xml:space="preserve">All Chemistries</t>
  </si>
  <si>
    <t xml:space="preserve">EOL</t>
  </si>
  <si>
    <t xml:space="preserve">Weighted Average Price</t>
  </si>
  <si>
    <t xml:space="preserve">aaa3e65f-6b02-4c8f-9093-4d2f75ce2118</t>
  </si>
  <si>
    <t xml:space="preserve">2 Weeks</t>
  </si>
  <si>
    <t xml:space="preserve">ed158559-20c5-4bf2-960c-c6c799964356</t>
  </si>
  <si>
    <t xml:space="preserve">6c9b01f4-951f-41e4-92f2-a4d8b3a6dd0e</t>
  </si>
  <si>
    <t xml:space="preserve">877a3ee8-93c6-40c8-bb5d-8d8d425e57ad</t>
  </si>
  <si>
    <t xml:space="preserve">1afaa798-569f-4e67-9459-c56f7aa13697</t>
  </si>
  <si>
    <t xml:space="preserve">784516b1-c045-4fcf-b075-7bbd2050c379</t>
  </si>
  <si>
    <t xml:space="preserve">ce2d693a-1b1a-4f09-a02d-0ac14dba42f8</t>
  </si>
  <si>
    <t xml:space="preserve">6b5ee9a3-8c53-4ed0-af57-4970b36fb2c3</t>
  </si>
  <si>
    <t xml:space="preserve">8e5475a4-0124-43ef-9cb0-9dc03fe75ce8</t>
  </si>
  <si>
    <t xml:space="preserve">All Chemistries; CIF Asia; Process Scrap; USD/Tonne</t>
  </si>
  <si>
    <t xml:space="preserve">Process Scrap</t>
  </si>
  <si>
    <t xml:space="preserve">32244a3c-8571-4c37-8a4e-85810e5416af</t>
  </si>
  <si>
    <t xml:space="preserve">75df173c-f45c-4632-abdd-278dc092aeec</t>
  </si>
  <si>
    <t xml:space="preserve">All Chemistries; EXW China; EOL; USD/Tonne</t>
  </si>
  <si>
    <t xml:space="preserve">EXW China</t>
  </si>
  <si>
    <t xml:space="preserve">5d501f8b-fa64-4b27-8303-065ce661690f</t>
  </si>
  <si>
    <t xml:space="preserve">9ee78de0-8fb4-46c2-ba62-b9bf065ed924</t>
  </si>
  <si>
    <t xml:space="preserve">All Chemistries; EXW China; Process Scrap; USD/Tonne</t>
  </si>
  <si>
    <t xml:space="preserve">da473b26-7b59-46b8-b611-6e4bcbc01372</t>
  </si>
  <si>
    <t xml:space="preserve">All Chemistries; EXW North America; All Scrap; USD/Tonne</t>
  </si>
  <si>
    <t xml:space="preserve">EXW North America</t>
  </si>
  <si>
    <t xml:space="preserve">All Scrap</t>
  </si>
  <si>
    <t xml:space="preserve">20f56e9d-f43d-4684-a187-ace0b7961421</t>
  </si>
  <si>
    <t xml:space="preserve">2521a815-a729-4d17-9d10-da69f23e7013</t>
  </si>
  <si>
    <t xml:space="preserve">4e3f4833-aa5d-406f-b266-d8b8fc8b0098</t>
  </si>
  <si>
    <t xml:space="preserve">LCO; CIF Asia; All Scrap; USD/Tonne</t>
  </si>
  <si>
    <t xml:space="preserve">32551ef0-ec9d-4f34-9d1f-26cca45a0810</t>
  </si>
  <si>
    <t xml:space="preserve">a9a795ff-fc9f-42fa-b5cd-8e494f999946</t>
  </si>
  <si>
    <t xml:space="preserve">070cf6d8-e17d-11ee-b812-325096b39f47</t>
  </si>
  <si>
    <t xml:space="preserve">LCO; CIF Asia; Cobalt Metal; Payable; %</t>
  </si>
  <si>
    <t xml:space="preserve">Co</t>
  </si>
  <si>
    <t xml:space="preserve">Percentage</t>
  </si>
  <si>
    <t xml:space="preserve">7595b51b-a793-4742-b936-df73f09d876f</t>
  </si>
  <si>
    <t xml:space="preserve">b5f38c2b-6074-475e-9434-7568715eefd1</t>
  </si>
  <si>
    <t xml:space="preserve">67154b80-7d36-4cd3-a9f3-d135f44046bf</t>
  </si>
  <si>
    <t xml:space="preserve">40783b35-f8a2-4916-ae8e-df7790b3723c</t>
  </si>
  <si>
    <t xml:space="preserve">LCO; EXW China; All Scrap; USD/Tonne</t>
  </si>
  <si>
    <t xml:space="preserve">56f45cce-c6ed-49c2-80dd-acfc51c01993</t>
  </si>
  <si>
    <t xml:space="preserve">LCO; EXW China; Cobalt Sulphate; Payable; %</t>
  </si>
  <si>
    <t xml:space="preserve">CoSO4</t>
  </si>
  <si>
    <t xml:space="preserve">f69e781c-377c-4c8d-8cd2-57bae3a42357</t>
  </si>
  <si>
    <t xml:space="preserve">22cc24f2-ee37-402a-b8ab-5812a03b3b82</t>
  </si>
  <si>
    <t xml:space="preserve">2025-11-11T09:52:11.049Z</t>
  </si>
  <si>
    <t xml:space="preserve">LCO; EXW China; Cobalt Sulphate; USD/Tonne</t>
  </si>
  <si>
    <t xml:space="preserve">6bb16938-2dc2-41ec-82bd-a8ee897e9b9c</t>
  </si>
  <si>
    <t xml:space="preserve">2025-11-11T09:52:26.986Z</t>
  </si>
  <si>
    <t xml:space="preserve">LCO; EXW China; Lithium Carbonate Equivalent; Payable; %</t>
  </si>
  <si>
    <t xml:space="preserve">LCE</t>
  </si>
  <si>
    <t xml:space="preserve">2ca14a13-54ca-423b-a821-7a55388b9778</t>
  </si>
  <si>
    <t xml:space="preserve">9181113e-e170-4c62-a669-b45a186d9ea3</t>
  </si>
  <si>
    <t xml:space="preserve">2025-11-11T09:54:03.358Z</t>
  </si>
  <si>
    <t xml:space="preserve">LCO; EXW China; Lithium Carbonate Equivalent; USD/Tonne</t>
  </si>
  <si>
    <t xml:space="preserve">d9d08987-110d-4f7b-98cf-b3c933af1b9d</t>
  </si>
  <si>
    <t xml:space="preserve">2025-11-11T09:54:35.275Z</t>
  </si>
  <si>
    <t xml:space="preserve">LCO; EXW North America; Cobalt Metal; Payable; %</t>
  </si>
  <si>
    <t xml:space="preserve">199ea015-853a-439a-812e-1c6b07f7fdfc</t>
  </si>
  <si>
    <t xml:space="preserve">LFP; EXW China; All Scrap; USD/Tonne</t>
  </si>
  <si>
    <t xml:space="preserve">c2c19fcd-f001-4e10-99a1-aa65443f1271</t>
  </si>
  <si>
    <t xml:space="preserve">0fd44570-39a0-4738-b9af-c3b6005d20c0</t>
  </si>
  <si>
    <t xml:space="preserve">070cf840-e17d-11ee-82ae-325096b39f47</t>
  </si>
  <si>
    <t xml:space="preserve">LFP; EXW China; Li Price per Percentage Point; CNY/Tonne</t>
  </si>
  <si>
    <t xml:space="preserve">Li Price per Percentage Point</t>
  </si>
  <si>
    <t xml:space="preserve">Fixed Price</t>
  </si>
  <si>
    <t xml:space="preserve">1c2ef416-b33d-4a82-bd8c-8b97027dc6d5</t>
  </si>
  <si>
    <t xml:space="preserve">17713617-be84-4b02-a5d8-4a9b55a494d8</t>
  </si>
  <si>
    <t xml:space="preserve">b53df3a8-33e7-4d57-b3bb-cd6bcf38c0c4</t>
  </si>
  <si>
    <t xml:space="preserve">NCM; CIF Asia; All Scrap; USD/Tonne</t>
  </si>
  <si>
    <t xml:space="preserve">NCM</t>
  </si>
  <si>
    <t xml:space="preserve">018c1456-1e18-495e-9dfd-ca747683176a</t>
  </si>
  <si>
    <t xml:space="preserve">098b3df8-e17c-11ee-8a89-325096b39f47</t>
  </si>
  <si>
    <t xml:space="preserve">070cf5e8-e17d-11ee-a326-325096b39f47</t>
  </si>
  <si>
    <t xml:space="preserve">NCM; CIF Asia; Cobalt Metal; Payable; %</t>
  </si>
  <si>
    <t xml:space="preserve">e3d77eb9-46e2-43f2-a768-51b1c53d5a2d</t>
  </si>
  <si>
    <t xml:space="preserve">NCM; CIF Asia; Nickel Metal; Payable; %</t>
  </si>
  <si>
    <t xml:space="preserve">Ni</t>
  </si>
  <si>
    <t xml:space="preserve">9af67b81-5925-4f89-a4ca-6662f44528a6</t>
  </si>
  <si>
    <t xml:space="preserve">630b3a6a-81bf-410c-b63d-12b02433c96f</t>
  </si>
  <si>
    <t xml:space="preserve">NCM; EXW China; All Scrap; USD/Tonne</t>
  </si>
  <si>
    <t xml:space="preserve">99284448-b0a1-4251-bf24-ccc187d42c07</t>
  </si>
  <si>
    <t xml:space="preserve">NCM; EXW China; Cobalt Sulphate; Payable; %</t>
  </si>
  <si>
    <t xml:space="preserve">6e458994-5ebc-4641-9052-fd256f2f5cbd</t>
  </si>
  <si>
    <t xml:space="preserve">2025-11-11T09:55:27.177Z</t>
  </si>
  <si>
    <t xml:space="preserve">NCM; EXW China; Cobalt Sulphate; USD/Tonne</t>
  </si>
  <si>
    <t xml:space="preserve">4334b220-668a-40c9-a7d5-5147b4742a93</t>
  </si>
  <si>
    <t xml:space="preserve">2025-11-11T09:55:41.580Z</t>
  </si>
  <si>
    <t xml:space="preserve">NCM; EXW China; Lithium Carbonate Equivalent; Payable; %</t>
  </si>
  <si>
    <t xml:space="preserve">714e3eb8-4568-4cb2-a6e8-a62d7cb29340</t>
  </si>
  <si>
    <t xml:space="preserve">2025-11-11T09:56:04.004Z</t>
  </si>
  <si>
    <t xml:space="preserve">NCM; EXW China; Lithium Carbonate Equivalent; USD/Tonne</t>
  </si>
  <si>
    <t xml:space="preserve">164ba6a8-f2f3-4d18-9fbd-c41f240fb4d1</t>
  </si>
  <si>
    <t xml:space="preserve">2025-11-11T09:56:12.374Z</t>
  </si>
  <si>
    <t xml:space="preserve">NCM; EXW China; Nickel Sulphate; Payable; %</t>
  </si>
  <si>
    <t xml:space="preserve">NiSO4</t>
  </si>
  <si>
    <t xml:space="preserve">82f6277c-9855-42d9-89eb-2e7179f05b89</t>
  </si>
  <si>
    <t xml:space="preserve">05bf8386-df42-4546-ade7-594e1dbab8f0</t>
  </si>
  <si>
    <t xml:space="preserve">2025-11-11T09:56:50.286Z</t>
  </si>
  <si>
    <t xml:space="preserve">NCM; EXW China; Nickel Sulphate; USD/Tonne</t>
  </si>
  <si>
    <t xml:space="preserve">857262a4-06a2-4c8e-917f-fc3ee6f8f8d6</t>
  </si>
  <si>
    <t xml:space="preserve">2025-11-11T09:56:41.993Z</t>
  </si>
  <si>
    <t xml:space="preserve">NCM; EXW Europe; Cobalt Metal; Payable; %</t>
  </si>
  <si>
    <t xml:space="preserve">EXW Europe</t>
  </si>
  <si>
    <t xml:space="preserve">63ac2d2d-61b6-474d-824a-9bc8298cb8b1</t>
  </si>
  <si>
    <t xml:space="preserve">eb58ef10-0fdb-4e8e-8ae8-8a382cc80092</t>
  </si>
  <si>
    <t xml:space="preserve">NCM; EXW Europe; Nickel Metal; Payable; %</t>
  </si>
  <si>
    <t xml:space="preserve">ad12fb12-ce9d-4f3c-9e2a-48f1ab64fdc7</t>
  </si>
  <si>
    <t xml:space="preserve">NCM; EXW North America; Cobalt Metal; Payable; %</t>
  </si>
  <si>
    <t xml:space="preserve">70076db0-c4fa-4112-9298-79e96e9c6ca0</t>
  </si>
  <si>
    <t xml:space="preserve">NCM; EXW North America; Nickel Metal; Payable; %</t>
  </si>
  <si>
    <t xml:space="preserve">efcf86df-6cd4-45fa-a0b1-0d3a76b38b03</t>
  </si>
  <si>
    <t xml:space="preserve">LCO, ≥155 mAh/g; DDP China; CNY/Tonne</t>
  </si>
  <si>
    <t xml:space="preserve">LCO, ≥155 mAh/g</t>
  </si>
  <si>
    <t xml:space="preserve">21125ef9-a0b1-46c9-9575-782370c54041</t>
  </si>
  <si>
    <t xml:space="preserve">450f2090-4bd6-49e5-bf70-79436c6fb7ed</t>
  </si>
  <si>
    <t xml:space="preserve">6da77da2-f6e6-411b-bca4-b929d1639841</t>
  </si>
  <si>
    <t xml:space="preserve">58bfae0c-6bf7-4476-8178-465cc987356a</t>
  </si>
  <si>
    <t xml:space="preserve">LFP, ≥160 mAh/g; DDP China; CNY/Tonne</t>
  </si>
  <si>
    <t xml:space="preserve">LFP, ≥160 mAh/g</t>
  </si>
  <si>
    <t xml:space="preserve">a9f6b203-6e17-465a-98b8-ed5c3d98ef64</t>
  </si>
  <si>
    <t xml:space="preserve">10a60f49-22ff-42ee-9b8c-2119cee3af3e</t>
  </si>
  <si>
    <t xml:space="preserve">00cf87e0-625e-4746-a480-36f78c4d73a8</t>
  </si>
  <si>
    <t xml:space="preserve">NCA, ≥175 mAh/g; DDP China; CNY/Tonne</t>
  </si>
  <si>
    <t xml:space="preserve">NCA, ≥175 mAh/g</t>
  </si>
  <si>
    <t xml:space="preserve">e0dd267e-11d4-4a0c-ac7d-f03fc255d929</t>
  </si>
  <si>
    <t xml:space="preserve">f3ea917c-1f58-4aa3-a7e4-9034c6287fa3</t>
  </si>
  <si>
    <t xml:space="preserve">469dec72-47c8-4001-9b6a-bc4496951b7c</t>
  </si>
  <si>
    <t xml:space="preserve">NCM111, 140-160 mAh/g; DDP China; CNY/Tonne</t>
  </si>
  <si>
    <t xml:space="preserve">NCM111, 140-160 mAh/g</t>
  </si>
  <si>
    <t xml:space="preserve">fef0d57e-d8b8-411b-96bc-b2fb37842340</t>
  </si>
  <si>
    <t xml:space="preserve">de154130-d663-41db-bb9b-01bbed2b4771</t>
  </si>
  <si>
    <t xml:space="preserve">cffa4cb3-3da9-4d51-b27c-c25d45d906b5</t>
  </si>
  <si>
    <t xml:space="preserve">NCM523, 150-170 mAh/g; DDP China; CNY/Tonne</t>
  </si>
  <si>
    <t xml:space="preserve">NCM523, 150-170 mAh/g</t>
  </si>
  <si>
    <t xml:space="preserve">2904df75-d7b4-4175-8983-40fea47b4628</t>
  </si>
  <si>
    <t xml:space="preserve">583695f1-0f96-4986-aebe-1b03f802fe1a</t>
  </si>
  <si>
    <t xml:space="preserve">a9873eeb-6f39-41ce-b66f-f70eaebbb72f</t>
  </si>
  <si>
    <t xml:space="preserve">NCM613, 170-200 mAh/g; DDP China; CNY/Tonne</t>
  </si>
  <si>
    <t xml:space="preserve">NCM613, 170-200 mAh/g</t>
  </si>
  <si>
    <t xml:space="preserve">98b889ec-94f7-4432-a624-66d47b504e19</t>
  </si>
  <si>
    <t xml:space="preserve">44cf2509-6928-45f2-8d4e-fa529f886ab9</t>
  </si>
  <si>
    <t xml:space="preserve">fad6677c-13c8-4ee8-b8dd-6a4c3c2b1dd2</t>
  </si>
  <si>
    <t xml:space="preserve">NCM622, 155-180 mAh/g; DDP China; CNY/Tonne</t>
  </si>
  <si>
    <t xml:space="preserve">NCM622, 155-180 mAh/g</t>
  </si>
  <si>
    <t xml:space="preserve">428f7dd9-04eb-41a8-897e-82c3fdcd97d5</t>
  </si>
  <si>
    <t xml:space="preserve">6887ce61-5a43-4592-ae96-e88fe68fb0bb</t>
  </si>
  <si>
    <t xml:space="preserve">cca7d23f-1d6f-4193-966e-539d143c3df3</t>
  </si>
  <si>
    <t xml:space="preserve">NCM811, ≥200 mAh/g; DDP China; CNY/Tonne</t>
  </si>
  <si>
    <t xml:space="preserve">NCM811, ≥200 mAh/g</t>
  </si>
  <si>
    <t xml:space="preserve">fc548a31-2b78-4d3c-b031-27a3f2b3460c</t>
  </si>
  <si>
    <t xml:space="preserve">3f0b7a76-78da-4cf7-a07e-1a593f6bafbe</t>
  </si>
  <si>
    <t xml:space="preserve">e92ce7df-29d8-4fb7-b422-62f2c765e5a5</t>
  </si>
  <si>
    <t xml:space="preserve">Cobalt Hydroxide; CIF Asia; Min 20%; Price Daily; USD/Tonne</t>
  </si>
  <si>
    <t xml:space="preserve">Min 20%</t>
  </si>
  <si>
    <t xml:space="preserve">Price Daily</t>
  </si>
  <si>
    <t xml:space="preserve">90578511-9842-4fe4-b18e-a6e1826cbf8c</t>
  </si>
  <si>
    <t xml:space="preserve">Daily</t>
  </si>
  <si>
    <t xml:space="preserve">b7f1d77e-f665-43d0-ab1b-79b894a3f0e8</t>
  </si>
  <si>
    <t xml:space="preserve">c9cc90d5-9239-42b6-9985-4ca500070e84</t>
  </si>
  <si>
    <t xml:space="preserve">c3e486bb-eac0-40aa-ad07-1e7c9532dfe8</t>
  </si>
  <si>
    <t xml:space="preserve">06876638-ec6b-4cc9-9c62-39a00f731b9a</t>
  </si>
  <si>
    <t xml:space="preserve">d44ad02a-1c35-4415-84b7-47fbe507fb29</t>
  </si>
  <si>
    <t xml:space="preserve">da8359a8-1109-4d73-84e6-85e929efffdf</t>
  </si>
  <si>
    <t xml:space="preserve">2025-07-30T16:05:13.944Z</t>
  </si>
  <si>
    <t xml:space="preserve">Cobalt Hydroxide; CIF Asia; Min 20%; USD/Tonne</t>
  </si>
  <si>
    <t xml:space="preserve">389851f0-7a2b-4d83-bea9-40a3fe83e42e</t>
  </si>
  <si>
    <t xml:space="preserve">1 Week</t>
  </si>
  <si>
    <t xml:space="preserve">6df801ff-eb29-451a-b854-740cb1024675</t>
  </si>
  <si>
    <t xml:space="preserve">Cobalt Metal; EXW Europe; Min 99.8%; Price Daily; USD/Tonne</t>
  </si>
  <si>
    <t xml:space="preserve">Min 99.8%</t>
  </si>
  <si>
    <t xml:space="preserve">f8f47cf2-3dd8-4d83-900b-945b6de9928d</t>
  </si>
  <si>
    <t xml:space="preserve">cd25ba85-6fe7-480e-89be-d4111dddc5a8</t>
  </si>
  <si>
    <t xml:space="preserve">a8c9f0e5-290b-47a0-ad02-7efc2afd2995</t>
  </si>
  <si>
    <t xml:space="preserve">6ca38941-32ba-4480-b649-0ad8943629a6</t>
  </si>
  <si>
    <t xml:space="preserve">2025-10-24T13:53:29.519Z</t>
  </si>
  <si>
    <t xml:space="preserve">Cobalt Metal; EXW Europe; Min 99.8%; USD/Tonne</t>
  </si>
  <si>
    <t xml:space="preserve">d7fa88a3-aea1-4665-adb9-08688b6ed37f</t>
  </si>
  <si>
    <t xml:space="preserve">2025-11-03T11:27:48.145Z</t>
  </si>
  <si>
    <t xml:space="preserve">Cobalt Oxide; EXW China; Min 72.8%; CNY/Tonne</t>
  </si>
  <si>
    <t xml:space="preserve">Min 72.8%</t>
  </si>
  <si>
    <t xml:space="preserve">fd27e82d-a5b4-4318-ba73-000156bc7176</t>
  </si>
  <si>
    <t xml:space="preserve">b18b1dc0-cad1-43b2-8f22-b594c5108575</t>
  </si>
  <si>
    <t xml:space="preserve">e3a28e93-5290-4575-bdff-0d08ac12ff6b</t>
  </si>
  <si>
    <t xml:space="preserve">e6bef89f-92e1-4b04-9fbe-89dd7b24178f</t>
  </si>
  <si>
    <t xml:space="preserve">Cobalt Sulphate; EXW China; Min 20.5%; CNY/Tonne</t>
  </si>
  <si>
    <t xml:space="preserve">Min 20.5%</t>
  </si>
  <si>
    <t xml:space="preserve">13f5e865-1aff-41b2-ab7d-d70feb3b269c</t>
  </si>
  <si>
    <t xml:space="preserve">2e65abe9-094f-4ec5-88e6-3f136b9b599b</t>
  </si>
  <si>
    <t xml:space="preserve">d1bda447-b250-4b0d-86b2-001b22e8288c</t>
  </si>
  <si>
    <t xml:space="preserve">1d462131-5943-4782-bb00-52b4cea48134</t>
  </si>
  <si>
    <t xml:space="preserve">Mixed Hydroxide Precipitate; CIF Asia; Aggregate MHP; USD/Tonne</t>
  </si>
  <si>
    <t xml:space="preserve">Mixed Hydroxide Precipitate</t>
  </si>
  <si>
    <t xml:space="preserve">Aggregate MHP</t>
  </si>
  <si>
    <t xml:space="preserve">6dc58fe3-cc11-4877-b8b3-619f1ddef753</t>
  </si>
  <si>
    <t xml:space="preserve">5eef4ff8-b489-4f76-a7f7-6809914636cb</t>
  </si>
  <si>
    <t xml:space="preserve">8c3a8aaf-e98c-4e0e-b38c-6485fe12d347</t>
  </si>
  <si>
    <t xml:space="preserve">7e00faaa-355c-40f0-84dc-885aaa9e99c2</t>
  </si>
  <si>
    <t xml:space="preserve">Mixed Hydroxide Precipitate; CIF Asia; Min 1%; Payable; %</t>
  </si>
  <si>
    <t xml:space="preserve">Min 1%</t>
  </si>
  <si>
    <t xml:space="preserve">605beffd-f539-491d-9cd9-52ca78b1d1cf</t>
  </si>
  <si>
    <t xml:space="preserve">c603a99e-583a-4866-b94b-91a5157b963e</t>
  </si>
  <si>
    <t xml:space="preserve">LiPF6; EXW China; 99.95%; CNY/Tonne</t>
  </si>
  <si>
    <t xml:space="preserve">ecb0ed51-b1b7-4efa-a441-dafd342214d6</t>
  </si>
  <si>
    <t xml:space="preserve">e6922306-3f5c-4896-b1f1-d4e20ffb86d4</t>
  </si>
  <si>
    <t xml:space="preserve">4304a4f2-a5ae-4c49-8a2f-0118670b96b0</t>
  </si>
  <si>
    <t xml:space="preserve">2da54a7a-d4a1-44be-a3d4-6522577ef414</t>
  </si>
  <si>
    <t xml:space="preserve">1d9c6dc5-749e-4a03-9010-0c298c578931</t>
  </si>
  <si>
    <t xml:space="preserve">Lithium Carbonate; CIF Asia (combined); Min 99.2%; USD/Tonne</t>
  </si>
  <si>
    <t xml:space="preserve">Min 99.2%</t>
  </si>
  <si>
    <t xml:space="preserve">7536cf37-c8d1-4ee3-a73b-395a304ef23b</t>
  </si>
  <si>
    <t xml:space="preserve">5c3bf58d-1000-4073-8a95-ff6a244dd096</t>
  </si>
  <si>
    <t xml:space="preserve">4e00cc0a-f668-41ad-8913-83cdee389b9f</t>
  </si>
  <si>
    <t xml:space="preserve">4b63da9f-1be7-4d82-9635-7ff5db813660</t>
  </si>
  <si>
    <t xml:space="preserve">88e3e662-370c-4a33-afdf-fe7fa79f68f0</t>
  </si>
  <si>
    <t xml:space="preserve">Lithium Carbonate; CIF Asia (contract); Min 99.2%; USD/Tonne</t>
  </si>
  <si>
    <t xml:space="preserve">CIF Asia (contract)</t>
  </si>
  <si>
    <t xml:space="preserve">85f9f5f9-b8fb-42ed-a839-71f966b0d69d</t>
  </si>
  <si>
    <t xml:space="preserve">0972a2be-3e9e-47dd-9dfa-32a916e5817f</t>
  </si>
  <si>
    <t xml:space="preserve">Lithium Carbonate; CIF Asia (spot); Min 99.0%; USD/Tonne</t>
  </si>
  <si>
    <t xml:space="preserve">CIF Asia (spot)</t>
  </si>
  <si>
    <t xml:space="preserve">Min 99.0%</t>
  </si>
  <si>
    <t xml:space="preserve">a2f27e08-2f33-4f20-91f1-18c5103cdce9</t>
  </si>
  <si>
    <t xml:space="preserve">c1bc3f26-bb0c-46e3-bb06-eb128a548681</t>
  </si>
  <si>
    <t xml:space="preserve">2566d4be-0478-48d8-a618-9fdda22643cb</t>
  </si>
  <si>
    <t xml:space="preserve">5c7f2d17-cae5-47f9-8e2f-abd141970e7b</t>
  </si>
  <si>
    <t xml:space="preserve">Lithium Carbonate; CIF Asia (spot); Min 99.2%; USD/Tonne</t>
  </si>
  <si>
    <t xml:space="preserve">db0d88b8-b25d-4fca-b1cd-9d2bb5953fec</t>
  </si>
  <si>
    <t xml:space="preserve">Lithium Carbonate; CIF Asia (spot); Min 99.5%; Price Daily; USD/Tonne</t>
  </si>
  <si>
    <t xml:space="preserve">Min 99.5%</t>
  </si>
  <si>
    <t xml:space="preserve">7615f854-1eea-4442-a112-197b641492bd</t>
  </si>
  <si>
    <t xml:space="preserve">65ca4002-a9a0-4342-951a-72c98fb1a7f1</t>
  </si>
  <si>
    <t xml:space="preserve">2025-07-30T16:01:52.877Z</t>
  </si>
  <si>
    <t xml:space="preserve">2025-10-29T16:43:35.453Z</t>
  </si>
  <si>
    <t xml:space="preserve">Lithium Carbonate; CIF EU (contract); Min 99.0%; USD/Tonne</t>
  </si>
  <si>
    <t xml:space="preserve">CIF EU (contract)</t>
  </si>
  <si>
    <t xml:space="preserve">1756c55a-550c-4bf2-991a-49876fdc206f</t>
  </si>
  <si>
    <t xml:space="preserve">4246ee79-4040-4f21-8820-613712c3df41</t>
  </si>
  <si>
    <t xml:space="preserve">Lithium Carbonate; CIF EU (spot); Min 99.0%; USD/Tonne</t>
  </si>
  <si>
    <t xml:space="preserve">CIF EU (spot)</t>
  </si>
  <si>
    <t xml:space="preserve">db3cf1ba-239e-4e08-b625-47923a52b02f</t>
  </si>
  <si>
    <t xml:space="preserve">d9d2573f-eaa5-4607-8910-d01804f5fb42</t>
  </si>
  <si>
    <t xml:space="preserve">Lithium Carbonate; CIF N America (contract); Min 99.0%; USD/Tonne</t>
  </si>
  <si>
    <t xml:space="preserve">CIF N America (contract)</t>
  </si>
  <si>
    <t xml:space="preserve">e78947c4-aa31-42cf-9cf0-ae0bcfa29c7d</t>
  </si>
  <si>
    <t xml:space="preserve">a4ced543-b5ec-42b8-ab84-3be4044b2f3f</t>
  </si>
  <si>
    <t xml:space="preserve">Lithium Carbonate; CIF N America (spot); Min 99.0%; USD/Tonne</t>
  </si>
  <si>
    <t xml:space="preserve">CIF N America (spot)</t>
  </si>
  <si>
    <t xml:space="preserve">1e8ff09c-6449-4390-aca0-ddd2d7dfc8d1</t>
  </si>
  <si>
    <t xml:space="preserve">f8351af4-ebfc-4537-9341-c1b9935cc287</t>
  </si>
  <si>
    <t xml:space="preserve">Lithium Carbonate; EXW China; Min 99.0%; Technical; CNY/Tonne</t>
  </si>
  <si>
    <t xml:space="preserve">Technical</t>
  </si>
  <si>
    <t xml:space="preserve">3c7544f0-1402-4b75-b17c-7e2a60dff3b3</t>
  </si>
  <si>
    <t xml:space="preserve">Lithium Carbonate; EXW China; Min 99.5%; Battery; CNY/Tonne</t>
  </si>
  <si>
    <t xml:space="preserve">Battery</t>
  </si>
  <si>
    <t xml:space="preserve">f3ca712b-b72f-4172-992a-664d28375514</t>
  </si>
  <si>
    <t xml:space="preserve">Lithium Carbonate; EXW China; Min 99.5%; Battery; Price Daily; CNY/Tonne</t>
  </si>
  <si>
    <t xml:space="preserve">8952f230-f6af-4830-b198-9962b0299f33</t>
  </si>
  <si>
    <t xml:space="preserve">2025-08-29T12:29:38.648Z</t>
  </si>
  <si>
    <t xml:space="preserve">2025-11-03T11:34:46.565Z</t>
  </si>
  <si>
    <t xml:space="preserve">Lithium Carbonate; EXW China; Min 99.5%; Daily Price Indicator; Battery; USD/Tonne</t>
  </si>
  <si>
    <t xml:space="preserve">Daily Price Indicator</t>
  </si>
  <si>
    <t xml:space="preserve">fd8dc1df-ab27-4850-8e96-f454c1e0ac0d</t>
  </si>
  <si>
    <t xml:space="preserve">57b3876f-7387-4ac8-bdde-20168c1776de</t>
  </si>
  <si>
    <t xml:space="preserve">Lithium Carbonate; FOB S America; Min 99.0%; USD/Tonne</t>
  </si>
  <si>
    <t xml:space="preserve">FOB S America</t>
  </si>
  <si>
    <t xml:space="preserve">f1adc9bf-dc8d-4fb1-811b-328f8169bb83</t>
  </si>
  <si>
    <t xml:space="preserve">bece2914-715a-4915-a925-93cb1ab53160</t>
  </si>
  <si>
    <t xml:space="preserve">Lithium Carbonate; Min 99.0%; Global Weighted Average; USD/Tonne</t>
  </si>
  <si>
    <t xml:space="preserve">Global Weighted Average</t>
  </si>
  <si>
    <t xml:space="preserve">822e2841-d3ab-47c5-b329-4f9b1c53d4d8</t>
  </si>
  <si>
    <t xml:space="preserve">3dbce625-63e1-4d29-91fc-81bb73071c47</t>
  </si>
  <si>
    <t xml:space="preserve">Lithium Hydroxide; CIF Asia (combined); Min 56.5%; USD/Tonne</t>
  </si>
  <si>
    <t xml:space="preserve">Min 56.5%</t>
  </si>
  <si>
    <t xml:space="preserve">b072c04b-94f9-4952-952d-a810b9dd3968</t>
  </si>
  <si>
    <t xml:space="preserve">7552e628-92be-46b1-8c55-90c114deef46</t>
  </si>
  <si>
    <t xml:space="preserve">1a5d58e7-3eca-42c3-a12a-de4e011299f7</t>
  </si>
  <si>
    <t xml:space="preserve">fb88282e-21a3-40eb-8b21-1c33f681d790</t>
  </si>
  <si>
    <t xml:space="preserve">Lithium Hydroxide; CIF Asia (contract); Min 56.5%; USD/Tonne</t>
  </si>
  <si>
    <t xml:space="preserve">d9192169-a777-4b08-91ef-48036a125a16</t>
  </si>
  <si>
    <t xml:space="preserve">Lithium Hydroxide; CIF Asia (spot); Min 56.5%; Price Daily; USD/Tonne</t>
  </si>
  <si>
    <t xml:space="preserve">bc0372ae-56c6-42de-a1ee-566a4cdd0723</t>
  </si>
  <si>
    <t xml:space="preserve">2025-07-30T15:59:39.387Z</t>
  </si>
  <si>
    <t xml:space="preserve">2025-11-03T11:37:39.654Z</t>
  </si>
  <si>
    <t xml:space="preserve">Lithium Hydroxide; CIF Asia (spot); Min 56.5%; USD/Tonne</t>
  </si>
  <si>
    <t xml:space="preserve">7bb67648-6a82-48b3-afae-059ffe9613b9</t>
  </si>
  <si>
    <t xml:space="preserve">Lithium Hydroxide; CIF EU (contract); Min 55.0%; USD/Tonne</t>
  </si>
  <si>
    <t xml:space="preserve">Min 55.0%</t>
  </si>
  <si>
    <t xml:space="preserve">253b4b51-8304-4fce-a3db-7cc9b96b2253</t>
  </si>
  <si>
    <t xml:space="preserve">89fbb75f-8b6a-4898-b0fb-ee7dd865ab4a</t>
  </si>
  <si>
    <t xml:space="preserve">Lithium Hydroxide; CIF EU (spot); Min 55.0%; USD/Tonne</t>
  </si>
  <si>
    <t xml:space="preserve">571c926a-c63c-4a02-9818-32fda18c6c00</t>
  </si>
  <si>
    <t xml:space="preserve">Lithium Hydroxide; CIF N America (contract); Min 55.0%; USD/Tonne</t>
  </si>
  <si>
    <t xml:space="preserve">6eeec160-0fec-4513-9ddd-913fdbd24dd1</t>
  </si>
  <si>
    <t xml:space="preserve">Lithium Hydroxide; CIF N America (spot); Min 55.0%; USD/Tonne</t>
  </si>
  <si>
    <t xml:space="preserve">a1dfe425-4e44-4e15-9ca7-f8a43cf268ba</t>
  </si>
  <si>
    <t xml:space="preserve">Lithium Hydroxide; EXW China; Min 56.5%; CNY/Tonne</t>
  </si>
  <si>
    <t xml:space="preserve">8cb95705-7f91-44b2-94ba-220e65347b33</t>
  </si>
  <si>
    <t xml:space="preserve">Lithium Hydroxide; EXW China; Min 56.5%; Price Daily; CNY/Tonne</t>
  </si>
  <si>
    <t xml:space="preserve">772492e1-e0cd-4fac-b588-2359b8dd31ed</t>
  </si>
  <si>
    <t xml:space="preserve">2025-08-29T12:30:56.402Z</t>
  </si>
  <si>
    <t xml:space="preserve">2025-11-03T11:36:59.294Z</t>
  </si>
  <si>
    <t xml:space="preserve">Lithium Hydroxide; Min 55.0%; Global Weighted Average; USD/Tonne</t>
  </si>
  <si>
    <t xml:space="preserve">f23ea327-0e23-447e-8c18-11ca302140f3</t>
  </si>
  <si>
    <t xml:space="preserve">Spodumene; FOB Australia; 6%; Price Daily; USD/Tonne</t>
  </si>
  <si>
    <t xml:space="preserve">FOB Australia</t>
  </si>
  <si>
    <t xml:space="preserve">Spodumene</t>
  </si>
  <si>
    <t xml:space="preserve">f4d95614-a51b-48f3-bfaa-c0f92f423d8b</t>
  </si>
  <si>
    <t xml:space="preserve">bee03c82-e7ad-4080-929c-bfca69b3fd10</t>
  </si>
  <si>
    <t xml:space="preserve">57b5e5cb-bf19-4e3d-b5e2-e3536df7a453</t>
  </si>
  <si>
    <t xml:space="preserve">53bb04f2-9033-41b5-b4ec-2ba7dab7085a</t>
  </si>
  <si>
    <t xml:space="preserve">650a2c1d-d50e-4d07-b13d-39a928effa43</t>
  </si>
  <si>
    <t xml:space="preserve">2025-07-30T16:03:17.572Z</t>
  </si>
  <si>
    <t xml:space="preserve">Spodumene; FOB Australia; 6%; USD/Tonne</t>
  </si>
  <si>
    <t xml:space="preserve">81a3f0d8-2dcc-459d-9ae6-ffecec5dc13e</t>
  </si>
  <si>
    <t xml:space="preserve">Lithium ion Battery Cell</t>
  </si>
  <si>
    <t xml:space="preserve">EV; Global Weighted Average; USD/kWh</t>
  </si>
  <si>
    <t xml:space="preserve">EV</t>
  </si>
  <si>
    <t xml:space="preserve">kWh</t>
  </si>
  <si>
    <t xml:space="preserve">96615b72-76ab-44c6-a64a-579678e39ca6</t>
  </si>
  <si>
    <t xml:space="preserve">f517dda0-3a1f-4e67-91f1-1823ecaa084e</t>
  </si>
  <si>
    <t xml:space="preserve">6daf310d-5782-4b18-a549-604b41bdc683</t>
  </si>
  <si>
    <t xml:space="preserve">c11495ce-26c0-478f-a0c7-bbdeffface98</t>
  </si>
  <si>
    <t xml:space="preserve">4404ca2b-b080-456a-88bb-f99b1f179f59</t>
  </si>
  <si>
    <t xml:space="preserve">2025-07-08T19:43:39.381Z</t>
  </si>
  <si>
    <t xml:space="preserve">LCO; EXW Asia; Pouch; USD/kWh</t>
  </si>
  <si>
    <t xml:space="preserve">EXW Asia</t>
  </si>
  <si>
    <t xml:space="preserve">7a764293-8fa6-4701-ae27-437921433fe9</t>
  </si>
  <si>
    <t xml:space="preserve">Pouch</t>
  </si>
  <si>
    <t xml:space="preserve">1b920f00-3fe9-425b-9d9d-74a6866b4939</t>
  </si>
  <si>
    <t xml:space="preserve">12d38d93-dda2-4850-83ab-49855ee57d3e</t>
  </si>
  <si>
    <t xml:space="preserve">15bd1b21-06e4-4086-be0f-b2f47a5148c7</t>
  </si>
  <si>
    <t xml:space="preserve">LCO; EXW China; Pouch; USD/kWh</t>
  </si>
  <si>
    <t xml:space="preserve">c1c7abab-0b00-4248-aa62-3b5fbab13b48</t>
  </si>
  <si>
    <t xml:space="preserve">LFP; EXW China; Cylindrical; USD/kWh</t>
  </si>
  <si>
    <t xml:space="preserve">887af56f-b429-4db8-a7ce-76e62f620172</t>
  </si>
  <si>
    <t xml:space="preserve">Cylindrical</t>
  </si>
  <si>
    <t xml:space="preserve">81ddbcfc-c809-4a4b-8831-d9262d2dbaa4</t>
  </si>
  <si>
    <t xml:space="preserve">89d352c9-6652-414a-89e8-eef4f127c355</t>
  </si>
  <si>
    <t xml:space="preserve">LFP; EXW China; Prismatic; 314Ah; Price; kWh</t>
  </si>
  <si>
    <t xml:space="preserve">93e20bed-bec9-4fde-a55d-0b4fa6411442</t>
  </si>
  <si>
    <t xml:space="preserve">Prismatic</t>
  </si>
  <si>
    <t xml:space="preserve">314Ah</t>
  </si>
  <si>
    <t xml:space="preserve">c49b1db5-b306-452e-8858-74957824c25e</t>
  </si>
  <si>
    <t xml:space="preserve">2025-11-04T22:51:18.371Z</t>
  </si>
  <si>
    <t xml:space="preserve">64138945-21e6-4581-84ba-fe3a934f6354</t>
  </si>
  <si>
    <t xml:space="preserve">LFP; EXW China; Prismatic; USD/kWh</t>
  </si>
  <si>
    <t xml:space="preserve">bf14bce1-5e67-49f9-8890-0bb78b164f5b</t>
  </si>
  <si>
    <t xml:space="preserve">LFP; Global Weighted Average; USD/kWh</t>
  </si>
  <si>
    <t xml:space="preserve">085eb9d8-271b-4206-b29f-178c86d3062e</t>
  </si>
  <si>
    <t xml:space="preserve">2025-07-08T19:43:18.097Z</t>
  </si>
  <si>
    <t xml:space="preserve">Lithium Ion Battery; Global Weighted Average; USD/kWh</t>
  </si>
  <si>
    <t xml:space="preserve">Lithium Ion Battery</t>
  </si>
  <si>
    <t xml:space="preserve">498fa2d8-29f4-444e-b6ce-e2e782d51252</t>
  </si>
  <si>
    <t xml:space="preserve">4048ee6d-3c98-4336-ac12-8579976eba3b</t>
  </si>
  <si>
    <t xml:space="preserve">df710dff-97b8-4ebc-a72c-47f0ddbecb21</t>
  </si>
  <si>
    <t xml:space="preserve">NCA; EXW Asia; Cylindrical; USD/kWh</t>
  </si>
  <si>
    <t xml:space="preserve">225ccf23-7606-41bd-88ca-842eda17ebde</t>
  </si>
  <si>
    <t xml:space="preserve">0f8d3e98-040f-42a6-90fd-4872b5976055</t>
  </si>
  <si>
    <t xml:space="preserve">af6b71c0-16da-4083-bf65-a943151a805c</t>
  </si>
  <si>
    <t xml:space="preserve">NCA; EXW Asia; Pouch; USD/kWh</t>
  </si>
  <si>
    <t xml:space="preserve">fe750fe5-5fe1-46c3-ac83-6e9350e0acbe</t>
  </si>
  <si>
    <t xml:space="preserve">NCA; EXW Asia; Prismatic; USD/kWh</t>
  </si>
  <si>
    <t xml:space="preserve">29402fb8-7fd0-4718-848f-ff011e6464a1</t>
  </si>
  <si>
    <t xml:space="preserve">NCA; EXW China; Pouch; USD/kWh</t>
  </si>
  <si>
    <t xml:space="preserve">801381c6-0b70-4a5f-b97d-ea54e33e85cc</t>
  </si>
  <si>
    <t xml:space="preserve">NCA; EXW China; Prismatic; USD/kWh</t>
  </si>
  <si>
    <t xml:space="preserve">f9a0b2d5-525a-479e-969e-638b70bb9a9b</t>
  </si>
  <si>
    <t xml:space="preserve">NCA; EXW Europe; Pouch; USD/kWh</t>
  </si>
  <si>
    <t xml:space="preserve">91962361-3f79-4029-8985-821c3292ae81</t>
  </si>
  <si>
    <t xml:space="preserve">NCA; EXW Europe; Prismatic; USD/kWh</t>
  </si>
  <si>
    <t xml:space="preserve">011467ae-ca58-4fca-96df-9ba2d71f72d4</t>
  </si>
  <si>
    <t xml:space="preserve">NCA; EXW North America; Cylindrical; USD/kWh</t>
  </si>
  <si>
    <t xml:space="preserve">cd968a77-d913-4a49-a4b6-aca09a752bc9</t>
  </si>
  <si>
    <t xml:space="preserve">NCA; EXW North America; Pouch; USD/kWh</t>
  </si>
  <si>
    <t xml:space="preserve">503c2f9a-4cd5-4234-b0dc-f614a752f74a</t>
  </si>
  <si>
    <t xml:space="preserve">NCA; EXW North America; Prismatic; USD/kWh</t>
  </si>
  <si>
    <t xml:space="preserve">3b79b8b3-907d-4a30-95cf-3cc47b6f54a9</t>
  </si>
  <si>
    <t xml:space="preserve">NCA; Global Weighted Average; USD/kWh</t>
  </si>
  <si>
    <t xml:space="preserve">910131c5-2d72-4820-a023-6dbeebd7e5b1</t>
  </si>
  <si>
    <t xml:space="preserve">2025-07-08T19:42:42.483Z</t>
  </si>
  <si>
    <t xml:space="preserve">NCM111; EXW Asia; Pouch; USD/kWh</t>
  </si>
  <si>
    <t xml:space="preserve">bf647406-6f14-4564-8e32-1918e2b94578</t>
  </si>
  <si>
    <t xml:space="preserve">a42c8ac7-2e50-4a24-aebb-ecffe307282a</t>
  </si>
  <si>
    <t xml:space="preserve">044d1724-02d7-472b-ade5-f9aa0adf5c29</t>
  </si>
  <si>
    <t xml:space="preserve">NCM111; EXW Asia; Prismatic; USD/kWh</t>
  </si>
  <si>
    <t xml:space="preserve">5eac6a40-ca6e-46f1-85ff-fee70fabac96</t>
  </si>
  <si>
    <t xml:space="preserve">NCM111; EXW China; Pouch; USD/kWh</t>
  </si>
  <si>
    <t xml:space="preserve">db11825d-ab43-42cf-bb7f-21331c1ca3fb</t>
  </si>
  <si>
    <t xml:space="preserve">NCM111; EXW China; Prismatic; USD/kWh</t>
  </si>
  <si>
    <t xml:space="preserve">9ead22c0-b94c-4f42-8aeb-0f1a7147c31e</t>
  </si>
  <si>
    <t xml:space="preserve">NCM111; EXW Europe; Pouch; USD/kWh</t>
  </si>
  <si>
    <t xml:space="preserve">8006a1b9-17d4-4fc3-bb8d-63ebf2e36991</t>
  </si>
  <si>
    <t xml:space="preserve">NCM111; EXW Europe; Prismatic; USD/kWh</t>
  </si>
  <si>
    <t xml:space="preserve">8cda2407-37dc-4ef8-8922-ea9b249dda27</t>
  </si>
  <si>
    <t xml:space="preserve">NCM111; EXW North America; Pouch; USD/kWh</t>
  </si>
  <si>
    <t xml:space="preserve">f2992688-ab96-4005-9b99-a66c66d97d83</t>
  </si>
  <si>
    <t xml:space="preserve">NCM111; EXW North America; Prismatic; USD/kWh</t>
  </si>
  <si>
    <t xml:space="preserve">3b476ff0-81ec-404c-af69-41a23390a9ac</t>
  </si>
  <si>
    <t xml:space="preserve">NCM523; EXW Asia; Pouch; USD/kWh</t>
  </si>
  <si>
    <t xml:space="preserve">a11d3816-9778-4fb4-ab0c-af7f23ea055b</t>
  </si>
  <si>
    <t xml:space="preserve">7eae9c7a-e209-4642-8681-237721d9853c</t>
  </si>
  <si>
    <t xml:space="preserve">81f7ae07-dbfe-4447-b290-753151cc5a4d</t>
  </si>
  <si>
    <t xml:space="preserve">NCM523; EXW Asia; Prismatic; USD/kWh</t>
  </si>
  <si>
    <t xml:space="preserve">25f5390b-b37d-4a90-b026-7989c88b23df</t>
  </si>
  <si>
    <t xml:space="preserve">NCM523; EXW China; Pouch; USD/kWh</t>
  </si>
  <si>
    <t xml:space="preserve">766521f8-ac8a-486a-b988-6ea975fe2552</t>
  </si>
  <si>
    <t xml:space="preserve">NCM523; EXW China; Prismatic; USD/kWh</t>
  </si>
  <si>
    <t xml:space="preserve">7bbf238b-19da-4b92-8239-d72984a6fc7e</t>
  </si>
  <si>
    <t xml:space="preserve">NCM523; EXW Europe; Pouch; USD/kWh</t>
  </si>
  <si>
    <t xml:space="preserve">d7208017-d2d1-46f6-aa22-70830755c6cf</t>
  </si>
  <si>
    <t xml:space="preserve">NCM523; EXW Europe; Prismatic; USD/kWh</t>
  </si>
  <si>
    <t xml:space="preserve">4554968d-2cb1-4c85-bd04-02beb6a773fe</t>
  </si>
  <si>
    <t xml:space="preserve">NCM523; EXW North America; Pouch; USD/kWh</t>
  </si>
  <si>
    <t xml:space="preserve">322ecdeb-f07d-4b24-814d-79a867ee54fc</t>
  </si>
  <si>
    <t xml:space="preserve">NCM523; EXW North America; Prismatic; USD/kWh</t>
  </si>
  <si>
    <t xml:space="preserve">02241e93-96dc-41c0-8f42-3d3eb3cff0d8</t>
  </si>
  <si>
    <t xml:space="preserve">NCM622; EXW Asia; Pouch; USD/kWh</t>
  </si>
  <si>
    <t xml:space="preserve">3afcfc1b-8672-49ba-91a5-7043286332d5</t>
  </si>
  <si>
    <t xml:space="preserve">5ac9826e-1d24-4df2-be83-b8bdf6b942f4</t>
  </si>
  <si>
    <t xml:space="preserve">5a057fa8-8a85-42c4-bd63-841f35fe4b81</t>
  </si>
  <si>
    <t xml:space="preserve">NCM622; EXW Asia; Prismatic; USD/kWh</t>
  </si>
  <si>
    <t xml:space="preserve">9c9dec85-08fb-4f24-8681-ad7b44823e60</t>
  </si>
  <si>
    <t xml:space="preserve">NCM622; EXW China; Pouch; USD/kWh</t>
  </si>
  <si>
    <t xml:space="preserve">b42010f8-8b38-434e-861a-48e4fab31c31</t>
  </si>
  <si>
    <t xml:space="preserve">NCM622; EXW China; Prismatic; USD/kWh</t>
  </si>
  <si>
    <t xml:space="preserve">8c6cecc1-b4a4-4fd5-9c0a-bee145ee5f1a</t>
  </si>
  <si>
    <t xml:space="preserve">NCM622; EXW Europe; Pouch; USD/kWh</t>
  </si>
  <si>
    <t xml:space="preserve">e578da38-f8db-4081-87f2-a96525eef934</t>
  </si>
  <si>
    <t xml:space="preserve">NCM622; EXW Europe; Prismatic; USD/kWh</t>
  </si>
  <si>
    <t xml:space="preserve">f5fe430e-1757-44b9-bc95-9f15c220b568</t>
  </si>
  <si>
    <t xml:space="preserve">NCM622; EXW North America; Pouch; USD/kWh</t>
  </si>
  <si>
    <t xml:space="preserve">614b693c-c797-4c74-98f9-b102e6213864</t>
  </si>
  <si>
    <t xml:space="preserve">NCM622; EXW North America; Prismatic; USD/kWh</t>
  </si>
  <si>
    <t xml:space="preserve">3a785b96-f416-4247-80fa-0699e52877cb</t>
  </si>
  <si>
    <t xml:space="preserve">NCM811; EXW Asia; Cylindrical; USD/kWh</t>
  </si>
  <si>
    <t xml:space="preserve">14471f5b-d20f-42bb-8a1b-704e3574455a</t>
  </si>
  <si>
    <t xml:space="preserve">6f8d3d00-16b8-47de-826b-3e7839d90411</t>
  </si>
  <si>
    <t xml:space="preserve">3cf2d998-801a-49cc-92af-171ab35a9530</t>
  </si>
  <si>
    <t xml:space="preserve">NCM811; EXW Asia; Pouch; USD/kWh</t>
  </si>
  <si>
    <t xml:space="preserve">f288f688-bd09-465a-bccd-de8c43241b38</t>
  </si>
  <si>
    <t xml:space="preserve">NCM811; EXW Asia; Prismatic; USD/kWh</t>
  </si>
  <si>
    <t xml:space="preserve">52e34673-68ee-4c1d-b2d8-53943d3e0b30</t>
  </si>
  <si>
    <t xml:space="preserve">NCM811; EXW China; Cylindrical; USD/kWh</t>
  </si>
  <si>
    <t xml:space="preserve">915e52f7-15f0-42b8-977c-22aa7641808c</t>
  </si>
  <si>
    <t xml:space="preserve">NCM811; EXW China; Pouch; USD/kWh</t>
  </si>
  <si>
    <t xml:space="preserve">f14f3683-1363-41ef-9c95-1c9a27b38346</t>
  </si>
  <si>
    <t xml:space="preserve">NCM811; EXW China; Prismatic; USD/kWh</t>
  </si>
  <si>
    <t xml:space="preserve">a883063d-3a23-43fe-bbc8-1155e6a83da8</t>
  </si>
  <si>
    <t xml:space="preserve">NCM811; EXW Europe; Cylindrical; USD/kWh</t>
  </si>
  <si>
    <t xml:space="preserve">e96b8a12-5bd3-46c5-9d1a-3e0003871ebc</t>
  </si>
  <si>
    <t xml:space="preserve">NCM811; EXW Europe; Pouch; USD/kWh</t>
  </si>
  <si>
    <t xml:space="preserve">84be35fd-ad87-439a-b100-ed18308f4591</t>
  </si>
  <si>
    <t xml:space="preserve">NCM811; EXW Europe; Prismatic; USD/kWh</t>
  </si>
  <si>
    <t xml:space="preserve">c270e902-8538-4059-8507-e58315f83629</t>
  </si>
  <si>
    <t xml:space="preserve">NCM811; EXW North America; Cylindrical; USD/kWh</t>
  </si>
  <si>
    <t xml:space="preserve">3cd44de7-31bb-4ecc-96b2-10514f233f35</t>
  </si>
  <si>
    <t xml:space="preserve">NCM811; EXW North America; Pouch; USD/kWh</t>
  </si>
  <si>
    <t xml:space="preserve">3b129bd5-aa3b-409c-8d85-a19401a3f27b</t>
  </si>
  <si>
    <t xml:space="preserve">NCM811; EXW North America; Prismatic; USD/kWh</t>
  </si>
  <si>
    <t xml:space="preserve">fa5671a7-3383-4a8d-aa69-deb3043275d1</t>
  </si>
  <si>
    <t xml:space="preserve">NCM; Global Weighted Average; USD/kWh</t>
  </si>
  <si>
    <t xml:space="preserve">ca674a7b-f6fc-48c5-8226-75624999b4cd</t>
  </si>
  <si>
    <t xml:space="preserve">64c5a5a3-c314-493f-bd07-1c52b0dcf123</t>
  </si>
  <si>
    <t xml:space="preserve">2025-07-08T19:41:53.976Z</t>
  </si>
  <si>
    <t xml:space="preserve">Manganese Sulphate; EXW China; 32%; CNY/Tonne</t>
  </si>
  <si>
    <t xml:space="preserve">e986fd4d-a3e4-4255-99e3-bc1db505e0c3</t>
  </si>
  <si>
    <t xml:space="preserve">756fcf48-22db-4bed-90f5-510a871956e1</t>
  </si>
  <si>
    <t xml:space="preserve">1414d90f-2b95-42a6-b48c-f230265e705a</t>
  </si>
  <si>
    <t xml:space="preserve">9ec77254-66a8-4729-a518-aed4886a55da</t>
  </si>
  <si>
    <t xml:space="preserve">62b1d38b-554f-49c7-ba5f-0b37e2952bcd</t>
  </si>
  <si>
    <t xml:space="preserve">Natural Graphite</t>
  </si>
  <si>
    <t xml:space="preserve">Flake; CIF N America; 94-95% C; -100 mesh; USD/Tonne</t>
  </si>
  <si>
    <t xml:space="preserve">CIF N America</t>
  </si>
  <si>
    <t xml:space="preserve">Flake</t>
  </si>
  <si>
    <t xml:space="preserve">9811d167-936a-476f-9488-605a4cdd093d</t>
  </si>
  <si>
    <t xml:space="preserve">-100 mesh</t>
  </si>
  <si>
    <t xml:space="preserve">8264fe0d-181b-4737-8e0f-917c388fb243</t>
  </si>
  <si>
    <t xml:space="preserve">f065b3c4-8a71-435a-ac50-c21d37f7ea49</t>
  </si>
  <si>
    <t xml:space="preserve">44ea4418-3461-4fd9-a2a6-6e8d2da91c2b</t>
  </si>
  <si>
    <t xml:space="preserve">77447cc0-c111-4416-8fe0-f08eec9a314a</t>
  </si>
  <si>
    <t xml:space="preserve">03484d7c-bb21-4ca2-a7ba-0a68c3d46823</t>
  </si>
  <si>
    <t xml:space="preserve">d8cdbe96-04f6-4d06-b414-8f0dda02475a</t>
  </si>
  <si>
    <t xml:space="preserve">Flake; DDP China; 94-95% C; -100 mesh; CNY/Tonne</t>
  </si>
  <si>
    <t xml:space="preserve">d85b5214-b502-43e6-bd44-aca3ec6c7751</t>
  </si>
  <si>
    <t xml:space="preserve">Flake; DDP China; 94-95% C; +100 mesh; CNY/Tonne</t>
  </si>
  <si>
    <t xml:space="preserve">8ce94cf2-8ce8-4f67-a3cd-1aa9822c907d</t>
  </si>
  <si>
    <t xml:space="preserve">+100 mesh</t>
  </si>
  <si>
    <t xml:space="preserve">1c3da8a8-0fcb-4b38-806d-7da43d7f4cc7</t>
  </si>
  <si>
    <t xml:space="preserve">Flake; FOB China; 90-93% C; -100 mesh; USD/Tonne</t>
  </si>
  <si>
    <t xml:space="preserve">FOB China</t>
  </si>
  <si>
    <t xml:space="preserve">884e614e-1663-4143-a947-f1464e610494</t>
  </si>
  <si>
    <t xml:space="preserve">4c402644-a7cd-4b5a-92e7-84f4d88985a9</t>
  </si>
  <si>
    <t xml:space="preserve">bdebabd3-3f24-4e51-8f45-6214f7f34373</t>
  </si>
  <si>
    <t xml:space="preserve">Flake; FOB China; 90-93% C; +100 mesh; USD/Tonne</t>
  </si>
  <si>
    <t xml:space="preserve">ca86517c-2b3f-45e4-9caa-d4bbaf80f80a</t>
  </si>
  <si>
    <t xml:space="preserve">Flake; FOB China; 90-93% C; +80 mesh; USD/Tonne</t>
  </si>
  <si>
    <t xml:space="preserve">2cfe5327-22a1-45be-a23e-cb21295cd8be</t>
  </si>
  <si>
    <t xml:space="preserve">+80 mesh</t>
  </si>
  <si>
    <t xml:space="preserve">fdfc6bae-bae7-4b47-b02f-0c0c363e1370</t>
  </si>
  <si>
    <t xml:space="preserve">Flake; FOB China; 94-95% C; -100 mesh; USD/Tonne</t>
  </si>
  <si>
    <t xml:space="preserve">b52245ee-395d-460c-b1c3-e8eb78e2a423</t>
  </si>
  <si>
    <t xml:space="preserve">Flake; FOB China; 94-95% C; +100 mesh; USD/Tonne</t>
  </si>
  <si>
    <t xml:space="preserve">ddf34bbb-5b99-4571-a0ae-07039aab62e0</t>
  </si>
  <si>
    <t xml:space="preserve">Flake; FOB China; 94-95% C; +50 mesh; USD/Tonne</t>
  </si>
  <si>
    <t xml:space="preserve">84f13a9b-aba7-4e34-9bde-5cc3f4fb3044</t>
  </si>
  <si>
    <t xml:space="preserve">+50 mesh</t>
  </si>
  <si>
    <t xml:space="preserve">afb36125-1ee3-4ff2-983f-818c101d9b3e</t>
  </si>
  <si>
    <t xml:space="preserve">Flake; FOB China; 94-95% C; +80 mesh; USD/Tonne</t>
  </si>
  <si>
    <t xml:space="preserve">123ba6c6-5cf0-4348-a6ff-6734f76e160a</t>
  </si>
  <si>
    <t xml:space="preserve">Flake; FOB China; 96-97% C; -100 mesh; USD/Tonne</t>
  </si>
  <si>
    <t xml:space="preserve">96-97% C</t>
  </si>
  <si>
    <t xml:space="preserve">3a16b3da-852a-4492-b622-d669803a0055</t>
  </si>
  <si>
    <t xml:space="preserve">571a0c1f-ef50-4499-8fb4-5ea0475dd6c3</t>
  </si>
  <si>
    <t xml:space="preserve">Flake; FOB China; 96-97% C; +100 mesh; USD/Tonne</t>
  </si>
  <si>
    <t xml:space="preserve">101fba3f-5da9-4858-8482-975b74292745</t>
  </si>
  <si>
    <t xml:space="preserve">Flake; FOB China; 96-97% C; +50 mesh; USD/Tonne</t>
  </si>
  <si>
    <t xml:space="preserve">c6cbdd47-9e02-457c-a474-5846ff0c1f7d</t>
  </si>
  <si>
    <t xml:space="preserve">Flake; FOB China; 96-97% C; +80 mesh; USD/Tonne</t>
  </si>
  <si>
    <t xml:space="preserve">6fb22ef7-a2a3-4862-b517-962916b92f20</t>
  </si>
  <si>
    <t xml:space="preserve">Flake; FOB East Africa; 94-95% C; -100 mesh; USD/Tonne</t>
  </si>
  <si>
    <t xml:space="preserve">FOB East Africa</t>
  </si>
  <si>
    <t xml:space="preserve">8a900a80-b81a-423e-b72d-40d11a7401f9</t>
  </si>
  <si>
    <t xml:space="preserve">530d5ea1-922a-4cd1-9b2d-c3743afcaaf5</t>
  </si>
  <si>
    <t xml:space="preserve">2025-07-18T09:50:40.856Z</t>
  </si>
  <si>
    <t xml:space="preserve">Flake; FOB East Africa; 94-95% C; +80 mesh; USD/Tonne</t>
  </si>
  <si>
    <t xml:space="preserve">952c690a-aafc-49ed-bf44-f1d951418dc6</t>
  </si>
  <si>
    <t xml:space="preserve">2025-07-18T09:48:54.237Z</t>
  </si>
  <si>
    <t xml:space="preserve">Spherical Uncoated; FOB China; 99.95%; 10 microns; USD/Tonne</t>
  </si>
  <si>
    <t xml:space="preserve">Spherical Uncoated</t>
  </si>
  <si>
    <t xml:space="preserve">59b63e25-6362-4ac8-88fc-e404d3b479f4</t>
  </si>
  <si>
    <t xml:space="preserve">689b8e90-724d-489e-869f-ea1b37886805</t>
  </si>
  <si>
    <t xml:space="preserve">0b0ef3f8-8263-494e-8280-7164053f775d</t>
  </si>
  <si>
    <t xml:space="preserve">70d7f265-82fe-4688-902e-2a607058efe0</t>
  </si>
  <si>
    <t xml:space="preserve">Spherical Uncoated; FOB China; 99.95%; 15 microns; USD/Tonne</t>
  </si>
  <si>
    <t xml:space="preserve">9ce329bc-c275-467a-9a08-9efdc4056f9b</t>
  </si>
  <si>
    <t xml:space="preserve">15 microns</t>
  </si>
  <si>
    <t xml:space="preserve">0c9b4a00-e640-452a-8440-ee0714980e56</t>
  </si>
  <si>
    <t xml:space="preserve">Spherical Uncoated; FOB China; 99.95%; 25 microns; USD/Tonne</t>
  </si>
  <si>
    <t xml:space="preserve">77ee9ccd-72ab-4e2f-9e14-ad0aec68d2c3</t>
  </si>
  <si>
    <t xml:space="preserve">a397131e-6831-4090-b3e3-67765e6c58b6</t>
  </si>
  <si>
    <t xml:space="preserve">43456ee8-892a-401b-9470-fdd557e4a619</t>
  </si>
  <si>
    <t xml:space="preserve">0056f58d-ea61-4234-8bbc-75ce46c4370b</t>
  </si>
  <si>
    <t xml:space="preserve">ce213e2c-71de-4557-8c37-6e9f7026e829</t>
  </si>
  <si>
    <t xml:space="preserve">Mixed Hydroxide Precipitate; CIF Asia (Fixed Price); Min 35%; USD/Tonne</t>
  </si>
  <si>
    <t xml:space="preserve">CIF Asia (Fixed Price)</t>
  </si>
  <si>
    <t xml:space="preserve">Min 35%</t>
  </si>
  <si>
    <t xml:space="preserve">63b4692c-fbf8-43a3-85d8-a3f41dd5d28a</t>
  </si>
  <si>
    <t xml:space="preserve">c1c3517a-2ceb-4465-81b1-e9e32b2899b9</t>
  </si>
  <si>
    <t xml:space="preserve">15076139-d2e8-4d04-b167-f3515413b251</t>
  </si>
  <si>
    <t xml:space="preserve">Mixed Hydroxide Precipitate; CIF Asia; Min 35%; Payable; %</t>
  </si>
  <si>
    <t xml:space="preserve">e6ab0356-ff75-43b8-b8d9-e39f77ec0fd1</t>
  </si>
  <si>
    <t xml:space="preserve">Nickel Metal; EXW Europe; Min 99.8%; USD/Tonne</t>
  </si>
  <si>
    <t xml:space="preserve">f12c34be-175a-4935-955b-e3d7b29ca686</t>
  </si>
  <si>
    <t xml:space="preserve">eaf7a763-74dc-4f53-a2be-06ca4e072791</t>
  </si>
  <si>
    <t xml:space="preserve">6ed9cc1a-e5f0-11ee-8601-325096b39f47</t>
  </si>
  <si>
    <t xml:space="preserve">Nickel Sulphate; CIF Asia; 100% Ni Contained; USD/Tonne</t>
  </si>
  <si>
    <t xml:space="preserve">100% Ni Contained</t>
  </si>
  <si>
    <t xml:space="preserve">72a9e9be-342d-4d3a-a9c6-e86863f42e81</t>
  </si>
  <si>
    <t xml:space="preserve">78bdb039-e7a3-4986-bc6b-36dbe4c0f9a9</t>
  </si>
  <si>
    <t xml:space="preserve">6ed9c936-e5f0-11ee-adac-325096b39f47</t>
  </si>
  <si>
    <t xml:space="preserve">334e566d-89e1-48ae-88e2-9c0c838062e1</t>
  </si>
  <si>
    <t xml:space="preserve">Nickel Sulphate; CIF Asia (Normalised); 100% Ni Contained; USD/Tonne</t>
  </si>
  <si>
    <t xml:space="preserve">CIF Asia (Normalised)</t>
  </si>
  <si>
    <t xml:space="preserve">4b4b1f2c-578c-4943-884c-91083017c9d7</t>
  </si>
  <si>
    <t xml:space="preserve">328423de-8414-46d9-8b7e-16c67345b2c1</t>
  </si>
  <si>
    <t xml:space="preserve">fc5dbf5c-6039-42f6-807f-5f7d6cf7ec75</t>
  </si>
  <si>
    <t xml:space="preserve">Nickel Sulphate; EXW China; Min 22%; CNY/Tonne</t>
  </si>
  <si>
    <t xml:space="preserve">Min 22%</t>
  </si>
  <si>
    <t xml:space="preserve">943a2c01-dc89-4a9f-bcb5-ec4214812fd7</t>
  </si>
  <si>
    <t xml:space="preserve">93269ed1-4a4d-452c-aaa5-fe615b7e63f9</t>
  </si>
  <si>
    <t xml:space="preserve">Nickel Sulphate premium over global refined nickel; CIF Asia; Min 22%; USD/Tonne</t>
  </si>
  <si>
    <t xml:space="preserve">Nickel Sulphate Premium Over Global Refined Nickel</t>
  </si>
  <si>
    <t xml:space="preserve">377b9c03-b0e6-4735-a282-401305bfe8e5</t>
  </si>
  <si>
    <t xml:space="preserve">3c7ac79b-d009-4ca5-9c3c-691a0feb57e6</t>
  </si>
  <si>
    <t xml:space="preserve">2a73d086-47ca-414c-9f4b-fc002b40036f</t>
  </si>
  <si>
    <t xml:space="preserve">Normalisation Factors; EXW China to Nickel Sulphate CIF Asia; 100% Ni Contained; USD/Tonne</t>
  </si>
  <si>
    <t xml:space="preserve">EXW China to Nickel Sulphate CIF Asia</t>
  </si>
  <si>
    <t xml:space="preserve">Normalisation Factors</t>
  </si>
  <si>
    <t xml:space="preserve">38787962-d2f2-49f9-860b-32370112a9f8</t>
  </si>
  <si>
    <t xml:space="preserve">a7703da3-4243-4bac-bcce-6c1286a2f27e</t>
  </si>
  <si>
    <t xml:space="preserve">f9dc74b9-bdc4-4031-9eb6-7372cac61437</t>
  </si>
  <si>
    <t xml:space="preserve">58436458-d3c0-4ae8-a80d-34a3a2b0029a</t>
  </si>
  <si>
    <t xml:space="preserve">Normalisation Factors; Metal to Nickel Sulphate CIF Asia; 100% Ni Contained; USD/Tonne</t>
  </si>
  <si>
    <t xml:space="preserve">Metal to Nickel Sulphate CIF Asia</t>
  </si>
  <si>
    <t xml:space="preserve">05318b0a-9a78-4375-880f-65dab663c0a3</t>
  </si>
  <si>
    <t xml:space="preserve">19e9e0a4-9df1-44be-a602-40995d8c1fd6</t>
  </si>
  <si>
    <t xml:space="preserve">Normalisation Factors; MHP to Nickel Sulphate CIF Asia; 100% Ni Contained; USD/Tonne</t>
  </si>
  <si>
    <t xml:space="preserve">MHP to Nickel Sulphate CIF Asia</t>
  </si>
  <si>
    <t xml:space="preserve">ad6722aa-5cb6-46c9-9345-9b853c144d40</t>
  </si>
  <si>
    <t xml:space="preserve">986cfca2-1c97-41f2-a7dc-6448d7e92da5</t>
  </si>
  <si>
    <t xml:space="preserve">Dysprosium Metal; DDP China; 99.0-99.5%; CNY/Tonne</t>
  </si>
  <si>
    <t xml:space="preserve">Dysprosium Metal</t>
  </si>
  <si>
    <t xml:space="preserve">99.0-99.5%</t>
  </si>
  <si>
    <t xml:space="preserve">fa9ffba8-d41b-4ffb-b824-80e35a3a719a</t>
  </si>
  <si>
    <t xml:space="preserve">4ce5d8d8-94f5-4b30-99f6-a49e16066afa</t>
  </si>
  <si>
    <t xml:space="preserve">c2849f8d-0554-4de5-a627-7c08d7601ffd</t>
  </si>
  <si>
    <t xml:space="preserve">d720f377-6fe6-4823-9806-3ad18608af58</t>
  </si>
  <si>
    <t xml:space="preserve">7a273797-046f-427b-a6b3-be104db5101f</t>
  </si>
  <si>
    <t xml:space="preserve">2025-10-30T12:40:04.155Z</t>
  </si>
  <si>
    <t xml:space="preserve">Dysprosium Oxide; CIF EU; 99.0-99.5%; Price; USD/Tonne</t>
  </si>
  <si>
    <t xml:space="preserve">CIF EU</t>
  </si>
  <si>
    <t xml:space="preserve">Dysprosium Oxide</t>
  </si>
  <si>
    <t xml:space="preserve">1213fe8a-329b-4476-94db-730a056f5e78</t>
  </si>
  <si>
    <t xml:space="preserve">17b6d380-7d8e-4756-ab3c-0e90cae57e71</t>
  </si>
  <si>
    <t xml:space="preserve">b56aedc6-6430-4484-9815-a97861799a2f</t>
  </si>
  <si>
    <t xml:space="preserve">1ad7f3e9-7f0b-4f90-bb4b-dece2590089d</t>
  </si>
  <si>
    <t xml:space="preserve">2025-07-04T11:29:43.751Z</t>
  </si>
  <si>
    <t xml:space="preserve">Dysprosium Oxide; DDP China; 99.0-99.5%; Price; CNY/Tonne</t>
  </si>
  <si>
    <t xml:space="preserve">ce6e7cf4-b9eb-4725-8c96-5b259af5df6d</t>
  </si>
  <si>
    <t xml:space="preserve">Praseodymium-Neodymium Metal; DDP China; &gt;22%&gt;70%; CNY/Tonne</t>
  </si>
  <si>
    <t xml:space="preserve">Praseodymium-Neodymium Metal</t>
  </si>
  <si>
    <t xml:space="preserve">&gt;22%&gt;70%</t>
  </si>
  <si>
    <t xml:space="preserve">c626ff51-d118-44bb-ac30-e117ec603727</t>
  </si>
  <si>
    <t xml:space="preserve">e559ee4c-15e4-4027-a124-3b44902d6890</t>
  </si>
  <si>
    <t xml:space="preserve">1ac2648f-6eca-4941-9ed2-141e403d9701</t>
  </si>
  <si>
    <t xml:space="preserve">cbc18531-2365-4220-b5a9-a92a5c593ead</t>
  </si>
  <si>
    <t xml:space="preserve">2025-10-30T12:41:32.179Z</t>
  </si>
  <si>
    <t xml:space="preserve">Praseodymium-Neodymium Oxide; CIF EU; &gt;22%&gt;70%; Price; USD/Tonne</t>
  </si>
  <si>
    <t xml:space="preserve">Praseodymium-Neodymium Oxide</t>
  </si>
  <si>
    <t xml:space="preserve">533c61a4-2f33-4c53-b9db-c2af4d279710</t>
  </si>
  <si>
    <t xml:space="preserve">0176c485-d525-4bdb-bd93-9b1996a5383b</t>
  </si>
  <si>
    <t xml:space="preserve">f42c0378-844c-4f6f-982c-85acbfa9cd4e</t>
  </si>
  <si>
    <t xml:space="preserve">2025-07-09T13:33:56.443Z</t>
  </si>
  <si>
    <t xml:space="preserve">Praseodymium-Neodymium Oxide; CIF N America; &gt;22%&gt;70%; USD/Tonne</t>
  </si>
  <si>
    <t xml:space="preserve">853f0af7-6d45-4a11-86ac-c52fe5a741d0</t>
  </si>
  <si>
    <t xml:space="preserve">2025-07-23T14:24:28.042Z</t>
  </si>
  <si>
    <t xml:space="preserve">Praseodymium-Neodymium Oxide; DDP China; &gt;22%&gt;70%; Price; CNY/Tonne</t>
  </si>
  <si>
    <t xml:space="preserve">8f970d33-7c5e-453b-8855-ec5433083e7f</t>
  </si>
  <si>
    <t xml:space="preserve">Rare Earths China Weighted Average; DDP China; Weighted Average Price; USD/Tonne</t>
  </si>
  <si>
    <t xml:space="preserve">China Weighted Average</t>
  </si>
  <si>
    <t xml:space="preserve">059899f6-4436-4f76-868a-b9200368504e</t>
  </si>
  <si>
    <t xml:space="preserve">cd51f9a5-74e3-422a-839c-f05a30afa686</t>
  </si>
  <si>
    <t xml:space="preserve">bd63cd15-417e-4f28-b460-d9d72a23cfca</t>
  </si>
  <si>
    <t xml:space="preserve">Samarium Oxide; CIF N America; 99.0-99.9%; Price; USD/Tonne</t>
  </si>
  <si>
    <t xml:space="preserve">Samarium Oxide</t>
  </si>
  <si>
    <t xml:space="preserve">99.0-99.9%</t>
  </si>
  <si>
    <t xml:space="preserve">4f95f30d-6bbb-4dab-a56a-d5e9b1787510</t>
  </si>
  <si>
    <t xml:space="preserve">c17c2e11-3afe-4d50-8e48-953779a642a2</t>
  </si>
  <si>
    <t xml:space="preserve">295c6806-812a-461b-a021-cea51982eb4b</t>
  </si>
  <si>
    <t xml:space="preserve">af51fb0e-87d0-4517-9136-c422f8c72f94</t>
  </si>
  <si>
    <t xml:space="preserve">2025-07-09T13:41:48.471Z</t>
  </si>
  <si>
    <t xml:space="preserve">Samarium Oxide; DDP China; 99.0-99.9%; CNY/Tonne</t>
  </si>
  <si>
    <t xml:space="preserve">6a6dfb33-a5d6-40e5-ae22-4ae19da4ea51</t>
  </si>
  <si>
    <t xml:space="preserve">Terbium Metal; DDP China; 99.0-99.9%; CNY/Tonne</t>
  </si>
  <si>
    <t xml:space="preserve">Terbium Metal</t>
  </si>
  <si>
    <t xml:space="preserve">a25abbc2-19c5-464e-b50b-bf857232d846</t>
  </si>
  <si>
    <t xml:space="preserve">1bb44640-1a4e-4a15-a95b-1ce6c71315e4</t>
  </si>
  <si>
    <t xml:space="preserve">58c8ca3a-9f6f-46fe-b574-44e48ee8a72a</t>
  </si>
  <si>
    <t xml:space="preserve">2025-10-30T12:43:14.735Z</t>
  </si>
  <si>
    <t xml:space="preserve">Terbium Oxide; CIF EU; 99.0-99.9%; Price; USD/Tonne</t>
  </si>
  <si>
    <t xml:space="preserve">Terbium Oxide</t>
  </si>
  <si>
    <t xml:space="preserve">f7d9d5b9-ba99-4275-aec7-96859cc61ba0</t>
  </si>
  <si>
    <t xml:space="preserve">db9f3443-ebb0-4207-bea7-c2ad51e0c36c</t>
  </si>
  <si>
    <t xml:space="preserve">2aa28322-8dca-4b2c-be38-2f57490750ec</t>
  </si>
  <si>
    <t xml:space="preserve">2025-07-09T13:45:00.242Z</t>
  </si>
  <si>
    <t xml:space="preserve">Terbium Oxide; DDP China; 99.0-99.9%; CNY/Tonne</t>
  </si>
  <si>
    <t xml:space="preserve">294e0d6e-92fe-4817-af78-a06f358ceb0b</t>
  </si>
  <si>
    <t xml:space="preserve">Synthetic Graphite</t>
  </si>
  <si>
    <t xml:space="preserve">Calcined Pet Coke; DDP China; S&lt;0.5%; CNY/Tonne</t>
  </si>
  <si>
    <t xml:space="preserve">f786fe1c-39af-4f4d-b8cc-b5b28c2ff33f</t>
  </si>
  <si>
    <t xml:space="preserve">ccf3afdd-6f4a-43dc-a998-6f9cfc79df41</t>
  </si>
  <si>
    <t xml:space="preserve">5dfc564e-6ce7-4902-8749-653d7936c722</t>
  </si>
  <si>
    <t xml:space="preserve">5447ecd4-db85-4723-a255-113ab35333e5</t>
  </si>
  <si>
    <t xml:space="preserve">8e72145e-202c-4ae4-b735-3217907e943a</t>
  </si>
  <si>
    <t xml:space="preserve">Calcined Pet Needle Coke; DDP China; S&lt;0.5%; CNY/Tonne</t>
  </si>
  <si>
    <t xml:space="preserve">9bdd81ae-9829-4504-84bf-e2c26893537d</t>
  </si>
  <si>
    <t xml:space="preserve">9384cf9c-de40-407c-8b51-85f503c346f4</t>
  </si>
  <si>
    <t xml:space="preserve">601fa760-20f1-4097-912a-cd183dc766cf</t>
  </si>
  <si>
    <t xml:space="preserve">Calcined Pitch Needle Coke; DDP China; S&lt;0.5%; CNY/Tonne</t>
  </si>
  <si>
    <t xml:space="preserve">6fbf4650-70c3-4d05-89bd-30ebfe50ac2d</t>
  </si>
  <si>
    <t xml:space="preserve">f054dfcf-87c3-473f-bc96-5ee644ba9e5d</t>
  </si>
  <si>
    <t xml:space="preserve">0c9898a8-c415-4244-ac4f-b04c8c4cd50b</t>
  </si>
  <si>
    <t xml:space="preserve">Graphitisation Tolling Fees; China; C≥90%; CNY/Tonne</t>
  </si>
  <si>
    <t xml:space="preserve">Tolling Fees</t>
  </si>
  <si>
    <t xml:space="preserve">315990bf-4aa6-43f0-99ae-8249defb5048</t>
  </si>
  <si>
    <t xml:space="preserve">Graphitisation</t>
  </si>
  <si>
    <t xml:space="preserve">797eca45-06f4-42db-86ec-654f6dd00a8d</t>
  </si>
  <si>
    <t xml:space="preserve">1ef29d2a-10df-4762-b93e-7814f1d5041b</t>
  </si>
  <si>
    <t xml:space="preserve">83ff4ac5-9797-48be-8d8b-8a96b146f46e</t>
  </si>
  <si>
    <t xml:space="preserve">24d0a31b-540d-4d34-9f32-54b8e9dce791</t>
  </si>
  <si>
    <t xml:space="preserve">999642c6-d407-4529-be12-5df7c6cd36f7</t>
  </si>
  <si>
    <t xml:space="preserve">28a0aedb-6f53-4875-a77a-c528e42ce691</t>
  </si>
  <si>
    <t xml:space="preserve">Medium Sulphur Pre-calcined Pet Coke; DDP China; 0.5%&lt;S&lt;3.0%; CNY/Tonne</t>
  </si>
  <si>
    <t xml:space="preserve">Medium Sulphur Pre-Calcined Pet Coke</t>
  </si>
  <si>
    <t xml:space="preserve">17417f99-09bc-44cc-b9ea-f73c67a7c6d7</t>
  </si>
  <si>
    <t xml:space="preserve">846bac78-c186-4e4e-8e8a-b07c05fb920a</t>
  </si>
  <si>
    <t xml:space="preserve">770d43e6-2a1e-4f3e-9f0b-2aaaa5a44478</t>
  </si>
  <si>
    <t xml:space="preserve">12576527-2919-4ad5-b28a-c74b880ea2ac</t>
  </si>
  <si>
    <t xml:space="preserve">Pre-Calcined Pet Coke; DDP China; 0.5%&lt;S&lt;3.0%; CNY/Tonne</t>
  </si>
  <si>
    <t xml:space="preserve">Pre-Calcined Pet Coke</t>
  </si>
  <si>
    <t xml:space="preserve">9f94a606-091a-4655-8a8b-8645d621f975</t>
  </si>
  <si>
    <t xml:space="preserve">0037818f-3a09-4555-9cc1-157e5aa3f373</t>
  </si>
  <si>
    <t xml:space="preserve">3c2104a4-ac90-4f2d-bb49-8e55b7ef71b5</t>
  </si>
  <si>
    <t xml:space="preserve">2025-07-08T19:46:19.543Z</t>
  </si>
  <si>
    <t xml:space="preserve">Pre-calcined Pet Coke; DDP China; S&lt;0.5%; CNY/Tonne</t>
  </si>
  <si>
    <t xml:space="preserve">7ee8dc31-3e17-44dc-b36a-cab2755937d0</t>
  </si>
  <si>
    <t xml:space="preserve">Pre-calcined Pet Needle Coke; DDP China; S&lt;0.5%; CNY/Tonne</t>
  </si>
  <si>
    <t xml:space="preserve">Pre-Calcined Pet Needle Coke</t>
  </si>
  <si>
    <t xml:space="preserve">4bf0f184-684b-4535-b543-b0a66bf5d9bb</t>
  </si>
  <si>
    <t xml:space="preserve">0dee984a-db28-4bcb-9e5f-0b8129fc2e65</t>
  </si>
  <si>
    <t xml:space="preserve">c1698cfc-d1e1-4d71-918c-15d5dc801621</t>
  </si>
  <si>
    <t xml:space="preserve">Pre-calcined Pitch Needle Coke; DDP China; S&lt;0.5%; CNY/Tonne</t>
  </si>
  <si>
    <t xml:space="preserve">Pre-Calcined Pitch Needle Coke</t>
  </si>
  <si>
    <t xml:space="preserve">c0a342a1-f5e9-49e8-ba3d-c3f4748ca4fe</t>
  </si>
  <si>
    <t xml:space="preserve">4355c95b-84a0-46ec-b6cb-aee55f4cfa21</t>
  </si>
  <si>
    <t xml:space="preserve">cfd3d3df-4ce5-43c7-92e9-7aa0befbaffb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</si>
</sst>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%"/>
    <numFmt numFmtId="167" formatCode="0%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Aptos Narrow"/>
      <family val="0"/>
      <charset val="1"/>
    </font>
    <font>
      <b val="true"/>
      <strike val="true"/>
      <sz val="11"/>
      <color rgb="FFFFFFFF"/>
      <name val="Arial"/>
      <family val="0"/>
      <charset val="1"/>
    </font>
    <font>
      <sz val="11"/>
      <color theme="0"/>
      <name val="Arial"/>
      <family val="0"/>
      <charset val="1"/>
    </font>
    <font>
      <sz val="11"/>
      <color theme="1"/>
      <name val="Arial"/>
      <family val="0"/>
      <charset val="1"/>
    </font>
    <font>
      <strike val="true"/>
      <sz val="11"/>
      <color theme="1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theme="0"/>
        <bgColor rgb="FFFFFFCC"/>
      </patternFill>
    </fill>
    <fill>
      <patternFill patternType="solid">
        <fgColor rgb="FFD9EAD3"/>
        <bgColor rgb="FFCCFFFF"/>
      </patternFill>
    </fill>
    <fill>
      <patternFill patternType="solid">
        <fgColor rgb="FFFFD966"/>
        <bgColor rgb="FFFFFF99"/>
      </patternFill>
    </fill>
    <fill>
      <patternFill patternType="solid">
        <fgColor rgb="FF00FF00"/>
        <bgColor rgb="FF33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6"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EA4335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A4335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518" createdVersion="3">
  <cacheSource type="worksheet">
    <worksheetSource ref="A1:AQ1" sheet="Sheet1"/>
  </cacheSource>
  <cacheFields count="43">
    <cacheField name="ID" numFmtId="0">
      <sharedItems containsBlank="1" count="157">
        <s v="011467ae-ca58-4fca-96df-9ba2d71f72d4"/>
        <s v="02241e93-96dc-41c0-8f42-3d3eb3cff0d8"/>
        <s v="05318b0a-9a78-4375-880f-65dab663c0a3"/>
        <s v="059899f6-4436-4f76-868a-b9200368504e"/>
        <s v="085eb9d8-271b-4206-b29f-178c86d3062e"/>
        <s v="0dab71b6-b8b0-4afa-ad14-5351f5ced1e4"/>
        <s v="1213fe8a-329b-4476-94db-730a056f5e78"/>
        <s v="123ba6c6-5cf0-4348-a6ff-6734f76e160a"/>
        <s v="13f5e865-1aff-41b2-ab7d-d70feb3b269c"/>
        <s v="14471f5b-d20f-42bb-8a1b-704e3574455a"/>
        <s v="17417f99-09bc-44cc-b9ea-f73c67a7c6d7"/>
        <s v="1756c55a-550c-4bf2-991a-49876fdc206f"/>
        <s v="1e8ff09c-6449-4390-aca0-ddd2d7dfc8d1"/>
        <s v="21125ef9-a0b1-46c9-9575-782370c54041"/>
        <s v="225ccf23-7606-41bd-88ca-842eda17ebde"/>
        <s v="253b4b51-8304-4fce-a3db-7cc9b96b2253"/>
        <s v="25f5390b-b37d-4a90-b026-7989c88b23df"/>
        <s v="2904df75-d7b4-4175-8983-40fea47b4628"/>
        <s v="29402fb8-7fd0-4718-848f-ff011e6464a1"/>
        <s v="294e0d6e-92fe-4817-af78-a06f358ceb0b"/>
        <s v="2e03d11c-15aa-46af-96d1-99f7bacd4e1b"/>
        <s v="30441ab4-eceb-4d0e-88d8-a17c9749aae1"/>
        <s v="315990bf-4aa6-43f0-99ae-8249defb5048"/>
        <s v="322ecdeb-f07d-4b24-814d-79a867ee54fc"/>
        <s v="377b9c03-b0e6-4735-a282-401305bfe8e5"/>
        <s v="38787962-d2f2-49f9-860b-32370112a9f8"/>
        <s v="389851f0-7a2b-4d83-bea9-40a3fe83e42e"/>
        <s v="3a785b96-f416-4247-80fa-0699e52877cb"/>
        <s v="3afcfc1b-8672-49ba-91a5-7043286332d5"/>
        <s v="3b129bd5-aa3b-409c-8d85-a19401a3f27b"/>
        <s v="3b476ff0-81ec-404c-af69-41a23390a9ac"/>
        <s v="3b79b8b3-907d-4a30-95cf-3cc47b6f54a9"/>
        <s v="3c7544f0-1402-4b75-b17c-7e2a60dff3b3"/>
        <s v="3cd44de7-31bb-4ecc-96b2-10514f233f35"/>
        <s v="428f7dd9-04eb-41a8-897e-82c3fdcd97d5"/>
        <s v="43456ee8-892a-401b-9470-fdd557e4a619"/>
        <s v="4554968d-2cb1-4c85-bd04-02beb6a773fe"/>
        <s v="498fa2d8-29f4-444e-b6ce-e2e782d51252"/>
        <s v="4b4b1f2c-578c-4943-884c-91083017c9d7"/>
        <s v="4bf0f184-684b-4535-b543-b0a66bf5d9bb"/>
        <s v="503c2f9a-4cd5-4234-b0dc-f614a752f74a"/>
        <s v="52e34673-68ee-4c1d-b2d8-53943d3e0b30"/>
        <s v="533c61a4-2f33-4c53-b9db-c2af4d279710"/>
        <s v="571c926a-c63c-4a02-9818-32fda18c6c00"/>
        <s v="59b63e25-6362-4ac8-88fc-e404d3b479f4"/>
        <s v="5eac6a40-ca6e-46f1-85ff-fee70fabac96"/>
        <s v="605beffd-f539-491d-9cd9-52ca78b1d1cf"/>
        <s v="614b693c-c797-4c74-98f9-b102e6213864"/>
        <s v="63b4692c-fbf8-43a3-85d8-a3f41dd5d28a"/>
        <s v="6a6dfb33-a5d6-40e5-ae22-4ae19da4ea51"/>
        <s v="6dc58fe3-cc11-4877-b8b3-619f1ddef753"/>
        <s v="6eeec160-0fec-4513-9ddd-913fdbd24dd1"/>
        <s v="6fbf4650-70c3-4d05-89bd-30ebfe50ac2d"/>
        <s v="72a9e9be-342d-4d3a-a9c6-e86863f42e81"/>
        <s v="7536cf37-c8d1-4ee3-a73b-395a304ef23b"/>
        <s v="7615f854-1eea-4442-a112-197b641492bd"/>
        <s v="766521f8-ac8a-486a-b988-6ea975fe2552"/>
        <s v="772492e1-e0cd-4fac-b588-2359b8dd31ed"/>
        <s v="77ee9ccd-72ab-4e2f-9e14-ad0aec68d2c3"/>
        <s v="7a764293-8fa6-4701-ae27-437921433fe9"/>
        <s v="7bb67648-6a82-48b3-afae-059ffe9613b9"/>
        <s v="7bbf238b-19da-4b92-8239-d72984a6fc7e"/>
        <s v="8006a1b9-17d4-4fc3-bb8d-63ebf2e36991"/>
        <s v="801381c6-0b70-4a5f-b97d-ea54e33e85cc"/>
        <s v="81a3f0d8-2dcc-459d-9ae6-ffecec5dc13e"/>
        <s v="822e2841-d3ab-47c5-b329-4f9b1c53d4d8"/>
        <s v="84be35fd-ad87-439a-b100-ed18308f4591"/>
        <s v="84f13a9b-aba7-4e34-9bde-5cc3f4fb3044"/>
        <s v="853f0af7-6d45-4a11-86ac-c52fe5a741d0"/>
        <s v="85f9f5f9-b8fb-42ed-a839-71f966b0d69d"/>
        <s v="884e614e-1663-4143-a947-f1464e610494"/>
        <s v="887af56f-b429-4db8-a7ce-76e62f620172"/>
        <s v="8952f230-f6af-4830-b198-9962b0299f33"/>
        <s v="8a900a80-b81a-423e-b72d-40d11a7401f9"/>
        <s v="8c6cecc1-b4a4-4fd5-9c0a-bee145ee5f1a"/>
        <s v="8cb95705-7f91-44b2-94ba-220e65347b33"/>
        <s v="8cda2407-37dc-4ef8-8922-ea9b249dda27"/>
        <s v="8ce94cf2-8ce8-4f67-a3cd-1aa9822c907d"/>
        <s v="8f970d33-7c5e-453b-8855-ec5433083e7f"/>
        <s v="90578511-9842-4fe4-b18e-a6e1826cbf8c"/>
        <s v="910131c5-2d72-4820-a023-6dbeebd7e5b1"/>
        <s v="915e52f7-15f0-42b8-977c-22aa7641808c"/>
        <s v="91962361-3f79-4029-8985-821c3292ae81"/>
        <s v="93e20bed-bec9-4fde-a55d-0b4fa6411442"/>
        <s v="943a2c01-dc89-4a9f-bcb5-ec4214812fd7"/>
        <s v="952c690a-aafc-49ed-bf44-f1d951418dc6"/>
        <s v="96615b72-76ab-44c6-a64a-579678e39ca6"/>
        <s v="9811d167-936a-476f-9488-605a4cdd093d"/>
        <s v="98b889ec-94f7-4432-a624-66d47b504e19"/>
        <s v="9bdd81ae-9829-4504-84bf-e2c26893537d"/>
        <s v="9c9dec85-08fb-4f24-8681-ad7b44823e60"/>
        <s v="9ce329bc-c275-467a-9a08-9efdc4056f9b"/>
        <s v="9ead22c0-b94c-4f42-8aeb-0f1a7147c31e"/>
        <s v="9f94a606-091a-4655-8a8b-8645d621f975"/>
        <s v="a11d3816-9778-4fb4-ab0c-af7f23ea055b"/>
        <s v="a1dfe425-4e44-4e15-9ca7-f8a43cf268ba"/>
        <s v="a25abbc2-19c5-464e-b50b-bf857232d846"/>
        <s v="a2f27e08-2f33-4f20-91f1-18c5103cdce9"/>
        <s v="a8188405-e7ea-4e9e-921d-c510271fb55c"/>
        <s v="a883063d-3a23-43fe-bbc8-1155e6a83da8"/>
        <s v="a9f6b203-6e17-465a-98b8-ed5c3d98ef64"/>
        <s v="ad6722aa-5cb6-46c9-9345-9b853c144d40"/>
        <s v="b072c04b-94f9-4952-952d-a810b9dd3968"/>
        <s v="b42010f8-8b38-434e-861a-48e4fab31c31"/>
        <s v="b52245ee-395d-460c-b1c3-e8eb78e2a423"/>
        <s v="bc0372ae-56c6-42de-a1ee-566a4cdd0723"/>
        <s v="bf14bce1-5e67-49f9-8890-0bb78b164f5b"/>
        <s v="bf647406-6f14-4564-8e32-1918e2b94578"/>
        <s v="BMIDIFAL_2"/>
        <s v="BMIDIFAL_3"/>
        <s v="c0a342a1-f5e9-49e8-ba3d-c3f4748ca4fe"/>
        <s v="c1c7abab-0b00-4248-aa62-3b5fbab13b48"/>
        <s v="c270e902-8538-4059-8507-e58315f83629"/>
        <s v="c626ff51-d118-44bb-ac30-e117ec603727"/>
        <s v="c760c5d3-e267-40e2-9765-5dbfaae9690f"/>
        <s v="ca674a7b-f6fc-48c5-8226-75624999b4cd"/>
        <s v="ca86517c-2b3f-45e4-9caa-d4bbaf80f80a"/>
        <s v="cd968a77-d913-4a49-a4b6-aca09a752bc9"/>
        <s v="ce6e7cf4-b9eb-4725-8c96-5b259af5df6d"/>
        <s v="d564ef24-f55f-4cd6-8f33-4d13a23197d8"/>
        <s v="d7208017-d2d1-46f6-aa22-70830755c6cf"/>
        <s v="d7fa88a3-aea1-4665-adb9-08688b6ed37f"/>
        <s v="d85b5214-b502-43e6-bd44-aca3ec6c7751"/>
        <s v="d9192169-a777-4b08-91ef-48036a125a16"/>
        <s v="db0d88b8-b25d-4fca-b1cd-9d2bb5953fec"/>
        <s v="db11825d-ab43-42cf-bb7f-21331c1ca3fb"/>
        <s v="db3cf1ba-239e-4e08-b625-47923a52b02f"/>
        <s v="ddf34bbb-5b99-4571-a0ae-07039aab62e0"/>
        <s v="e0dd267e-11d4-4a0c-ac7d-f03fc255d929"/>
        <s v="e578da38-f8db-4081-87f2-a96525eef934"/>
        <s v="e6ab0356-ff75-43b8-b8d9-e39f77ec0fd1"/>
        <s v="e78947c4-aa31-42cf-9cf0-ae0bcfa29c7d"/>
        <s v="e96b8a12-5bd3-46c5-9d1a-3e0003871ebc"/>
        <s v="e986fd4d-a3e4-4255-99e3-bc1db505e0c3"/>
        <s v="ecb0ed51-b1b7-4efa-a441-dafd342214d6"/>
        <s v="f12c34be-175a-4935-955b-e3d7b29ca686"/>
        <s v="f14f3683-1363-41ef-9c95-1c9a27b38346"/>
        <s v="f1adc9bf-dc8d-4fb1-811b-328f8169bb83"/>
        <s v="f23ea327-0e23-447e-8c18-11ca302140f3"/>
        <s v="f288f688-bd09-465a-bccd-de8c43241b38"/>
        <s v="f2992688-ab96-4005-9b99-a66c66d97d83"/>
        <s v="f3ca712b-b72f-4172-992a-664d28375514"/>
        <s v="f4d95614-a51b-48f3-bfaa-c0f92f423d8b"/>
        <s v="f5fe430e-1757-44b9-bc95-9f15c220b568"/>
        <s v="f786fe1c-39af-4f4d-b8cc-b5b28c2ff33f"/>
        <s v="f7d9d5b9-ba99-4275-aec7-96859cc61ba0"/>
        <s v="f82b451f-d335-4457-a6aa-5722adc4b69d"/>
        <s v="f8f47cf2-3dd8-4d83-900b-945b6de9928d"/>
        <s v="f9a0b2d5-525a-479e-969e-638b70bb9a9b"/>
        <s v="fa5671a7-3383-4a8d-aa69-deb3043275d1"/>
        <s v="fa9ffba8-d41b-4ffb-b824-80e35a3a719a"/>
        <s v="fc548a31-2b78-4d3c-b031-27a3f2b3460c"/>
        <s v="fd27e82d-a5b4-4318-ba73-000156bc7176"/>
        <s v="fe6f7f19-c1aa-49f2-8c3c-6c09518398ff"/>
        <s v="fe750fe5-5fe1-46c3-ac83-6e9350e0acbe"/>
        <s v="fef0d57e-d8b8-411b-96bc-b2fb37842340"/>
        <m/>
      </sharedItems>
    </cacheField>
    <cacheField name="Code" numFmtId="0">
      <sharedItems count="2461">
        <s v="BMIAN001"/>
        <s v="BMIAN002"/>
        <s v="BMIAN003"/>
        <s v="BMIAN004"/>
        <s v="BMIAN005"/>
        <s v="BMIAN006"/>
        <s v="BMIAN007"/>
        <s v="BMIAN008"/>
        <s v="BMIBAT001"/>
        <s v="BMIBAT002"/>
        <s v="BMIBAT003"/>
        <s v="BMIBAT004"/>
        <s v="BMIBAT005"/>
        <s v="BMIBAT006"/>
        <s v="BMIBAT007"/>
        <s v="BMIBAT008"/>
        <s v="BMIBAT009"/>
        <s v="BMIBAT010"/>
        <s v="BMIBAT011"/>
        <s v="BMIBAT012"/>
        <s v="BMIBAT013"/>
        <s v="BMIBAT014"/>
        <s v="BMIBAT015"/>
        <s v="BMIBAT016"/>
        <s v="BMIBAT017"/>
        <s v="BMIBAT018"/>
        <s v="BMIBAT019"/>
        <s v="BMIBAT020"/>
        <s v="BMIBAT021"/>
        <s v="BMIBAT022"/>
        <s v="BMIBAT023"/>
        <s v="BMIBAT024"/>
        <s v="BMIBAT025"/>
        <s v="BMIBAT026"/>
        <s v="BMIBAT027"/>
        <s v="BMIBAT028"/>
        <s v="BMIBAT029"/>
        <s v="BMIBAT030"/>
        <s v="BMIBAT031"/>
        <s v="BMIBAT032"/>
        <s v="BMIBAT033"/>
        <s v="BMIBAT034"/>
        <s v="BMIBAT035"/>
        <s v="BMIBAT036"/>
        <s v="BMIBAT037"/>
        <s v="BMIBAT038"/>
        <s v="BMIBAT039"/>
        <s v="BMIBAT040"/>
        <s v="BMIBAT041"/>
        <s v="BMIBAT042"/>
        <s v="BMIBAT043"/>
        <s v="BMIBAT044"/>
        <s v="BMIBAT045"/>
        <s v="BMIBAT046"/>
        <s v="BMIBAT047"/>
        <s v="BMIBAT048"/>
        <s v="BMIBAT049"/>
        <s v="BMIBAT050"/>
        <s v="BMIBAT051"/>
        <s v="BMIBAT052"/>
        <s v="BMIBAT053"/>
        <s v="BMIBAT054"/>
        <s v="BMIBAT055"/>
        <s v="BMIBAT056"/>
        <s v="BMICA001"/>
        <s v="BMICA002"/>
        <s v="BMICA003"/>
        <s v="BMICA004"/>
        <s v="BMICA005"/>
        <s v="BMICA006"/>
        <s v="BMICA007"/>
        <s v="BMICA008"/>
        <s v="BMICH001"/>
        <s v="BMICH001A"/>
        <s v="BMICM001"/>
        <s v="BMICM001A"/>
        <s v="BMICO001"/>
        <s v="BMICS001"/>
        <s v="BMIDIFAL_1A"/>
        <s v="BMIDIFAL_1AA"/>
        <s v="BMIDIFAL_1AB"/>
        <s v="BMIDIFAL_1AC"/>
        <s v="BMIDIFAL_1B"/>
        <s v="BMIDIFAL_1C"/>
        <s v="BMIDIFAL_1D"/>
        <s v="BMIDIFAL_1E"/>
        <s v="BMIDIFAL_1F"/>
        <s v="BMIDIFAL_1G"/>
        <s v="BMIDIFAL_1H"/>
        <s v="BMIDIFAL_1I"/>
        <s v="BMIDIFAL_1J"/>
        <s v="BMIDIFAL_1K"/>
        <s v="BMIDIFAL_1L"/>
        <s v="BMIDIFAL_1M"/>
        <s v="BMIDIFAL_1N"/>
        <s v="BMIDIFAL_1O"/>
        <s v="BMIDIFAL_1P"/>
        <s v="BMIDIFAL_1Q"/>
        <s v="BMIDIFAL_1R"/>
        <s v="BMIDIFAL_1S"/>
        <s v="BMIDIFAL_1T"/>
        <s v="BMIDIFAL_1U"/>
        <s v="BMIDIFAL_1V"/>
        <s v="BMIDIFAL_1W"/>
        <s v="BMIDIFAL_1X"/>
        <s v="BMIDIFAL_1Y"/>
        <s v="BMIDIFAL_1Z"/>
        <s v="BMIDIFAN_1A"/>
        <s v="BMIDIFAN_1AA"/>
        <s v="BMIDIFAN_1AB"/>
        <s v="BMIDIFAN_1AC"/>
        <s v="BMIDIFAN_1AD"/>
        <s v="BMIDIFAN_1B"/>
        <s v="BMIDIFAN_1D"/>
        <s v="BMIDIFAN_1E"/>
        <s v="BMIDIFAN_1F"/>
        <s v="BMIDIFAN_1G"/>
        <s v="BMIDIFAN_1H"/>
        <s v="BMIDIFAN_1I"/>
        <s v="BMIDIFAN_1J"/>
        <s v="BMIDIFAN_1K"/>
        <s v="BMIDIFAN_1L"/>
        <s v="BMIDIFAN_1M"/>
        <s v="BMIDIFAN_1N"/>
        <s v="BMIDIFAN_1O"/>
        <s v="BMIDIFAN_1P"/>
        <s v="BMIDIFAN_1Q"/>
        <s v="BMIDIFAN_1R"/>
        <s v="BMIDIFAN_1S"/>
        <s v="BMIDIFAN_1T"/>
        <s v="BMIDIFAN_1U"/>
        <s v="BMIDIFAN_1V"/>
        <s v="BMIDIFAN_1W"/>
        <s v="BMIDIFAN_1X"/>
        <s v="BMIDIFAN_1Y"/>
        <s v="BMIDIFAN_1Z"/>
        <s v="BMIDIFAN_2A"/>
        <s v="BMIDIFAN_2AA"/>
        <s v="BMIDIFAN_2AB"/>
        <s v="BMIDIFAN_2AC"/>
        <s v="BMIDIFAN_2AD"/>
        <s v="BMIDIFAN_2AE"/>
        <s v="BMIDIFAN_2B"/>
        <s v="BMIDIFAN_2E"/>
        <s v="BMIDIFAN_2F"/>
        <s v="BMIDIFAN_2G"/>
        <s v="BMIDIFAN_2H"/>
        <s v="BMIDIFAN_2I"/>
        <s v="BMIDIFAN_2J"/>
        <s v="BMIDIFAN_2K"/>
        <s v="BMIDIFAN_2L"/>
        <s v="BMIDIFAN_2M"/>
        <s v="BMIDIFAN_2N"/>
        <s v="BMIDIFAN_2O"/>
        <s v="BMIDIFAN_2P"/>
        <s v="BMIDIFAN_2Q"/>
        <s v="BMIDIFAN_2R"/>
        <s v="BMIDIFAN_2S"/>
        <s v="BMIDIFAN_2T"/>
        <s v="BMIDIFAN_2U"/>
        <s v="BMIDIFAN_2V"/>
        <s v="BMIDIFAN_2W"/>
        <s v="BMIDIFAN_2X"/>
        <s v="BMIDIFAN_2Y"/>
        <s v="BMIDIFAN_2Z"/>
        <s v="BMIDIFAN_3AA"/>
        <s v="BMIDIFAN_3AB"/>
        <s v="BMIDIFAN_3AC"/>
        <s v="BMIDIFAN_3AD"/>
        <s v="BMIDIFAN_3AE"/>
        <s v="BMIDIFAN_3B"/>
        <s v="BMIDIFAN_3D"/>
        <s v="BMIDIFAN_3E"/>
        <s v="BMIDIFAN_3F"/>
        <s v="BMIDIFAN_3G"/>
        <s v="BMIDIFAN_3H"/>
        <s v="BMIDIFAN_3I"/>
        <s v="BMIDIFAN_3J"/>
        <s v="BMIDIFAN_3K"/>
        <s v="BMIDIFAN_3L"/>
        <s v="BMIDIFAN_3M"/>
        <s v="BMIDIFAN_3N"/>
        <s v="BMIDIFAN_3O"/>
        <s v="BMIDIFAN_3P"/>
        <s v="BMIDIFAN_3Q"/>
        <s v="BMIDIFAN_3R"/>
        <s v="BMIDIFAN_3S"/>
        <s v="BMIDIFAN_3T"/>
        <s v="BMIDIFAN_3U"/>
        <s v="BMIDIFAN_3V"/>
        <s v="BMIDIFAN_3W"/>
        <s v="BMIDIFAN_3X"/>
        <s v="BMIDIFAN_3Y"/>
        <s v="BMIDIFAN_3Z"/>
        <s v="BMIDIFAN_4A"/>
        <s v="BMIDIFAN_4AA"/>
        <s v="BMIDIFAN_4AB"/>
        <s v="BMIDIFAN_4AC"/>
        <s v="BMIDIFAN_4AD"/>
        <s v="BMIDIFAN_4B"/>
        <s v="BMIDIFAN_4D"/>
        <s v="BMIDIFAN_4E"/>
        <s v="BMIDIFAN_4F"/>
        <s v="BMIDIFAN_4G"/>
        <s v="BMIDIFAN_4H"/>
        <s v="BMIDIFAN_4I"/>
        <s v="BMIDIFAN_4J"/>
        <s v="BMIDIFAN_4K"/>
        <s v="BMIDIFAN_4L"/>
        <s v="BMIDIFAN_4M"/>
        <s v="BMIDIFAN_4N"/>
        <s v="BMIDIFAN_4O"/>
        <s v="BMIDIFAN_4P"/>
        <s v="BMIDIFAN_4Q"/>
        <s v="BMIDIFAN_4R"/>
        <s v="BMIDIFAN_4S"/>
        <s v="BMIDIFAN_4T"/>
        <s v="BMIDIFAN_4U"/>
        <s v="BMIDIFAN_4V"/>
        <s v="BMIDIFAN_4W"/>
        <s v="BMIDIFAN_4X"/>
        <s v="BMIDIFAN_4Y"/>
        <s v="BMIDIFAN_4Z"/>
        <s v="BMIDIFAN_5AA"/>
        <s v="BMIDIFAN_5AB"/>
        <s v="BMIDIFAN_5AC"/>
        <s v="BMIDIFAN_5AD"/>
        <s v="BMIDIFAN_5AE"/>
        <s v="BMIDIFAN_5B"/>
        <s v="BMIDIFAN_5D"/>
        <s v="BMIDIFAN_5E"/>
        <s v="BMIDIFAN_5F"/>
        <s v="BMIDIFAN_5G"/>
        <s v="BMIDIFAN_5H"/>
        <s v="BMIDIFAN_5I"/>
        <s v="BMIDIFAN_5J"/>
        <s v="BMIDIFAN_5K"/>
        <s v="BMIDIFAN_5L"/>
        <s v="BMIDIFAN_5M"/>
        <s v="BMIDIFAN_5N"/>
        <s v="BMIDIFAN_5O"/>
        <s v="BMIDIFAN_5P"/>
        <s v="BMIDIFAN_5Q"/>
        <s v="BMIDIFAN_5R"/>
        <s v="BMIDIFAN_5S"/>
        <s v="BMIDIFAN_5T"/>
        <s v="BMIDIFAN_5U"/>
        <s v="BMIDIFAN_5V"/>
        <s v="BMIDIFAN_5W"/>
        <s v="BMIDIFAN_5X"/>
        <s v="BMIDIFAN_5Y"/>
        <s v="BMIDIFAN_5Z"/>
        <s v="BMIDIFAN_6A"/>
        <s v="BMIDIFAN_6AA"/>
        <s v="BMIDIFAN_6AB"/>
        <s v="BMIDIFAN_6AC"/>
        <s v="BMIDIFAN_6B"/>
        <s v="BMIDIFAN_6C"/>
        <s v="BMIDIFAN_6D"/>
        <s v="BMIDIFAN_6E"/>
        <s v="BMIDIFAN_6F"/>
        <s v="BMIDIFAN_6G"/>
        <s v="BMIDIFAN_6H"/>
        <s v="BMIDIFAN_6I"/>
        <s v="BMIDIFAN_6J"/>
        <s v="BMIDIFAN_6K"/>
        <s v="BMIDIFAN_6L"/>
        <s v="BMIDIFAN_6M"/>
        <s v="BMIDIFAN_6N"/>
        <s v="BMIDIFAN_6O"/>
        <s v="BMIDIFAN_6P"/>
        <s v="BMIDIFAN_6Q"/>
        <s v="BMIDIFAN_6R"/>
        <s v="BMIDIFAN_6S"/>
        <s v="BMIDIFAN_6T"/>
        <s v="BMIDIFAN_6U"/>
        <s v="BMIDIFAN_6V"/>
        <s v="BMIDIFAN_6W"/>
        <s v="BMIDIFAN_6X"/>
        <s v="BMIDIFAN_6Y"/>
        <s v="BMIDIFAN_6Z"/>
        <s v="BMIDIFAN_7A"/>
        <s v="BMIDIFAN_7AA"/>
        <s v="BMIDIFAN_7AB"/>
        <s v="BMIDIFAN_7AC"/>
        <s v="BMIDIFAN_7AD"/>
        <s v="BMIDIFAN_7B"/>
        <s v="BMIDIFAN_7D"/>
        <s v="BMIDIFAN_7E"/>
        <s v="BMIDIFAN_7F"/>
        <s v="BMIDIFAN_7G"/>
        <s v="BMIDIFAN_7H"/>
        <s v="BMIDIFAN_7I"/>
        <s v="BMIDIFAN_7J"/>
        <s v="BMIDIFAN_7K"/>
        <s v="BMIDIFAN_7L"/>
        <s v="BMIDIFAN_7M"/>
        <s v="BMIDIFAN_7N"/>
        <s v="BMIDIFAN_7O"/>
        <s v="BMIDIFAN_7P"/>
        <s v="BMIDIFAN_7Q"/>
        <s v="BMIDIFAN_7R"/>
        <s v="BMIDIFAN_7S"/>
        <s v="BMIDIFAN_7T"/>
        <s v="BMIDIFAN_7U"/>
        <s v="BMIDIFAN_7V"/>
        <s v="BMIDIFAN_7W"/>
        <s v="BMIDIFAN_7X"/>
        <s v="BMIDIFAN_7Y"/>
        <s v="BMIDIFAN_7Z"/>
        <s v="BMIDIFAN_8A"/>
        <s v="BMIDIFAN_8AA"/>
        <s v="BMIDIFAN_8AB"/>
        <s v="BMIDIFAN_8AC"/>
        <s v="BMIDIFAN_8AD"/>
        <s v="BMIDIFAN_8B"/>
        <s v="BMIDIFAN_8D"/>
        <s v="BMIDIFAN_8E"/>
        <s v="BMIDIFAN_8F"/>
        <s v="BMIDIFAN_8G"/>
        <s v="BMIDIFAN_8H"/>
        <s v="BMIDIFAN_8I"/>
        <s v="BMIDIFAN_8J"/>
        <s v="BMIDIFAN_8K"/>
        <s v="BMIDIFAN_8L"/>
        <s v="BMIDIFAN_8M"/>
        <s v="BMIDIFAN_8N"/>
        <s v="BMIDIFAN_8O"/>
        <s v="BMIDIFAN_8P"/>
        <s v="BMIDIFAN_8Q"/>
        <s v="BMIDIFAN_8R"/>
        <s v="BMIDIFAN_8S"/>
        <s v="BMIDIFAN_8T"/>
        <s v="BMIDIFAN_8U"/>
        <s v="BMIDIFAN_8V"/>
        <s v="BMIDIFAN_8W"/>
        <s v="BMIDIFAN_8X"/>
        <s v="BMIDIFAN_8Y"/>
        <s v="BMIDIFAN_8Z"/>
        <s v="BMIDIFAN_9A"/>
        <s v="BMIDIFAN_9AA"/>
        <s v="BMIDIFAN_9AB"/>
        <s v="BMIDIFAN_9AC"/>
        <s v="BMIDIFAN_9B"/>
        <s v="BMIDIFAN_9C"/>
        <s v="BMIDIFAN_9D"/>
        <s v="BMIDIFAN_9E"/>
        <s v="BMIDIFAN_9F"/>
        <s v="BMIDIFAN_9G"/>
        <s v="BMIDIFAN_9H"/>
        <s v="BMIDIFAN_9I"/>
        <s v="BMIDIFAN_9J"/>
        <s v="BMIDIFAN_9K"/>
        <s v="BMIDIFAN_9L"/>
        <s v="BMIDIFAN_9M"/>
        <s v="BMIDIFAN_9N"/>
        <s v="BMIDIFAN_9O"/>
        <s v="BMIDIFAN_9P"/>
        <s v="BMIDIFAN_9Q"/>
        <s v="BMIDIFAN_9R"/>
        <s v="BMIDIFAN_9S"/>
        <s v="BMIDIFAN_9T"/>
        <s v="BMIDIFAN_9U"/>
        <s v="BMIDIFAN_9V"/>
        <s v="BMIDIFAN_9W"/>
        <s v="BMIDIFAN_9X"/>
        <s v="BMIDIFAN_9Y"/>
        <s v="BMIDIFAN_9Z"/>
        <s v="BMIDIFBAA_10A"/>
        <s v="BMIDIFBAA_10AA"/>
        <s v="BMIDIFBAA_10AB"/>
        <s v="BMIDIFBAA_10AC"/>
        <s v="BMIDIFBAA_10B"/>
        <s v="BMIDIFBAA_10C"/>
        <s v="BMIDIFBAA_10D"/>
        <s v="BMIDIFBAA_10E"/>
        <s v="BMIDIFBAA_10F"/>
        <s v="BMIDIFBAA_10G"/>
        <s v="BMIDIFBAA_10H"/>
        <s v="BMIDIFBAA_10I"/>
        <s v="BMIDIFBAA_10J"/>
        <s v="BMIDIFBAA_10K"/>
        <s v="BMIDIFBAA_10L"/>
        <s v="BMIDIFBAA_10M"/>
        <s v="BMIDIFBAA_10N"/>
        <s v="BMIDIFBAA_10O"/>
        <s v="BMIDIFBAA_10P"/>
        <s v="BMIDIFBAA_10Q"/>
        <s v="BMIDIFBAA_10R"/>
        <s v="BMIDIFBAA_10S"/>
        <s v="BMIDIFBAA_10T"/>
        <s v="BMIDIFBAA_10U"/>
        <s v="BMIDIFBAA_10V"/>
        <s v="BMIDIFBAA_10W"/>
        <s v="BMIDIFBAA_10X"/>
        <s v="BMIDIFBAA_10Y"/>
        <s v="BMIDIFBAA_10Z"/>
        <s v="BMIDIFBAA_11A"/>
        <s v="BMIDIFBAA_11AA"/>
        <s v="BMIDIFBAA_11AB"/>
        <s v="BMIDIFBAA_11AC"/>
        <s v="BMIDIFBAA_11B"/>
        <s v="BMIDIFBAA_11C"/>
        <s v="BMIDIFBAA_11D"/>
        <s v="BMIDIFBAA_11E"/>
        <s v="BMIDIFBAA_11F"/>
        <s v="BMIDIFBAA_11G"/>
        <s v="BMIDIFBAA_11H"/>
        <s v="BMIDIFBAA_11I"/>
        <s v="BMIDIFBAA_11J"/>
        <s v="BMIDIFBAA_11K"/>
        <s v="BMIDIFBAA_11L"/>
        <s v="BMIDIFBAA_11M"/>
        <s v="BMIDIFBAA_11N"/>
        <s v="BMIDIFBAA_11O"/>
        <s v="BMIDIFBAA_11P"/>
        <s v="BMIDIFBAA_11Q"/>
        <s v="BMIDIFBAA_11R"/>
        <s v="BMIDIFBAA_11S"/>
        <s v="BMIDIFBAA_11T"/>
        <s v="BMIDIFBAA_11U"/>
        <s v="BMIDIFBAA_11V"/>
        <s v="BMIDIFBAA_11W"/>
        <s v="BMIDIFBAA_11X"/>
        <s v="BMIDIFBAA_11Y"/>
        <s v="BMIDIFBAA_11Z"/>
        <s v="BMIDIFBAA_12A"/>
        <s v="BMIDIFBAA_12AA"/>
        <s v="BMIDIFBAA_12AB"/>
        <s v="BMIDIFBAA_12AC"/>
        <s v="BMIDIFBAA_12B"/>
        <s v="BMIDIFBAA_12C"/>
        <s v="BMIDIFBAA_12D"/>
        <s v="BMIDIFBAA_12E"/>
        <s v="BMIDIFBAA_12F"/>
        <s v="BMIDIFBAA_12G"/>
        <s v="BMIDIFBAA_12H"/>
        <s v="BMIDIFBAA_12I"/>
        <s v="BMIDIFBAA_12J"/>
        <s v="BMIDIFBAA_12K"/>
        <s v="BMIDIFBAA_12L"/>
        <s v="BMIDIFBAA_12M"/>
        <s v="BMIDIFBAA_12N"/>
        <s v="BMIDIFBAA_12O"/>
        <s v="BMIDIFBAA_12P"/>
        <s v="BMIDIFBAA_12Q"/>
        <s v="BMIDIFBAA_12R"/>
        <s v="BMIDIFBAA_12S"/>
        <s v="BMIDIFBAA_12T"/>
        <s v="BMIDIFBAA_12U"/>
        <s v="BMIDIFBAA_12V"/>
        <s v="BMIDIFBAA_12W"/>
        <s v="BMIDIFBAA_12X"/>
        <s v="BMIDIFBAA_12Y"/>
        <s v="BMIDIFBAA_12Z"/>
        <s v="BMIDIFBAA_13A"/>
        <s v="BMIDIFBAA_13AA"/>
        <s v="BMIDIFBAA_13AB"/>
        <s v="BMIDIFBAA_13AC"/>
        <s v="BMIDIFBAA_13B"/>
        <s v="BMIDIFBAA_13C"/>
        <s v="BMIDIFBAA_13D"/>
        <s v="BMIDIFBAA_13E"/>
        <s v="BMIDIFBAA_13F"/>
        <s v="BMIDIFBAA_13G"/>
        <s v="BMIDIFBAA_13H"/>
        <s v="BMIDIFBAA_13I"/>
        <s v="BMIDIFBAA_13J"/>
        <s v="BMIDIFBAA_13K"/>
        <s v="BMIDIFBAA_13L"/>
        <s v="BMIDIFBAA_13M"/>
        <s v="BMIDIFBAA_13N"/>
        <s v="BMIDIFBAA_13O"/>
        <s v="BMIDIFBAA_13P"/>
        <s v="BMIDIFBAA_13Q"/>
        <s v="BMIDIFBAA_13R"/>
        <s v="BMIDIFBAA_13S"/>
        <s v="BMIDIFBAA_13T"/>
        <s v="BMIDIFBAA_13U"/>
        <s v="BMIDIFBAA_13V"/>
        <s v="BMIDIFBAA_13W"/>
        <s v="BMIDIFBAA_13X"/>
        <s v="BMIDIFBAA_13Y"/>
        <s v="BMIDIFBAA_13Z"/>
        <s v="BMIDIFBAA_1A"/>
        <s v="BMIDIFBAA_1AA"/>
        <s v="BMIDIFBAA_1AB"/>
        <s v="BMIDIFBAA_1AC"/>
        <s v="BMIDIFBAA_1B"/>
        <s v="BMIDIFBAA_1C"/>
        <s v="BMIDIFBAA_1D"/>
        <s v="BMIDIFBAA_1E"/>
        <s v="BMIDIFBAA_1F"/>
        <s v="BMIDIFBAA_1G"/>
        <s v="BMIDIFBAA_1H"/>
        <s v="BMIDIFBAA_1I"/>
        <s v="BMIDIFBAA_1J"/>
        <s v="BMIDIFBAA_1K"/>
        <s v="BMIDIFBAA_1L"/>
        <s v="BMIDIFBAA_1M"/>
        <s v="BMIDIFBAA_1N"/>
        <s v="BMIDIFBAA_1O"/>
        <s v="BMIDIFBAA_1P"/>
        <s v="BMIDIFBAA_1Q"/>
        <s v="BMIDIFBAA_1R"/>
        <s v="BMIDIFBAA_1S"/>
        <s v="BMIDIFBAA_1T"/>
        <s v="BMIDIFBAA_1U"/>
        <s v="BMIDIFBAA_1V"/>
        <s v="BMIDIFBAA_1W"/>
        <s v="BMIDIFBAA_1X"/>
        <s v="BMIDIFBAA_1Y"/>
        <s v="BMIDIFBAA_1Z"/>
        <s v="BMIDIFBAA_2A"/>
        <s v="BMIDIFBAA_2AA"/>
        <s v="BMIDIFBAA_2AB"/>
        <s v="BMIDIFBAA_2AC"/>
        <s v="BMIDIFBAA_2B"/>
        <s v="BMIDIFBAA_2C"/>
        <s v="BMIDIFBAA_2D"/>
        <s v="BMIDIFBAA_2E"/>
        <s v="BMIDIFBAA_2F"/>
        <s v="BMIDIFBAA_2G"/>
        <s v="BMIDIFBAA_2H"/>
        <s v="BMIDIFBAA_2I"/>
        <s v="BMIDIFBAA_2J"/>
        <s v="BMIDIFBAA_2K"/>
        <s v="BMIDIFBAA_2L"/>
        <s v="BMIDIFBAA_2M"/>
        <s v="BMIDIFBAA_2N"/>
        <s v="BMIDIFBAA_2O"/>
        <s v="BMIDIFBAA_2P"/>
        <s v="BMIDIFBAA_2Q"/>
        <s v="BMIDIFBAA_2R"/>
        <s v="BMIDIFBAA_2S"/>
        <s v="BMIDIFBAA_2T"/>
        <s v="BMIDIFBAA_2U"/>
        <s v="BMIDIFBAA_2V"/>
        <s v="BMIDIFBAA_2W"/>
        <s v="BMIDIFBAA_2X"/>
        <s v="BMIDIFBAA_2Y"/>
        <s v="BMIDIFBAA_2Z"/>
        <s v="BMIDIFBAA_3A"/>
        <s v="BMIDIFBAA_3AA"/>
        <s v="BMIDIFBAA_3AB"/>
        <s v="BMIDIFBAA_3AC"/>
        <s v="BMIDIFBAA_3B"/>
        <s v="BMIDIFBAA_3C"/>
        <s v="BMIDIFBAA_3D"/>
        <s v="BMIDIFBAA_3E"/>
        <s v="BMIDIFBAA_3F"/>
        <s v="BMIDIFBAA_3G"/>
        <s v="BMIDIFBAA_3H"/>
        <s v="BMIDIFBAA_3I"/>
        <s v="BMIDIFBAA_3J"/>
        <s v="BMIDIFBAA_3K"/>
        <s v="BMIDIFBAA_3L"/>
        <s v="BMIDIFBAA_3M"/>
        <s v="BMIDIFBAA_3N"/>
        <s v="BMIDIFBAA_3O"/>
        <s v="BMIDIFBAA_3P"/>
        <s v="BMIDIFBAA_3Q"/>
        <s v="BMIDIFBAA_3R"/>
        <s v="BMIDIFBAA_3S"/>
        <s v="BMIDIFBAA_3T"/>
        <s v="BMIDIFBAA_3U"/>
        <s v="BMIDIFBAA_3V"/>
        <s v="BMIDIFBAA_3W"/>
        <s v="BMIDIFBAA_3X"/>
        <s v="BMIDIFBAA_3Y"/>
        <s v="BMIDIFBAA_3Z"/>
        <s v="BMIDIFBAA_4A"/>
        <s v="BMIDIFBAA_4AA"/>
        <s v="BMIDIFBAA_4AB"/>
        <s v="BMIDIFBAA_4AC"/>
        <s v="BMIDIFBAA_4B"/>
        <s v="BMIDIFBAA_4C"/>
        <s v="BMIDIFBAA_4D"/>
        <s v="BMIDIFBAA_4E"/>
        <s v="BMIDIFBAA_4F"/>
        <s v="BMIDIFBAA_4G"/>
        <s v="BMIDIFBAA_4H"/>
        <s v="BMIDIFBAA_4I"/>
        <s v="BMIDIFBAA_4J"/>
        <s v="BMIDIFBAA_4K"/>
        <s v="BMIDIFBAA_4L"/>
        <s v="BMIDIFBAA_4M"/>
        <s v="BMIDIFBAA_4N"/>
        <s v="BMIDIFBAA_4O"/>
        <s v="BMIDIFBAA_4P"/>
        <s v="BMIDIFBAA_4Q"/>
        <s v="BMIDIFBAA_4R"/>
        <s v="BMIDIFBAA_4S"/>
        <s v="BMIDIFBAA_4T"/>
        <s v="BMIDIFBAA_4U"/>
        <s v="BMIDIFBAA_4V"/>
        <s v="BMIDIFBAA_4W"/>
        <s v="BMIDIFBAA_4X"/>
        <s v="BMIDIFBAA_4Y"/>
        <s v="BMIDIFBAA_4Z"/>
        <s v="BMIDIFBAA_5A"/>
        <s v="BMIDIFBAA_5AA"/>
        <s v="BMIDIFBAA_5AB"/>
        <s v="BMIDIFBAA_5AC"/>
        <s v="BMIDIFBAA_5B"/>
        <s v="BMIDIFBAA_5C"/>
        <s v="BMIDIFBAA_5D"/>
        <s v="BMIDIFBAA_5E"/>
        <s v="BMIDIFBAA_5F"/>
        <s v="BMIDIFBAA_5G"/>
        <s v="BMIDIFBAA_5H"/>
        <s v="BMIDIFBAA_5I"/>
        <s v="BMIDIFBAA_5J"/>
        <s v="BMIDIFBAA_5K"/>
        <s v="BMIDIFBAA_5L"/>
        <s v="BMIDIFBAA_5M"/>
        <s v="BMIDIFBAA_5N"/>
        <s v="BMIDIFBAA_5O"/>
        <s v="BMIDIFBAA_5P"/>
        <s v="BMIDIFBAA_5Q"/>
        <s v="BMIDIFBAA_5R"/>
        <s v="BMIDIFBAA_5S"/>
        <s v="BMIDIFBAA_5T"/>
        <s v="BMIDIFBAA_5U"/>
        <s v="BMIDIFBAA_5V"/>
        <s v="BMIDIFBAA_5W"/>
        <s v="BMIDIFBAA_5X"/>
        <s v="BMIDIFBAA_5Y"/>
        <s v="BMIDIFBAA_5Z"/>
        <s v="BMIDIFBAA_6A"/>
        <s v="BMIDIFBAA_6AA"/>
        <s v="BMIDIFBAA_6AB"/>
        <s v="BMIDIFBAA_6AC"/>
        <s v="BMIDIFBAA_6B"/>
        <s v="BMIDIFBAA_6C"/>
        <s v="BMIDIFBAA_6D"/>
        <s v="BMIDIFBAA_6E"/>
        <s v="BMIDIFBAA_6F"/>
        <s v="BMIDIFBAA_6G"/>
        <s v="BMIDIFBAA_6H"/>
        <s v="BMIDIFBAA_6I"/>
        <s v="BMIDIFBAA_6J"/>
        <s v="BMIDIFBAA_6K"/>
        <s v="BMIDIFBAA_6L"/>
        <s v="BMIDIFBAA_6M"/>
        <s v="BMIDIFBAA_6N"/>
        <s v="BMIDIFBAA_6O"/>
        <s v="BMIDIFBAA_6P"/>
        <s v="BMIDIFBAA_6Q"/>
        <s v="BMIDIFBAA_6R"/>
        <s v="BMIDIFBAA_6S"/>
        <s v="BMIDIFBAA_6T"/>
        <s v="BMIDIFBAA_6U"/>
        <s v="BMIDIFBAA_6V"/>
        <s v="BMIDIFBAA_6W"/>
        <s v="BMIDIFBAA_6X"/>
        <s v="BMIDIFBAA_6Y"/>
        <s v="BMIDIFBAA_6Z"/>
        <s v="BMIDIFBAA_7A"/>
        <s v="BMIDIFBAA_7AA"/>
        <s v="BMIDIFBAA_7AB"/>
        <s v="BMIDIFBAA_7AC"/>
        <s v="BMIDIFBAA_7B"/>
        <s v="BMIDIFBAA_7C"/>
        <s v="BMIDIFBAA_7D"/>
        <s v="BMIDIFBAA_7E"/>
        <s v="BMIDIFBAA_7F"/>
        <s v="BMIDIFBAA_7G"/>
        <s v="BMIDIFBAA_7H"/>
        <s v="BMIDIFBAA_7I"/>
        <s v="BMIDIFBAA_7J"/>
        <s v="BMIDIFBAA_7K"/>
        <s v="BMIDIFBAA_7L"/>
        <s v="BMIDIFBAA_7M"/>
        <s v="BMIDIFBAA_7N"/>
        <s v="BMIDIFBAA_7O"/>
        <s v="BMIDIFBAA_7P"/>
        <s v="BMIDIFBAA_7Q"/>
        <s v="BMIDIFBAA_7R"/>
        <s v="BMIDIFBAA_7S"/>
        <s v="BMIDIFBAA_7T"/>
        <s v="BMIDIFBAA_7U"/>
        <s v="BMIDIFBAA_7V"/>
        <s v="BMIDIFBAA_7W"/>
        <s v="BMIDIFBAA_7X"/>
        <s v="BMIDIFBAA_7Y"/>
        <s v="BMIDIFBAA_7Z"/>
        <s v="BMIDIFBAA_8A"/>
        <s v="BMIDIFBAA_8AA"/>
        <s v="BMIDIFBAA_8AB"/>
        <s v="BMIDIFBAA_8AC"/>
        <s v="BMIDIFBAA_8B"/>
        <s v="BMIDIFBAA_8C"/>
        <s v="BMIDIFBAA_8D"/>
        <s v="BMIDIFBAA_8E"/>
        <s v="BMIDIFBAA_8F"/>
        <s v="BMIDIFBAA_8G"/>
        <s v="BMIDIFBAA_8H"/>
        <s v="BMIDIFBAA_8I"/>
        <s v="BMIDIFBAA_8J"/>
        <s v="BMIDIFBAA_8K"/>
        <s v="BMIDIFBAA_8L"/>
        <s v="BMIDIFBAA_8M"/>
        <s v="BMIDIFBAA_8N"/>
        <s v="BMIDIFBAA_8O"/>
        <s v="BMIDIFBAA_8P"/>
        <s v="BMIDIFBAA_8Q"/>
        <s v="BMIDIFBAA_8R"/>
        <s v="BMIDIFBAA_8S"/>
        <s v="BMIDIFBAA_8T"/>
        <s v="BMIDIFBAA_8U"/>
        <s v="BMIDIFBAA_8V"/>
        <s v="BMIDIFBAA_8W"/>
        <s v="BMIDIFBAA_8X"/>
        <s v="BMIDIFBAA_8Y"/>
        <s v="BMIDIFBAA_8Z"/>
        <s v="BMIDIFBAA_9A"/>
        <s v="BMIDIFBAA_9AA"/>
        <s v="BMIDIFBAA_9AB"/>
        <s v="BMIDIFBAA_9AC"/>
        <s v="BMIDIFBAA_9B"/>
        <s v="BMIDIFBAA_9C"/>
        <s v="BMIDIFBAA_9D"/>
        <s v="BMIDIFBAA_9E"/>
        <s v="BMIDIFBAA_9F"/>
        <s v="BMIDIFBAA_9G"/>
        <s v="BMIDIFBAA_9H"/>
        <s v="BMIDIFBAA_9I"/>
        <s v="BMIDIFBAA_9J"/>
        <s v="BMIDIFBAA_9K"/>
        <s v="BMIDIFBAA_9L"/>
        <s v="BMIDIFBAA_9M"/>
        <s v="BMIDIFBAA_9N"/>
        <s v="BMIDIFBAA_9O"/>
        <s v="BMIDIFBAA_9P"/>
        <s v="BMIDIFBAA_9Q"/>
        <s v="BMIDIFBAA_9R"/>
        <s v="BMIDIFBAA_9S"/>
        <s v="BMIDIFBAA_9T"/>
        <s v="BMIDIFBAA_9U"/>
        <s v="BMIDIFBAA_9V"/>
        <s v="BMIDIFBAA_9W"/>
        <s v="BMIDIFBAA_9X"/>
        <s v="BMIDIFBAA_9Y"/>
        <s v="BMIDIFBAA_9Z"/>
        <s v="BMIDIFCA_10A"/>
        <s v="BMIDIFCA_10B"/>
        <s v="BMIDIFCA_10C"/>
        <s v="BMIDIFCA_10D"/>
        <s v="BMIDIFCA_10E"/>
        <s v="BMIDIFCA_10F"/>
        <s v="BMIDIFCA_10G"/>
        <s v="BMIDIFCA_10H"/>
        <s v="BMIDIFCA_10I"/>
        <s v="BMIDIFCA_10J"/>
        <s v="BMIDIFCA_10K"/>
        <s v="BMIDIFCA_10L"/>
        <s v="BMIDIFCA_10M"/>
        <s v="BMIDIFCA_10N"/>
        <s v="BMIDIFCA_10O"/>
        <s v="BMIDIFCA_10P"/>
        <s v="BMIDIFCA_10Q"/>
        <s v="BMIDIFCA_10R"/>
        <s v="BMIDIFCA_10S"/>
        <s v="BMIDIFCA_10T"/>
        <s v="BMIDIFCA_10V"/>
        <s v="BMIDIFCA_10W"/>
        <s v="BMIDIFCA_1A"/>
        <s v="BMIDIFCA_1AA"/>
        <s v="BMIDIFCA_1AB"/>
        <s v="BMIDIFCA_1AC"/>
        <s v="BMIDIFCA_1B"/>
        <s v="BMIDIFCA_1C"/>
        <s v="BMIDIFCA_1D"/>
        <s v="BMIDIFCA_1E"/>
        <s v="BMIDIFCA_1F"/>
        <s v="BMIDIFCA_1G"/>
        <s v="BMIDIFCA_1H"/>
        <s v="BMIDIFCA_1I"/>
        <s v="BMIDIFCA_1J"/>
        <s v="BMIDIFCA_1K"/>
        <s v="BMIDIFCA_1L"/>
        <s v="BMIDIFCA_1M"/>
        <s v="BMIDIFCA_1N"/>
        <s v="BMIDIFCA_1O"/>
        <s v="BMIDIFCA_1P"/>
        <s v="BMIDIFCA_1Q"/>
        <s v="BMIDIFCA_1R"/>
        <s v="BMIDIFCA_1S"/>
        <s v="BMIDIFCA_1T"/>
        <s v="BMIDIFCA_1U"/>
        <s v="BMIDIFCA_1V"/>
        <s v="BMIDIFCA_1W"/>
        <s v="BMIDIFCA_1X"/>
        <s v="BMIDIFCA_1Y"/>
        <s v="BMIDIFCA_1Z"/>
        <s v="BMIDIFCA_2A"/>
        <s v="BMIDIFCA_2AA"/>
        <s v="BMIDIFCA_2AB"/>
        <s v="BMIDIFCA_2AC"/>
        <s v="BMIDIFCA_2B"/>
        <s v="BMIDIFCA_2C"/>
        <s v="BMIDIFCA_2D"/>
        <s v="BMIDIFCA_2E"/>
        <s v="BMIDIFCA_2F"/>
        <s v="BMIDIFCA_2G"/>
        <s v="BMIDIFCA_2H"/>
        <s v="BMIDIFCA_2I"/>
        <s v="BMIDIFCA_2J"/>
        <s v="BMIDIFCA_2K"/>
        <s v="BMIDIFCA_2L"/>
        <s v="BMIDIFCA_2M"/>
        <s v="BMIDIFCA_2N"/>
        <s v="BMIDIFCA_2O"/>
        <s v="BMIDIFCA_2P"/>
        <s v="BMIDIFCA_2Q"/>
        <s v="BMIDIFCA_2R"/>
        <s v="BMIDIFCA_2S"/>
        <s v="BMIDIFCA_2T"/>
        <s v="BMIDIFCA_2U"/>
        <s v="BMIDIFCA_2V"/>
        <s v="BMIDIFCA_2W"/>
        <s v="BMIDIFCA_2X"/>
        <s v="BMIDIFCA_2Y"/>
        <s v="BMIDIFCA_2Z"/>
        <s v="BMIDIFCA_3A"/>
        <s v="BMIDIFCA_3AA"/>
        <s v="BMIDIFCA_3AB"/>
        <s v="BMIDIFCA_3AC"/>
        <s v="BMIDIFCA_3B"/>
        <s v="BMIDIFCA_3C"/>
        <s v="BMIDIFCA_3D"/>
        <s v="BMIDIFCA_3E"/>
        <s v="BMIDIFCA_3F"/>
        <s v="BMIDIFCA_3G"/>
        <s v="BMIDIFCA_3H"/>
        <s v="BMIDIFCA_3I"/>
        <s v="BMIDIFCA_3J"/>
        <s v="BMIDIFCA_3K"/>
        <s v="BMIDIFCA_3L"/>
        <s v="BMIDIFCA_3M"/>
        <s v="BMIDIFCA_3N"/>
        <s v="BMIDIFCA_3O"/>
        <s v="BMIDIFCA_3P"/>
        <s v="BMIDIFCA_3Q"/>
        <s v="BMIDIFCA_3R"/>
        <s v="BMIDIFCA_3S"/>
        <s v="BMIDIFCA_3T"/>
        <s v="BMIDIFCA_3U"/>
        <s v="BMIDIFCA_3V"/>
        <s v="BMIDIFCA_3W"/>
        <s v="BMIDIFCA_3X"/>
        <s v="BMIDIFCA_3Y"/>
        <s v="BMIDIFCA_3Z"/>
        <s v="BMIDIFCA_4A"/>
        <s v="BMIDIFCA_4AA"/>
        <s v="BMIDIFCA_4AC"/>
        <s v="BMIDIFCA_4AD"/>
        <s v="BMIDIFCA_4B"/>
        <s v="BMIDIFCA_4C"/>
        <s v="BMIDIFCA_4D"/>
        <s v="BMIDIFCA_4E"/>
        <s v="BMIDIFCA_4F"/>
        <s v="BMIDIFCA_4G"/>
        <s v="BMIDIFCA_4H"/>
        <s v="BMIDIFCA_4I"/>
        <s v="BMIDIFCA_4J"/>
        <s v="BMIDIFCA_4K"/>
        <s v="BMIDIFCA_4L"/>
        <s v="BMIDIFCA_4M"/>
        <s v="BMIDIFCA_4N"/>
        <s v="BMIDIFCA_4O"/>
        <s v="BMIDIFCA_4P"/>
        <s v="BMIDIFCA_4Q"/>
        <s v="BMIDIFCA_4R"/>
        <s v="BMIDIFCA_4S"/>
        <s v="BMIDIFCA_4T"/>
        <s v="BMIDIFCA_4U"/>
        <s v="BMIDIFCA_4V"/>
        <s v="BMIDIFCA_4W"/>
        <s v="BMIDIFCA_4X"/>
        <s v="BMIDIFCA_4Y"/>
        <s v="BMIDIFCA_4Z"/>
        <s v="BMIDIFCA_5A"/>
        <s v="BMIDIFCA_5AA"/>
        <s v="BMIDIFCA_5AB"/>
        <s v="BMIDIFCA_5AC"/>
        <s v="BMIDIFCA_5B"/>
        <s v="BMIDIFCA_5C"/>
        <s v="BMIDIFCA_5D"/>
        <s v="BMIDIFCA_5E"/>
        <s v="BMIDIFCA_5F"/>
        <s v="BMIDIFCA_5G"/>
        <s v="BMIDIFCA_5H"/>
        <s v="BMIDIFCA_5I"/>
        <s v="BMIDIFCA_5J"/>
        <s v="BMIDIFCA_5K"/>
        <s v="BMIDIFCA_5L"/>
        <s v="BMIDIFCA_5M"/>
        <s v="BMIDIFCA_5N"/>
        <s v="BMIDIFCA_5O"/>
        <s v="BMIDIFCA_5P"/>
        <s v="BMIDIFCA_5Q"/>
        <s v="BMIDIFCA_5R"/>
        <s v="BMIDIFCA_5S"/>
        <s v="BMIDIFCA_5T"/>
        <s v="BMIDIFCA_5U"/>
        <s v="BMIDIFCA_5V"/>
        <s v="BMIDIFCA_5W"/>
        <s v="BMIDIFCA_5X"/>
        <s v="BMIDIFCA_5Y"/>
        <s v="BMIDIFCA_5Z"/>
        <s v="BMIDIFCA_6A"/>
        <s v="BMIDIFCA_6AA"/>
        <s v="BMIDIFCA_6AB"/>
        <s v="BMIDIFCA_6AC"/>
        <s v="BMIDIFCA_6B"/>
        <s v="BMIDIFCA_6C"/>
        <s v="BMIDIFCA_6D"/>
        <s v="BMIDIFCA_6E"/>
        <s v="BMIDIFCA_6F"/>
        <s v="BMIDIFCA_6G"/>
        <s v="BMIDIFCA_6H"/>
        <s v="BMIDIFCA_6I"/>
        <s v="BMIDIFCA_6J"/>
        <s v="BMIDIFCA_6K"/>
        <s v="BMIDIFCA_6L"/>
        <s v="BMIDIFCA_6M"/>
        <s v="BMIDIFCA_6N"/>
        <s v="BMIDIFCA_6O"/>
        <s v="BMIDIFCA_6P"/>
        <s v="BMIDIFCA_6Q"/>
        <s v="BMIDIFCA_6R"/>
        <s v="BMIDIFCA_6S"/>
        <s v="BMIDIFCA_6T"/>
        <s v="BMIDIFCA_6U"/>
        <s v="BMIDIFCA_6V"/>
        <s v="BMIDIFCA_6W"/>
        <s v="BMIDIFCA_6X"/>
        <s v="BMIDIFCA_6Y"/>
        <s v="BMIDIFCA_6Z"/>
        <s v="BMIDIFCA_7A"/>
        <s v="BMIDIFCA_7AA"/>
        <s v="BMIDIFCA_7AB"/>
        <s v="BMIDIFCA_7AC"/>
        <s v="BMIDIFCA_7B"/>
        <s v="BMIDIFCA_7C"/>
        <s v="BMIDIFCA_7D"/>
        <s v="BMIDIFCA_7E"/>
        <s v="BMIDIFCA_7F"/>
        <s v="BMIDIFCA_7G"/>
        <s v="BMIDIFCA_7H"/>
        <s v="BMIDIFCA_7I"/>
        <s v="BMIDIFCA_7J"/>
        <s v="BMIDIFCA_7K"/>
        <s v="BMIDIFCA_7L"/>
        <s v="BMIDIFCA_7M"/>
        <s v="BMIDIFCA_7N"/>
        <s v="BMIDIFCA_7O"/>
        <s v="BMIDIFCA_7P"/>
        <s v="BMIDIFCA_7Q"/>
        <s v="BMIDIFCA_7R"/>
        <s v="BMIDIFCA_7S"/>
        <s v="BMIDIFCA_7T"/>
        <s v="BMIDIFCA_7U"/>
        <s v="BMIDIFCA_7V"/>
        <s v="BMIDIFCA_7W"/>
        <s v="BMIDIFCA_7X"/>
        <s v="BMIDIFCA_7Y"/>
        <s v="BMIDIFCA_7Z"/>
        <s v="BMIDIFCA_8A"/>
        <s v="BMIDIFCA_8AA"/>
        <s v="BMIDIFCA_8AB"/>
        <s v="BMIDIFCA_8AC"/>
        <s v="BMIDIFCA_8B"/>
        <s v="BMIDIFCA_8C"/>
        <s v="BMIDIFCA_8D"/>
        <s v="BMIDIFCA_8E"/>
        <s v="BMIDIFCA_8F"/>
        <s v="BMIDIFCA_8G"/>
        <s v="BMIDIFCA_8H"/>
        <s v="BMIDIFCA_8I"/>
        <s v="BMIDIFCA_8J"/>
        <s v="BMIDIFCA_8K"/>
        <s v="BMIDIFCA_8L"/>
        <s v="BMIDIFCA_8M"/>
        <s v="BMIDIFCA_8N"/>
        <s v="BMIDIFCA_8O"/>
        <s v="BMIDIFCA_8P"/>
        <s v="BMIDIFCA_8Q"/>
        <s v="BMIDIFCA_8R"/>
        <s v="BMIDIFCA_8S"/>
        <s v="BMIDIFCA_8T"/>
        <s v="BMIDIFCA_8U"/>
        <s v="BMIDIFCA_8V"/>
        <s v="BMIDIFCA_8W"/>
        <s v="BMIDIFCA_8X"/>
        <s v="BMIDIFCA_8Y"/>
        <s v="BMIDIFCA_8Z"/>
        <s v="BMIDIFCA_9A"/>
        <s v="BMIDIFCA_9B"/>
        <s v="BMIDIFCA_9C"/>
        <s v="BMIDIFCA_9D"/>
        <s v="BMIDIFCA_9E"/>
        <s v="BMIDIFCA_9F"/>
        <s v="BMIDIFCA_9G"/>
        <s v="BMIDIFCA_9H"/>
        <s v="BMIDIFCA_9I"/>
        <s v="BMIDIFCA_9J"/>
        <s v="BMIDIFCA_9K"/>
        <s v="BMIDIFCA_9L"/>
        <s v="BMIDIFCA_9M"/>
        <s v="BMIDIFCA_9N"/>
        <s v="BMIDIFCA_9O"/>
        <s v="BMIDIFCA_9P"/>
        <s v="BMIDIFCA_9Q"/>
        <s v="BMIDIFCA_9R"/>
        <s v="BMIDIFCA_9S"/>
        <s v="BMIDIFCA_9T"/>
        <s v="BMIDIFCA_9V"/>
        <s v="BMIDIFCA_9W"/>
        <s v="BMIDIFCM_1A"/>
        <s v="BMIDIFCM_1B"/>
        <s v="BMIDIFCM_1C"/>
        <s v="BMIDIFCM_1D"/>
        <s v="BMIDIFCM_1E"/>
        <s v="BMIDIFCM_1F"/>
        <s v="BMIDIFCM_1G"/>
        <s v="BMIDIFCM_1H"/>
        <s v="BMIDIFCM_1I"/>
        <s v="BMIDIFCM_1J"/>
        <s v="BMIDIFCM_1K"/>
        <s v="BMIDIFCM_1L"/>
        <s v="BMIDIFCM_1M"/>
        <s v="BMIDIFCM_1N"/>
        <s v="BMIDIFCO_1A"/>
        <s v="BMIDIFCO_1B"/>
        <s v="BMIDIFCO_1C"/>
        <s v="BMIDIFCO_1D"/>
        <s v="BMIDIFCO_1E"/>
        <s v="BMIDIFCO_1F"/>
        <s v="BMIDIFCO_1G"/>
        <s v="BMIDIFCO_1H"/>
        <s v="BMIDIFCO_1I"/>
        <s v="BMIDIFCO_1J"/>
        <s v="BMIDIFCO_1K"/>
        <s v="BMIDIFCO_1L"/>
        <s v="BMIDIFCO_1M"/>
        <s v="BMIDIFCO_1N"/>
        <s v="BMIDIFCO_1O"/>
        <s v="BMIDIFCO_1P"/>
        <s v="BMIDIFCO_1Q"/>
        <s v="BMIDIFCO_1R"/>
        <s v="BMIDIFCO_1S"/>
        <s v="BMIDIFCO_1T"/>
        <s v="BMIDIFCO_1U"/>
        <s v="BMIDIFCO_1V"/>
        <s v="BMIDIFCOP_1A"/>
        <s v="BMIDIFCOP_1AA"/>
        <s v="BMIDIFCOP_1AB"/>
        <s v="BMIDIFCOP_1AC"/>
        <s v="BMIDIFCOP_1B"/>
        <s v="BMIDIFCOP_1C"/>
        <s v="BMIDIFCOP_1D"/>
        <s v="BMIDIFCOP_1E"/>
        <s v="BMIDIFCOP_1F"/>
        <s v="BMIDIFCOP_1G"/>
        <s v="BMIDIFCOP_1H"/>
        <s v="BMIDIFCOP_1I"/>
        <s v="BMIDIFCOP_1J"/>
        <s v="BMIDIFCOP_1K"/>
        <s v="BMIDIFCOP_1L"/>
        <s v="BMIDIFCOP_1M"/>
        <s v="BMIDIFCOP_1N"/>
        <s v="BMIDIFCOP_1O"/>
        <s v="BMIDIFCOP_1P"/>
        <s v="BMIDIFCOP_1Q"/>
        <s v="BMIDIFCOP_1R"/>
        <s v="BMIDIFCOP_1S"/>
        <s v="BMIDIFCOP_1T"/>
        <s v="BMIDIFCOP_1U"/>
        <s v="BMIDIFCOP_1V"/>
        <s v="BMIDIFCOP_1W"/>
        <s v="BMIDIFCOP_1X"/>
        <s v="BMIDIFCOP_1Y"/>
        <s v="BMIDIFCOP_1Z"/>
        <s v="BMIDIFCOP_2A"/>
        <s v="BMIDIFCOP_2AA"/>
        <s v="BMIDIFCOP_2AB"/>
        <s v="BMIDIFCOP_2AC"/>
        <s v="BMIDIFCOP_2B"/>
        <s v="BMIDIFCOP_2C"/>
        <s v="BMIDIFCOP_2D"/>
        <s v="BMIDIFCOP_2E"/>
        <s v="BMIDIFCOP_2F"/>
        <s v="BMIDIFCOP_2G"/>
        <s v="BMIDIFCOP_2H"/>
        <s v="BMIDIFCOP_2I"/>
        <s v="BMIDIFCOP_2J"/>
        <s v="BMIDIFCOP_2K"/>
        <s v="BMIDIFCOP_2L"/>
        <s v="BMIDIFCOP_2M"/>
        <s v="BMIDIFCOP_2N"/>
        <s v="BMIDIFCOP_2O"/>
        <s v="BMIDIFCOP_2P"/>
        <s v="BMIDIFCOP_2Q"/>
        <s v="BMIDIFCOP_2R"/>
        <s v="BMIDIFCOP_2S"/>
        <s v="BMIDIFCOP_2T"/>
        <s v="BMIDIFCOP_2U"/>
        <s v="BMIDIFCOP_2V"/>
        <s v="BMIDIFCOP_2W"/>
        <s v="BMIDIFCOP_2X"/>
        <s v="BMIDIFCOP_2Y"/>
        <s v="BMIDIFCOP_2Z"/>
        <s v="BMIDIFCS_1A"/>
        <s v="BMIDIFCS_1B"/>
        <s v="BMIDIFCS_1C"/>
        <s v="BMIDIFCS_1D"/>
        <s v="BMIDIFCS_1E"/>
        <s v="BMIDIFCS_1F"/>
        <s v="BMIDIFCS_1G"/>
        <s v="BMIDIFCS_1H"/>
        <s v="BMIDIFCS_1I"/>
        <s v="BMIDIFCS_1J"/>
        <s v="BMIDIFCS_1K"/>
        <s v="BMIDIFCS_1L"/>
        <s v="BMIDIFCS_1M"/>
        <s v="BMIDIFCS_1N"/>
        <s v="BMIDIFCS_1O"/>
        <s v="BMIDIFCS_1P"/>
        <s v="BMIDIFCS_1Q"/>
        <s v="BMIDIFCS_1R"/>
        <s v="BMIDIFCS_1S"/>
        <s v="BMIDIFCS_1T"/>
        <s v="BMIDIFCS_1U"/>
        <s v="BMIDIFCS_1V"/>
        <s v="BMIDIFELE_1A"/>
        <s v="BMIDIFELE_1AA"/>
        <s v="BMIDIFELE_1AB"/>
        <s v="BMIDIFELE_1AC"/>
        <s v="BMIDIFELE_1AD"/>
        <s v="BMIDIFELE_1AF"/>
        <s v="BMIDIFELE_1B"/>
        <s v="BMIDIFELE_1C"/>
        <s v="BMIDIFELE_1D"/>
        <s v="BMIDIFELE_1E"/>
        <s v="BMIDIFELE_1F"/>
        <s v="BMIDIFELE_1G"/>
        <s v="BMIDIFELE_1H"/>
        <s v="BMIDIFELE_1I"/>
        <s v="BMIDIFELE_1J"/>
        <s v="BMIDIFELE_1K"/>
        <s v="BMIDIFELE_1L"/>
        <s v="BMIDIFELE_1M"/>
        <s v="BMIDIFELE_1N"/>
        <s v="BMIDIFELE_1O"/>
        <s v="BMIDIFELE_1P"/>
        <s v="BMIDIFELE_1Q"/>
        <s v="BMIDIFELE_1R"/>
        <s v="BMIDIFELE_1S"/>
        <s v="BMIDIFELE_1T"/>
        <s v="BMIDIFELE_1U"/>
        <s v="BMIDIFELE_1V"/>
        <s v="BMIDIFELE_1W"/>
        <s v="BMIDIFELE_1X"/>
        <s v="BMIDIFELE_2A"/>
        <s v="BMIDIFELE_2AA"/>
        <s v="BMIDIFELE_2AB"/>
        <s v="BMIDIFELE_2AC"/>
        <s v="BMIDIFELE_2AD"/>
        <s v="BMIDIFELE_2AF"/>
        <s v="BMIDIFELE_2B"/>
        <s v="BMIDIFELE_2C"/>
        <s v="BMIDIFELE_2D"/>
        <s v="BMIDIFELE_2E"/>
        <s v="BMIDIFELE_2F"/>
        <s v="BMIDIFELE_2G"/>
        <s v="BMIDIFELE_2H"/>
        <s v="BMIDIFELE_2I"/>
        <s v="BMIDIFELE_2J"/>
        <s v="BMIDIFELE_2K"/>
        <s v="BMIDIFELE_2L"/>
        <s v="BMIDIFELE_2M"/>
        <s v="BMIDIFELE_2N"/>
        <s v="BMIDIFELE_2O"/>
        <s v="BMIDIFELE_2P"/>
        <s v="BMIDIFELE_2Q"/>
        <s v="BMIDIFELE_2R"/>
        <s v="BMIDIFELE_2S"/>
        <s v="BMIDIFELE_2T"/>
        <s v="BMIDIFELE_2U"/>
        <s v="BMIDIFELE_2V"/>
        <s v="BMIDIFELE_2W"/>
        <s v="BMIDIFELE_2X"/>
        <s v="BMIDIFELE_3A"/>
        <s v="BMIDIFELE_3AA"/>
        <s v="BMIDIFELE_3AB"/>
        <s v="BMIDIFELE_3AC"/>
        <s v="BMIDIFELE_3AD"/>
        <s v="BMIDIFELE_3AF"/>
        <s v="BMIDIFELE_3B"/>
        <s v="BMIDIFELE_3C"/>
        <s v="BMIDIFELE_3D"/>
        <s v="BMIDIFELE_3E"/>
        <s v="BMIDIFELE_3F"/>
        <s v="BMIDIFELE_3G"/>
        <s v="BMIDIFELE_3H"/>
        <s v="BMIDIFELE_3I"/>
        <s v="BMIDIFELE_3J"/>
        <s v="BMIDIFELE_3K"/>
        <s v="BMIDIFELE_3L"/>
        <s v="BMIDIFELE_3M"/>
        <s v="BMIDIFELE_3N"/>
        <s v="BMIDIFELE_3O"/>
        <s v="BMIDIFELE_3P"/>
        <s v="BMIDIFELE_3Q"/>
        <s v="BMIDIFELE_3R"/>
        <s v="BMIDIFELE_3S"/>
        <s v="BMIDIFELE_3T"/>
        <s v="BMIDIFELE_3U"/>
        <s v="BMIDIFELE_3V"/>
        <s v="BMIDIFELE_3W"/>
        <s v="BMIDIFELE_3X"/>
        <s v="BMIDIFELE_4A"/>
        <s v="BMIDIFELE_4AA"/>
        <s v="BMIDIFELE_4AB"/>
        <s v="BMIDIFELE_4AC"/>
        <s v="BMIDIFELE_4AD"/>
        <s v="BMIDIFELE_4AF"/>
        <s v="BMIDIFELE_4B"/>
        <s v="BMIDIFELE_4C"/>
        <s v="BMIDIFELE_4D"/>
        <s v="BMIDIFELE_4E"/>
        <s v="BMIDIFELE_4F"/>
        <s v="BMIDIFELE_4G"/>
        <s v="BMIDIFELE_4H"/>
        <s v="BMIDIFELE_4I"/>
        <s v="BMIDIFELE_4J"/>
        <s v="BMIDIFELE_4K"/>
        <s v="BMIDIFELE_4L"/>
        <s v="BMIDIFELE_4M"/>
        <s v="BMIDIFELE_4N"/>
        <s v="BMIDIFELE_4O"/>
        <s v="BMIDIFELE_4P"/>
        <s v="BMIDIFELE_4Q"/>
        <s v="BMIDIFELE_4R"/>
        <s v="BMIDIFELE_4S"/>
        <s v="BMIDIFELE_4T"/>
        <s v="BMIDIFELE_4U"/>
        <s v="BMIDIFELE_4V"/>
        <s v="BMIDIFELE_4W"/>
        <s v="BMIDIFELE_4X"/>
        <s v="BMIDIFELE_5A"/>
        <s v="BMIDIFELE_5AA"/>
        <s v="BMIDIFELE_5AB"/>
        <s v="BMIDIFELE_5AC"/>
        <s v="BMIDIFELE_5AD"/>
        <s v="BMIDIFELE_5AF"/>
        <s v="BMIDIFELE_5B"/>
        <s v="BMIDIFELE_5C"/>
        <s v="BMIDIFELE_5D"/>
        <s v="BMIDIFELE_5E"/>
        <s v="BMIDIFELE_5F"/>
        <s v="BMIDIFELE_5G"/>
        <s v="BMIDIFELE_5H"/>
        <s v="BMIDIFELE_5I"/>
        <s v="BMIDIFELE_5J"/>
        <s v="BMIDIFELE_5K"/>
        <s v="BMIDIFELE_5L"/>
        <s v="BMIDIFELE_5M"/>
        <s v="BMIDIFELE_5N"/>
        <s v="BMIDIFELE_5O"/>
        <s v="BMIDIFELE_5P"/>
        <s v="BMIDIFELE_5Q"/>
        <s v="BMIDIFELE_5R"/>
        <s v="BMIDIFELE_5S"/>
        <s v="BMIDIFELE_5T"/>
        <s v="BMIDIFELE_5U"/>
        <s v="BMIDIFELE_5V"/>
        <s v="BMIDIFELE_5W"/>
        <s v="BMIDIFELE_5X"/>
        <s v="BMIDIFELE_6A"/>
        <s v="BMIDIFELE_6AA"/>
        <s v="BMIDIFELE_6AB"/>
        <s v="BMIDIFELE_6AC"/>
        <s v="BMIDIFELE_6AD"/>
        <s v="BMIDIFELE_6AF"/>
        <s v="BMIDIFELE_6B"/>
        <s v="BMIDIFELE_6C"/>
        <s v="BMIDIFELE_6D"/>
        <s v="BMIDIFELE_6E"/>
        <s v="BMIDIFELE_6F"/>
        <s v="BMIDIFELE_6G"/>
        <s v="BMIDIFELE_6H"/>
        <s v="BMIDIFELE_6I"/>
        <s v="BMIDIFELE_6J"/>
        <s v="BMIDIFELE_6K"/>
        <s v="BMIDIFELE_6L"/>
        <s v="BMIDIFELE_6M"/>
        <s v="BMIDIFELE_6N"/>
        <s v="BMIDIFELE_6O"/>
        <s v="BMIDIFELE_6P"/>
        <s v="BMIDIFELE_6Q"/>
        <s v="BMIDIFELE_6R"/>
        <s v="BMIDIFELE_6S"/>
        <s v="BMIDIFELE_6T"/>
        <s v="BMIDIFELE_6U"/>
        <s v="BMIDIFELE_6V"/>
        <s v="BMIDIFELE_6W"/>
        <s v="BMIDIFELE_6X"/>
        <s v="BMIDIFELE_7A"/>
        <s v="BMIDIFELE_7AA"/>
        <s v="BMIDIFELE_7AB"/>
        <s v="BMIDIFELE_7AC"/>
        <s v="BMIDIFELE_7AD"/>
        <s v="BMIDIFELE_7AF"/>
        <s v="BMIDIFELE_7B"/>
        <s v="BMIDIFELE_7C"/>
        <s v="BMIDIFELE_7D"/>
        <s v="BMIDIFELE_7E"/>
        <s v="BMIDIFELE_7F"/>
        <s v="BMIDIFELE_7G"/>
        <s v="BMIDIFELE_7H"/>
        <s v="BMIDIFELE_7I"/>
        <s v="BMIDIFELE_7J"/>
        <s v="BMIDIFELE_7K"/>
        <s v="BMIDIFELE_7L"/>
        <s v="BMIDIFELE_7M"/>
        <s v="BMIDIFELE_7N"/>
        <s v="BMIDIFELE_7O"/>
        <s v="BMIDIFELE_7P"/>
        <s v="BMIDIFELE_7Q"/>
        <s v="BMIDIFELE_7R"/>
        <s v="BMIDIFELE_7S"/>
        <s v="BMIDIFELE_7T"/>
        <s v="BMIDIFELE_7U"/>
        <s v="BMIDIFELE_7V"/>
        <s v="BMIDIFELE_7W"/>
        <s v="BMIDIFELE_7X"/>
        <s v="BMIDIFELE_8A"/>
        <s v="BMIDIFELE_8AA"/>
        <s v="BMIDIFELE_8AB"/>
        <s v="BMIDIFELE_8AC"/>
        <s v="BMIDIFELE_8AD"/>
        <s v="BMIDIFELE_8AF"/>
        <s v="BMIDIFELE_8B"/>
        <s v="BMIDIFELE_8C"/>
        <s v="BMIDIFELE_8D"/>
        <s v="BMIDIFELE_8E"/>
        <s v="BMIDIFELE_8F"/>
        <s v="BMIDIFELE_8G"/>
        <s v="BMIDIFELE_8H"/>
        <s v="BMIDIFELE_8I"/>
        <s v="BMIDIFELE_8J"/>
        <s v="BMIDIFELE_8K"/>
        <s v="BMIDIFELE_8L"/>
        <s v="BMIDIFELE_8M"/>
        <s v="BMIDIFELE_8N"/>
        <s v="BMIDIFELE_8O"/>
        <s v="BMIDIFELE_8P"/>
        <s v="BMIDIFELE_8Q"/>
        <s v="BMIDIFELE_8R"/>
        <s v="BMIDIFELE_8S"/>
        <s v="BMIDIFELE_8T"/>
        <s v="BMIDIFELE_8U"/>
        <s v="BMIDIFELE_8V"/>
        <s v="BMIDIFELE_8W"/>
        <s v="BMIDIFELE_8X"/>
        <s v="BMIDIFLC_1B"/>
        <s v="BMIDIFLC_1C"/>
        <s v="BMIDIFLC_1D"/>
        <s v="BMIDIFLC_1E"/>
        <s v="BMIDIFLC_1F"/>
        <s v="BMIDIFLC_1G"/>
        <s v="BMIDIFLC_1H"/>
        <s v="BMIDIFLC_1I"/>
        <s v="BMIDIFLC_1J"/>
        <s v="BMIDIFLCHL_1A"/>
        <s v="BMIDIFLCHL_1AA"/>
        <s v="BMIDIFLCHL_1AB"/>
        <s v="BMIDIFLCHL_1AC"/>
        <s v="BMIDIFLCHL_1B"/>
        <s v="BMIDIFLCHL_1C"/>
        <s v="BMIDIFLCHL_1D"/>
        <s v="BMIDIFLCHL_1E"/>
        <s v="BMIDIFLCHL_1F"/>
        <s v="BMIDIFLCHL_1G"/>
        <s v="BMIDIFLCHL_1H"/>
        <s v="BMIDIFLCHL_1I"/>
        <s v="BMIDIFLCHL_1J"/>
        <s v="BMIDIFLCHL_1K"/>
        <s v="BMIDIFLCHL_1L"/>
        <s v="BMIDIFLCHL_1M"/>
        <s v="BMIDIFLCHL_1N"/>
        <s v="BMIDIFLCHL_1O"/>
        <s v="BMIDIFLCHL_1P"/>
        <s v="BMIDIFLCHL_1Q"/>
        <s v="BMIDIFLCHL_1R"/>
        <s v="BMIDIFLCHL_1S"/>
        <s v="BMIDIFLCHL_1T"/>
        <s v="BMIDIFLCHL_1U"/>
        <s v="BMIDIFLCHL_1V"/>
        <s v="BMIDIFLCHL_1W"/>
        <s v="BMIDIFLCHL_1X"/>
        <s v="BMIDIFLCHL_1Y"/>
        <s v="BMIDIFLCHL_1Z"/>
        <s v="BMIDIFLEP_1A"/>
        <s v="BMIDIFLEP_1B"/>
        <s v="BMIDIFLEP_1C"/>
        <s v="BMIDIFLEP_1D"/>
        <s v="BMIDIFLEP_2A"/>
        <s v="BMIDIFLEP_2B"/>
        <s v="BMIDIFLEP_2C"/>
        <s v="BMIDIFLEP_2D"/>
        <s v="BMIDIFLH_1B"/>
        <s v="BMIDIFLH_1C"/>
        <s v="BMIDIFLH_1D"/>
        <s v="BMIDIFLH_1E"/>
        <s v="BMIDIFLH_1F"/>
        <s v="BMIDIFLH_1G"/>
        <s v="BMIDIFLH_1H"/>
        <s v="BMIDIFLH_1I"/>
        <s v="BMIDIFLH_1J"/>
        <s v="BMIDIFMN_1A"/>
        <s v="BMIDIFMN_1B"/>
        <s v="BMIDIFMN_1C"/>
        <s v="BMIDIFMN_1D"/>
        <s v="BMIDIFMN_1E"/>
        <s v="BMIDIFMN_1F"/>
        <s v="BMIDIFMN_1G"/>
        <s v="BMIDIFMN_1H"/>
        <s v="BMIDIFMN_1I"/>
        <s v="BMIDIFMN_1J"/>
        <s v="BMIDIFMN_1K"/>
        <s v="BMIDIFMN_1L"/>
        <s v="BMIDIFMN_1M"/>
        <s v="BMIDIFMN_1N"/>
        <s v="BMIDIFMN_1O"/>
        <s v="BMIDIFMN_1P"/>
        <s v="BMIDIFMN_1Q"/>
        <s v="BMIDIFMN_1R"/>
        <s v="BMIDIFMN_1S"/>
        <s v="BMIDIFMN_1T"/>
        <s v="BMIDIFMN_1U"/>
        <s v="BMIDIFMN_1V"/>
        <s v="BMIDIFMN_2A"/>
        <s v="BMIDIFMN_2AA"/>
        <s v="BMIDIFMN_2AB"/>
        <s v="BMIDIFMN_2AC"/>
        <s v="BMIDIFMN_2B"/>
        <s v="BMIDIFMN_2C"/>
        <s v="BMIDIFMN_2D"/>
        <s v="BMIDIFMN_2E"/>
        <s v="BMIDIFMN_2F"/>
        <s v="BMIDIFMN_2G"/>
        <s v="BMIDIFMN_2H"/>
        <s v="BMIDIFMN_2I"/>
        <s v="BMIDIFMN_2J"/>
        <s v="BMIDIFMN_2K"/>
        <s v="BMIDIFMN_2L"/>
        <s v="BMIDIFMN_2M"/>
        <s v="BMIDIFMN_2N"/>
        <s v="BMIDIFMN_2O"/>
        <s v="BMIDIFMN_2P"/>
        <s v="BMIDIFMN_2Q"/>
        <s v="BMIDIFMN_2R"/>
        <s v="BMIDIFMN_2S"/>
        <s v="BMIDIFMN_2T"/>
        <s v="BMIDIFMN_2U"/>
        <s v="BMIDIFMN_2V"/>
        <s v="BMIDIFMN_2W"/>
        <s v="BMIDIFMN_2X"/>
        <s v="BMIDIFMN_2Y"/>
        <s v="BMIDIFMN_2Z"/>
        <s v="BMIDIFNG_12D"/>
        <s v="BMIDIFNG_12E"/>
        <s v="BMIDIFNG_12F"/>
        <s v="BMIDIFNG_12G"/>
        <s v="BMIDIFNG_12H"/>
        <s v="BMIDIFNG_12I"/>
        <s v="BMIDIFNG_12J"/>
        <s v="BMIDIFNG_12K"/>
        <s v="BMIDIFNG_12L"/>
        <s v="BMIDIFNG_12M"/>
        <s v="BMIDIFNG_12N"/>
        <s v="BMIDIFNG_12O"/>
        <s v="BMIDIFNG_12P"/>
        <s v="BMIDIFNG_12Q"/>
        <s v="BMIDIFNG_12R"/>
        <s v="BMIDIFNG_12S"/>
        <s v="BMIDIFNG_12T"/>
        <s v="BMIDIFNG_12U"/>
        <s v="BMIDIFNG_12V"/>
        <s v="BMIDIFNG_12W"/>
        <s v="BMIDIFNG_12X"/>
        <s v="BMIDIFNG_12Y"/>
        <s v="BMIDIFNG_12Z"/>
        <s v="BMIDIFNG_13D"/>
        <s v="BMIDIFNG_13E"/>
        <s v="BMIDIFNG_13F"/>
        <s v="BMIDIFNG_13G"/>
        <s v="BMIDIFNG_13H"/>
        <s v="BMIDIFNG_13I"/>
        <s v="BMIDIFNG_13J"/>
        <s v="BMIDIFNG_13K"/>
        <s v="BMIDIFNG_13L"/>
        <s v="BMIDIFNG_13M"/>
        <s v="BMIDIFNG_13N"/>
        <s v="BMIDIFNG_13O"/>
        <s v="BMIDIFNG_13P"/>
        <s v="BMIDIFNG_13Q"/>
        <s v="BMIDIFNG_13R"/>
        <s v="BMIDIFNG_13S"/>
        <s v="BMIDIFNG_13T"/>
        <s v="BMIDIFNG_13U"/>
        <s v="BMIDIFNG_13V"/>
        <s v="BMIDIFNG_13W"/>
        <s v="BMIDIFNG_13X"/>
        <s v="BMIDIFNG_13Y"/>
        <s v="BMIDIFNG_13Z"/>
        <s v="BMIDIFNG_14D"/>
        <s v="BMIDIFNG_14E"/>
        <s v="BMIDIFNG_14F"/>
        <s v="BMIDIFNG_14G"/>
        <s v="BMIDIFNG_14H"/>
        <s v="BMIDIFNG_14I"/>
        <s v="BMIDIFNG_14J"/>
        <s v="BMIDIFNG_14K"/>
        <s v="BMIDIFNG_14L"/>
        <s v="BMIDIFNG_14M"/>
        <s v="BMIDIFNG_14N"/>
        <s v="BMIDIFNG_14O"/>
        <s v="BMIDIFNG_14P"/>
        <s v="BMIDIFNG_14Q"/>
        <s v="BMIDIFNG_14R"/>
        <s v="BMIDIFNG_14S"/>
        <s v="BMIDIFNG_14T"/>
        <s v="BMIDIFNG_14U"/>
        <s v="BMIDIFNG_14V"/>
        <s v="BMIDIFNG_14W"/>
        <s v="BMIDIFNG_14X"/>
        <s v="BMIDIFNG_14Y"/>
        <s v="BMIDIFNG_14Z"/>
        <s v="BMIDIFNG_4D"/>
        <s v="BMIDIFNG_4E"/>
        <s v="BMIDIFNG_4F"/>
        <s v="BMIDIFNG_4G"/>
        <s v="BMIDIFNG_4H"/>
        <s v="BMIDIFNG_4I"/>
        <s v="BMIDIFNG_4J"/>
        <s v="BMIDIFNG_4K"/>
        <s v="BMIDIFNG_4L"/>
        <s v="BMIDIFNG_4M"/>
        <s v="BMIDIFNG_4N"/>
        <s v="BMIDIFNG_4O"/>
        <s v="BMIDIFNG_4P"/>
        <s v="BMIDIFNG_4Q"/>
        <s v="BMIDIFNG_4R"/>
        <s v="BMIDIFNG_4S"/>
        <s v="BMIDIFNG_4T"/>
        <s v="BMIDIFNG_4U"/>
        <s v="BMIDIFNG_4V"/>
        <s v="BMIDIFNG_4W"/>
        <s v="BMIDIFNG_4X"/>
        <s v="BMIDIFNG_4Y"/>
        <s v="BMIDIFNG_4Z"/>
        <s v="BMIDIFNG_5D"/>
        <s v="BMIDIFNG_5E"/>
        <s v="BMIDIFNG_5F"/>
        <s v="BMIDIFNG_5G"/>
        <s v="BMIDIFNG_5H"/>
        <s v="BMIDIFNG_5I"/>
        <s v="BMIDIFNG_5J"/>
        <s v="BMIDIFNG_5K"/>
        <s v="BMIDIFNG_5L"/>
        <s v="BMIDIFNG_5M"/>
        <s v="BMIDIFNG_5N"/>
        <s v="BMIDIFNG_5O"/>
        <s v="BMIDIFNG_5P"/>
        <s v="BMIDIFNG_5Q"/>
        <s v="BMIDIFNG_5R"/>
        <s v="BMIDIFNG_5S"/>
        <s v="BMIDIFNG_5T"/>
        <s v="BMIDIFNG_5U"/>
        <s v="BMIDIFNG_5V"/>
        <s v="BMIDIFNG_5W"/>
        <s v="BMIDIFNG_5X"/>
        <s v="BMIDIFNG_5Y"/>
        <s v="BMIDIFNG_5Z"/>
        <s v="BMIDIFNG_6D"/>
        <s v="BMIDIFNG_6E"/>
        <s v="BMIDIFNG_6F"/>
        <s v="BMIDIFNG_6G"/>
        <s v="BMIDIFNG_6H"/>
        <s v="BMIDIFNG_6I"/>
        <s v="BMIDIFNG_6J"/>
        <s v="BMIDIFNG_6K"/>
        <s v="BMIDIFNG_6L"/>
        <s v="BMIDIFNG_6M"/>
        <s v="BMIDIFNG_6N"/>
        <s v="BMIDIFNG_6O"/>
        <s v="BMIDIFNG_6P"/>
        <s v="BMIDIFNG_6Q"/>
        <s v="BMIDIFNG_6R"/>
        <s v="BMIDIFNG_6S"/>
        <s v="BMIDIFNG_6T"/>
        <s v="BMIDIFNG_6U"/>
        <s v="BMIDIFNG_6V"/>
        <s v="BMIDIFNG_6W"/>
        <s v="BMIDIFNG_6X"/>
        <s v="BMIDIFNG_6Y"/>
        <s v="BMIDIFNG_6Z"/>
        <s v="BMIDIFNG_7D"/>
        <s v="BMIDIFNG_7E"/>
        <s v="BMIDIFNG_7F"/>
        <s v="BMIDIFNG_7G"/>
        <s v="BMIDIFNG_7H"/>
        <s v="BMIDIFNG_7I"/>
        <s v="BMIDIFNG_7J"/>
        <s v="BMIDIFNG_7K"/>
        <s v="BMIDIFNG_7L"/>
        <s v="BMIDIFNG_7M"/>
        <s v="BMIDIFNG_7N"/>
        <s v="BMIDIFNG_7O"/>
        <s v="BMIDIFNG_7P"/>
        <s v="BMIDIFNG_7Q"/>
        <s v="BMIDIFNG_7R"/>
        <s v="BMIDIFNG_7S"/>
        <s v="BMIDIFNG_7T"/>
        <s v="BMIDIFNG_7U"/>
        <s v="BMIDIFNG_7V"/>
        <s v="BMIDIFNG_7W"/>
        <s v="BMIDIFNG_7X"/>
        <s v="BMIDIFNG_7Y"/>
        <s v="BMIDIFNG_7Z"/>
        <s v="BMIDIFNG_8D"/>
        <s v="BMIDIFNG_8E"/>
        <s v="BMIDIFNG_8F"/>
        <s v="BMIDIFNG_8G"/>
        <s v="BMIDIFNG_8H"/>
        <s v="BMIDIFNG_8I"/>
        <s v="BMIDIFNG_8J"/>
        <s v="BMIDIFNG_8K"/>
        <s v="BMIDIFNG_8L"/>
        <s v="BMIDIFNG_8M"/>
        <s v="BMIDIFNG_8N"/>
        <s v="BMIDIFNG_8O"/>
        <s v="BMIDIFNG_8P"/>
        <s v="BMIDIFNG_8Q"/>
        <s v="BMIDIFNG_8R"/>
        <s v="BMIDIFNG_8S"/>
        <s v="BMIDIFNG_8T"/>
        <s v="BMIDIFNG_8U"/>
        <s v="BMIDIFNG_8V"/>
        <s v="BMIDIFNG_8W"/>
        <s v="BMIDIFNG_8X"/>
        <s v="BMIDIFNG_8Y"/>
        <s v="BMIDIFNG_8Z"/>
        <s v="BMIDIFNG_9D"/>
        <s v="BMIDIFNG_9E"/>
        <s v="BMIDIFNG_9F"/>
        <s v="BMIDIFNG_9G"/>
        <s v="BMIDIFNG_9H"/>
        <s v="BMIDIFNG_9I"/>
        <s v="BMIDIFNG_9J"/>
        <s v="BMIDIFNG_9K"/>
        <s v="BMIDIFNG_9L"/>
        <s v="BMIDIFNG_9M"/>
        <s v="BMIDIFNG_9N"/>
        <s v="BMIDIFNG_9O"/>
        <s v="BMIDIFNG_9P"/>
        <s v="BMIDIFNG_9Q"/>
        <s v="BMIDIFNG_9R"/>
        <s v="BMIDIFNG_9S"/>
        <s v="BMIDIFNG_9T"/>
        <s v="BMIDIFNG_9U"/>
        <s v="BMIDIFNG_9V"/>
        <s v="BMIDIFNG_9W"/>
        <s v="BMIDIFNG_9X"/>
        <s v="BMIDIFNG_9Y"/>
        <s v="BMIDIFNG_9Z"/>
        <s v="BMIDIFNS_1A"/>
        <s v="BMIDIFNS_1B"/>
        <s v="BMIDIFNS_1C"/>
        <s v="BMIDIFNS_1D"/>
        <s v="BMIDIFNS_1E"/>
        <s v="BMIDIFNS_1F"/>
        <s v="BMIDIFNS_1G"/>
        <s v="BMIDIFNS_1H"/>
        <s v="BMIDIFNS_1I"/>
        <s v="BMIDIFNS_1J"/>
        <s v="BMIDIFNS_1K"/>
        <s v="BMIDIFNS_1L"/>
        <s v="BMIDIFNS_1M"/>
        <s v="BMIDIFNS_1O"/>
        <s v="BMIDIFNS_1P"/>
        <s v="BMIDIFNS_1Q"/>
        <s v="BMIDIFNS_1R"/>
        <s v="BMIDIFNS_1S"/>
        <s v="BMIDIFNS_1T"/>
        <s v="BMIDIFNS_1U"/>
        <s v="BMIDIFNS_1V"/>
        <s v="BMIDIFNS_1W"/>
        <s v="BMIDIFPET_1A"/>
        <s v="BMIDIFPET_1B"/>
        <s v="BMIDIFPET_1C"/>
        <s v="BMIDIFPET_1D"/>
        <s v="BMIDIFPET_2A"/>
        <s v="BMIDIFPET_2B"/>
        <s v="BMIDIFPET_2C"/>
        <s v="BMIDIFPET_2D"/>
        <s v="BMIDIFPRE_1A"/>
        <s v="BMIDIFPRE_1B"/>
        <s v="BMIDIFPRE_1C"/>
        <s v="BMIDIFPRE_1D"/>
        <s v="BMIDIFPRE_1E"/>
        <s v="BMIDIFPRE_1F"/>
        <s v="BMIDIFPRE_1G"/>
        <s v="BMIDIFPRE_1H"/>
        <s v="BMIDIFPRE_1I"/>
        <s v="BMIDIFPRE_1J"/>
        <s v="BMIDIFPRE_1K"/>
        <s v="BMIDIFPRE_1L"/>
        <s v="BMIDIFPRE_1M"/>
        <s v="BMIDIFPRE_1N"/>
        <s v="BMIDIFPRE_1O"/>
        <s v="BMIDIFPRE_1P"/>
        <s v="BMIDIFPRE_1Q"/>
        <s v="BMIDIFPRE_1R"/>
        <s v="BMIDIFPRE_1S"/>
        <s v="BMIDIFPRE_1T"/>
        <s v="BMIDIFPRE_1V"/>
        <s v="BMIDIFPRE_1W"/>
        <s v="BMIDIFPRE_2A"/>
        <s v="BMIDIFPRE_2B"/>
        <s v="BMIDIFPRE_2C"/>
        <s v="BMIDIFPRE_2D"/>
        <s v="BMIDIFPRE_2E"/>
        <s v="BMIDIFPRE_2F"/>
        <s v="BMIDIFPRE_2G"/>
        <s v="BMIDIFPRE_2H"/>
        <s v="BMIDIFPRE_2I"/>
        <s v="BMIDIFPRE_2J"/>
        <s v="BMIDIFPRE_2K"/>
        <s v="BMIDIFPRE_2L"/>
        <s v="BMIDIFPRE_2M"/>
        <s v="BMIDIFPRE_2N"/>
        <s v="BMIDIFPRE_2O"/>
        <s v="BMIDIFPRE_2P"/>
        <s v="BMIDIFPRE_2Q"/>
        <s v="BMIDIFPRE_2R"/>
        <s v="BMIDIFPRE_2S"/>
        <s v="BMIDIFPRE_2T"/>
        <s v="BMIDIFPRE_2V"/>
        <s v="BMIDIFPRE_2W"/>
        <s v="BMIDIFPRE_4A"/>
        <s v="BMIDIFPRE_4B"/>
        <s v="BMIDIFPRE_4C"/>
        <s v="BMIDIFPRE_4D"/>
        <s v="BMIDIFPRE_4E"/>
        <s v="BMIDIFPRE_4F"/>
        <s v="BMIDIFPRE_4G"/>
        <s v="BMIDIFPRE_4H"/>
        <s v="BMIDIFPRE_4I"/>
        <s v="BMIDIFPRE_4J"/>
        <s v="BMIDIFPRE_4K"/>
        <s v="BMIDIFPRE_4L"/>
        <s v="BMIDIFPRE_4M"/>
        <s v="BMIDIFPRE_4N"/>
        <s v="BMIDIFPRE_4O"/>
        <s v="BMIDIFPRE_4P"/>
        <s v="BMIDIFPRE_4Q"/>
        <s v="BMIDIFPRE_4R"/>
        <s v="BMIDIFPRE_4S"/>
        <s v="BMIDIFPRE_4T"/>
        <s v="BMIDIFPRE_4V"/>
        <s v="BMIDIFPRE_4W"/>
        <s v="BMIDIFPRE_5A"/>
        <s v="BMIDIFPRE_5B"/>
        <s v="BMIDIFPRE_5C"/>
        <s v="BMIDIFPRE_5D"/>
        <s v="BMIDIFPRE_5E"/>
        <s v="BMIDIFPRE_5F"/>
        <s v="BMIDIFPRE_5G"/>
        <s v="BMIDIFPRE_5H"/>
        <s v="BMIDIFPRE_5I"/>
        <s v="BMIDIFPRE_5J"/>
        <s v="BMIDIFPRE_5K"/>
        <s v="BMIDIFPRE_5L"/>
        <s v="BMIDIFPRE_5M"/>
        <s v="BMIDIFPRE_5N"/>
        <s v="BMIDIFPRE_5O"/>
        <s v="BMIDIFPRE_5P"/>
        <s v="BMIDIFPRE_5Q"/>
        <s v="BMIDIFPRE_5R"/>
        <s v="BMIDIFPRE_5S"/>
        <s v="BMIDIFPRE_5T"/>
        <s v="BMIDIFPRE_5V"/>
        <s v="BMIDIFPRE_5W"/>
        <s v="BMIDIFPRE_6A"/>
        <s v="BMIDIFPRE_6B"/>
        <s v="BMIDIFPRE_6C"/>
        <s v="BMIDIFPRE_6D"/>
        <s v="BMIDIFPRE_6E"/>
        <s v="BMIDIFPRE_6F"/>
        <s v="BMIDIFPRE_6G"/>
        <s v="BMIDIFPRE_6H"/>
        <s v="BMIDIFPRE_6I"/>
        <s v="BMIDIFPRE_6J"/>
        <s v="BMIDIFPRE_6K"/>
        <s v="BMIDIFPRE_6L"/>
        <s v="BMIDIFPRE_6M"/>
        <s v="BMIDIFPRE_6N"/>
        <s v="BMIDIFPRE_6O"/>
        <s v="BMIDIFPRE_6P"/>
        <s v="BMIDIFPRE_6Q"/>
        <s v="BMIDIFPRE_6R"/>
        <s v="BMIDIFPRE_6S"/>
        <s v="BMIDIFPRE_6T"/>
        <s v="BMIDIFPRE_6V"/>
        <s v="BMIDIFPRE_6W"/>
        <s v="BMIDIFPRE_7A"/>
        <s v="BMIDIFPRE_7B"/>
        <s v="BMIDIFPRE_7C"/>
        <s v="BMIDIFPRE_7D"/>
        <s v="BMIDIFPRE_7E"/>
        <s v="BMIDIFPRE_7F"/>
        <s v="BMIDIFPRE_7G"/>
        <s v="BMIDIFPRE_7H"/>
        <s v="BMIDIFPRE_7I"/>
        <s v="BMIDIFPRE_7J"/>
        <s v="BMIDIFPRE_7K"/>
        <s v="BMIDIFPRE_7L"/>
        <s v="BMIDIFPRE_7M"/>
        <s v="BMIDIFPRE_7N"/>
        <s v="BMIDIFPRE_7O"/>
        <s v="BMIDIFPRE_7P"/>
        <s v="BMIDIFPRE_7Q"/>
        <s v="BMIDIFPRE_7R"/>
        <s v="BMIDIFPRE_7S"/>
        <s v="BMIDIFPRE_7T"/>
        <s v="BMIDIFPRE_7V"/>
        <s v="BMIDIFPRE_7W"/>
        <s v="BMIDIFSC_1A"/>
        <s v="BMIDIFSC_1B"/>
        <s v="BMIDIFSC_1C"/>
        <s v="BMIDIFSC_1D"/>
        <s v="BMIDIFSC_1E"/>
        <s v="BMIDIFSG_1D"/>
        <s v="BMIDIFSG_1E"/>
        <s v="BMIDIFSG_1F"/>
        <s v="BMIDIFSG_1G"/>
        <s v="BMIDIFSG_1H"/>
        <s v="BMIDIFSG_1I"/>
        <s v="BMIDIFSG_1J"/>
        <s v="BMIDIFSG_1K"/>
        <s v="BMIDIFSG_1L"/>
        <s v="BMIDIFSG_1M"/>
        <s v="BMIDIFSG_1N"/>
        <s v="BMIDIFSG_1O"/>
        <s v="BMIDIFSG_1P"/>
        <s v="BMIDIFSG_1Q"/>
        <s v="BMIDIFSG_1R"/>
        <s v="BMIDIFSG_1S"/>
        <s v="BMIDIFSG_1T"/>
        <s v="BMIDIFSG_1U"/>
        <s v="BMIDIFSG_1V"/>
        <s v="BMIDIFSG_1W"/>
        <s v="BMIDIFSG_1X"/>
        <s v="BMIDIFSG_1Y"/>
        <s v="BMIDIFSG_1Z"/>
        <s v="BMIDIFSG_2A"/>
        <s v="BMIDIFSG_2AA"/>
        <s v="BMIDIFSG_2AB"/>
        <s v="BMIDIFSG_2AC"/>
        <s v="BMIDIFSG_2AD"/>
        <s v="BMIDIFSG_2AF"/>
        <s v="BMIDIFSG_2B"/>
        <s v="BMIDIFSG_2C"/>
        <s v="BMIDIFSG_2D"/>
        <s v="BMIDIFSG_2E"/>
        <s v="BMIDIFSG_2F"/>
        <s v="BMIDIFSG_2G"/>
        <s v="BMIDIFSG_2H"/>
        <s v="BMIDIFSG_2I"/>
        <s v="BMIDIFSG_2J"/>
        <s v="BMIDIFSG_2K"/>
        <s v="BMIDIFSG_2L"/>
        <s v="BMIDIFSG_2M"/>
        <s v="BMIDIFSG_2N"/>
        <s v="BMIDIFSG_2O"/>
        <s v="BMIDIFSG_2P"/>
        <s v="BMIDIFSG_2Q"/>
        <s v="BMIDIFSG_2R"/>
        <s v="BMIDIFSG_3A"/>
        <s v="BMIDIFSG_3AA"/>
        <s v="BMIDIFSG_3AB"/>
        <s v="BMIDIFSG_3AC"/>
        <s v="BMIDIFSG_3AD"/>
        <s v="BMIDIFSG_3AF"/>
        <s v="BMIDIFSG_3B"/>
        <s v="BMIDIFSG_3C"/>
        <s v="BMIDIFSG_3D"/>
        <s v="BMIDIFSG_3E"/>
        <s v="BMIDIFSG_3F"/>
        <s v="BMIDIFSG_3G"/>
        <s v="BMIDIFSG_3H"/>
        <s v="BMIDIFSG_3I"/>
        <s v="BMIDIFSG_3J"/>
        <s v="BMIDIFSG_3K"/>
        <s v="BMIDIFSG_3L"/>
        <s v="BMIDIFSG_3M"/>
        <s v="BMIDIFSG_3N"/>
        <s v="BMIDIFSG_3O"/>
        <s v="BMIDIFSG_3P"/>
        <s v="BMIDIFSG_3Q"/>
        <s v="BMIDIFSG_3R"/>
        <s v="BMIDIFSG_4A"/>
        <s v="BMIDIFSG_4AA"/>
        <s v="BMIDIFSG_4AB"/>
        <s v="BMIDIFSG_4AC"/>
        <s v="BMIDIFSG_4AD"/>
        <s v="BMIDIFSG_4AF"/>
        <s v="BMIDIFSG_4B"/>
        <s v="BMIDIFSG_4C"/>
        <s v="BMIDIFSG_4D"/>
        <s v="BMIDIFSG_4E"/>
        <s v="BMIDIFSG_4F"/>
        <s v="BMIDIFSG_4G"/>
        <s v="BMIDIFSG_4H"/>
        <s v="BMIDIFSG_4I"/>
        <s v="BMIDIFSG_4J"/>
        <s v="BMIDIFSG_4K"/>
        <s v="BMIDIFSG_4L"/>
        <s v="BMIDIFSG_4M"/>
        <s v="BMIDIFSG_4N"/>
        <s v="BMIDIFSG_4O"/>
        <s v="BMIDIFSG_4P"/>
        <s v="BMIDIFSG_4Q"/>
        <s v="BMIDIFSG_4R"/>
        <s v="BMIDIFSG_5A"/>
        <s v="BMIDIFSG_5AA"/>
        <s v="BMIDIFSG_5AB"/>
        <s v="BMIDIFSG_5AC"/>
        <s v="BMIDIFSG_5AD"/>
        <s v="BMIDIFSG_5AF"/>
        <s v="BMIDIFSG_5B"/>
        <s v="BMIDIFSG_5C"/>
        <s v="BMIDIFSG_5D"/>
        <s v="BMIDIFSG_5E"/>
        <s v="BMIDIFSG_5F"/>
        <s v="BMIDIFSG_5G"/>
        <s v="BMIDIFSG_5H"/>
        <s v="BMIDIFSG_5I"/>
        <s v="BMIDIFSG_5J"/>
        <s v="BMIDIFSG_5K"/>
        <s v="BMIDIFSG_5L"/>
        <s v="BMIDIFSG_5M"/>
        <s v="BMIDIFSG_5N"/>
        <s v="BMIDIFSG_5O"/>
        <s v="BMIDIFSG_5P"/>
        <s v="BMIDIFSG_5Q"/>
        <s v="BMIDIFSG_5R"/>
        <s v="BMIDIFSG_6A"/>
        <s v="BMIDIFSG_6AA"/>
        <s v="BMIDIFSG_6AB"/>
        <s v="BMIDIFSG_6AC"/>
        <s v="BMIDIFSG_6AD"/>
        <s v="BMIDIFSG_6AF"/>
        <s v="BMIDIFSG_6B"/>
        <s v="BMIDIFSG_6C"/>
        <s v="BMIDIFSG_6D"/>
        <s v="BMIDIFSG_6E"/>
        <s v="BMIDIFSG_6F"/>
        <s v="BMIDIFSG_6G"/>
        <s v="BMIDIFSG_6H"/>
        <s v="BMIDIFSG_6I"/>
        <s v="BMIDIFSG_6J"/>
        <s v="BMIDIFSG_6K"/>
        <s v="BMIDIFSG_6L"/>
        <s v="BMIDIFSG_6M"/>
        <s v="BMIDIFSG_6N"/>
        <s v="BMIDIFSG_6O"/>
        <s v="BMIDIFSG_6P"/>
        <s v="BMIDIFSG_6Q"/>
        <s v="BMIDIFSG_6R"/>
        <s v="BMIDIFSG_7A"/>
        <s v="BMIDIFSG_7AA"/>
        <s v="BMIDIFSG_7AB"/>
        <s v="BMIDIFSG_7AC"/>
        <s v="BMIDIFSG_7AD"/>
        <s v="BMIDIFSG_7AF"/>
        <s v="BMIDIFSG_7B"/>
        <s v="BMIDIFSG_7C"/>
        <s v="BMIDIFSG_7D"/>
        <s v="BMIDIFSG_7E"/>
        <s v="BMIDIFSG_7F"/>
        <s v="BMIDIFSG_7G"/>
        <s v="BMIDIFSG_7H"/>
        <s v="BMIDIFSG_7I"/>
        <s v="BMIDIFSG_7J"/>
        <s v="BMIDIFSG_7K"/>
        <s v="BMIDIFSG_7L"/>
        <s v="BMIDIFSG_7M"/>
        <s v="BMIDIFSG_7N"/>
        <s v="BMIDIFSG_7O"/>
        <s v="BMIDIFSG_7P"/>
        <s v="BMIDIFSG_7Q"/>
        <s v="BMIDIFSG_7R"/>
        <s v="BMIDIFSOL_10A"/>
        <s v="BMIDIFSOL_10AA"/>
        <s v="BMIDIFSOL_10AB"/>
        <s v="BMIDIFSOL_10AC"/>
        <s v="BMIDIFSOL_10AD"/>
        <s v="BMIDIFSOL_10AF"/>
        <s v="BMIDIFSOL_10B"/>
        <s v="BMIDIFSOL_10C"/>
        <s v="BMIDIFSOL_10D"/>
        <s v="BMIDIFSOL_10E"/>
        <s v="BMIDIFSOL_10F"/>
        <s v="BMIDIFSOL_10G"/>
        <s v="BMIDIFSOL_10H"/>
        <s v="BMIDIFSOL_10I"/>
        <s v="BMIDIFSOL_10J"/>
        <s v="BMIDIFSOL_10K"/>
        <s v="BMIDIFSOL_10L"/>
        <s v="BMIDIFSOL_10M"/>
        <s v="BMIDIFSOL_10N"/>
        <s v="BMIDIFSOL_10O"/>
        <s v="BMIDIFSOL_10P"/>
        <s v="BMIDIFSOL_10Q"/>
        <s v="BMIDIFSOL_10R"/>
        <s v="BMIDIFSOL_10S"/>
        <s v="BMIDIFSOL_10T"/>
        <s v="BMIDIFSOL_10U"/>
        <s v="BMIDIFSOL_10V"/>
        <s v="BMIDIFSOL_10W"/>
        <s v="BMIDIFSOL_10X"/>
        <s v="BMIDIFSOL_1A"/>
        <s v="BMIDIFSOL_1AA"/>
        <s v="BMIDIFSOL_1AB"/>
        <s v="BMIDIFSOL_1AC"/>
        <s v="BMIDIFSOL_1AD"/>
        <s v="BMIDIFSOL_1AF"/>
        <s v="BMIDIFSOL_1B"/>
        <s v="BMIDIFSOL_1C"/>
        <s v="BMIDIFSOL_1D"/>
        <s v="BMIDIFSOL_1E"/>
        <s v="BMIDIFSOL_1F"/>
        <s v="BMIDIFSOL_1G"/>
        <s v="BMIDIFSOL_1H"/>
        <s v="BMIDIFSOL_1I"/>
        <s v="BMIDIFSOL_1J"/>
        <s v="BMIDIFSOL_1K"/>
        <s v="BMIDIFSOL_1L"/>
        <s v="BMIDIFSOL_1M"/>
        <s v="BMIDIFSOL_1N"/>
        <s v="BMIDIFSOL_1O"/>
        <s v="BMIDIFSOL_1P"/>
        <s v="BMIDIFSOL_1Q"/>
        <s v="BMIDIFSOL_1R"/>
        <s v="BMIDIFSOL_1S"/>
        <s v="BMIDIFSOL_1T"/>
        <s v="BMIDIFSOL_1U"/>
        <s v="BMIDIFSOL_1V"/>
        <s v="BMIDIFSOL_1W"/>
        <s v="BMIDIFSOL_1X"/>
        <s v="BMIDIFSOL_2A"/>
        <s v="BMIDIFSOL_2AA"/>
        <s v="BMIDIFSOL_2AB"/>
        <s v="BMIDIFSOL_2AC"/>
        <s v="BMIDIFSOL_2AD"/>
        <s v="BMIDIFSOL_2AF"/>
        <s v="BMIDIFSOL_2B"/>
        <s v="BMIDIFSOL_2C"/>
        <s v="BMIDIFSOL_2D"/>
        <s v="BMIDIFSOL_2E"/>
        <s v="BMIDIFSOL_2F"/>
        <s v="BMIDIFSOL_2G"/>
        <s v="BMIDIFSOL_2H"/>
        <s v="BMIDIFSOL_2I"/>
        <s v="BMIDIFSOL_2J"/>
        <s v="BMIDIFSOL_2K"/>
        <s v="BMIDIFSOL_2L"/>
        <s v="BMIDIFSOL_2M"/>
        <s v="BMIDIFSOL_2N"/>
        <s v="BMIDIFSOL_2O"/>
        <s v="BMIDIFSOL_2P"/>
        <s v="BMIDIFSOL_2Q"/>
        <s v="BMIDIFSOL_2R"/>
        <s v="BMIDIFSOL_2S"/>
        <s v="BMIDIFSOL_2T"/>
        <s v="BMIDIFSOL_2U"/>
        <s v="BMIDIFSOL_2V"/>
        <s v="BMIDIFSOL_2W"/>
        <s v="BMIDIFSOL_2X"/>
        <s v="BMIDIFSOL_3A"/>
        <s v="BMIDIFSOL_3AA"/>
        <s v="BMIDIFSOL_3AB"/>
        <s v="BMIDIFSOL_3AC"/>
        <s v="BMIDIFSOL_3AD"/>
        <s v="BMIDIFSOL_3AF"/>
        <s v="BMIDIFSOL_3B"/>
        <s v="BMIDIFSOL_3C"/>
        <s v="BMIDIFSOL_3D"/>
        <s v="BMIDIFSOL_3E"/>
        <s v="BMIDIFSOL_3F"/>
        <s v="BMIDIFSOL_3G"/>
        <s v="BMIDIFSOL_3H"/>
        <s v="BMIDIFSOL_3I"/>
        <s v="BMIDIFSOL_3J"/>
        <s v="BMIDIFSOL_3K"/>
        <s v="BMIDIFSOL_3L"/>
        <s v="BMIDIFSOL_3M"/>
        <s v="BMIDIFSOL_3N"/>
        <s v="BMIDIFSOL_3O"/>
        <s v="BMIDIFSOL_3P"/>
        <s v="BMIDIFSOL_3Q"/>
        <s v="BMIDIFSOL_3R"/>
        <s v="BMIDIFSOL_3S"/>
        <s v="BMIDIFSOL_3T"/>
        <s v="BMIDIFSOL_3U"/>
        <s v="BMIDIFSOL_3V"/>
        <s v="BMIDIFSOL_3W"/>
        <s v="BMIDIFSOL_3X"/>
        <s v="BMIDIFSOL_4A"/>
        <s v="BMIDIFSOL_4AA"/>
        <s v="BMIDIFSOL_4AB"/>
        <s v="BMIDIFSOL_4AC"/>
        <s v="BMIDIFSOL_4AD"/>
        <s v="BMIDIFSOL_4AF"/>
        <s v="BMIDIFSOL_4B"/>
        <s v="BMIDIFSOL_4C"/>
        <s v="BMIDIFSOL_4D"/>
        <s v="BMIDIFSOL_4E"/>
        <s v="BMIDIFSOL_4F"/>
        <s v="BMIDIFSOL_4G"/>
        <s v="BMIDIFSOL_4H"/>
        <s v="BMIDIFSOL_4I"/>
        <s v="BMIDIFSOL_4J"/>
        <s v="BMIDIFSOL_4K"/>
        <s v="BMIDIFSOL_4L"/>
        <s v="BMIDIFSOL_4M"/>
        <s v="BMIDIFSOL_4N"/>
        <s v="BMIDIFSOL_4O"/>
        <s v="BMIDIFSOL_4P"/>
        <s v="BMIDIFSOL_4Q"/>
        <s v="BMIDIFSOL_4R"/>
        <s v="BMIDIFSOL_4S"/>
        <s v="BMIDIFSOL_4T"/>
        <s v="BMIDIFSOL_4U"/>
        <s v="BMIDIFSOL_4V"/>
        <s v="BMIDIFSOL_4W"/>
        <s v="BMIDIFSOL_4X"/>
        <s v="BMIDIFSOL_5A"/>
        <s v="BMIDIFSOL_5AA"/>
        <s v="BMIDIFSOL_5AB"/>
        <s v="BMIDIFSOL_5AC"/>
        <s v="BMIDIFSOL_5AD"/>
        <s v="BMIDIFSOL_5AF"/>
        <s v="BMIDIFSOL_5B"/>
        <s v="BMIDIFSOL_5C"/>
        <s v="BMIDIFSOL_5D"/>
        <s v="BMIDIFSOL_5E"/>
        <s v="BMIDIFSOL_5F"/>
        <s v="BMIDIFSOL_5G"/>
        <s v="BMIDIFSOL_5H"/>
        <s v="BMIDIFSOL_5I"/>
        <s v="BMIDIFSOL_5J"/>
        <s v="BMIDIFSOL_5K"/>
        <s v="BMIDIFSOL_5L"/>
        <s v="BMIDIFSOL_5M"/>
        <s v="BMIDIFSOL_5N"/>
        <s v="BMIDIFSOL_5O"/>
        <s v="BMIDIFSOL_5P"/>
        <s v="BMIDIFSOL_5Q"/>
        <s v="BMIDIFSOL_5R"/>
        <s v="BMIDIFSOL_5S"/>
        <s v="BMIDIFSOL_5T"/>
        <s v="BMIDIFSOL_5U"/>
        <s v="BMIDIFSOL_5V"/>
        <s v="BMIDIFSOL_5W"/>
        <s v="BMIDIFSOL_5X"/>
        <s v="BMIDIFSOL_6A"/>
        <s v="BMIDIFSOL_6AA"/>
        <s v="BMIDIFSOL_6AB"/>
        <s v="BMIDIFSOL_6AC"/>
        <s v="BMIDIFSOL_6AD"/>
        <s v="BMIDIFSOL_6AF"/>
        <s v="BMIDIFSOL_6B"/>
        <s v="BMIDIFSOL_6C"/>
        <s v="BMIDIFSOL_6D"/>
        <s v="BMIDIFSOL_6E"/>
        <s v="BMIDIFSOL_6F"/>
        <s v="BMIDIFSOL_6G"/>
        <s v="BMIDIFSOL_6H"/>
        <s v="BMIDIFSOL_6I"/>
        <s v="BMIDIFSOL_6J"/>
        <s v="BMIDIFSOL_6K"/>
        <s v="BMIDIFSOL_6L"/>
        <s v="BMIDIFSOL_6M"/>
        <s v="BMIDIFSOL_6N"/>
        <s v="BMIDIFSOL_6O"/>
        <s v="BMIDIFSOL_6P"/>
        <s v="BMIDIFSOL_6Q"/>
        <s v="BMIDIFSOL_6R"/>
        <s v="BMIDIFSOL_6S"/>
        <s v="BMIDIFSOL_6T"/>
        <s v="BMIDIFSOL_6U"/>
        <s v="BMIDIFSOL_6V"/>
        <s v="BMIDIFSOL_6W"/>
        <s v="BMIDIFSOL_6X"/>
        <s v="BMIDIFSOL_7A"/>
        <s v="BMIDIFSOL_7AA"/>
        <s v="BMIDIFSOL_7AB"/>
        <s v="BMIDIFSOL_7AC"/>
        <s v="BMIDIFSOL_7AD"/>
        <s v="BMIDIFSOL_7AF"/>
        <s v="BMIDIFSOL_7B"/>
        <s v="BMIDIFSOL_7C"/>
        <s v="BMIDIFSOL_7D"/>
        <s v="BMIDIFSOL_7E"/>
        <s v="BMIDIFSOL_7F"/>
        <s v="BMIDIFSOL_7G"/>
        <s v="BMIDIFSOL_7H"/>
        <s v="BMIDIFSOL_7I"/>
        <s v="BMIDIFSOL_7J"/>
        <s v="BMIDIFSOL_7K"/>
        <s v="BMIDIFSOL_7L"/>
        <s v="BMIDIFSOL_7M"/>
        <s v="BMIDIFSOL_7N"/>
        <s v="BMIDIFSOL_7O"/>
        <s v="BMIDIFSOL_7P"/>
        <s v="BMIDIFSOL_7Q"/>
        <s v="BMIDIFSOL_7R"/>
        <s v="BMIDIFSOL_7S"/>
        <s v="BMIDIFSOL_7T"/>
        <s v="BMIDIFSOL_7U"/>
        <s v="BMIDIFSOL_7V"/>
        <s v="BMIDIFSOL_7W"/>
        <s v="BMIDIFSOL_7X"/>
        <s v="BMIDIFSOL_8A"/>
        <s v="BMIDIFSOL_8AA"/>
        <s v="BMIDIFSOL_8AB"/>
        <s v="BMIDIFSOL_8AC"/>
        <s v="BMIDIFSOL_8AD"/>
        <s v="BMIDIFSOL_8AF"/>
        <s v="BMIDIFSOL_8B"/>
        <s v="BMIDIFSOL_8C"/>
        <s v="BMIDIFSOL_8D"/>
        <s v="BMIDIFSOL_8E"/>
        <s v="BMIDIFSOL_8F"/>
        <s v="BMIDIFSOL_8G"/>
        <s v="BMIDIFSOL_8H"/>
        <s v="BMIDIFSOL_8I"/>
        <s v="BMIDIFSOL_8J"/>
        <s v="BMIDIFSOL_8K"/>
        <s v="BMIDIFSOL_8L"/>
        <s v="BMIDIFSOL_8M"/>
        <s v="BMIDIFSOL_8N"/>
        <s v="BMIDIFSOL_8O"/>
        <s v="BMIDIFSOL_8P"/>
        <s v="BMIDIFSOL_8Q"/>
        <s v="BMIDIFSOL_8R"/>
        <s v="BMIDIFSOL_8S"/>
        <s v="BMIDIFSOL_8T"/>
        <s v="BMIDIFSOL_8U"/>
        <s v="BMIDIFSOL_8V"/>
        <s v="BMIDIFSOL_8W"/>
        <s v="BMIDIFSOL_8X"/>
        <s v="BMIDIFSOL_9A"/>
        <s v="BMIDIFSOL_9AA"/>
        <s v="BMIDIFSOL_9AB"/>
        <s v="BMIDIFSOL_9AC"/>
        <s v="BMIDIFSOL_9AD"/>
        <s v="BMIDIFSOL_9AF"/>
        <s v="BMIDIFSOL_9B"/>
        <s v="BMIDIFSOL_9C"/>
        <s v="BMIDIFSOL_9D"/>
        <s v="BMIDIFSOL_9E"/>
        <s v="BMIDIFSOL_9F"/>
        <s v="BMIDIFSOL_9G"/>
        <s v="BMIDIFSOL_9H"/>
        <s v="BMIDIFSOL_9I"/>
        <s v="BMIDIFSOL_9J"/>
        <s v="BMIDIFSOL_9K"/>
        <s v="BMIDIFSOL_9L"/>
        <s v="BMIDIFSOL_9M"/>
        <s v="BMIDIFSOL_9N"/>
        <s v="BMIDIFSOL_9O"/>
        <s v="BMIDIFSOL_9P"/>
        <s v="BMIDIFSOL_9Q"/>
        <s v="BMIDIFSOL_9R"/>
        <s v="BMIDIFSOL_9S"/>
        <s v="BMIDIFSOL_9T"/>
        <s v="BMIDIFSOL_9U"/>
        <s v="BMIDIFSOL_9V"/>
        <s v="BMIDIFSOL_9W"/>
        <s v="BMIDIFSOL_9X"/>
        <s v="BMIELE001"/>
        <s v="BMIGIAL_1"/>
        <s v="BMIGIAL_2"/>
        <s v="BMIGIAL_3"/>
        <s v="BMIGIAN_9"/>
        <s v="BMIGIBAA_1"/>
        <s v="BMIGIBAA_10"/>
        <s v="BMIGIBAA_11"/>
        <s v="BMIGIBAA_12"/>
        <s v="BMIGIBAA_13"/>
        <s v="BMIGIBAA_2"/>
        <s v="BMIGIBAA_3"/>
        <s v="BMIGIBAA_4"/>
        <s v="BMIGIBAA_5"/>
        <s v="BMIGIBAA_6"/>
        <s v="BMIGIBAA_7"/>
        <s v="BMIGIBAA_8"/>
        <s v="BMIGIBAA_9"/>
        <s v="BMIGICA_10"/>
        <s v="BMIGICA_9"/>
        <s v="BMIGICOP_1"/>
        <s v="BMIGICOP_2"/>
        <s v="BMIGIELE_2"/>
        <s v="BMIGIELE_3"/>
        <s v="BMIGIELE_4"/>
        <s v="BMIGIELE_5"/>
        <s v="BMIGIELE_6"/>
        <s v="BMIGIELE_7"/>
        <s v="BMIGIELE_8"/>
        <s v="BMIGILCHL_1"/>
        <s v="BMIGILEP_1"/>
        <s v="BMIGILEP_2"/>
        <s v="BMIGIMN_2"/>
        <s v="BMIGIPET_1"/>
        <s v="BMIGIPET_2"/>
        <s v="BMIGIPRE_1"/>
        <s v="BMIGIPRE_2"/>
        <s v="BMIGIPRE_3"/>
        <s v="BMIGIPRE_4"/>
        <s v="BMIGIPRE_5"/>
        <s v="BMIGIPRE_6"/>
        <s v="BMIGIPRE_7"/>
        <s v="BMIGISOL_1"/>
        <s v="BMIGISOL_10"/>
        <s v="BMIGISOL_2"/>
        <s v="BMIGISOL_3"/>
        <s v="BMIGISOL_4"/>
        <s v="BMIGISOL_5"/>
        <s v="BMIGISOL_6"/>
        <s v="BMIGISOL_7"/>
        <s v="BMIGISOL_8"/>
        <s v="BMIGISOL_9"/>
        <s v="BMILC001"/>
        <s v="BMILC002"/>
        <s v="BMILC002A"/>
        <s v="BMILC003"/>
        <s v="BMILC003A"/>
        <s v="BMILC004"/>
        <s v="BMILC005"/>
        <s v="BMILC006"/>
        <s v="BMILC007"/>
        <s v="BMILC008"/>
        <s v="BMILC009"/>
        <s v="BMILC010"/>
        <s v="BMILC011"/>
        <s v="BMILCGWA"/>
        <s v="BMILH001"/>
        <s v="BMILH001A"/>
        <s v="BMILH002"/>
        <s v="BMILH002A"/>
        <s v="BMILH003"/>
        <s v="BMILH004"/>
        <s v="BMILH005"/>
        <s v="BMILH006"/>
        <s v="BMILH007"/>
        <s v="BMILH008"/>
        <s v="BMILHGWA"/>
        <s v="BMIMHP001"/>
        <s v="BMIMHP002"/>
        <s v="BMIMHP003"/>
        <s v="BMIMHP004"/>
        <s v="BMIMHP005"/>
        <s v="BMIMN001"/>
        <s v="BMING001"/>
        <s v="BMING002"/>
        <s v="BMING003"/>
        <s v="BMING004"/>
        <s v="BMING005"/>
        <s v="BMING006"/>
        <s v="BMING007"/>
        <s v="BMING008"/>
        <s v="BMING009"/>
        <s v="BMING010"/>
        <s v="BMING011"/>
        <s v="BMING012"/>
        <s v="BMING013"/>
        <s v="BMING014"/>
        <s v="BMINM001"/>
        <s v="BMINNF001"/>
        <s v="BMINNF002"/>
        <s v="BMINNF003"/>
        <s v="BMINS001"/>
        <s v="BMINS002"/>
        <s v="BMINS003"/>
        <s v="BMINS004"/>
        <s v="BMIRE001"/>
        <s v="BMIRE002"/>
        <s v="BMIRE003"/>
        <s v="BMIRE004"/>
        <s v="BMIRE005"/>
        <s v="BMIRE006"/>
        <s v="BMIRE007"/>
        <s v="BMIRE008"/>
        <s v="BMIRE009"/>
        <s v="BMIRE010"/>
        <s v="BMIRE011"/>
        <s v="BMIRE012"/>
        <s v="BMIREC001"/>
        <s v="BMIREC002"/>
        <s v="BMIREC003"/>
        <s v="BMIREC004"/>
        <s v="BMIREC005"/>
        <s v="BMIREC006"/>
        <s v="BMIREC007"/>
        <s v="BMIREC008"/>
        <s v="BMIREC009"/>
        <s v="BMIREC010"/>
        <s v="BMIREC011"/>
        <s v="BMIREC012"/>
        <s v="BMIREC013"/>
        <s v="BMIREC014"/>
        <s v="BMIREC015"/>
        <s v="BMIREC016"/>
        <s v="BMIREC017"/>
        <s v="BMIREC018"/>
        <s v="BMIREC019"/>
        <s v="BMIREC020"/>
        <s v="BMIREC021"/>
        <s v="BMIREC022"/>
        <s v="BMIREC023"/>
        <s v="BMIREC024"/>
        <s v="BMIREC025"/>
        <s v="BMIREC026"/>
        <s v="BMIREC027"/>
        <s v="BMIREC028"/>
        <s v="BMIREC029"/>
        <s v="BMIREC030"/>
        <s v="BMIREC031"/>
        <s v="BMIREC032"/>
        <s v="BMIREC033"/>
        <s v="BMISC001"/>
        <s v="BMISC001A"/>
        <s v="BMISG001"/>
        <s v="BMISG002"/>
        <s v="BMISG003"/>
        <s v="BMISG004"/>
        <s v="BMISG005"/>
        <s v="BMISG006"/>
        <s v="BMISG007"/>
        <s v="BMISG009"/>
        <e v="#NAME?"/>
      </sharedItems>
    </cacheField>
    <cacheField name="Price Category" numFmtId="0">
      <sharedItems containsString="0" containsBlank="1" count="1">
        <m/>
      </sharedItems>
    </cacheField>
    <cacheField name="Market" numFmtId="0">
      <sharedItems count="17">
        <s v="Aluminium"/>
        <s v="Anode"/>
        <s v="Binders &amp; Additives"/>
        <s v="Cathode"/>
        <s v="Cobalt"/>
        <s v="Copper"/>
        <s v="Electrolyte"/>
        <s v="Lithium"/>
        <s v="Lithium ion Battery Cell"/>
        <s v="Manganese"/>
        <s v="Natural Graphite"/>
        <s v="Nickel"/>
        <s v="Precursor"/>
        <s v="Rare Earths"/>
        <s v="Recycling"/>
        <s v="Solvent"/>
        <s v="Synthetic Graphite"/>
      </sharedItems>
    </cacheField>
    <cacheField name="Product" numFmtId="0">
      <sharedItems count="94">
        <s v="1,4-Butanediol BDO"/>
        <s v="Additives, 1,3-Propane Sultone"/>
        <s v="Additives, Ethyl difluoroacetate"/>
        <s v="Additives, Lithium bis(oxalatoborate)"/>
        <s v="Additives, Lithium difluorooxalatoborate"/>
        <s v="Additives, Lithium tetrafluoroborate"/>
        <s v="Additives, Methyl acetate"/>
        <s v="Additives, Vinyl sulfate"/>
        <s v="Aluminium Scrap"/>
        <s v="Black Mass"/>
        <s v="Calcined Pet Coke"/>
        <s v="Calcined Pet Needle Coke"/>
        <s v="Calcined Pitch Needle Coke"/>
        <s v="Carbon nanotubes"/>
        <s v="Carboxymethyl Cellulose"/>
        <s v="Chloroethylene carbonate CEC"/>
        <s v="Cobalt Hydroxide"/>
        <s v="Cobalt Metal"/>
        <s v="Cobalt Oxide"/>
        <s v="Cobalt Sulphate"/>
        <s v="Cobalt Tetroxide"/>
        <s v="Conductive Carbon Black (KS6)"/>
        <s v="Conductive Carbon Black (SP)"/>
        <s v="Copper Scrap"/>
        <s v="Diethyl carbonate DEC"/>
        <s v="Dimethyl carbonate DMC"/>
        <s v="Dysprosium Metal"/>
        <s v="Dysprosium Oxide"/>
        <s v="Electrolytic Manganese"/>
        <s v="Ethyl methyl carbonate EMC"/>
        <s v="Ethylene carbonate EC"/>
        <s v="EV"/>
        <s v="Ferric Phosphate (Anhydrous)"/>
        <s v="Ferric Phosphate (Dihydrate)"/>
        <s v="Flake"/>
        <s v="Fluoroethylene carbonate FEC"/>
        <s v="Foil"/>
        <s v="GBL (γ-butyrolactone)"/>
        <s v="LCO"/>
        <s v="Lepidolite"/>
        <s v="LFP"/>
        <s v="LiPF6"/>
        <s v="Lithium bis(fluorosulfonyl)imide (LiFSI)"/>
        <s v="Lithium carbonate"/>
        <s v="Lithium chloride"/>
        <s v="Lithium Hydroxide"/>
        <s v="Lithium Ion Battery"/>
        <s v="Lithium Manganese Oxide, High Energy Uses"/>
        <s v="Lithium Manganese Oxide, Low Energy Uses"/>
        <s v="Manganese Sulphate"/>
        <s v="Medium Sulphur Pre-Calcined Pet Coke"/>
        <s v="Mixed Hydroxide Precipitate"/>
        <s v="Mixed Hydroxide Precipitate Aggregate"/>
        <s v="Molybdenum disulphide"/>
        <s v="N-Methylpyrrolidone (NMP)"/>
        <s v="Natural Graphite Anode"/>
        <s v="NCA"/>
        <s v="NCM"/>
        <s v="NCM High Nickel"/>
        <s v="NCM Low Nickel"/>
        <s v="NCM Mid Nickel"/>
        <s v="NCM111"/>
        <s v="NCM523"/>
        <s v="NCM613"/>
        <s v="NCM622"/>
        <s v="NCM811"/>
        <s v="Nickel Metal"/>
        <s v="Nickel Sulphate"/>
        <s v="Nickel Sulphate Normalised"/>
        <s v="Nickel Sulphate Premium Over Global Refined Nickel"/>
        <s v="Normalisation Factor"/>
        <s v="Oxide"/>
        <s v="Petalite"/>
        <s v="Polyacrylic acid (PAA)"/>
        <s v="Polyvinylidene fluoride (PVDF)"/>
        <s v="Praseodymium-Neodymium Metal"/>
        <s v="Praseodymium-Neodymium Oxide"/>
        <s v="Pre-Calcined Pet Coke"/>
        <s v="Pre-Calcined Pet Needle Coke"/>
        <s v="Pre-Calcined Pitch Needle Coke"/>
        <s v="Propylene carbonate PC"/>
        <s v="Propylene sulphite"/>
        <s v="PVP (polyvinyl pyrrolidone)"/>
        <s v="Recycled MHP"/>
        <s v="Samarium Oxide"/>
        <s v="Silicon Oxide Anode"/>
        <s v="Spherical Uncoated"/>
        <s v="Spodumene"/>
        <s v="Styrene butadiene rubber (SBR)"/>
        <s v="Synthetic Graphite Anode"/>
        <s v="Terbium Metal"/>
        <s v="Terbium Oxide"/>
        <s v="Tolling Fees"/>
        <s v="Vinylene carbonate VC"/>
      </sharedItems>
    </cacheField>
    <cacheField name="Sub-Product" numFmtId="0">
      <sharedItems containsBlank="1" count="12">
        <s v="All Scrap"/>
        <s v="Co"/>
        <s v="CoSO4"/>
        <s v="EOL"/>
        <s v="LCE"/>
        <s v="LFP"/>
        <s v="Li Price per Percentage Point"/>
        <s v="NCM"/>
        <s v="Ni"/>
        <s v="NiSO4"/>
        <s v="Process Scrap"/>
        <m/>
      </sharedItems>
    </cacheField>
    <cacheField name="Normalisation Factor" numFmtId="0">
      <sharedItems containsString="0" containsBlank="1" containsNumber="1" containsInteger="1" minValue="1" maxValue="1" count="2">
        <n v="1"/>
        <m/>
      </sharedItems>
    </cacheField>
    <cacheField name="Capacity (Nominal/Anode/Cathode)" numFmtId="0">
      <sharedItems containsBlank="1" count="19">
        <s v="&gt;1000 mAh/g"/>
        <s v="≥155 mAh/g"/>
        <s v="≥160 mAh/g"/>
        <s v="≥175 mAh/g"/>
        <s v="≥200 mAh/g"/>
        <s v="140-160 mAh/g"/>
        <s v="150-170 mAh/g"/>
        <s v="155-180 mAh/g"/>
        <s v="170-200 mAh/g"/>
        <s v="314Ah"/>
        <s v="High (350-370 mAh/g)"/>
        <s v="High (350-370 mAh/g) (&gt;2.5C for EV)"/>
        <s v="High (360-370 mAh/g)"/>
        <s v="High (360-370 mAh/g) (&gt;2.5C for EV)"/>
        <s v="Low (310-330 mAh/g)"/>
        <s v="Low (345-360 mAh/g)"/>
        <s v="Medium (330-350 mAh/g)"/>
        <s v="Medium (360-370 mAh/g)"/>
        <m/>
      </sharedItems>
    </cacheField>
    <cacheField name="Cell Format" numFmtId="0">
      <sharedItems containsBlank="1" count="4">
        <s v="Cylindrical"/>
        <s v="Pouch"/>
        <s v="Prismatic"/>
        <m/>
      </sharedItems>
    </cacheField>
    <cacheField name="Feedstock" numFmtId="0">
      <sharedItems containsBlank="1" count="5">
        <s v="All Chemistries"/>
        <s v="LCO"/>
        <s v="LFP"/>
        <s v="NCM"/>
        <m/>
      </sharedItems>
    </cacheField>
    <cacheField name="Purity" numFmtId="0">
      <sharedItems containsBlank="1" containsMixedTypes="1" containsNumber="1" minValue="0.06" maxValue="0.9995" count="36">
        <n v="0.06"/>
        <n v="0.32"/>
        <n v="0.9995"/>
        <s v="&gt;20%&gt;70%"/>
        <s v="&gt;22%&gt;70%"/>
        <s v="0.5%&lt;S&lt;3.0%"/>
        <s v="1.5-3% Li2O"/>
        <s v="1%&lt;Co&lt;4.5%"/>
        <s v="100% Ni Contained"/>
        <s v="3-4.5% Li2O"/>
        <s v="3.5-4% Li2O"/>
        <s v="35%&lt;Ni&lt;55%"/>
        <s v="4-4.5% Li2O"/>
        <s v="90-93% C"/>
        <s v="94-95% C"/>
        <s v="99.0-99.5%"/>
        <s v="99.0-99.9%"/>
        <s v="C≥90%"/>
        <s v="Min 1%"/>
        <s v="Min 20.5%"/>
        <s v="Min 20%"/>
        <s v="Min 22%"/>
        <s v="Min 35%"/>
        <s v="Min 55.0%"/>
        <s v="Min 56.5%"/>
        <s v="Min 72.8%"/>
        <s v="Min 99.0%"/>
        <s v="Min 99.2%"/>
        <s v="Min 99.5%"/>
        <s v="min 99.70% C"/>
        <s v="Min 99.8%"/>
        <s v="min 99.90% C"/>
        <s v="min 99.95% C"/>
        <s v="min 99.97% C"/>
        <s v="S&lt;0.5%"/>
        <m/>
      </sharedItems>
    </cacheField>
    <cacheField name="Sustainable" numFmtId="0">
      <sharedItems containsString="0" containsBlank="1" containsNumber="1" containsInteger="1" minValue="0" maxValue="1" count="3">
        <n v="0"/>
        <n v="1"/>
        <m/>
      </sharedItems>
    </cacheField>
    <cacheField name="Thickness" numFmtId="0">
      <sharedItems containsBlank="1" count="7">
        <s v="12μm"/>
        <s v="13μm"/>
        <s v="15μm"/>
        <s v="5-15 nm"/>
        <s v="5μm"/>
        <s v="6μm"/>
        <m/>
      </sharedItems>
    </cacheField>
    <cacheField name="Mesh size" numFmtId="0">
      <sharedItems containsBlank="1" count="9">
        <s v="-100 mesh"/>
        <s v="+100 mesh"/>
        <s v="+50 mesh"/>
        <s v="+80 mesh"/>
        <s v="10 microns"/>
        <s v="15 microns"/>
        <s v="25 microns"/>
        <s v="5-10um"/>
        <m/>
      </sharedItems>
    </cacheField>
    <cacheField name="Service" numFmtId="0">
      <sharedItems containsBlank="1" count="5">
        <s v="Graphitisation"/>
        <s v="Metal to Nickel Sulphate"/>
        <s v="MHP to Nickel Sulphate"/>
        <s v="Nickel Sulphate Shipped"/>
        <m/>
      </sharedItems>
    </cacheField>
    <cacheField name="Incoterm" numFmtId="0">
      <sharedItems containsBlank="1" count="9">
        <s v="CIF"/>
        <s v="CIF "/>
        <s v="DDP"/>
        <s v="DDP "/>
        <s v="EXW "/>
        <s v="EXW to CIF "/>
        <s v="FOB"/>
        <s v="FOB "/>
        <m/>
      </sharedItems>
    </cacheField>
    <cacheField name="Region" numFmtId="0">
      <sharedItems containsBlank="1" count="12">
        <s v="Asia"/>
        <s v="Australia"/>
        <s v="China"/>
        <s v="China to Asia"/>
        <s v="East Africa"/>
        <s v="EU"/>
        <s v="Europe"/>
        <s v="Global"/>
        <s v="N America"/>
        <s v="North America"/>
        <s v="South America"/>
        <m/>
      </sharedItems>
    </cacheField>
    <cacheField name="Country(OnlyforDiffs)" numFmtId="0">
      <sharedItems containsBlank="1" count="41">
        <s v="Australia"/>
        <s v="Bulgaria"/>
        <s v="Canada"/>
        <s v="Chile"/>
        <s v="China"/>
        <s v="Czechia"/>
        <s v="Denmark"/>
        <s v="EXW China"/>
        <s v="Finland"/>
        <s v="France"/>
        <s v="Germany"/>
        <s v="Hungary"/>
        <s v="India"/>
        <s v="Indonesia"/>
        <s v="Italy"/>
        <s v="Japan"/>
        <s v="Kazakhstan"/>
        <s v="Malaysia"/>
        <s v="Morocco"/>
        <s v="Netherlands"/>
        <s v="Norway"/>
        <s v="Oman"/>
        <s v="Poland"/>
        <s v="Portugal"/>
        <s v="Russia"/>
        <s v="Saudi Arabia"/>
        <s v="Serbia"/>
        <s v="Singapore"/>
        <s v="Slovakia"/>
        <s v="South Korea"/>
        <s v="Spain"/>
        <s v="Sweden"/>
        <s v="Switzerland"/>
        <s v="Taiwan, Province of China"/>
        <s v="Thailand"/>
        <s v="Turkey"/>
        <s v="UK"/>
        <s v="United States"/>
        <s v="USA"/>
        <s v="Vietnam"/>
        <m/>
      </sharedItems>
    </cacheField>
    <cacheField name="Frequency" numFmtId="0">
      <sharedItems count="4">
        <s v="1 Week"/>
        <s v="2 Weeks"/>
        <s v="Daily"/>
        <s v="Monthly"/>
      </sharedItems>
    </cacheField>
    <cacheField name="Shipping Route (Legacy)" numFmtId="0">
      <sharedItems containsBlank="1" count="23">
        <s v="China"/>
        <s v="CIF Asia"/>
        <s v="CIF Asia (contract)"/>
        <s v="CIF Asia (Fixed Price)"/>
        <s v="CIF Asia (Normalised)"/>
        <s v="CIF Asia (spot)"/>
        <s v="CIF EU"/>
        <s v="CIF EU (contract)"/>
        <s v="CIF EU (spot)"/>
        <s v="CIF N America"/>
        <s v="CIF N America (contract)"/>
        <s v="CIF N America (spot)"/>
        <s v="DDP China"/>
        <s v="EXW Asia"/>
        <s v="EXW China"/>
        <s v="EXW Europe"/>
        <s v="EXW North America"/>
        <s v="FOB Australia"/>
        <s v="FOB China"/>
        <s v="FOB East Africa"/>
        <s v="FOB S America"/>
        <e v="#NAME?"/>
        <m/>
      </sharedItems>
    </cacheField>
    <cacheField name="Trade Type?" numFmtId="0">
      <sharedItems containsBlank="1" count="5">
        <s v="Combined"/>
        <s v="Contract"/>
        <s v="Spot"/>
        <s v="Sustainable"/>
        <m/>
      </sharedItems>
    </cacheField>
    <cacheField name="Default Currency" numFmtId="0">
      <sharedItems containsBlank="1" count="3">
        <s v="CNY"/>
        <s v="USD"/>
        <m/>
      </sharedItems>
    </cacheField>
    <cacheField name="Price Type" numFmtId="0">
      <sharedItems containsBlank="1" count="8">
        <s v="Fixed Price"/>
        <s v="Global"/>
        <s v="Global Weighted Average"/>
        <s v="Payable"/>
        <s v="Price"/>
        <s v="Price Daily"/>
        <s v="Weighted Average Price"/>
        <m/>
      </sharedItems>
    </cacheField>
    <cacheField name="UOM" numFmtId="0">
      <sharedItems containsBlank="1" count="4">
        <s v="%"/>
        <s v="kWh"/>
        <s v="Tonne"/>
        <m/>
      </sharedItems>
    </cacheField>
    <cacheField name="Grade" numFmtId="0">
      <sharedItems containsBlank="1" count="3">
        <s v="Battery"/>
        <s v="Technical"/>
        <m/>
      </sharedItems>
    </cacheField>
    <cacheField name="Full Name" numFmtId="0">
      <sharedItems containsBlank="1" count="4">
        <s v="Nickel; Normalisation Factor; 100% Ni Contained; Metal to Nickel Sulphate; CIF Asia; Price; USD; Tonne"/>
        <s v="Nickel; Normalisation Factor; 100% Ni Contained; MHP to Nickel Sulphate; CIF Asia; Price; USD; Tonne"/>
        <e v="#REF!"/>
        <m/>
      </sharedItems>
    </cacheField>
    <cacheField name="Short Name (40 char max)" numFmtId="0">
      <sharedItems containsBlank="1" count="208">
        <s v="Aluminium; Global Indicator; Foil; 12μm; USD; Tonne"/>
        <s v="Aluminium; Global Indicator; Foil; 13μm; USD; Tonne"/>
        <s v="Aluminium; Global Indicator; Foil; 15μm; USD; Tonne"/>
        <s v="Anode; Global Indicator; Silicon Oxide Anode; &gt;1000 mAh/g; USD; Tonne"/>
        <s v="Anode; Natural Graphite Anode; High (360-370 mAh/g) (&gt;2.5C for EV); min 99.97% C; DDP China; CNY; Tonne"/>
        <s v="Anode; Natural Graphite Anode; High (360-370 mAh/g); min 99.97% C; DDP China; CNY; Tonne"/>
        <s v="Anode; Natural Graphite Anode; Low (345-360 mAh/g); min 99.90% C; DDP China; CNY; Tonne"/>
        <s v="Anode; Natural Graphite Anode; Medium (360-370 mAh/g); min 99.95% C; DDP China; CNY; Tonne"/>
        <s v="Anode; Synthetic Graphite Anode; High (350-370 mAh/g) (&gt;2.5C for EV); min 99.97% C; DDP China; CNY; Tonne"/>
        <s v="Anode; Synthetic Graphite Anode; High (350-370 mAh/g); min 99.97% C; DDP China; CNY; Tonne"/>
        <s v="Anode; Synthetic Graphite Anode; Low (310-330 mAh/g); min 99.70% C; DDP China; CNY; Tonne"/>
        <s v="Anode; Synthetic Graphite Anode; Medium (330-350 mAh/g); min 99.95% C; DDP China; CNY; Tonne"/>
        <s v="Cathode; LCO; ≥155 mAh/g; DDP China; CNY; Tonne"/>
        <s v="Cobalt; Cobalt Hydroxide; Min 20%; CIF Asia; Price Daily; USD; Tonne"/>
        <s v="Cobalt; Cobalt Hydroxide; Min 20%; CIF Asia; Price; USD; Tonne"/>
        <s v="Cobalt; Cobalt Metal; Min 99.8%; EXW Europe; Price Daily; USD; Tonne"/>
        <s v="Cobalt; Cobalt Metal; Min 99.8%; EXW Europe; Price; USD; Tonne"/>
        <s v="Cobalt; Cobalt Oxide; Min 72.8%; EXW China; CNY; Tonne"/>
        <s v="Cobalt; Cobalt Sulphate; Min 20.5%; EXW China; CNY; Tonne"/>
        <s v="Cobalt; Mixed Hydroxide Precipitate Aggregate; 1%&lt;Co&lt;4.5%; CIF China; Price; USD; Tonne"/>
        <s v="Cobalt; Mixed Hydroxide Precipitate; Min 1%; CIF Asia; USD; Tonne"/>
        <s v="Copper; Global Indicator; Foil; 5μm; USD; Tonne"/>
        <s v="Copper; Global Indicator; Foil; 6μm; USD; Tonne"/>
        <s v="Electrolyte; Global Indicator; Additives, 1,3-Propane Sultone; USD; Tonne"/>
        <s v="Electrolyte; Global Indicator; Additives, Ethyl difluoroacetate; USD; Tonne"/>
        <s v="Electrolyte; Global Indicator; Additives, Lithium bis(oxalatoborate); USD; Tonne"/>
        <s v="Electrolyte; Global Indicator; Additives, Lithium difluorooxalatoborate; USD; Tonne"/>
        <s v="Electrolyte; Global Indicator; Additives, Lithium tetrafluoroborate; USD; Tonne"/>
        <s v="Electrolyte; Global Indicator; Additives, Methyl acetate; USD; Tonne"/>
        <s v="Electrolyte; Global Indicator; Additives, Vinyl sulfate; USD; Tonne"/>
        <s v="Electrolyte; LiPF6; 99.95%; EXW China; CNY; Tonne"/>
        <s v="Lithium Carbonate; Min 99.0%; CIF Asia; Sustainable; Price; USD; Tonne"/>
        <s v="Lithium Carbonate; Min 99.0%; CIF Europe (contract); Price; USD; Tonne"/>
        <s v="Lithium Carbonate; Min 99.0%; CIF Europe (spot); Price; USD; Tonne"/>
        <s v="Lithium Carbonate; Min 99.0%; CIF North America (contract); Price; USD; Tonne"/>
        <s v="Lithium Carbonate; Min 99.0%; CIF North America (spot); Price; USD; Tonne"/>
        <s v="Lithium Carbonate; Min 99.0%; EXW China; Technical; Price; CNY; Tonne"/>
        <s v="Lithium Carbonate; Min 99.0%; FOB South America; Price; USD; Tonne"/>
        <s v="Lithium Carbonate; Min 99.0%; Global Weighted Average; USD; Tonne"/>
        <s v="Lithium Carbonate; Min 99.2%; CIF Asia (combined); Price; USD; Tonne"/>
        <s v="Lithium Carbonate; Min 99.2%; CIF Asia (spot); Price; USD; Tonne"/>
        <s v="Lithium Carbonate; Min 99.2%; CIF Asia; (contract); Price; USD; Tonne"/>
        <s v="Lithium Carbonate; Min 99.5%; CIF Asia (spot); Price Daily; USD; Tonne"/>
        <s v="Lithium Carbonate; Min 99.5%; EXW China; Battery; Price Daily; CNY; Tonne"/>
        <s v="Lithium Carbonate; Min 99.5%; EXW China; Battery; Price; CNY; Tonne"/>
        <s v="Lithium Hydroxide; Min 55.0%; CIF Europe (contract); Price; USD; Tonne"/>
        <s v="Lithium Hydroxide; Min 55.0%; CIF Europe (spot); Price; USD; Tonne"/>
        <s v="Lithium Hydroxide; Min 55.0%; CIF North America (contract); Price; USD; Tonne"/>
        <s v="Lithium Hydroxide; Min 55.0%; CIF North America (spot); Price; USD; Tonne"/>
        <s v="Lithium Hydroxide; Min 55.0%; Global Weighted Average; USD; Tonne"/>
        <s v="Lithium Hydroxide; Min 56.5%; CIF Asia (combined); Price; USD; Tonne"/>
        <s v="Lithium Hydroxide; Min 56.5%; CIF Asia (contract); Price; USD; Tonne"/>
        <s v="Lithium Hydroxide; Min 56.5%; CIF Asia (spot); Price Daily; USD; Tonne"/>
        <s v="Lithium Hydroxide; Min 56.5%; CIF Asia (spot); Price; USD; Tonne"/>
        <s v="Lithium Hydroxide; Min 56.5%; EXW China; Price Daily; CNY; Tonne"/>
        <s v="Lithium Hydroxide; Min 56.5%; EXW China; Price; CNY; Tonne"/>
        <s v="Lithium ion Battery Cell; EV; Global; USD; kWh"/>
        <s v="Lithium ion Battery Cell; LCO; Pouch; EXW Asia; USD; kWh"/>
        <s v="Lithium ion Battery Cell; LCO; Pouch; EXW China; USD; kWh"/>
        <s v="Lithium ion Battery Cell; LFP; Cylindrical; EXW China; USD; kWh"/>
        <s v="Lithium ion Battery Cell; LFP; Global; USD; kWh"/>
        <s v="Lithium ion Battery Cell; LFP; Prismatic; 314Ah; EXW China; USD; kWh"/>
        <s v="Lithium ion Battery Cell; LFP; Prismatic; EXW China; USD; kWh"/>
        <s v="Lithium ion Battery Cell; Lithium Ion Battery; Global; USD; kWh"/>
        <s v="Lithium ion Battery Cell; NCA; Cylindrical; EXW Asia; USD; kWh"/>
        <s v="Lithium ion Battery Cell; NCA; Cylindrical; EXW North America; USD; kWh"/>
        <s v="Lithium ion Battery Cell; NCA; Global; USD; kWh"/>
        <s v="Lithium ion Battery Cell; NCA; Pouch; EXW Asia; USD; kWh"/>
        <s v="Lithium ion Battery Cell; NCA; Pouch; EXW China; USD; kWh"/>
        <s v="Lithium ion Battery Cell; NCA; Pouch; EXW Europe; USD; kWh"/>
        <s v="Lithium ion Battery Cell; NCA; Pouch; EXW North America; USD; kWh"/>
        <s v="Lithium ion Battery Cell; NCA; Prismatic; EXW Asia; USD; kWh"/>
        <s v="Lithium ion Battery Cell; NCA; Prismatic; EXW China; USD; kWh"/>
        <s v="Lithium ion Battery Cell; NCA; Prismatic; EXW Europe; USD; kWh"/>
        <s v="Lithium ion Battery Cell; NCA; Prismatic; EXW North America; USD; kWh"/>
        <s v="Lithium ion Battery Cell; NCM; Global; USD; kWh"/>
        <s v="Lithium ion Battery Cell; NCM111; Pouch; EXW Asia; USD; kWh"/>
        <s v="Lithium ion Battery Cell; NCM111; Pouch; EXW China; USD; kWh"/>
        <s v="Lithium ion Battery Cell; NCM111; Pouch; EXW Europe; USD; kWh"/>
        <s v="Lithium ion Battery Cell; NCM111; Pouch; EXW North America; USD; kWh"/>
        <s v="Lithium ion Battery Cell; NCM111; Prismatic; EXW Asia; USD; kWh"/>
        <s v="Lithium ion Battery Cell; NCM111; Prismatic; EXW China; USD; kWh"/>
        <s v="Lithium ion Battery Cell; NCM111; Prismatic; EXW Europe; USD; kWh"/>
        <s v="Lithium ion Battery Cell; NCM111; Prismatic; EXW North America; USD; kWh"/>
        <s v="Lithium ion Battery Cell; NCM523; Pouch; EXW Asia; USD; kWh"/>
        <s v="Lithium ion Battery Cell; NCM523; Pouch; EXW China; USD; kWh"/>
        <s v="Lithium ion Battery Cell; NCM523; Pouch; EXW Europe; USD; kWh"/>
        <s v="Lithium ion Battery Cell; NCM523; Pouch; EXW North America; USD; kWh"/>
        <s v="Lithium ion Battery Cell; NCM523; Prismatic; EXW Asia; USD; kWh"/>
        <s v="Lithium ion Battery Cell; NCM523; Prismatic; EXW China; USD; kWh"/>
        <s v="Lithium ion Battery Cell; NCM523; Prismatic; EXW Europe; USD; kWh"/>
        <s v="Lithium ion Battery Cell; NCM523; Prismatic; EXW North America; USD; kWh"/>
        <s v="Lithium ion Battery Cell; NCM622; Pouch; EXW Asia; USD; kWh"/>
        <s v="Lithium ion Battery Cell; NCM622; Pouch; EXW China; USD; kWh"/>
        <s v="Lithium ion Battery Cell; NCM622; Pouch; EXW Europe; USD; kWh"/>
        <s v="Lithium ion Battery Cell; NCM622; Pouch; EXW North America; USD; kWh"/>
        <s v="Lithium ion Battery Cell; NCM622; Prismatic; EXW Asia; USD; kWh"/>
        <s v="Lithium ion Battery Cell; NCM622; Prismatic; EXW China; USD; kWh"/>
        <s v="Lithium ion Battery Cell; NCM622; Prismatic; EXW Europe; USD; kWh"/>
        <s v="Lithium ion Battery Cell; NCM622; Prismatic; EXW North America; USD; kWh"/>
        <s v="Lithium ion Battery Cell; NCM811; Cylindrical; EXW Asia; USD; kWh"/>
        <s v="Lithium ion Battery Cell; NCM811; Cylindrical; EXW China; USD; kWh"/>
        <s v="Lithium ion Battery Cell; NCM811; Cylindrical; EXW Europe; USD; kWh"/>
        <s v="Lithium ion Battery Cell; NCM811; Cylindrical; EXW North America; USD; kWh"/>
        <s v="Lithium ion Battery Cell; NCM811; Pouch; EXW Asia; USD; kWh"/>
        <s v="Lithium ion Battery Cell; NCM811; Pouch; EXW China; USD; kWh"/>
        <s v="Lithium ion Battery Cell; NCM811; Pouch; EXW Europe; USD; kWh"/>
        <s v="Lithium ion Battery Cell; NCM811; Pouch; EXW North America; USD; kWh"/>
        <s v="Lithium ion Battery Cell; NCM811; Prismatic; EXW Asia; USD; kWh"/>
        <s v="Lithium ion Battery Cell; NCM811; Prismatic; EXW China; USD; kWh"/>
        <s v="Lithium ion Battery Cell; NCM811; Prismatic; EXW Europe; USD; kWh"/>
        <s v="Lithium ion Battery Cell; NCM811; Prismatic; EXW North America; USD; kWh"/>
        <s v="Lithium; Global Indicator; Lithium chloride; USD; Tonne"/>
        <s v="Manganese; Global Indicator; Electrolytic Manganese; USD; Tonne"/>
        <s v="Manganese; Manganese Sulphate; 32%; EXW China; CNY; Tonne"/>
        <s v="Natural Graphite; Flake; 90-93% C; -100 mesh; FOB China; USD; Tonne"/>
        <s v="Natural Graphite; Flake; 90-93% C; +100 mesh; FOB China; USD; Tonne"/>
        <s v="Natural Graphite; Flake; 94-95% C; -100 mesh; CIF N America; USD; Tonne"/>
        <s v="Natural Graphite; Flake; 94-95% C; -100 mesh; DDP China; CNY; Tonne"/>
        <s v="Natural Graphite; Flake; 94-95% C; -100 mesh; FOB China; USD; Tonne"/>
        <s v="Natural Graphite; Flake; 94-95% C; -100 mesh; FOB East Africa; USD; Tonne"/>
        <s v="Natural Graphite; Flake; 94-95% C; +100 mesh; DDP China; CNY; Tonne"/>
        <s v="Natural Graphite; Flake; 94-95% C; +100 mesh; FOB China; USD; Tonne"/>
        <s v="Natural Graphite; Flake; 94-95% C; +50 mesh; FOB China; USD; Tonne"/>
        <s v="Natural Graphite; Flake; 94-95% C; +80 mesh; FOB China; USD; Tonne"/>
        <s v="Natural Graphite; Flake; 94-95% C; +80 mesh; FOB East Africa; USD; Tonne"/>
        <s v="Natural Graphite; Spherical Uncoated; 99.95%; 10 microns; FOB China; USD; Tonne"/>
        <s v="Natural Graphite; Spherical Uncoated; 99.95%; 15 microns; FOB China; USD; Tonne"/>
        <s v="Natural Graphite; Spherical Uncoated; 99.95%; 25 microns; FOB China; USD; Tonne"/>
        <s v="Nickel; Mixed Hydroxide Precipitate Aggregate; 35%&lt;Ni&lt;55%; CIFAsia; USD; Tonne"/>
        <s v="Nickel; Mixed Hydroxide Precipitate; Min 35%; CIF Asia; Fixed Price; USD; Tonne"/>
        <s v="Nickel; Mixed Hydroxide Precipitate; Min 35%; CIF Asia; USD; %"/>
        <s v="Nickel; Nickel Metal; Min 99.8%; EXW Europe; USD; Tonne"/>
        <s v="Nickel; Nickel Sulphate Normalised; 100% Ni Contained; CIF Asia; USD; Tonne"/>
        <s v="Nickel; Nickel Sulphate Premium Over Global Refined Nickel; Min 22%; CIF Asia; USD; Tonne"/>
        <s v="Nickel; Nickel Sulphate; 100% Ni Contained; CIF Asia; USD; Tonne"/>
        <s v="Nickel; Nickel Sulphate; Min 22%; EXW China; CNY; Tonne"/>
        <s v="Nickel; Normalisation Factor; 100% Ni Contained; EXW China to Nickel Sulphate CIF Asia; USD; Tonne"/>
        <s v="Nickel; Normalisation Factor; 100% Ni Contained; Metal to Nickel Sulphate; CIF Asia; USD; Tonne"/>
        <s v="Nickel; Normalisation Factor; 100% Ni Contained; MHP to Nickel Sulphate; CIF Asia; USD; Tonne"/>
        <s v="Precursor; Global Indicator; Cobalt Tetroxide; USD; Tonne"/>
        <s v="Precursor; Global Indicator; Ferric Phosphate (Anhydrous); USD; Tonne"/>
        <s v="Precursor; Global Indicator; Ferric Phosphate (Dihydrate); USD; Tonne"/>
        <s v="Precursor; Global Indicator; Lithium Manganese Oxide, High Energy Uses; USD; Tonne"/>
        <s v="Precursor; Global Indicator; Lithium Manganese Oxide, Low Energy Uses; USD; Tonne"/>
        <s v="Precursor; Global Indicator; NCA; USD; Tonne"/>
        <s v="Precursor; Global Indicator; NCM High Nickel; USD; Tonne"/>
        <s v="Precursor; Global Indicator; NCM Low Nickel; USD; Tonne"/>
        <s v="Precursor; Global Indicator; NCM Mid Nickel; USD; Tonne"/>
        <s v="Rare Earths; Dysprosium Metal; 99.0-99.5%; DDP China; CNY; Tonne"/>
        <s v="Rare Earths; Dysprosium Oxide; 99.0-99.5%; CIF EU; USD; Tonne"/>
        <s v="Rare Earths; Dysprosium Oxide; 99.0-99.5%; DDP China; CNY; Tonne"/>
        <s v="Rare Earths; Oxide; DDPChina; USD; Tonne"/>
        <s v="Rare Earths; Praseodymium-Neodymium Metal; &gt;22%&gt;70%; DDPChina; CNY; Tonne"/>
        <s v="Rare Earths; Praseodymium-Neodymium Oxide; &gt;20%&gt;70%; CIF N America; USD; Tonne"/>
        <s v="Rare Earths; Praseodymium-Neodymium Oxide; &gt;20%&gt;70%; CIFEU; USD; Tonne"/>
        <s v="Rare Earths; Praseodymium-Neodymium Oxide; &gt;22%&gt;70%; DDPChina; CNY; Tonne"/>
        <s v="Rare Earths; Samarium Oxide; 99.0-99.9%; DDPChina; CNY; Tonne"/>
        <s v="Rare Earths; Terbium Metal; 99.0-99.9%; DDPChina; CNY; Tonne"/>
        <s v="Rare Earths; Terbium Oxide; 99.0-99.9%; CIFEU; USD; Tonne"/>
        <s v="Rare Earths; Terbium Oxide; 99.0-99.9%; DDPChina; CNY; Tonne"/>
        <s v="Recycling; Aluminium Scrap; EXW North America; Payable; Tonne"/>
        <s v="Recycling; Black Mass; All Chemistries; CIF Asia; EOL; Weighted Average Price; USD; Tonne"/>
        <s v="Recycling; Black Mass; All Chemistries; CIF Asia; Process Scrap; Weighted Average Price; USD; Tonne"/>
        <s v="Recycling; Black Mass; All Chemistries; EXW China; EOL; Weighted Average Price; USD; Tonne"/>
        <s v="Recycling; Black Mass; All Chemistries; EXW China; Process Scrap; Weighted Average Price; USD; Tonne"/>
        <s v="Recycling; Black Mass; All Chemistries; EXW North America; All Scrap; Weighted Average Price; USD; Tonne"/>
        <s v="Recycling; Black Mass; LCO; CIF Asia; All Scrap; Weighted Average Price; USD; Tonne"/>
        <s v="Recycling; Black Mass; LCO; CIF Asia; Co; Payable; %"/>
        <s v="Recycling; Black Mass; LCO; EXW China; All Scrap; Weighted Average Price; USD; Tonne"/>
        <s v="Recycling; Black Mass; LCO; EXW China; CoSO4; Payable; %"/>
        <s v="Recycling; Black Mass; LCO; EXW China; CoSO4; Weighted Average Price; USD; Tonne"/>
        <s v="Recycling; Black Mass; LCO; EXW China; LCE; Payable; %"/>
        <s v="Recycling; Black Mass; LCO; EXW China; LCE; Weighted Average Price; USD; Tonne"/>
        <s v="Recycling; Black Mass; LCO; EXW North America; Co; Payable; %"/>
        <s v="Recycling; Black Mass; LFP; EXW China; All Scrap; Weighted Average Price; USD; Tonne"/>
        <s v="Recycling; Black Mass; LFP; EXW China; L iPrice per Percentage Point; Fixed Price; CNY; Tonne"/>
        <s v="Recycling; Black Mass; NCM; CIF Asia; All Scrap; Weighted Average Price; USD; Tonne"/>
        <s v="Recycling; Black Mass; NCM; CIF Asia; Co; Payable; %"/>
        <s v="Recycling; Black Mass; NCM; CIF Asia; Ni; Payable; %"/>
        <s v="Recycling; Black Mass; NCM; EXW China; All Scrap; Weighted Average Price; USD; Tonne"/>
        <s v="Recycling; Black Mass; NCM; EXW China; CoSO4; Payable; %"/>
        <s v="Recycling; Black Mass; NCM; EXW China; CoSO4; Weighted Average Price; USD; Tonne"/>
        <s v="Recycling; Black Mass; NCM; EXW China; LCE; Payable; %"/>
        <s v="Recycling; Black Mass; NCM; EXW China; LCE; Weighted Average Price; USD; Tonne"/>
        <s v="Recycling; Black Mass; NCM; EXW China; NiSO4; Payable; %"/>
        <s v="Recycling; Black Mass; NCM; EXW China; NiSO4; Weighted Average Price; USD; Tonne"/>
        <s v="Recycling; Black Mass; NCM; EXW Europe; Co; Payable; %"/>
        <s v="Recycling; Black Mass; NCM; EXW Europe; Ni; Payable; %"/>
        <s v="Recycling; Black Mass; NCM; EXW North America; Co; Payable; %"/>
        <s v="Recycling; Black Mass; NCM; EXW North America; Ni; Payable; %"/>
        <s v="Recycling; Copper Scrap; EXW North America; Payable; Tonne"/>
        <s v="Recycling; Recycled MHP; CIF Asia; Co; Payable; Tonne"/>
        <s v="Recycling; Recycled MHP; CIF Asia; Ni; Payable; Tonne"/>
        <s v="Solvent; Global Indicator; 1,4-Butanediol BDO; USD; Tonne"/>
        <s v="Solvent; Global Indicator; Chloroethylene carbonate CEC; USD; Tonne"/>
        <s v="Solvent; Global Indicator; Diethyl carbonate DEC; USD; Tonne"/>
        <s v="Solvent; Global Indicator; Dimethyl carbonate DMC; USD; Tonne"/>
        <s v="Solvent; Global Indicator; Ethyl methyl carbonate EMC; USD; Tonne"/>
        <s v="Solvent; Global Indicator; Ethylene carbonate EC; USD; Tonne"/>
        <s v="Solvent; Global Indicator; Fluoroethylene carbonate FEC; USD; Tonne"/>
        <s v="Solvent; Global Indicator; GBL (γ-butyrolactone); USD; Tonne"/>
        <s v="Solvent; Global Indicator; Propylene carbonate PC; USD; Tonne"/>
        <s v="Solvent; Global Indicator; Vinylene carbonate VC; USD; Tonne"/>
        <s v="Spodumene; 6%; FOB Australia; Price Daily; USD; Tonne"/>
        <s v="Spodumene; 6%; FOB Australia; Price; USD; Tonne"/>
        <e v="#REF!"/>
        <m/>
      </sharedItems>
    </cacheField>
    <cacheField name="Spec" numFmtId="0">
      <sharedItems containsString="0" containsBlank="1" count="1">
        <m/>
      </sharedItems>
    </cacheField>
    <cacheField name="Assessment Launched" numFmtId="0">
      <sharedItems containsString="0" containsBlank="1" count="1">
        <m/>
      </sharedItems>
    </cacheField>
    <cacheField name="Last Assessed" numFmtId="0">
      <sharedItems containsString="0" containsBlank="1" count="1">
        <m/>
      </sharedItems>
    </cacheField>
    <cacheField name="Current (Price)" numFmtId="0">
      <sharedItems containsString="0" containsBlank="1" count="1">
        <m/>
      </sharedItems>
    </cacheField>
    <cacheField name="isSpot" numFmtId="0">
      <sharedItems containsString="0" containsBlank="1" containsNumber="1" containsInteger="1" minValue="0" maxValue="1" count="3">
        <n v="0"/>
        <n v="1"/>
        <m/>
      </sharedItems>
    </cacheField>
    <cacheField name="IOSCO Audit" numFmtId="0">
      <sharedItems containsString="0" containsBlank="1" containsNumber="1" containsInteger="1" minValue="0" maxValue="1" count="3">
        <n v="0"/>
        <n v="1"/>
        <m/>
      </sharedItems>
    </cacheField>
    <cacheField name="Is Public?" numFmtId="0">
      <sharedItems containsString="0" containsBlank="1" containsNumber="1" containsInteger="1" minValue="0" maxValue="0" count="2">
        <n v="0"/>
        <m/>
      </sharedItems>
    </cacheField>
    <cacheField name="Is Active" numFmtId="0">
      <sharedItems containsString="0" containsBlank="1" containsNumber="1" containsInteger="1" minValue="0" maxValue="1" count="3">
        <n v="0"/>
        <n v="1"/>
        <m/>
      </sharedItems>
    </cacheField>
    <cacheField name="YTD Change" numFmtId="0">
      <sharedItems containsString="0" containsBlank="1" count="1">
        <m/>
      </sharedItems>
    </cacheField>
    <cacheField name="YOY Change" numFmtId="0">
      <sharedItems containsString="0" containsBlank="1" count="1">
        <m/>
      </sharedItems>
    </cacheField>
    <cacheField name="Low" numFmtId="0">
      <sharedItems containsString="0" containsBlank="1" count="1">
        <m/>
      </sharedItems>
    </cacheField>
    <cacheField name="Mid" numFmtId="0">
      <sharedItems containsString="0" containsBlank="1" count="1">
        <m/>
      </sharedItems>
    </cacheField>
    <cacheField name="High" numFmtId="0">
      <sharedItems containsString="0" containsBlank="1" count="1">
        <m/>
      </sharedItems>
    </cacheField>
    <cacheField name="Rolling 3M Value" numFmtId="0">
      <sharedItems containsString="0" containsBlank="1" count="1">
        <m/>
      </sharedItems>
    </cacheField>
    <cacheField name="Rolling 12M Value" numFmtId="0">
      <sharedItems containsString="0" containsBlank="1" count="1">
        <m/>
      </sharedItems>
    </cacheField>
    <cacheField name="Note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18">
  <r>
    <x v="156"/>
    <x v="78"/>
    <x v="0"/>
    <x v="0"/>
    <x v="36"/>
    <x v="11"/>
    <x v="1"/>
    <x v="18"/>
    <x v="3"/>
    <x v="4"/>
    <x v="35"/>
    <x v="0"/>
    <x v="0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"/>
    <x v="0"/>
    <x v="0"/>
    <x v="36"/>
    <x v="11"/>
    <x v="1"/>
    <x v="18"/>
    <x v="3"/>
    <x v="4"/>
    <x v="35"/>
    <x v="0"/>
    <x v="0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"/>
    <x v="0"/>
    <x v="0"/>
    <x v="36"/>
    <x v="11"/>
    <x v="1"/>
    <x v="18"/>
    <x v="3"/>
    <x v="4"/>
    <x v="35"/>
    <x v="0"/>
    <x v="0"/>
    <x v="8"/>
    <x v="4"/>
    <x v="2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"/>
    <x v="0"/>
    <x v="0"/>
    <x v="36"/>
    <x v="11"/>
    <x v="1"/>
    <x v="18"/>
    <x v="3"/>
    <x v="4"/>
    <x v="35"/>
    <x v="0"/>
    <x v="0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"/>
    <x v="0"/>
    <x v="0"/>
    <x v="36"/>
    <x v="11"/>
    <x v="1"/>
    <x v="18"/>
    <x v="3"/>
    <x v="4"/>
    <x v="35"/>
    <x v="0"/>
    <x v="0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"/>
    <x v="0"/>
    <x v="0"/>
    <x v="36"/>
    <x v="11"/>
    <x v="1"/>
    <x v="18"/>
    <x v="3"/>
    <x v="4"/>
    <x v="35"/>
    <x v="0"/>
    <x v="0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"/>
    <x v="0"/>
    <x v="0"/>
    <x v="36"/>
    <x v="11"/>
    <x v="1"/>
    <x v="18"/>
    <x v="3"/>
    <x v="4"/>
    <x v="35"/>
    <x v="0"/>
    <x v="0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"/>
    <x v="0"/>
    <x v="0"/>
    <x v="36"/>
    <x v="11"/>
    <x v="1"/>
    <x v="18"/>
    <x v="3"/>
    <x v="4"/>
    <x v="35"/>
    <x v="0"/>
    <x v="0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"/>
    <x v="0"/>
    <x v="0"/>
    <x v="36"/>
    <x v="11"/>
    <x v="1"/>
    <x v="18"/>
    <x v="3"/>
    <x v="4"/>
    <x v="35"/>
    <x v="0"/>
    <x v="0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"/>
    <x v="0"/>
    <x v="0"/>
    <x v="36"/>
    <x v="11"/>
    <x v="1"/>
    <x v="18"/>
    <x v="3"/>
    <x v="4"/>
    <x v="35"/>
    <x v="0"/>
    <x v="0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"/>
    <x v="0"/>
    <x v="0"/>
    <x v="36"/>
    <x v="11"/>
    <x v="1"/>
    <x v="18"/>
    <x v="3"/>
    <x v="4"/>
    <x v="35"/>
    <x v="0"/>
    <x v="0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"/>
    <x v="0"/>
    <x v="0"/>
    <x v="36"/>
    <x v="11"/>
    <x v="1"/>
    <x v="18"/>
    <x v="3"/>
    <x v="4"/>
    <x v="35"/>
    <x v="0"/>
    <x v="0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"/>
    <x v="0"/>
    <x v="0"/>
    <x v="36"/>
    <x v="11"/>
    <x v="1"/>
    <x v="18"/>
    <x v="3"/>
    <x v="4"/>
    <x v="35"/>
    <x v="0"/>
    <x v="0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"/>
    <x v="0"/>
    <x v="0"/>
    <x v="36"/>
    <x v="11"/>
    <x v="1"/>
    <x v="18"/>
    <x v="3"/>
    <x v="4"/>
    <x v="35"/>
    <x v="0"/>
    <x v="0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"/>
    <x v="0"/>
    <x v="0"/>
    <x v="36"/>
    <x v="11"/>
    <x v="1"/>
    <x v="18"/>
    <x v="3"/>
    <x v="4"/>
    <x v="35"/>
    <x v="0"/>
    <x v="0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"/>
    <x v="0"/>
    <x v="0"/>
    <x v="36"/>
    <x v="11"/>
    <x v="1"/>
    <x v="18"/>
    <x v="3"/>
    <x v="4"/>
    <x v="35"/>
    <x v="0"/>
    <x v="0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"/>
    <x v="0"/>
    <x v="0"/>
    <x v="36"/>
    <x v="11"/>
    <x v="1"/>
    <x v="18"/>
    <x v="3"/>
    <x v="4"/>
    <x v="35"/>
    <x v="0"/>
    <x v="0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"/>
    <x v="0"/>
    <x v="0"/>
    <x v="36"/>
    <x v="11"/>
    <x v="1"/>
    <x v="18"/>
    <x v="3"/>
    <x v="4"/>
    <x v="35"/>
    <x v="0"/>
    <x v="0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"/>
    <x v="0"/>
    <x v="0"/>
    <x v="36"/>
    <x v="11"/>
    <x v="1"/>
    <x v="18"/>
    <x v="3"/>
    <x v="4"/>
    <x v="35"/>
    <x v="0"/>
    <x v="0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"/>
    <x v="0"/>
    <x v="0"/>
    <x v="36"/>
    <x v="11"/>
    <x v="1"/>
    <x v="18"/>
    <x v="3"/>
    <x v="4"/>
    <x v="35"/>
    <x v="0"/>
    <x v="0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"/>
    <x v="0"/>
    <x v="0"/>
    <x v="36"/>
    <x v="11"/>
    <x v="1"/>
    <x v="18"/>
    <x v="3"/>
    <x v="4"/>
    <x v="35"/>
    <x v="0"/>
    <x v="0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"/>
    <x v="0"/>
    <x v="0"/>
    <x v="36"/>
    <x v="11"/>
    <x v="1"/>
    <x v="18"/>
    <x v="3"/>
    <x v="4"/>
    <x v="35"/>
    <x v="0"/>
    <x v="0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"/>
    <x v="0"/>
    <x v="0"/>
    <x v="36"/>
    <x v="11"/>
    <x v="1"/>
    <x v="18"/>
    <x v="3"/>
    <x v="4"/>
    <x v="35"/>
    <x v="0"/>
    <x v="0"/>
    <x v="8"/>
    <x v="4"/>
    <x v="1"/>
    <x v="11"/>
    <x v="31"/>
    <x v="3"/>
    <x v="22"/>
    <x v="4"/>
    <x v="2"/>
    <x v="7"/>
    <x v="3"/>
    <x v="2"/>
    <x v="3"/>
    <x v="206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4"/>
    <x v="0"/>
    <x v="0"/>
    <x v="36"/>
    <x v="11"/>
    <x v="1"/>
    <x v="18"/>
    <x v="3"/>
    <x v="4"/>
    <x v="35"/>
    <x v="0"/>
    <x v="0"/>
    <x v="8"/>
    <x v="4"/>
    <x v="1"/>
    <x v="11"/>
    <x v="33"/>
    <x v="3"/>
    <x v="22"/>
    <x v="4"/>
    <x v="2"/>
    <x v="7"/>
    <x v="3"/>
    <x v="2"/>
    <x v="3"/>
    <x v="206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5"/>
    <x v="0"/>
    <x v="0"/>
    <x v="36"/>
    <x v="11"/>
    <x v="1"/>
    <x v="18"/>
    <x v="3"/>
    <x v="4"/>
    <x v="35"/>
    <x v="0"/>
    <x v="0"/>
    <x v="8"/>
    <x v="4"/>
    <x v="1"/>
    <x v="11"/>
    <x v="34"/>
    <x v="3"/>
    <x v="22"/>
    <x v="4"/>
    <x v="2"/>
    <x v="7"/>
    <x v="3"/>
    <x v="2"/>
    <x v="3"/>
    <x v="206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6"/>
    <x v="0"/>
    <x v="0"/>
    <x v="36"/>
    <x v="11"/>
    <x v="1"/>
    <x v="18"/>
    <x v="3"/>
    <x v="4"/>
    <x v="35"/>
    <x v="0"/>
    <x v="0"/>
    <x v="8"/>
    <x v="4"/>
    <x v="1"/>
    <x v="11"/>
    <x v="35"/>
    <x v="3"/>
    <x v="22"/>
    <x v="4"/>
    <x v="2"/>
    <x v="7"/>
    <x v="3"/>
    <x v="2"/>
    <x v="3"/>
    <x v="206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79"/>
    <x v="0"/>
    <x v="0"/>
    <x v="36"/>
    <x v="11"/>
    <x v="1"/>
    <x v="18"/>
    <x v="3"/>
    <x v="4"/>
    <x v="35"/>
    <x v="0"/>
    <x v="0"/>
    <x v="8"/>
    <x v="4"/>
    <x v="1"/>
    <x v="11"/>
    <x v="36"/>
    <x v="3"/>
    <x v="22"/>
    <x v="4"/>
    <x v="2"/>
    <x v="7"/>
    <x v="3"/>
    <x v="2"/>
    <x v="3"/>
    <x v="206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80"/>
    <x v="0"/>
    <x v="0"/>
    <x v="36"/>
    <x v="11"/>
    <x v="1"/>
    <x v="18"/>
    <x v="3"/>
    <x v="4"/>
    <x v="35"/>
    <x v="0"/>
    <x v="0"/>
    <x v="8"/>
    <x v="4"/>
    <x v="1"/>
    <x v="11"/>
    <x v="38"/>
    <x v="3"/>
    <x v="22"/>
    <x v="4"/>
    <x v="2"/>
    <x v="7"/>
    <x v="3"/>
    <x v="2"/>
    <x v="3"/>
    <x v="206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81"/>
    <x v="0"/>
    <x v="0"/>
    <x v="36"/>
    <x v="11"/>
    <x v="1"/>
    <x v="18"/>
    <x v="3"/>
    <x v="4"/>
    <x v="35"/>
    <x v="0"/>
    <x v="0"/>
    <x v="8"/>
    <x v="4"/>
    <x v="1"/>
    <x v="11"/>
    <x v="39"/>
    <x v="3"/>
    <x v="22"/>
    <x v="4"/>
    <x v="2"/>
    <x v="7"/>
    <x v="3"/>
    <x v="2"/>
    <x v="3"/>
    <x v="206"/>
    <x v="0"/>
    <x v="0"/>
    <x v="0"/>
    <x v="0"/>
    <x v="2"/>
    <x v="2"/>
    <x v="1"/>
    <x v="2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2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31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33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34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35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36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38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8"/>
    <x v="2460"/>
    <x v="0"/>
    <x v="0"/>
    <x v="36"/>
    <x v="11"/>
    <x v="1"/>
    <x v="18"/>
    <x v="3"/>
    <x v="4"/>
    <x v="35"/>
    <x v="0"/>
    <x v="1"/>
    <x v="8"/>
    <x v="4"/>
    <x v="1"/>
    <x v="11"/>
    <x v="39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30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31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33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34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35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36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38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09"/>
    <x v="2460"/>
    <x v="0"/>
    <x v="0"/>
    <x v="36"/>
    <x v="11"/>
    <x v="1"/>
    <x v="18"/>
    <x v="3"/>
    <x v="4"/>
    <x v="35"/>
    <x v="0"/>
    <x v="2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1"/>
    <x v="0"/>
    <x v="0"/>
    <x v="36"/>
    <x v="11"/>
    <x v="1"/>
    <x v="18"/>
    <x v="3"/>
    <x v="4"/>
    <x v="35"/>
    <x v="0"/>
    <x v="0"/>
    <x v="8"/>
    <x v="4"/>
    <x v="8"/>
    <x v="7"/>
    <x v="40"/>
    <x v="3"/>
    <x v="22"/>
    <x v="4"/>
    <x v="1"/>
    <x v="1"/>
    <x v="2"/>
    <x v="2"/>
    <x v="2"/>
    <x v="0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2"/>
    <x v="0"/>
    <x v="0"/>
    <x v="36"/>
    <x v="11"/>
    <x v="1"/>
    <x v="18"/>
    <x v="3"/>
    <x v="4"/>
    <x v="35"/>
    <x v="0"/>
    <x v="1"/>
    <x v="8"/>
    <x v="4"/>
    <x v="8"/>
    <x v="7"/>
    <x v="40"/>
    <x v="3"/>
    <x v="22"/>
    <x v="4"/>
    <x v="1"/>
    <x v="1"/>
    <x v="2"/>
    <x v="2"/>
    <x v="2"/>
    <x v="1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3"/>
    <x v="0"/>
    <x v="0"/>
    <x v="36"/>
    <x v="11"/>
    <x v="1"/>
    <x v="18"/>
    <x v="3"/>
    <x v="4"/>
    <x v="35"/>
    <x v="0"/>
    <x v="2"/>
    <x v="8"/>
    <x v="4"/>
    <x v="8"/>
    <x v="7"/>
    <x v="40"/>
    <x v="3"/>
    <x v="22"/>
    <x v="4"/>
    <x v="1"/>
    <x v="1"/>
    <x v="2"/>
    <x v="2"/>
    <x v="2"/>
    <x v="2"/>
    <x v="0"/>
    <x v="0"/>
    <x v="0"/>
    <x v="0"/>
    <x v="0"/>
    <x v="0"/>
    <x v="0"/>
    <x v="1"/>
    <x v="0"/>
    <x v="0"/>
    <x v="0"/>
    <x v="0"/>
    <x v="0"/>
    <x v="0"/>
    <x v="0"/>
    <x v="0"/>
  </r>
  <r>
    <x v="119"/>
    <x v="0"/>
    <x v="0"/>
    <x v="1"/>
    <x v="55"/>
    <x v="11"/>
    <x v="1"/>
    <x v="12"/>
    <x v="3"/>
    <x v="4"/>
    <x v="33"/>
    <x v="0"/>
    <x v="6"/>
    <x v="8"/>
    <x v="4"/>
    <x v="3"/>
    <x v="2"/>
    <x v="40"/>
    <x v="3"/>
    <x v="12"/>
    <x v="4"/>
    <x v="0"/>
    <x v="4"/>
    <x v="2"/>
    <x v="2"/>
    <x v="2"/>
    <x v="5"/>
    <x v="0"/>
    <x v="0"/>
    <x v="0"/>
    <x v="0"/>
    <x v="0"/>
    <x v="1"/>
    <x v="0"/>
    <x v="1"/>
    <x v="0"/>
    <x v="0"/>
    <x v="0"/>
    <x v="0"/>
    <x v="0"/>
    <x v="0"/>
    <x v="0"/>
    <x v="0"/>
  </r>
  <r>
    <x v="98"/>
    <x v="1"/>
    <x v="0"/>
    <x v="1"/>
    <x v="55"/>
    <x v="11"/>
    <x v="1"/>
    <x v="13"/>
    <x v="3"/>
    <x v="4"/>
    <x v="33"/>
    <x v="0"/>
    <x v="6"/>
    <x v="8"/>
    <x v="4"/>
    <x v="3"/>
    <x v="2"/>
    <x v="40"/>
    <x v="3"/>
    <x v="12"/>
    <x v="4"/>
    <x v="0"/>
    <x v="4"/>
    <x v="2"/>
    <x v="2"/>
    <x v="2"/>
    <x v="4"/>
    <x v="0"/>
    <x v="0"/>
    <x v="0"/>
    <x v="0"/>
    <x v="0"/>
    <x v="1"/>
    <x v="0"/>
    <x v="1"/>
    <x v="0"/>
    <x v="0"/>
    <x v="0"/>
    <x v="0"/>
    <x v="0"/>
    <x v="0"/>
    <x v="0"/>
    <x v="0"/>
  </r>
  <r>
    <x v="146"/>
    <x v="2"/>
    <x v="0"/>
    <x v="1"/>
    <x v="55"/>
    <x v="11"/>
    <x v="1"/>
    <x v="17"/>
    <x v="3"/>
    <x v="4"/>
    <x v="32"/>
    <x v="0"/>
    <x v="6"/>
    <x v="8"/>
    <x v="4"/>
    <x v="3"/>
    <x v="2"/>
    <x v="40"/>
    <x v="3"/>
    <x v="12"/>
    <x v="4"/>
    <x v="0"/>
    <x v="4"/>
    <x v="2"/>
    <x v="2"/>
    <x v="2"/>
    <x v="7"/>
    <x v="0"/>
    <x v="0"/>
    <x v="0"/>
    <x v="0"/>
    <x v="0"/>
    <x v="1"/>
    <x v="0"/>
    <x v="1"/>
    <x v="0"/>
    <x v="0"/>
    <x v="0"/>
    <x v="0"/>
    <x v="0"/>
    <x v="0"/>
    <x v="0"/>
    <x v="0"/>
  </r>
  <r>
    <x v="114"/>
    <x v="4"/>
    <x v="0"/>
    <x v="1"/>
    <x v="89"/>
    <x v="11"/>
    <x v="1"/>
    <x v="10"/>
    <x v="3"/>
    <x v="4"/>
    <x v="33"/>
    <x v="0"/>
    <x v="6"/>
    <x v="8"/>
    <x v="4"/>
    <x v="3"/>
    <x v="2"/>
    <x v="40"/>
    <x v="3"/>
    <x v="12"/>
    <x v="4"/>
    <x v="0"/>
    <x v="4"/>
    <x v="2"/>
    <x v="2"/>
    <x v="2"/>
    <x v="9"/>
    <x v="0"/>
    <x v="0"/>
    <x v="0"/>
    <x v="0"/>
    <x v="0"/>
    <x v="1"/>
    <x v="0"/>
    <x v="1"/>
    <x v="0"/>
    <x v="0"/>
    <x v="0"/>
    <x v="0"/>
    <x v="0"/>
    <x v="0"/>
    <x v="0"/>
    <x v="0"/>
  </r>
  <r>
    <x v="153"/>
    <x v="5"/>
    <x v="0"/>
    <x v="1"/>
    <x v="89"/>
    <x v="11"/>
    <x v="1"/>
    <x v="11"/>
    <x v="3"/>
    <x v="4"/>
    <x v="33"/>
    <x v="0"/>
    <x v="6"/>
    <x v="8"/>
    <x v="4"/>
    <x v="3"/>
    <x v="2"/>
    <x v="40"/>
    <x v="3"/>
    <x v="12"/>
    <x v="4"/>
    <x v="0"/>
    <x v="4"/>
    <x v="2"/>
    <x v="2"/>
    <x v="2"/>
    <x v="8"/>
    <x v="0"/>
    <x v="0"/>
    <x v="0"/>
    <x v="0"/>
    <x v="0"/>
    <x v="1"/>
    <x v="0"/>
    <x v="1"/>
    <x v="0"/>
    <x v="0"/>
    <x v="0"/>
    <x v="0"/>
    <x v="0"/>
    <x v="0"/>
    <x v="0"/>
    <x v="0"/>
  </r>
  <r>
    <x v="5"/>
    <x v="7"/>
    <x v="0"/>
    <x v="1"/>
    <x v="89"/>
    <x v="11"/>
    <x v="1"/>
    <x v="14"/>
    <x v="3"/>
    <x v="4"/>
    <x v="29"/>
    <x v="0"/>
    <x v="6"/>
    <x v="8"/>
    <x v="4"/>
    <x v="3"/>
    <x v="2"/>
    <x v="40"/>
    <x v="3"/>
    <x v="12"/>
    <x v="4"/>
    <x v="0"/>
    <x v="4"/>
    <x v="2"/>
    <x v="2"/>
    <x v="2"/>
    <x v="10"/>
    <x v="0"/>
    <x v="0"/>
    <x v="0"/>
    <x v="0"/>
    <x v="0"/>
    <x v="1"/>
    <x v="0"/>
    <x v="1"/>
    <x v="0"/>
    <x v="0"/>
    <x v="0"/>
    <x v="0"/>
    <x v="0"/>
    <x v="0"/>
    <x v="0"/>
    <x v="0"/>
  </r>
  <r>
    <x v="21"/>
    <x v="3"/>
    <x v="0"/>
    <x v="1"/>
    <x v="55"/>
    <x v="11"/>
    <x v="1"/>
    <x v="15"/>
    <x v="3"/>
    <x v="4"/>
    <x v="31"/>
    <x v="0"/>
    <x v="6"/>
    <x v="8"/>
    <x v="4"/>
    <x v="3"/>
    <x v="2"/>
    <x v="40"/>
    <x v="3"/>
    <x v="12"/>
    <x v="4"/>
    <x v="0"/>
    <x v="4"/>
    <x v="2"/>
    <x v="2"/>
    <x v="2"/>
    <x v="6"/>
    <x v="0"/>
    <x v="0"/>
    <x v="0"/>
    <x v="0"/>
    <x v="0"/>
    <x v="1"/>
    <x v="0"/>
    <x v="1"/>
    <x v="0"/>
    <x v="0"/>
    <x v="0"/>
    <x v="0"/>
    <x v="0"/>
    <x v="0"/>
    <x v="0"/>
    <x v="0"/>
  </r>
  <r>
    <x v="20"/>
    <x v="6"/>
    <x v="0"/>
    <x v="1"/>
    <x v="89"/>
    <x v="11"/>
    <x v="1"/>
    <x v="16"/>
    <x v="3"/>
    <x v="4"/>
    <x v="32"/>
    <x v="0"/>
    <x v="6"/>
    <x v="8"/>
    <x v="4"/>
    <x v="3"/>
    <x v="2"/>
    <x v="40"/>
    <x v="3"/>
    <x v="12"/>
    <x v="4"/>
    <x v="0"/>
    <x v="4"/>
    <x v="2"/>
    <x v="2"/>
    <x v="2"/>
    <x v="11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339"/>
    <x v="0"/>
    <x v="1"/>
    <x v="85"/>
    <x v="11"/>
    <x v="1"/>
    <x v="0"/>
    <x v="3"/>
    <x v="4"/>
    <x v="35"/>
    <x v="0"/>
    <x v="6"/>
    <x v="7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3"/>
    <x v="0"/>
    <x v="1"/>
    <x v="85"/>
    <x v="11"/>
    <x v="1"/>
    <x v="0"/>
    <x v="3"/>
    <x v="4"/>
    <x v="35"/>
    <x v="0"/>
    <x v="6"/>
    <x v="7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4"/>
    <x v="0"/>
    <x v="1"/>
    <x v="85"/>
    <x v="11"/>
    <x v="1"/>
    <x v="0"/>
    <x v="3"/>
    <x v="4"/>
    <x v="35"/>
    <x v="0"/>
    <x v="6"/>
    <x v="7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5"/>
    <x v="0"/>
    <x v="1"/>
    <x v="85"/>
    <x v="11"/>
    <x v="1"/>
    <x v="0"/>
    <x v="3"/>
    <x v="4"/>
    <x v="35"/>
    <x v="0"/>
    <x v="6"/>
    <x v="7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6"/>
    <x v="0"/>
    <x v="1"/>
    <x v="85"/>
    <x v="11"/>
    <x v="1"/>
    <x v="0"/>
    <x v="3"/>
    <x v="4"/>
    <x v="35"/>
    <x v="0"/>
    <x v="6"/>
    <x v="7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7"/>
    <x v="0"/>
    <x v="1"/>
    <x v="85"/>
    <x v="11"/>
    <x v="1"/>
    <x v="0"/>
    <x v="3"/>
    <x v="4"/>
    <x v="35"/>
    <x v="0"/>
    <x v="6"/>
    <x v="7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8"/>
    <x v="0"/>
    <x v="1"/>
    <x v="85"/>
    <x v="11"/>
    <x v="1"/>
    <x v="0"/>
    <x v="3"/>
    <x v="4"/>
    <x v="35"/>
    <x v="0"/>
    <x v="6"/>
    <x v="7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9"/>
    <x v="0"/>
    <x v="1"/>
    <x v="85"/>
    <x v="11"/>
    <x v="1"/>
    <x v="0"/>
    <x v="3"/>
    <x v="4"/>
    <x v="35"/>
    <x v="0"/>
    <x v="6"/>
    <x v="7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0"/>
    <x v="0"/>
    <x v="1"/>
    <x v="85"/>
    <x v="11"/>
    <x v="1"/>
    <x v="0"/>
    <x v="3"/>
    <x v="4"/>
    <x v="35"/>
    <x v="0"/>
    <x v="6"/>
    <x v="7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1"/>
    <x v="0"/>
    <x v="1"/>
    <x v="85"/>
    <x v="11"/>
    <x v="1"/>
    <x v="0"/>
    <x v="3"/>
    <x v="4"/>
    <x v="35"/>
    <x v="0"/>
    <x v="6"/>
    <x v="7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2"/>
    <x v="0"/>
    <x v="1"/>
    <x v="85"/>
    <x v="11"/>
    <x v="1"/>
    <x v="0"/>
    <x v="3"/>
    <x v="4"/>
    <x v="35"/>
    <x v="0"/>
    <x v="6"/>
    <x v="7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3"/>
    <x v="0"/>
    <x v="1"/>
    <x v="85"/>
    <x v="11"/>
    <x v="1"/>
    <x v="0"/>
    <x v="3"/>
    <x v="4"/>
    <x v="35"/>
    <x v="0"/>
    <x v="6"/>
    <x v="7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4"/>
    <x v="0"/>
    <x v="1"/>
    <x v="85"/>
    <x v="11"/>
    <x v="1"/>
    <x v="0"/>
    <x v="3"/>
    <x v="4"/>
    <x v="35"/>
    <x v="0"/>
    <x v="6"/>
    <x v="7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5"/>
    <x v="0"/>
    <x v="1"/>
    <x v="85"/>
    <x v="11"/>
    <x v="1"/>
    <x v="0"/>
    <x v="3"/>
    <x v="4"/>
    <x v="35"/>
    <x v="0"/>
    <x v="6"/>
    <x v="7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6"/>
    <x v="0"/>
    <x v="1"/>
    <x v="85"/>
    <x v="11"/>
    <x v="1"/>
    <x v="0"/>
    <x v="3"/>
    <x v="4"/>
    <x v="35"/>
    <x v="0"/>
    <x v="6"/>
    <x v="7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7"/>
    <x v="0"/>
    <x v="1"/>
    <x v="85"/>
    <x v="11"/>
    <x v="1"/>
    <x v="0"/>
    <x v="3"/>
    <x v="4"/>
    <x v="35"/>
    <x v="0"/>
    <x v="6"/>
    <x v="7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8"/>
    <x v="0"/>
    <x v="1"/>
    <x v="85"/>
    <x v="11"/>
    <x v="1"/>
    <x v="0"/>
    <x v="3"/>
    <x v="4"/>
    <x v="35"/>
    <x v="0"/>
    <x v="6"/>
    <x v="7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59"/>
    <x v="0"/>
    <x v="1"/>
    <x v="85"/>
    <x v="11"/>
    <x v="1"/>
    <x v="0"/>
    <x v="3"/>
    <x v="4"/>
    <x v="35"/>
    <x v="0"/>
    <x v="6"/>
    <x v="7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0"/>
    <x v="0"/>
    <x v="1"/>
    <x v="85"/>
    <x v="11"/>
    <x v="1"/>
    <x v="0"/>
    <x v="3"/>
    <x v="4"/>
    <x v="35"/>
    <x v="0"/>
    <x v="6"/>
    <x v="7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1"/>
    <x v="0"/>
    <x v="1"/>
    <x v="85"/>
    <x v="11"/>
    <x v="1"/>
    <x v="0"/>
    <x v="3"/>
    <x v="4"/>
    <x v="35"/>
    <x v="0"/>
    <x v="6"/>
    <x v="7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2"/>
    <x v="0"/>
    <x v="1"/>
    <x v="85"/>
    <x v="11"/>
    <x v="1"/>
    <x v="0"/>
    <x v="3"/>
    <x v="4"/>
    <x v="35"/>
    <x v="0"/>
    <x v="6"/>
    <x v="7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3"/>
    <x v="0"/>
    <x v="1"/>
    <x v="85"/>
    <x v="11"/>
    <x v="1"/>
    <x v="0"/>
    <x v="3"/>
    <x v="4"/>
    <x v="35"/>
    <x v="0"/>
    <x v="6"/>
    <x v="7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4"/>
    <x v="0"/>
    <x v="1"/>
    <x v="85"/>
    <x v="11"/>
    <x v="1"/>
    <x v="0"/>
    <x v="3"/>
    <x v="4"/>
    <x v="35"/>
    <x v="0"/>
    <x v="6"/>
    <x v="7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5"/>
    <x v="0"/>
    <x v="1"/>
    <x v="85"/>
    <x v="11"/>
    <x v="1"/>
    <x v="0"/>
    <x v="3"/>
    <x v="4"/>
    <x v="35"/>
    <x v="0"/>
    <x v="6"/>
    <x v="7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6"/>
    <x v="0"/>
    <x v="1"/>
    <x v="85"/>
    <x v="11"/>
    <x v="1"/>
    <x v="0"/>
    <x v="3"/>
    <x v="4"/>
    <x v="35"/>
    <x v="0"/>
    <x v="6"/>
    <x v="7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7"/>
    <x v="0"/>
    <x v="1"/>
    <x v="85"/>
    <x v="11"/>
    <x v="1"/>
    <x v="0"/>
    <x v="3"/>
    <x v="4"/>
    <x v="35"/>
    <x v="0"/>
    <x v="6"/>
    <x v="7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0"/>
    <x v="0"/>
    <x v="1"/>
    <x v="85"/>
    <x v="11"/>
    <x v="1"/>
    <x v="0"/>
    <x v="3"/>
    <x v="4"/>
    <x v="35"/>
    <x v="0"/>
    <x v="6"/>
    <x v="7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1"/>
    <x v="0"/>
    <x v="1"/>
    <x v="85"/>
    <x v="11"/>
    <x v="1"/>
    <x v="0"/>
    <x v="3"/>
    <x v="4"/>
    <x v="35"/>
    <x v="0"/>
    <x v="6"/>
    <x v="7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42"/>
    <x v="0"/>
    <x v="1"/>
    <x v="85"/>
    <x v="11"/>
    <x v="1"/>
    <x v="0"/>
    <x v="3"/>
    <x v="4"/>
    <x v="35"/>
    <x v="0"/>
    <x v="6"/>
    <x v="7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"/>
    <x v="0"/>
    <x v="1"/>
    <x v="55"/>
    <x v="11"/>
    <x v="1"/>
    <x v="12"/>
    <x v="3"/>
    <x v="4"/>
    <x v="33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8"/>
    <x v="0"/>
    <x v="1"/>
    <x v="55"/>
    <x v="11"/>
    <x v="1"/>
    <x v="12"/>
    <x v="3"/>
    <x v="4"/>
    <x v="33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"/>
    <x v="0"/>
    <x v="1"/>
    <x v="55"/>
    <x v="11"/>
    <x v="1"/>
    <x v="12"/>
    <x v="3"/>
    <x v="4"/>
    <x v="33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"/>
    <x v="0"/>
    <x v="1"/>
    <x v="55"/>
    <x v="11"/>
    <x v="1"/>
    <x v="12"/>
    <x v="3"/>
    <x v="4"/>
    <x v="33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"/>
    <x v="0"/>
    <x v="1"/>
    <x v="55"/>
    <x v="11"/>
    <x v="1"/>
    <x v="12"/>
    <x v="3"/>
    <x v="4"/>
    <x v="33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"/>
    <x v="0"/>
    <x v="1"/>
    <x v="55"/>
    <x v="11"/>
    <x v="1"/>
    <x v="12"/>
    <x v="3"/>
    <x v="4"/>
    <x v="33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"/>
    <x v="0"/>
    <x v="1"/>
    <x v="55"/>
    <x v="11"/>
    <x v="1"/>
    <x v="12"/>
    <x v="3"/>
    <x v="4"/>
    <x v="33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"/>
    <x v="0"/>
    <x v="1"/>
    <x v="55"/>
    <x v="11"/>
    <x v="1"/>
    <x v="12"/>
    <x v="3"/>
    <x v="4"/>
    <x v="33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"/>
    <x v="0"/>
    <x v="1"/>
    <x v="55"/>
    <x v="11"/>
    <x v="1"/>
    <x v="12"/>
    <x v="3"/>
    <x v="4"/>
    <x v="33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"/>
    <x v="0"/>
    <x v="1"/>
    <x v="55"/>
    <x v="11"/>
    <x v="1"/>
    <x v="12"/>
    <x v="3"/>
    <x v="4"/>
    <x v="33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"/>
    <x v="0"/>
    <x v="1"/>
    <x v="55"/>
    <x v="11"/>
    <x v="1"/>
    <x v="12"/>
    <x v="3"/>
    <x v="4"/>
    <x v="33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"/>
    <x v="0"/>
    <x v="1"/>
    <x v="55"/>
    <x v="11"/>
    <x v="1"/>
    <x v="12"/>
    <x v="3"/>
    <x v="4"/>
    <x v="33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"/>
    <x v="0"/>
    <x v="1"/>
    <x v="55"/>
    <x v="11"/>
    <x v="1"/>
    <x v="12"/>
    <x v="3"/>
    <x v="4"/>
    <x v="33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"/>
    <x v="0"/>
    <x v="1"/>
    <x v="55"/>
    <x v="11"/>
    <x v="1"/>
    <x v="12"/>
    <x v="3"/>
    <x v="4"/>
    <x v="33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"/>
    <x v="0"/>
    <x v="1"/>
    <x v="55"/>
    <x v="11"/>
    <x v="1"/>
    <x v="12"/>
    <x v="3"/>
    <x v="4"/>
    <x v="33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"/>
    <x v="0"/>
    <x v="1"/>
    <x v="55"/>
    <x v="11"/>
    <x v="1"/>
    <x v="12"/>
    <x v="3"/>
    <x v="4"/>
    <x v="33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"/>
    <x v="0"/>
    <x v="1"/>
    <x v="55"/>
    <x v="11"/>
    <x v="1"/>
    <x v="12"/>
    <x v="3"/>
    <x v="4"/>
    <x v="33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"/>
    <x v="0"/>
    <x v="1"/>
    <x v="55"/>
    <x v="11"/>
    <x v="1"/>
    <x v="12"/>
    <x v="3"/>
    <x v="4"/>
    <x v="33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"/>
    <x v="0"/>
    <x v="1"/>
    <x v="55"/>
    <x v="11"/>
    <x v="1"/>
    <x v="12"/>
    <x v="3"/>
    <x v="4"/>
    <x v="33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"/>
    <x v="0"/>
    <x v="1"/>
    <x v="55"/>
    <x v="11"/>
    <x v="1"/>
    <x v="12"/>
    <x v="3"/>
    <x v="4"/>
    <x v="33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"/>
    <x v="0"/>
    <x v="1"/>
    <x v="55"/>
    <x v="11"/>
    <x v="1"/>
    <x v="12"/>
    <x v="3"/>
    <x v="4"/>
    <x v="33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"/>
    <x v="0"/>
    <x v="1"/>
    <x v="55"/>
    <x v="11"/>
    <x v="1"/>
    <x v="12"/>
    <x v="3"/>
    <x v="4"/>
    <x v="33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"/>
    <x v="0"/>
    <x v="1"/>
    <x v="55"/>
    <x v="11"/>
    <x v="1"/>
    <x v="12"/>
    <x v="3"/>
    <x v="4"/>
    <x v="33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"/>
    <x v="0"/>
    <x v="1"/>
    <x v="55"/>
    <x v="11"/>
    <x v="1"/>
    <x v="12"/>
    <x v="3"/>
    <x v="4"/>
    <x v="33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"/>
    <x v="0"/>
    <x v="1"/>
    <x v="55"/>
    <x v="11"/>
    <x v="1"/>
    <x v="12"/>
    <x v="3"/>
    <x v="4"/>
    <x v="33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"/>
    <x v="0"/>
    <x v="1"/>
    <x v="55"/>
    <x v="11"/>
    <x v="1"/>
    <x v="12"/>
    <x v="3"/>
    <x v="4"/>
    <x v="33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"/>
    <x v="0"/>
    <x v="1"/>
    <x v="55"/>
    <x v="11"/>
    <x v="1"/>
    <x v="12"/>
    <x v="3"/>
    <x v="4"/>
    <x v="33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"/>
    <x v="0"/>
    <x v="1"/>
    <x v="55"/>
    <x v="11"/>
    <x v="1"/>
    <x v="12"/>
    <x v="3"/>
    <x v="4"/>
    <x v="33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"/>
    <x v="0"/>
    <x v="1"/>
    <x v="55"/>
    <x v="11"/>
    <x v="1"/>
    <x v="12"/>
    <x v="3"/>
    <x v="4"/>
    <x v="33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"/>
    <x v="0"/>
    <x v="1"/>
    <x v="55"/>
    <x v="11"/>
    <x v="1"/>
    <x v="13"/>
    <x v="3"/>
    <x v="4"/>
    <x v="33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"/>
    <x v="0"/>
    <x v="1"/>
    <x v="55"/>
    <x v="11"/>
    <x v="1"/>
    <x v="13"/>
    <x v="3"/>
    <x v="4"/>
    <x v="33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"/>
    <x v="0"/>
    <x v="1"/>
    <x v="55"/>
    <x v="11"/>
    <x v="1"/>
    <x v="13"/>
    <x v="3"/>
    <x v="4"/>
    <x v="33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"/>
    <x v="0"/>
    <x v="1"/>
    <x v="55"/>
    <x v="11"/>
    <x v="1"/>
    <x v="13"/>
    <x v="3"/>
    <x v="4"/>
    <x v="33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"/>
    <x v="0"/>
    <x v="1"/>
    <x v="55"/>
    <x v="11"/>
    <x v="1"/>
    <x v="13"/>
    <x v="3"/>
    <x v="4"/>
    <x v="33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"/>
    <x v="0"/>
    <x v="1"/>
    <x v="55"/>
    <x v="11"/>
    <x v="1"/>
    <x v="13"/>
    <x v="3"/>
    <x v="4"/>
    <x v="33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"/>
    <x v="0"/>
    <x v="1"/>
    <x v="55"/>
    <x v="11"/>
    <x v="1"/>
    <x v="13"/>
    <x v="3"/>
    <x v="4"/>
    <x v="33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"/>
    <x v="0"/>
    <x v="1"/>
    <x v="55"/>
    <x v="11"/>
    <x v="1"/>
    <x v="13"/>
    <x v="3"/>
    <x v="4"/>
    <x v="33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"/>
    <x v="0"/>
    <x v="1"/>
    <x v="55"/>
    <x v="11"/>
    <x v="1"/>
    <x v="13"/>
    <x v="3"/>
    <x v="4"/>
    <x v="33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"/>
    <x v="0"/>
    <x v="1"/>
    <x v="55"/>
    <x v="11"/>
    <x v="1"/>
    <x v="13"/>
    <x v="3"/>
    <x v="4"/>
    <x v="33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"/>
    <x v="0"/>
    <x v="1"/>
    <x v="55"/>
    <x v="11"/>
    <x v="1"/>
    <x v="13"/>
    <x v="3"/>
    <x v="4"/>
    <x v="33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"/>
    <x v="0"/>
    <x v="1"/>
    <x v="55"/>
    <x v="11"/>
    <x v="1"/>
    <x v="13"/>
    <x v="3"/>
    <x v="4"/>
    <x v="33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"/>
    <x v="0"/>
    <x v="1"/>
    <x v="55"/>
    <x v="11"/>
    <x v="1"/>
    <x v="13"/>
    <x v="3"/>
    <x v="4"/>
    <x v="33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"/>
    <x v="0"/>
    <x v="1"/>
    <x v="55"/>
    <x v="11"/>
    <x v="1"/>
    <x v="13"/>
    <x v="3"/>
    <x v="4"/>
    <x v="33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"/>
    <x v="0"/>
    <x v="1"/>
    <x v="55"/>
    <x v="11"/>
    <x v="1"/>
    <x v="13"/>
    <x v="3"/>
    <x v="4"/>
    <x v="33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"/>
    <x v="0"/>
    <x v="1"/>
    <x v="55"/>
    <x v="11"/>
    <x v="1"/>
    <x v="13"/>
    <x v="3"/>
    <x v="4"/>
    <x v="33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"/>
    <x v="0"/>
    <x v="1"/>
    <x v="55"/>
    <x v="11"/>
    <x v="1"/>
    <x v="13"/>
    <x v="3"/>
    <x v="4"/>
    <x v="33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"/>
    <x v="0"/>
    <x v="1"/>
    <x v="55"/>
    <x v="11"/>
    <x v="1"/>
    <x v="13"/>
    <x v="3"/>
    <x v="4"/>
    <x v="33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"/>
    <x v="0"/>
    <x v="1"/>
    <x v="55"/>
    <x v="11"/>
    <x v="1"/>
    <x v="13"/>
    <x v="3"/>
    <x v="4"/>
    <x v="33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"/>
    <x v="0"/>
    <x v="1"/>
    <x v="55"/>
    <x v="11"/>
    <x v="1"/>
    <x v="13"/>
    <x v="3"/>
    <x v="4"/>
    <x v="33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"/>
    <x v="0"/>
    <x v="1"/>
    <x v="55"/>
    <x v="11"/>
    <x v="1"/>
    <x v="13"/>
    <x v="3"/>
    <x v="4"/>
    <x v="33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"/>
    <x v="0"/>
    <x v="1"/>
    <x v="55"/>
    <x v="11"/>
    <x v="1"/>
    <x v="13"/>
    <x v="3"/>
    <x v="4"/>
    <x v="33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"/>
    <x v="0"/>
    <x v="1"/>
    <x v="55"/>
    <x v="11"/>
    <x v="1"/>
    <x v="13"/>
    <x v="3"/>
    <x v="4"/>
    <x v="33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"/>
    <x v="0"/>
    <x v="1"/>
    <x v="55"/>
    <x v="11"/>
    <x v="1"/>
    <x v="13"/>
    <x v="3"/>
    <x v="4"/>
    <x v="33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"/>
    <x v="0"/>
    <x v="1"/>
    <x v="55"/>
    <x v="11"/>
    <x v="1"/>
    <x v="13"/>
    <x v="3"/>
    <x v="4"/>
    <x v="33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"/>
    <x v="0"/>
    <x v="1"/>
    <x v="55"/>
    <x v="11"/>
    <x v="1"/>
    <x v="13"/>
    <x v="3"/>
    <x v="4"/>
    <x v="33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"/>
    <x v="0"/>
    <x v="1"/>
    <x v="55"/>
    <x v="11"/>
    <x v="1"/>
    <x v="13"/>
    <x v="3"/>
    <x v="4"/>
    <x v="33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"/>
    <x v="0"/>
    <x v="1"/>
    <x v="55"/>
    <x v="11"/>
    <x v="1"/>
    <x v="13"/>
    <x v="3"/>
    <x v="4"/>
    <x v="33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"/>
    <x v="0"/>
    <x v="1"/>
    <x v="55"/>
    <x v="11"/>
    <x v="1"/>
    <x v="13"/>
    <x v="3"/>
    <x v="4"/>
    <x v="33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"/>
    <x v="0"/>
    <x v="1"/>
    <x v="55"/>
    <x v="11"/>
    <x v="1"/>
    <x v="17"/>
    <x v="3"/>
    <x v="4"/>
    <x v="32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"/>
    <x v="0"/>
    <x v="1"/>
    <x v="55"/>
    <x v="11"/>
    <x v="1"/>
    <x v="17"/>
    <x v="3"/>
    <x v="4"/>
    <x v="32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"/>
    <x v="0"/>
    <x v="1"/>
    <x v="55"/>
    <x v="11"/>
    <x v="1"/>
    <x v="17"/>
    <x v="3"/>
    <x v="4"/>
    <x v="32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"/>
    <x v="0"/>
    <x v="1"/>
    <x v="55"/>
    <x v="11"/>
    <x v="1"/>
    <x v="17"/>
    <x v="3"/>
    <x v="4"/>
    <x v="32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"/>
    <x v="0"/>
    <x v="1"/>
    <x v="55"/>
    <x v="11"/>
    <x v="1"/>
    <x v="17"/>
    <x v="3"/>
    <x v="4"/>
    <x v="32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"/>
    <x v="0"/>
    <x v="1"/>
    <x v="55"/>
    <x v="11"/>
    <x v="1"/>
    <x v="17"/>
    <x v="3"/>
    <x v="4"/>
    <x v="32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"/>
    <x v="0"/>
    <x v="1"/>
    <x v="55"/>
    <x v="11"/>
    <x v="1"/>
    <x v="17"/>
    <x v="3"/>
    <x v="4"/>
    <x v="32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"/>
    <x v="0"/>
    <x v="1"/>
    <x v="55"/>
    <x v="11"/>
    <x v="1"/>
    <x v="17"/>
    <x v="3"/>
    <x v="4"/>
    <x v="32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"/>
    <x v="0"/>
    <x v="1"/>
    <x v="55"/>
    <x v="11"/>
    <x v="1"/>
    <x v="17"/>
    <x v="3"/>
    <x v="4"/>
    <x v="32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"/>
    <x v="0"/>
    <x v="1"/>
    <x v="55"/>
    <x v="11"/>
    <x v="1"/>
    <x v="17"/>
    <x v="3"/>
    <x v="4"/>
    <x v="32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"/>
    <x v="0"/>
    <x v="1"/>
    <x v="55"/>
    <x v="11"/>
    <x v="1"/>
    <x v="17"/>
    <x v="3"/>
    <x v="4"/>
    <x v="32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"/>
    <x v="0"/>
    <x v="1"/>
    <x v="55"/>
    <x v="11"/>
    <x v="1"/>
    <x v="17"/>
    <x v="3"/>
    <x v="4"/>
    <x v="32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"/>
    <x v="0"/>
    <x v="1"/>
    <x v="55"/>
    <x v="11"/>
    <x v="1"/>
    <x v="17"/>
    <x v="3"/>
    <x v="4"/>
    <x v="32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"/>
    <x v="0"/>
    <x v="1"/>
    <x v="55"/>
    <x v="11"/>
    <x v="1"/>
    <x v="17"/>
    <x v="3"/>
    <x v="4"/>
    <x v="32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"/>
    <x v="0"/>
    <x v="1"/>
    <x v="55"/>
    <x v="11"/>
    <x v="1"/>
    <x v="17"/>
    <x v="3"/>
    <x v="4"/>
    <x v="32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"/>
    <x v="0"/>
    <x v="1"/>
    <x v="55"/>
    <x v="11"/>
    <x v="1"/>
    <x v="17"/>
    <x v="3"/>
    <x v="4"/>
    <x v="32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"/>
    <x v="0"/>
    <x v="1"/>
    <x v="55"/>
    <x v="11"/>
    <x v="1"/>
    <x v="17"/>
    <x v="3"/>
    <x v="4"/>
    <x v="32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"/>
    <x v="0"/>
    <x v="1"/>
    <x v="55"/>
    <x v="11"/>
    <x v="1"/>
    <x v="17"/>
    <x v="3"/>
    <x v="4"/>
    <x v="32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"/>
    <x v="0"/>
    <x v="1"/>
    <x v="55"/>
    <x v="11"/>
    <x v="1"/>
    <x v="17"/>
    <x v="3"/>
    <x v="4"/>
    <x v="32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"/>
    <x v="0"/>
    <x v="1"/>
    <x v="55"/>
    <x v="11"/>
    <x v="1"/>
    <x v="17"/>
    <x v="3"/>
    <x v="4"/>
    <x v="32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"/>
    <x v="0"/>
    <x v="1"/>
    <x v="55"/>
    <x v="11"/>
    <x v="1"/>
    <x v="17"/>
    <x v="3"/>
    <x v="4"/>
    <x v="32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"/>
    <x v="0"/>
    <x v="1"/>
    <x v="55"/>
    <x v="11"/>
    <x v="1"/>
    <x v="17"/>
    <x v="3"/>
    <x v="4"/>
    <x v="32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"/>
    <x v="0"/>
    <x v="1"/>
    <x v="55"/>
    <x v="11"/>
    <x v="1"/>
    <x v="17"/>
    <x v="3"/>
    <x v="4"/>
    <x v="32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"/>
    <x v="0"/>
    <x v="1"/>
    <x v="55"/>
    <x v="11"/>
    <x v="1"/>
    <x v="17"/>
    <x v="3"/>
    <x v="4"/>
    <x v="32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"/>
    <x v="0"/>
    <x v="1"/>
    <x v="55"/>
    <x v="11"/>
    <x v="1"/>
    <x v="17"/>
    <x v="3"/>
    <x v="4"/>
    <x v="32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"/>
    <x v="0"/>
    <x v="1"/>
    <x v="55"/>
    <x v="11"/>
    <x v="1"/>
    <x v="17"/>
    <x v="3"/>
    <x v="4"/>
    <x v="32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"/>
    <x v="0"/>
    <x v="1"/>
    <x v="55"/>
    <x v="11"/>
    <x v="1"/>
    <x v="17"/>
    <x v="3"/>
    <x v="4"/>
    <x v="32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"/>
    <x v="0"/>
    <x v="1"/>
    <x v="55"/>
    <x v="11"/>
    <x v="1"/>
    <x v="17"/>
    <x v="3"/>
    <x v="4"/>
    <x v="32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"/>
    <x v="0"/>
    <x v="1"/>
    <x v="55"/>
    <x v="11"/>
    <x v="1"/>
    <x v="17"/>
    <x v="3"/>
    <x v="4"/>
    <x v="32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"/>
    <x v="0"/>
    <x v="1"/>
    <x v="89"/>
    <x v="11"/>
    <x v="1"/>
    <x v="10"/>
    <x v="3"/>
    <x v="4"/>
    <x v="33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"/>
    <x v="0"/>
    <x v="1"/>
    <x v="89"/>
    <x v="11"/>
    <x v="1"/>
    <x v="10"/>
    <x v="3"/>
    <x v="4"/>
    <x v="33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"/>
    <x v="0"/>
    <x v="1"/>
    <x v="89"/>
    <x v="11"/>
    <x v="1"/>
    <x v="10"/>
    <x v="3"/>
    <x v="4"/>
    <x v="33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"/>
    <x v="0"/>
    <x v="1"/>
    <x v="89"/>
    <x v="11"/>
    <x v="1"/>
    <x v="10"/>
    <x v="3"/>
    <x v="4"/>
    <x v="33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"/>
    <x v="0"/>
    <x v="1"/>
    <x v="89"/>
    <x v="11"/>
    <x v="1"/>
    <x v="10"/>
    <x v="3"/>
    <x v="4"/>
    <x v="33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"/>
    <x v="0"/>
    <x v="1"/>
    <x v="89"/>
    <x v="11"/>
    <x v="1"/>
    <x v="10"/>
    <x v="3"/>
    <x v="4"/>
    <x v="33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"/>
    <x v="0"/>
    <x v="1"/>
    <x v="89"/>
    <x v="11"/>
    <x v="1"/>
    <x v="10"/>
    <x v="3"/>
    <x v="4"/>
    <x v="33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5"/>
    <x v="0"/>
    <x v="1"/>
    <x v="89"/>
    <x v="11"/>
    <x v="1"/>
    <x v="10"/>
    <x v="3"/>
    <x v="4"/>
    <x v="33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6"/>
    <x v="0"/>
    <x v="1"/>
    <x v="89"/>
    <x v="11"/>
    <x v="1"/>
    <x v="10"/>
    <x v="3"/>
    <x v="4"/>
    <x v="33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7"/>
    <x v="0"/>
    <x v="1"/>
    <x v="89"/>
    <x v="11"/>
    <x v="1"/>
    <x v="10"/>
    <x v="3"/>
    <x v="4"/>
    <x v="33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8"/>
    <x v="0"/>
    <x v="1"/>
    <x v="89"/>
    <x v="11"/>
    <x v="1"/>
    <x v="10"/>
    <x v="3"/>
    <x v="4"/>
    <x v="33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9"/>
    <x v="0"/>
    <x v="1"/>
    <x v="89"/>
    <x v="11"/>
    <x v="1"/>
    <x v="10"/>
    <x v="3"/>
    <x v="4"/>
    <x v="33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0"/>
    <x v="0"/>
    <x v="1"/>
    <x v="89"/>
    <x v="11"/>
    <x v="1"/>
    <x v="10"/>
    <x v="3"/>
    <x v="4"/>
    <x v="33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1"/>
    <x v="0"/>
    <x v="1"/>
    <x v="89"/>
    <x v="11"/>
    <x v="1"/>
    <x v="10"/>
    <x v="3"/>
    <x v="4"/>
    <x v="33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2"/>
    <x v="0"/>
    <x v="1"/>
    <x v="89"/>
    <x v="11"/>
    <x v="1"/>
    <x v="10"/>
    <x v="3"/>
    <x v="4"/>
    <x v="33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3"/>
    <x v="0"/>
    <x v="1"/>
    <x v="89"/>
    <x v="11"/>
    <x v="1"/>
    <x v="10"/>
    <x v="3"/>
    <x v="4"/>
    <x v="33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4"/>
    <x v="0"/>
    <x v="1"/>
    <x v="89"/>
    <x v="11"/>
    <x v="1"/>
    <x v="10"/>
    <x v="3"/>
    <x v="4"/>
    <x v="33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5"/>
    <x v="0"/>
    <x v="1"/>
    <x v="89"/>
    <x v="11"/>
    <x v="1"/>
    <x v="10"/>
    <x v="3"/>
    <x v="4"/>
    <x v="33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6"/>
    <x v="0"/>
    <x v="1"/>
    <x v="89"/>
    <x v="11"/>
    <x v="1"/>
    <x v="10"/>
    <x v="3"/>
    <x v="4"/>
    <x v="33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7"/>
    <x v="0"/>
    <x v="1"/>
    <x v="89"/>
    <x v="11"/>
    <x v="1"/>
    <x v="10"/>
    <x v="3"/>
    <x v="4"/>
    <x v="33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8"/>
    <x v="0"/>
    <x v="1"/>
    <x v="89"/>
    <x v="11"/>
    <x v="1"/>
    <x v="10"/>
    <x v="3"/>
    <x v="4"/>
    <x v="33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9"/>
    <x v="0"/>
    <x v="1"/>
    <x v="89"/>
    <x v="11"/>
    <x v="1"/>
    <x v="10"/>
    <x v="3"/>
    <x v="4"/>
    <x v="33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0"/>
    <x v="0"/>
    <x v="1"/>
    <x v="89"/>
    <x v="11"/>
    <x v="1"/>
    <x v="10"/>
    <x v="3"/>
    <x v="4"/>
    <x v="33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1"/>
    <x v="0"/>
    <x v="1"/>
    <x v="89"/>
    <x v="11"/>
    <x v="1"/>
    <x v="10"/>
    <x v="3"/>
    <x v="4"/>
    <x v="33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"/>
    <x v="0"/>
    <x v="1"/>
    <x v="89"/>
    <x v="11"/>
    <x v="1"/>
    <x v="10"/>
    <x v="3"/>
    <x v="4"/>
    <x v="33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"/>
    <x v="0"/>
    <x v="1"/>
    <x v="89"/>
    <x v="11"/>
    <x v="1"/>
    <x v="10"/>
    <x v="3"/>
    <x v="4"/>
    <x v="33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"/>
    <x v="0"/>
    <x v="1"/>
    <x v="89"/>
    <x v="11"/>
    <x v="1"/>
    <x v="10"/>
    <x v="3"/>
    <x v="4"/>
    <x v="33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"/>
    <x v="0"/>
    <x v="1"/>
    <x v="89"/>
    <x v="11"/>
    <x v="1"/>
    <x v="10"/>
    <x v="3"/>
    <x v="4"/>
    <x v="33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"/>
    <x v="0"/>
    <x v="1"/>
    <x v="89"/>
    <x v="11"/>
    <x v="1"/>
    <x v="10"/>
    <x v="3"/>
    <x v="4"/>
    <x v="33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2"/>
    <x v="0"/>
    <x v="1"/>
    <x v="89"/>
    <x v="11"/>
    <x v="1"/>
    <x v="11"/>
    <x v="3"/>
    <x v="4"/>
    <x v="33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6"/>
    <x v="0"/>
    <x v="1"/>
    <x v="89"/>
    <x v="11"/>
    <x v="1"/>
    <x v="11"/>
    <x v="3"/>
    <x v="4"/>
    <x v="33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8"/>
    <x v="0"/>
    <x v="1"/>
    <x v="89"/>
    <x v="11"/>
    <x v="1"/>
    <x v="11"/>
    <x v="3"/>
    <x v="4"/>
    <x v="33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9"/>
    <x v="0"/>
    <x v="1"/>
    <x v="89"/>
    <x v="11"/>
    <x v="1"/>
    <x v="11"/>
    <x v="3"/>
    <x v="4"/>
    <x v="33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0"/>
    <x v="0"/>
    <x v="1"/>
    <x v="89"/>
    <x v="11"/>
    <x v="1"/>
    <x v="11"/>
    <x v="3"/>
    <x v="4"/>
    <x v="33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1"/>
    <x v="0"/>
    <x v="1"/>
    <x v="89"/>
    <x v="11"/>
    <x v="1"/>
    <x v="11"/>
    <x v="3"/>
    <x v="4"/>
    <x v="33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2"/>
    <x v="0"/>
    <x v="1"/>
    <x v="89"/>
    <x v="11"/>
    <x v="1"/>
    <x v="11"/>
    <x v="3"/>
    <x v="4"/>
    <x v="33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3"/>
    <x v="0"/>
    <x v="1"/>
    <x v="89"/>
    <x v="11"/>
    <x v="1"/>
    <x v="11"/>
    <x v="3"/>
    <x v="4"/>
    <x v="33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4"/>
    <x v="0"/>
    <x v="1"/>
    <x v="89"/>
    <x v="11"/>
    <x v="1"/>
    <x v="11"/>
    <x v="3"/>
    <x v="4"/>
    <x v="33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5"/>
    <x v="0"/>
    <x v="1"/>
    <x v="89"/>
    <x v="11"/>
    <x v="1"/>
    <x v="11"/>
    <x v="3"/>
    <x v="4"/>
    <x v="33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6"/>
    <x v="0"/>
    <x v="1"/>
    <x v="89"/>
    <x v="11"/>
    <x v="1"/>
    <x v="11"/>
    <x v="3"/>
    <x v="4"/>
    <x v="33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7"/>
    <x v="0"/>
    <x v="1"/>
    <x v="89"/>
    <x v="11"/>
    <x v="1"/>
    <x v="11"/>
    <x v="3"/>
    <x v="4"/>
    <x v="33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8"/>
    <x v="0"/>
    <x v="1"/>
    <x v="89"/>
    <x v="11"/>
    <x v="1"/>
    <x v="11"/>
    <x v="3"/>
    <x v="4"/>
    <x v="33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69"/>
    <x v="0"/>
    <x v="1"/>
    <x v="89"/>
    <x v="11"/>
    <x v="1"/>
    <x v="11"/>
    <x v="3"/>
    <x v="4"/>
    <x v="33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0"/>
    <x v="0"/>
    <x v="1"/>
    <x v="89"/>
    <x v="11"/>
    <x v="1"/>
    <x v="11"/>
    <x v="3"/>
    <x v="4"/>
    <x v="33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1"/>
    <x v="0"/>
    <x v="1"/>
    <x v="89"/>
    <x v="11"/>
    <x v="1"/>
    <x v="11"/>
    <x v="3"/>
    <x v="4"/>
    <x v="33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2"/>
    <x v="0"/>
    <x v="1"/>
    <x v="89"/>
    <x v="11"/>
    <x v="1"/>
    <x v="11"/>
    <x v="3"/>
    <x v="4"/>
    <x v="33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3"/>
    <x v="0"/>
    <x v="1"/>
    <x v="89"/>
    <x v="11"/>
    <x v="1"/>
    <x v="11"/>
    <x v="3"/>
    <x v="4"/>
    <x v="33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4"/>
    <x v="0"/>
    <x v="1"/>
    <x v="89"/>
    <x v="11"/>
    <x v="1"/>
    <x v="11"/>
    <x v="3"/>
    <x v="4"/>
    <x v="33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5"/>
    <x v="0"/>
    <x v="1"/>
    <x v="89"/>
    <x v="11"/>
    <x v="1"/>
    <x v="11"/>
    <x v="3"/>
    <x v="4"/>
    <x v="33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6"/>
    <x v="0"/>
    <x v="1"/>
    <x v="89"/>
    <x v="11"/>
    <x v="1"/>
    <x v="11"/>
    <x v="3"/>
    <x v="4"/>
    <x v="33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7"/>
    <x v="0"/>
    <x v="1"/>
    <x v="89"/>
    <x v="11"/>
    <x v="1"/>
    <x v="11"/>
    <x v="3"/>
    <x v="4"/>
    <x v="33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7"/>
    <x v="0"/>
    <x v="1"/>
    <x v="89"/>
    <x v="11"/>
    <x v="1"/>
    <x v="11"/>
    <x v="3"/>
    <x v="4"/>
    <x v="33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8"/>
    <x v="0"/>
    <x v="1"/>
    <x v="89"/>
    <x v="11"/>
    <x v="1"/>
    <x v="11"/>
    <x v="3"/>
    <x v="4"/>
    <x v="33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79"/>
    <x v="0"/>
    <x v="1"/>
    <x v="89"/>
    <x v="11"/>
    <x v="1"/>
    <x v="11"/>
    <x v="3"/>
    <x v="4"/>
    <x v="33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0"/>
    <x v="0"/>
    <x v="1"/>
    <x v="89"/>
    <x v="11"/>
    <x v="1"/>
    <x v="11"/>
    <x v="3"/>
    <x v="4"/>
    <x v="33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3"/>
    <x v="0"/>
    <x v="1"/>
    <x v="89"/>
    <x v="11"/>
    <x v="1"/>
    <x v="11"/>
    <x v="3"/>
    <x v="4"/>
    <x v="33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4"/>
    <x v="0"/>
    <x v="1"/>
    <x v="89"/>
    <x v="11"/>
    <x v="1"/>
    <x v="11"/>
    <x v="3"/>
    <x v="4"/>
    <x v="33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55"/>
    <x v="0"/>
    <x v="1"/>
    <x v="89"/>
    <x v="11"/>
    <x v="1"/>
    <x v="11"/>
    <x v="3"/>
    <x v="4"/>
    <x v="33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0"/>
    <x v="0"/>
    <x v="1"/>
    <x v="89"/>
    <x v="11"/>
    <x v="1"/>
    <x v="14"/>
    <x v="3"/>
    <x v="4"/>
    <x v="29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5"/>
    <x v="0"/>
    <x v="1"/>
    <x v="89"/>
    <x v="11"/>
    <x v="1"/>
    <x v="14"/>
    <x v="3"/>
    <x v="4"/>
    <x v="29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6"/>
    <x v="0"/>
    <x v="1"/>
    <x v="89"/>
    <x v="11"/>
    <x v="1"/>
    <x v="14"/>
    <x v="3"/>
    <x v="4"/>
    <x v="29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7"/>
    <x v="0"/>
    <x v="1"/>
    <x v="89"/>
    <x v="11"/>
    <x v="1"/>
    <x v="14"/>
    <x v="3"/>
    <x v="4"/>
    <x v="29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8"/>
    <x v="0"/>
    <x v="1"/>
    <x v="89"/>
    <x v="11"/>
    <x v="1"/>
    <x v="14"/>
    <x v="3"/>
    <x v="4"/>
    <x v="29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9"/>
    <x v="0"/>
    <x v="1"/>
    <x v="89"/>
    <x v="11"/>
    <x v="1"/>
    <x v="14"/>
    <x v="3"/>
    <x v="4"/>
    <x v="29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0"/>
    <x v="0"/>
    <x v="1"/>
    <x v="89"/>
    <x v="11"/>
    <x v="1"/>
    <x v="14"/>
    <x v="3"/>
    <x v="4"/>
    <x v="29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1"/>
    <x v="0"/>
    <x v="1"/>
    <x v="89"/>
    <x v="11"/>
    <x v="1"/>
    <x v="14"/>
    <x v="3"/>
    <x v="4"/>
    <x v="29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2"/>
    <x v="0"/>
    <x v="1"/>
    <x v="89"/>
    <x v="11"/>
    <x v="1"/>
    <x v="14"/>
    <x v="3"/>
    <x v="4"/>
    <x v="29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3"/>
    <x v="0"/>
    <x v="1"/>
    <x v="89"/>
    <x v="11"/>
    <x v="1"/>
    <x v="14"/>
    <x v="3"/>
    <x v="4"/>
    <x v="29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4"/>
    <x v="0"/>
    <x v="1"/>
    <x v="89"/>
    <x v="11"/>
    <x v="1"/>
    <x v="14"/>
    <x v="3"/>
    <x v="4"/>
    <x v="29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5"/>
    <x v="0"/>
    <x v="1"/>
    <x v="89"/>
    <x v="11"/>
    <x v="1"/>
    <x v="14"/>
    <x v="3"/>
    <x v="4"/>
    <x v="29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6"/>
    <x v="0"/>
    <x v="1"/>
    <x v="89"/>
    <x v="11"/>
    <x v="1"/>
    <x v="14"/>
    <x v="3"/>
    <x v="4"/>
    <x v="29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7"/>
    <x v="0"/>
    <x v="1"/>
    <x v="89"/>
    <x v="11"/>
    <x v="1"/>
    <x v="14"/>
    <x v="3"/>
    <x v="4"/>
    <x v="29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8"/>
    <x v="0"/>
    <x v="1"/>
    <x v="89"/>
    <x v="11"/>
    <x v="1"/>
    <x v="14"/>
    <x v="3"/>
    <x v="4"/>
    <x v="29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29"/>
    <x v="0"/>
    <x v="1"/>
    <x v="89"/>
    <x v="11"/>
    <x v="1"/>
    <x v="14"/>
    <x v="3"/>
    <x v="4"/>
    <x v="29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0"/>
    <x v="0"/>
    <x v="1"/>
    <x v="89"/>
    <x v="11"/>
    <x v="1"/>
    <x v="14"/>
    <x v="3"/>
    <x v="4"/>
    <x v="29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1"/>
    <x v="0"/>
    <x v="1"/>
    <x v="89"/>
    <x v="11"/>
    <x v="1"/>
    <x v="14"/>
    <x v="3"/>
    <x v="4"/>
    <x v="29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2"/>
    <x v="0"/>
    <x v="1"/>
    <x v="89"/>
    <x v="11"/>
    <x v="1"/>
    <x v="14"/>
    <x v="3"/>
    <x v="4"/>
    <x v="29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3"/>
    <x v="0"/>
    <x v="1"/>
    <x v="89"/>
    <x v="11"/>
    <x v="1"/>
    <x v="14"/>
    <x v="3"/>
    <x v="4"/>
    <x v="29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4"/>
    <x v="0"/>
    <x v="1"/>
    <x v="89"/>
    <x v="11"/>
    <x v="1"/>
    <x v="14"/>
    <x v="3"/>
    <x v="4"/>
    <x v="29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5"/>
    <x v="0"/>
    <x v="1"/>
    <x v="89"/>
    <x v="11"/>
    <x v="1"/>
    <x v="14"/>
    <x v="3"/>
    <x v="4"/>
    <x v="29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6"/>
    <x v="0"/>
    <x v="1"/>
    <x v="89"/>
    <x v="11"/>
    <x v="1"/>
    <x v="14"/>
    <x v="3"/>
    <x v="4"/>
    <x v="29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7"/>
    <x v="0"/>
    <x v="1"/>
    <x v="89"/>
    <x v="11"/>
    <x v="1"/>
    <x v="14"/>
    <x v="3"/>
    <x v="4"/>
    <x v="29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38"/>
    <x v="0"/>
    <x v="1"/>
    <x v="89"/>
    <x v="11"/>
    <x v="1"/>
    <x v="14"/>
    <x v="3"/>
    <x v="4"/>
    <x v="29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1"/>
    <x v="0"/>
    <x v="1"/>
    <x v="89"/>
    <x v="11"/>
    <x v="1"/>
    <x v="14"/>
    <x v="3"/>
    <x v="4"/>
    <x v="29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2"/>
    <x v="0"/>
    <x v="1"/>
    <x v="89"/>
    <x v="11"/>
    <x v="1"/>
    <x v="14"/>
    <x v="3"/>
    <x v="4"/>
    <x v="29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3"/>
    <x v="0"/>
    <x v="1"/>
    <x v="89"/>
    <x v="11"/>
    <x v="1"/>
    <x v="14"/>
    <x v="3"/>
    <x v="4"/>
    <x v="29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14"/>
    <x v="0"/>
    <x v="1"/>
    <x v="89"/>
    <x v="11"/>
    <x v="1"/>
    <x v="14"/>
    <x v="3"/>
    <x v="4"/>
    <x v="29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"/>
    <x v="0"/>
    <x v="1"/>
    <x v="55"/>
    <x v="11"/>
    <x v="1"/>
    <x v="15"/>
    <x v="3"/>
    <x v="4"/>
    <x v="31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"/>
    <x v="0"/>
    <x v="1"/>
    <x v="55"/>
    <x v="11"/>
    <x v="1"/>
    <x v="15"/>
    <x v="3"/>
    <x v="4"/>
    <x v="31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"/>
    <x v="0"/>
    <x v="1"/>
    <x v="55"/>
    <x v="11"/>
    <x v="1"/>
    <x v="15"/>
    <x v="3"/>
    <x v="4"/>
    <x v="31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"/>
    <x v="0"/>
    <x v="1"/>
    <x v="55"/>
    <x v="11"/>
    <x v="1"/>
    <x v="15"/>
    <x v="3"/>
    <x v="4"/>
    <x v="31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"/>
    <x v="0"/>
    <x v="1"/>
    <x v="55"/>
    <x v="11"/>
    <x v="1"/>
    <x v="15"/>
    <x v="3"/>
    <x v="4"/>
    <x v="31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"/>
    <x v="0"/>
    <x v="1"/>
    <x v="55"/>
    <x v="11"/>
    <x v="1"/>
    <x v="15"/>
    <x v="3"/>
    <x v="4"/>
    <x v="31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"/>
    <x v="0"/>
    <x v="1"/>
    <x v="55"/>
    <x v="11"/>
    <x v="1"/>
    <x v="15"/>
    <x v="3"/>
    <x v="4"/>
    <x v="31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"/>
    <x v="0"/>
    <x v="1"/>
    <x v="55"/>
    <x v="11"/>
    <x v="1"/>
    <x v="15"/>
    <x v="3"/>
    <x v="4"/>
    <x v="31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"/>
    <x v="0"/>
    <x v="1"/>
    <x v="55"/>
    <x v="11"/>
    <x v="1"/>
    <x v="15"/>
    <x v="3"/>
    <x v="4"/>
    <x v="31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"/>
    <x v="0"/>
    <x v="1"/>
    <x v="55"/>
    <x v="11"/>
    <x v="1"/>
    <x v="15"/>
    <x v="3"/>
    <x v="4"/>
    <x v="31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"/>
    <x v="0"/>
    <x v="1"/>
    <x v="55"/>
    <x v="11"/>
    <x v="1"/>
    <x v="15"/>
    <x v="3"/>
    <x v="4"/>
    <x v="31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"/>
    <x v="0"/>
    <x v="1"/>
    <x v="55"/>
    <x v="11"/>
    <x v="1"/>
    <x v="15"/>
    <x v="3"/>
    <x v="4"/>
    <x v="31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"/>
    <x v="0"/>
    <x v="1"/>
    <x v="55"/>
    <x v="11"/>
    <x v="1"/>
    <x v="15"/>
    <x v="3"/>
    <x v="4"/>
    <x v="31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"/>
    <x v="0"/>
    <x v="1"/>
    <x v="55"/>
    <x v="11"/>
    <x v="1"/>
    <x v="15"/>
    <x v="3"/>
    <x v="4"/>
    <x v="31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"/>
    <x v="0"/>
    <x v="1"/>
    <x v="55"/>
    <x v="11"/>
    <x v="1"/>
    <x v="15"/>
    <x v="3"/>
    <x v="4"/>
    <x v="31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"/>
    <x v="0"/>
    <x v="1"/>
    <x v="55"/>
    <x v="11"/>
    <x v="1"/>
    <x v="15"/>
    <x v="3"/>
    <x v="4"/>
    <x v="31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"/>
    <x v="0"/>
    <x v="1"/>
    <x v="55"/>
    <x v="11"/>
    <x v="1"/>
    <x v="15"/>
    <x v="3"/>
    <x v="4"/>
    <x v="31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"/>
    <x v="0"/>
    <x v="1"/>
    <x v="55"/>
    <x v="11"/>
    <x v="1"/>
    <x v="15"/>
    <x v="3"/>
    <x v="4"/>
    <x v="31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"/>
    <x v="0"/>
    <x v="1"/>
    <x v="55"/>
    <x v="11"/>
    <x v="1"/>
    <x v="15"/>
    <x v="3"/>
    <x v="4"/>
    <x v="31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"/>
    <x v="0"/>
    <x v="1"/>
    <x v="55"/>
    <x v="11"/>
    <x v="1"/>
    <x v="15"/>
    <x v="3"/>
    <x v="4"/>
    <x v="31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"/>
    <x v="0"/>
    <x v="1"/>
    <x v="55"/>
    <x v="11"/>
    <x v="1"/>
    <x v="15"/>
    <x v="3"/>
    <x v="4"/>
    <x v="31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"/>
    <x v="0"/>
    <x v="1"/>
    <x v="55"/>
    <x v="11"/>
    <x v="1"/>
    <x v="15"/>
    <x v="3"/>
    <x v="4"/>
    <x v="31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"/>
    <x v="0"/>
    <x v="1"/>
    <x v="55"/>
    <x v="11"/>
    <x v="1"/>
    <x v="15"/>
    <x v="3"/>
    <x v="4"/>
    <x v="31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"/>
    <x v="0"/>
    <x v="1"/>
    <x v="55"/>
    <x v="11"/>
    <x v="1"/>
    <x v="15"/>
    <x v="3"/>
    <x v="4"/>
    <x v="31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"/>
    <x v="0"/>
    <x v="1"/>
    <x v="55"/>
    <x v="11"/>
    <x v="1"/>
    <x v="15"/>
    <x v="3"/>
    <x v="4"/>
    <x v="31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"/>
    <x v="0"/>
    <x v="1"/>
    <x v="55"/>
    <x v="11"/>
    <x v="1"/>
    <x v="15"/>
    <x v="3"/>
    <x v="4"/>
    <x v="31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"/>
    <x v="0"/>
    <x v="1"/>
    <x v="55"/>
    <x v="11"/>
    <x v="1"/>
    <x v="15"/>
    <x v="3"/>
    <x v="4"/>
    <x v="31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"/>
    <x v="0"/>
    <x v="1"/>
    <x v="55"/>
    <x v="11"/>
    <x v="1"/>
    <x v="15"/>
    <x v="3"/>
    <x v="4"/>
    <x v="31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"/>
    <x v="0"/>
    <x v="1"/>
    <x v="55"/>
    <x v="11"/>
    <x v="1"/>
    <x v="15"/>
    <x v="3"/>
    <x v="4"/>
    <x v="31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1"/>
    <x v="0"/>
    <x v="1"/>
    <x v="89"/>
    <x v="11"/>
    <x v="1"/>
    <x v="16"/>
    <x v="3"/>
    <x v="4"/>
    <x v="32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2"/>
    <x v="0"/>
    <x v="1"/>
    <x v="89"/>
    <x v="11"/>
    <x v="1"/>
    <x v="16"/>
    <x v="3"/>
    <x v="4"/>
    <x v="32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3"/>
    <x v="0"/>
    <x v="1"/>
    <x v="89"/>
    <x v="11"/>
    <x v="1"/>
    <x v="16"/>
    <x v="3"/>
    <x v="4"/>
    <x v="32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4"/>
    <x v="0"/>
    <x v="1"/>
    <x v="89"/>
    <x v="11"/>
    <x v="1"/>
    <x v="16"/>
    <x v="3"/>
    <x v="4"/>
    <x v="32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5"/>
    <x v="0"/>
    <x v="1"/>
    <x v="89"/>
    <x v="11"/>
    <x v="1"/>
    <x v="16"/>
    <x v="3"/>
    <x v="4"/>
    <x v="32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6"/>
    <x v="0"/>
    <x v="1"/>
    <x v="89"/>
    <x v="11"/>
    <x v="1"/>
    <x v="16"/>
    <x v="3"/>
    <x v="4"/>
    <x v="32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7"/>
    <x v="0"/>
    <x v="1"/>
    <x v="89"/>
    <x v="11"/>
    <x v="1"/>
    <x v="16"/>
    <x v="3"/>
    <x v="4"/>
    <x v="32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8"/>
    <x v="0"/>
    <x v="1"/>
    <x v="89"/>
    <x v="11"/>
    <x v="1"/>
    <x v="16"/>
    <x v="3"/>
    <x v="4"/>
    <x v="32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89"/>
    <x v="0"/>
    <x v="1"/>
    <x v="89"/>
    <x v="11"/>
    <x v="1"/>
    <x v="16"/>
    <x v="3"/>
    <x v="4"/>
    <x v="32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0"/>
    <x v="0"/>
    <x v="1"/>
    <x v="89"/>
    <x v="11"/>
    <x v="1"/>
    <x v="16"/>
    <x v="3"/>
    <x v="4"/>
    <x v="32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1"/>
    <x v="0"/>
    <x v="1"/>
    <x v="89"/>
    <x v="11"/>
    <x v="1"/>
    <x v="16"/>
    <x v="3"/>
    <x v="4"/>
    <x v="32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2"/>
    <x v="0"/>
    <x v="1"/>
    <x v="89"/>
    <x v="11"/>
    <x v="1"/>
    <x v="16"/>
    <x v="3"/>
    <x v="4"/>
    <x v="32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3"/>
    <x v="0"/>
    <x v="1"/>
    <x v="89"/>
    <x v="11"/>
    <x v="1"/>
    <x v="16"/>
    <x v="3"/>
    <x v="4"/>
    <x v="32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4"/>
    <x v="0"/>
    <x v="1"/>
    <x v="89"/>
    <x v="11"/>
    <x v="1"/>
    <x v="16"/>
    <x v="3"/>
    <x v="4"/>
    <x v="32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5"/>
    <x v="0"/>
    <x v="1"/>
    <x v="89"/>
    <x v="11"/>
    <x v="1"/>
    <x v="16"/>
    <x v="3"/>
    <x v="4"/>
    <x v="32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6"/>
    <x v="0"/>
    <x v="1"/>
    <x v="89"/>
    <x v="11"/>
    <x v="1"/>
    <x v="16"/>
    <x v="3"/>
    <x v="4"/>
    <x v="32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7"/>
    <x v="0"/>
    <x v="1"/>
    <x v="89"/>
    <x v="11"/>
    <x v="1"/>
    <x v="16"/>
    <x v="3"/>
    <x v="4"/>
    <x v="32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8"/>
    <x v="0"/>
    <x v="1"/>
    <x v="89"/>
    <x v="11"/>
    <x v="1"/>
    <x v="16"/>
    <x v="3"/>
    <x v="4"/>
    <x v="32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99"/>
    <x v="0"/>
    <x v="1"/>
    <x v="89"/>
    <x v="11"/>
    <x v="1"/>
    <x v="16"/>
    <x v="3"/>
    <x v="4"/>
    <x v="32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0"/>
    <x v="0"/>
    <x v="1"/>
    <x v="89"/>
    <x v="11"/>
    <x v="1"/>
    <x v="16"/>
    <x v="3"/>
    <x v="4"/>
    <x v="32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1"/>
    <x v="0"/>
    <x v="1"/>
    <x v="89"/>
    <x v="11"/>
    <x v="1"/>
    <x v="16"/>
    <x v="3"/>
    <x v="4"/>
    <x v="32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2"/>
    <x v="0"/>
    <x v="1"/>
    <x v="89"/>
    <x v="11"/>
    <x v="1"/>
    <x v="16"/>
    <x v="3"/>
    <x v="4"/>
    <x v="32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3"/>
    <x v="0"/>
    <x v="1"/>
    <x v="89"/>
    <x v="11"/>
    <x v="1"/>
    <x v="16"/>
    <x v="3"/>
    <x v="4"/>
    <x v="32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4"/>
    <x v="0"/>
    <x v="1"/>
    <x v="89"/>
    <x v="11"/>
    <x v="1"/>
    <x v="16"/>
    <x v="3"/>
    <x v="4"/>
    <x v="32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5"/>
    <x v="0"/>
    <x v="1"/>
    <x v="89"/>
    <x v="11"/>
    <x v="1"/>
    <x v="16"/>
    <x v="3"/>
    <x v="4"/>
    <x v="32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6"/>
    <x v="0"/>
    <x v="1"/>
    <x v="89"/>
    <x v="11"/>
    <x v="1"/>
    <x v="16"/>
    <x v="3"/>
    <x v="4"/>
    <x v="32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7"/>
    <x v="0"/>
    <x v="1"/>
    <x v="89"/>
    <x v="11"/>
    <x v="1"/>
    <x v="16"/>
    <x v="3"/>
    <x v="4"/>
    <x v="32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8"/>
    <x v="0"/>
    <x v="1"/>
    <x v="89"/>
    <x v="11"/>
    <x v="1"/>
    <x v="16"/>
    <x v="3"/>
    <x v="4"/>
    <x v="32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09"/>
    <x v="0"/>
    <x v="1"/>
    <x v="89"/>
    <x v="11"/>
    <x v="1"/>
    <x v="16"/>
    <x v="3"/>
    <x v="4"/>
    <x v="32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4"/>
    <x v="0"/>
    <x v="1"/>
    <x v="85"/>
    <x v="11"/>
    <x v="1"/>
    <x v="0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3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8"/>
    <x v="0"/>
    <x v="2"/>
    <x v="53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5"/>
    <x v="0"/>
    <x v="2"/>
    <x v="53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6"/>
    <x v="0"/>
    <x v="2"/>
    <x v="53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69"/>
    <x v="0"/>
    <x v="2"/>
    <x v="53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0"/>
    <x v="0"/>
    <x v="2"/>
    <x v="53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1"/>
    <x v="0"/>
    <x v="2"/>
    <x v="53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2"/>
    <x v="0"/>
    <x v="2"/>
    <x v="53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3"/>
    <x v="0"/>
    <x v="2"/>
    <x v="53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4"/>
    <x v="0"/>
    <x v="2"/>
    <x v="53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5"/>
    <x v="0"/>
    <x v="2"/>
    <x v="53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6"/>
    <x v="0"/>
    <x v="2"/>
    <x v="53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7"/>
    <x v="0"/>
    <x v="2"/>
    <x v="53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8"/>
    <x v="0"/>
    <x v="2"/>
    <x v="53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79"/>
    <x v="0"/>
    <x v="2"/>
    <x v="53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0"/>
    <x v="0"/>
    <x v="2"/>
    <x v="53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1"/>
    <x v="0"/>
    <x v="2"/>
    <x v="53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2"/>
    <x v="0"/>
    <x v="2"/>
    <x v="53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3"/>
    <x v="0"/>
    <x v="2"/>
    <x v="53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4"/>
    <x v="0"/>
    <x v="2"/>
    <x v="53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5"/>
    <x v="0"/>
    <x v="2"/>
    <x v="53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6"/>
    <x v="0"/>
    <x v="2"/>
    <x v="53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7"/>
    <x v="0"/>
    <x v="2"/>
    <x v="53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8"/>
    <x v="0"/>
    <x v="2"/>
    <x v="53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89"/>
    <x v="0"/>
    <x v="2"/>
    <x v="53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0"/>
    <x v="0"/>
    <x v="2"/>
    <x v="53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1"/>
    <x v="0"/>
    <x v="2"/>
    <x v="53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2"/>
    <x v="0"/>
    <x v="2"/>
    <x v="53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3"/>
    <x v="0"/>
    <x v="2"/>
    <x v="53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4"/>
    <x v="0"/>
    <x v="2"/>
    <x v="53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7"/>
    <x v="0"/>
    <x v="2"/>
    <x v="73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4"/>
    <x v="0"/>
    <x v="2"/>
    <x v="73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5"/>
    <x v="0"/>
    <x v="2"/>
    <x v="73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8"/>
    <x v="0"/>
    <x v="2"/>
    <x v="73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399"/>
    <x v="0"/>
    <x v="2"/>
    <x v="73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0"/>
    <x v="0"/>
    <x v="2"/>
    <x v="73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1"/>
    <x v="0"/>
    <x v="2"/>
    <x v="73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2"/>
    <x v="0"/>
    <x v="2"/>
    <x v="73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3"/>
    <x v="0"/>
    <x v="2"/>
    <x v="73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4"/>
    <x v="0"/>
    <x v="2"/>
    <x v="73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5"/>
    <x v="0"/>
    <x v="2"/>
    <x v="73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6"/>
    <x v="0"/>
    <x v="2"/>
    <x v="73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7"/>
    <x v="0"/>
    <x v="2"/>
    <x v="73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8"/>
    <x v="0"/>
    <x v="2"/>
    <x v="73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09"/>
    <x v="0"/>
    <x v="2"/>
    <x v="73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0"/>
    <x v="0"/>
    <x v="2"/>
    <x v="73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1"/>
    <x v="0"/>
    <x v="2"/>
    <x v="73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2"/>
    <x v="0"/>
    <x v="2"/>
    <x v="73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3"/>
    <x v="0"/>
    <x v="2"/>
    <x v="73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4"/>
    <x v="0"/>
    <x v="2"/>
    <x v="73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5"/>
    <x v="0"/>
    <x v="2"/>
    <x v="73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6"/>
    <x v="0"/>
    <x v="2"/>
    <x v="73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7"/>
    <x v="0"/>
    <x v="2"/>
    <x v="73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8"/>
    <x v="0"/>
    <x v="2"/>
    <x v="73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19"/>
    <x v="0"/>
    <x v="2"/>
    <x v="73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0"/>
    <x v="0"/>
    <x v="2"/>
    <x v="73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1"/>
    <x v="0"/>
    <x v="2"/>
    <x v="73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2"/>
    <x v="0"/>
    <x v="2"/>
    <x v="73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3"/>
    <x v="0"/>
    <x v="2"/>
    <x v="73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4"/>
    <x v="0"/>
    <x v="2"/>
    <x v="22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1"/>
    <x v="0"/>
    <x v="2"/>
    <x v="22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2"/>
    <x v="0"/>
    <x v="2"/>
    <x v="22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5"/>
    <x v="0"/>
    <x v="2"/>
    <x v="22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6"/>
    <x v="0"/>
    <x v="2"/>
    <x v="22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7"/>
    <x v="0"/>
    <x v="2"/>
    <x v="22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8"/>
    <x v="0"/>
    <x v="2"/>
    <x v="22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9"/>
    <x v="0"/>
    <x v="2"/>
    <x v="22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0"/>
    <x v="0"/>
    <x v="2"/>
    <x v="22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1"/>
    <x v="0"/>
    <x v="2"/>
    <x v="22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2"/>
    <x v="0"/>
    <x v="2"/>
    <x v="22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3"/>
    <x v="0"/>
    <x v="2"/>
    <x v="22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4"/>
    <x v="0"/>
    <x v="2"/>
    <x v="22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5"/>
    <x v="0"/>
    <x v="2"/>
    <x v="22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6"/>
    <x v="0"/>
    <x v="2"/>
    <x v="22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7"/>
    <x v="0"/>
    <x v="2"/>
    <x v="22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8"/>
    <x v="0"/>
    <x v="2"/>
    <x v="22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99"/>
    <x v="0"/>
    <x v="2"/>
    <x v="22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0"/>
    <x v="0"/>
    <x v="2"/>
    <x v="22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1"/>
    <x v="0"/>
    <x v="2"/>
    <x v="22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2"/>
    <x v="0"/>
    <x v="2"/>
    <x v="22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3"/>
    <x v="0"/>
    <x v="2"/>
    <x v="22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4"/>
    <x v="0"/>
    <x v="2"/>
    <x v="22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5"/>
    <x v="0"/>
    <x v="2"/>
    <x v="22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6"/>
    <x v="0"/>
    <x v="2"/>
    <x v="22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7"/>
    <x v="0"/>
    <x v="2"/>
    <x v="22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8"/>
    <x v="0"/>
    <x v="2"/>
    <x v="22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09"/>
    <x v="0"/>
    <x v="2"/>
    <x v="22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0"/>
    <x v="0"/>
    <x v="2"/>
    <x v="22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3"/>
    <x v="0"/>
    <x v="2"/>
    <x v="21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0"/>
    <x v="0"/>
    <x v="2"/>
    <x v="21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1"/>
    <x v="0"/>
    <x v="2"/>
    <x v="21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4"/>
    <x v="0"/>
    <x v="2"/>
    <x v="21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5"/>
    <x v="0"/>
    <x v="2"/>
    <x v="21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6"/>
    <x v="0"/>
    <x v="2"/>
    <x v="21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7"/>
    <x v="0"/>
    <x v="2"/>
    <x v="21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8"/>
    <x v="0"/>
    <x v="2"/>
    <x v="21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19"/>
    <x v="0"/>
    <x v="2"/>
    <x v="21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0"/>
    <x v="0"/>
    <x v="2"/>
    <x v="21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1"/>
    <x v="0"/>
    <x v="2"/>
    <x v="21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2"/>
    <x v="0"/>
    <x v="2"/>
    <x v="21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3"/>
    <x v="0"/>
    <x v="2"/>
    <x v="21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4"/>
    <x v="0"/>
    <x v="2"/>
    <x v="21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5"/>
    <x v="0"/>
    <x v="2"/>
    <x v="21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6"/>
    <x v="0"/>
    <x v="2"/>
    <x v="21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7"/>
    <x v="0"/>
    <x v="2"/>
    <x v="21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8"/>
    <x v="0"/>
    <x v="2"/>
    <x v="21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29"/>
    <x v="0"/>
    <x v="2"/>
    <x v="21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0"/>
    <x v="0"/>
    <x v="2"/>
    <x v="21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1"/>
    <x v="0"/>
    <x v="2"/>
    <x v="21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2"/>
    <x v="0"/>
    <x v="2"/>
    <x v="21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3"/>
    <x v="0"/>
    <x v="2"/>
    <x v="21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4"/>
    <x v="0"/>
    <x v="2"/>
    <x v="21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5"/>
    <x v="0"/>
    <x v="2"/>
    <x v="21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6"/>
    <x v="0"/>
    <x v="2"/>
    <x v="21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7"/>
    <x v="0"/>
    <x v="2"/>
    <x v="21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8"/>
    <x v="0"/>
    <x v="2"/>
    <x v="21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39"/>
    <x v="0"/>
    <x v="2"/>
    <x v="21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2"/>
    <x v="0"/>
    <x v="2"/>
    <x v="88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9"/>
    <x v="0"/>
    <x v="2"/>
    <x v="88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0"/>
    <x v="0"/>
    <x v="2"/>
    <x v="88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3"/>
    <x v="0"/>
    <x v="2"/>
    <x v="88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4"/>
    <x v="0"/>
    <x v="2"/>
    <x v="88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5"/>
    <x v="0"/>
    <x v="2"/>
    <x v="88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6"/>
    <x v="0"/>
    <x v="2"/>
    <x v="88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7"/>
    <x v="0"/>
    <x v="2"/>
    <x v="88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8"/>
    <x v="0"/>
    <x v="2"/>
    <x v="88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49"/>
    <x v="0"/>
    <x v="2"/>
    <x v="88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0"/>
    <x v="0"/>
    <x v="2"/>
    <x v="88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1"/>
    <x v="0"/>
    <x v="2"/>
    <x v="88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2"/>
    <x v="0"/>
    <x v="2"/>
    <x v="88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3"/>
    <x v="0"/>
    <x v="2"/>
    <x v="88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4"/>
    <x v="0"/>
    <x v="2"/>
    <x v="88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5"/>
    <x v="0"/>
    <x v="2"/>
    <x v="88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6"/>
    <x v="0"/>
    <x v="2"/>
    <x v="88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7"/>
    <x v="0"/>
    <x v="2"/>
    <x v="88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8"/>
    <x v="0"/>
    <x v="2"/>
    <x v="88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59"/>
    <x v="0"/>
    <x v="2"/>
    <x v="88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0"/>
    <x v="0"/>
    <x v="2"/>
    <x v="88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1"/>
    <x v="0"/>
    <x v="2"/>
    <x v="88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2"/>
    <x v="0"/>
    <x v="2"/>
    <x v="88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3"/>
    <x v="0"/>
    <x v="2"/>
    <x v="88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4"/>
    <x v="0"/>
    <x v="2"/>
    <x v="88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5"/>
    <x v="0"/>
    <x v="2"/>
    <x v="88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6"/>
    <x v="0"/>
    <x v="2"/>
    <x v="88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7"/>
    <x v="0"/>
    <x v="2"/>
    <x v="88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68"/>
    <x v="0"/>
    <x v="2"/>
    <x v="88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1"/>
    <x v="0"/>
    <x v="2"/>
    <x v="54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8"/>
    <x v="0"/>
    <x v="2"/>
    <x v="54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9"/>
    <x v="0"/>
    <x v="2"/>
    <x v="54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2"/>
    <x v="0"/>
    <x v="2"/>
    <x v="54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3"/>
    <x v="0"/>
    <x v="2"/>
    <x v="54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4"/>
    <x v="0"/>
    <x v="2"/>
    <x v="54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5"/>
    <x v="0"/>
    <x v="2"/>
    <x v="54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6"/>
    <x v="0"/>
    <x v="2"/>
    <x v="54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7"/>
    <x v="0"/>
    <x v="2"/>
    <x v="54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8"/>
    <x v="0"/>
    <x v="2"/>
    <x v="54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79"/>
    <x v="0"/>
    <x v="2"/>
    <x v="54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0"/>
    <x v="0"/>
    <x v="2"/>
    <x v="54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1"/>
    <x v="0"/>
    <x v="2"/>
    <x v="54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2"/>
    <x v="0"/>
    <x v="2"/>
    <x v="54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3"/>
    <x v="0"/>
    <x v="2"/>
    <x v="54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4"/>
    <x v="0"/>
    <x v="2"/>
    <x v="54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5"/>
    <x v="0"/>
    <x v="2"/>
    <x v="54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6"/>
    <x v="0"/>
    <x v="2"/>
    <x v="54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7"/>
    <x v="0"/>
    <x v="2"/>
    <x v="54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8"/>
    <x v="0"/>
    <x v="2"/>
    <x v="54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89"/>
    <x v="0"/>
    <x v="2"/>
    <x v="54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0"/>
    <x v="0"/>
    <x v="2"/>
    <x v="54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1"/>
    <x v="0"/>
    <x v="2"/>
    <x v="54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2"/>
    <x v="0"/>
    <x v="2"/>
    <x v="54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3"/>
    <x v="0"/>
    <x v="2"/>
    <x v="54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4"/>
    <x v="0"/>
    <x v="2"/>
    <x v="54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5"/>
    <x v="0"/>
    <x v="2"/>
    <x v="54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6"/>
    <x v="0"/>
    <x v="2"/>
    <x v="54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597"/>
    <x v="0"/>
    <x v="2"/>
    <x v="54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0"/>
    <x v="0"/>
    <x v="2"/>
    <x v="74"/>
    <x v="5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7"/>
    <x v="0"/>
    <x v="2"/>
    <x v="74"/>
    <x v="5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8"/>
    <x v="0"/>
    <x v="2"/>
    <x v="74"/>
    <x v="5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1"/>
    <x v="0"/>
    <x v="2"/>
    <x v="74"/>
    <x v="5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2"/>
    <x v="0"/>
    <x v="2"/>
    <x v="74"/>
    <x v="5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3"/>
    <x v="0"/>
    <x v="2"/>
    <x v="74"/>
    <x v="5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4"/>
    <x v="0"/>
    <x v="2"/>
    <x v="74"/>
    <x v="5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5"/>
    <x v="0"/>
    <x v="2"/>
    <x v="74"/>
    <x v="5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6"/>
    <x v="0"/>
    <x v="2"/>
    <x v="74"/>
    <x v="5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7"/>
    <x v="0"/>
    <x v="2"/>
    <x v="74"/>
    <x v="5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8"/>
    <x v="0"/>
    <x v="2"/>
    <x v="74"/>
    <x v="5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09"/>
    <x v="0"/>
    <x v="2"/>
    <x v="74"/>
    <x v="5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0"/>
    <x v="0"/>
    <x v="2"/>
    <x v="74"/>
    <x v="5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1"/>
    <x v="0"/>
    <x v="2"/>
    <x v="74"/>
    <x v="5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2"/>
    <x v="0"/>
    <x v="2"/>
    <x v="74"/>
    <x v="5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3"/>
    <x v="0"/>
    <x v="2"/>
    <x v="74"/>
    <x v="5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4"/>
    <x v="0"/>
    <x v="2"/>
    <x v="74"/>
    <x v="5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5"/>
    <x v="0"/>
    <x v="2"/>
    <x v="74"/>
    <x v="5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6"/>
    <x v="0"/>
    <x v="2"/>
    <x v="74"/>
    <x v="5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7"/>
    <x v="0"/>
    <x v="2"/>
    <x v="74"/>
    <x v="5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8"/>
    <x v="0"/>
    <x v="2"/>
    <x v="74"/>
    <x v="5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19"/>
    <x v="0"/>
    <x v="2"/>
    <x v="74"/>
    <x v="5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0"/>
    <x v="0"/>
    <x v="2"/>
    <x v="74"/>
    <x v="5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1"/>
    <x v="0"/>
    <x v="2"/>
    <x v="74"/>
    <x v="5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2"/>
    <x v="0"/>
    <x v="2"/>
    <x v="74"/>
    <x v="5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3"/>
    <x v="0"/>
    <x v="2"/>
    <x v="74"/>
    <x v="5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4"/>
    <x v="0"/>
    <x v="2"/>
    <x v="74"/>
    <x v="5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5"/>
    <x v="0"/>
    <x v="2"/>
    <x v="74"/>
    <x v="5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6"/>
    <x v="0"/>
    <x v="2"/>
    <x v="74"/>
    <x v="5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6"/>
    <x v="0"/>
    <x v="2"/>
    <x v="74"/>
    <x v="7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3"/>
    <x v="0"/>
    <x v="2"/>
    <x v="74"/>
    <x v="7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4"/>
    <x v="0"/>
    <x v="2"/>
    <x v="74"/>
    <x v="7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7"/>
    <x v="0"/>
    <x v="2"/>
    <x v="74"/>
    <x v="7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8"/>
    <x v="0"/>
    <x v="2"/>
    <x v="74"/>
    <x v="7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29"/>
    <x v="0"/>
    <x v="2"/>
    <x v="74"/>
    <x v="7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0"/>
    <x v="0"/>
    <x v="2"/>
    <x v="74"/>
    <x v="7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1"/>
    <x v="0"/>
    <x v="2"/>
    <x v="74"/>
    <x v="7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2"/>
    <x v="0"/>
    <x v="2"/>
    <x v="74"/>
    <x v="7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3"/>
    <x v="0"/>
    <x v="2"/>
    <x v="74"/>
    <x v="7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4"/>
    <x v="0"/>
    <x v="2"/>
    <x v="74"/>
    <x v="7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5"/>
    <x v="0"/>
    <x v="2"/>
    <x v="74"/>
    <x v="7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6"/>
    <x v="0"/>
    <x v="2"/>
    <x v="74"/>
    <x v="7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7"/>
    <x v="0"/>
    <x v="2"/>
    <x v="74"/>
    <x v="7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8"/>
    <x v="0"/>
    <x v="2"/>
    <x v="74"/>
    <x v="7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39"/>
    <x v="0"/>
    <x v="2"/>
    <x v="74"/>
    <x v="7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0"/>
    <x v="0"/>
    <x v="2"/>
    <x v="74"/>
    <x v="7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1"/>
    <x v="0"/>
    <x v="2"/>
    <x v="74"/>
    <x v="7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2"/>
    <x v="0"/>
    <x v="2"/>
    <x v="74"/>
    <x v="7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3"/>
    <x v="0"/>
    <x v="2"/>
    <x v="74"/>
    <x v="7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4"/>
    <x v="0"/>
    <x v="2"/>
    <x v="74"/>
    <x v="7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5"/>
    <x v="0"/>
    <x v="2"/>
    <x v="74"/>
    <x v="7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6"/>
    <x v="0"/>
    <x v="2"/>
    <x v="74"/>
    <x v="7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7"/>
    <x v="0"/>
    <x v="2"/>
    <x v="74"/>
    <x v="7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8"/>
    <x v="0"/>
    <x v="2"/>
    <x v="74"/>
    <x v="7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49"/>
    <x v="0"/>
    <x v="2"/>
    <x v="74"/>
    <x v="7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0"/>
    <x v="0"/>
    <x v="2"/>
    <x v="74"/>
    <x v="7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1"/>
    <x v="0"/>
    <x v="2"/>
    <x v="74"/>
    <x v="7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2"/>
    <x v="0"/>
    <x v="2"/>
    <x v="74"/>
    <x v="7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29"/>
    <x v="0"/>
    <x v="2"/>
    <x v="14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6"/>
    <x v="0"/>
    <x v="2"/>
    <x v="14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7"/>
    <x v="0"/>
    <x v="2"/>
    <x v="14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0"/>
    <x v="0"/>
    <x v="2"/>
    <x v="14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1"/>
    <x v="0"/>
    <x v="2"/>
    <x v="14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2"/>
    <x v="0"/>
    <x v="2"/>
    <x v="14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3"/>
    <x v="0"/>
    <x v="2"/>
    <x v="14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4"/>
    <x v="0"/>
    <x v="2"/>
    <x v="14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5"/>
    <x v="0"/>
    <x v="2"/>
    <x v="14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6"/>
    <x v="0"/>
    <x v="2"/>
    <x v="14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7"/>
    <x v="0"/>
    <x v="2"/>
    <x v="14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8"/>
    <x v="0"/>
    <x v="2"/>
    <x v="14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39"/>
    <x v="0"/>
    <x v="2"/>
    <x v="14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0"/>
    <x v="0"/>
    <x v="2"/>
    <x v="14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1"/>
    <x v="0"/>
    <x v="2"/>
    <x v="14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2"/>
    <x v="0"/>
    <x v="2"/>
    <x v="14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3"/>
    <x v="0"/>
    <x v="2"/>
    <x v="14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4"/>
    <x v="0"/>
    <x v="2"/>
    <x v="14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5"/>
    <x v="0"/>
    <x v="2"/>
    <x v="14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6"/>
    <x v="0"/>
    <x v="2"/>
    <x v="14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7"/>
    <x v="0"/>
    <x v="2"/>
    <x v="14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8"/>
    <x v="0"/>
    <x v="2"/>
    <x v="14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49"/>
    <x v="0"/>
    <x v="2"/>
    <x v="14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0"/>
    <x v="0"/>
    <x v="2"/>
    <x v="14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1"/>
    <x v="0"/>
    <x v="2"/>
    <x v="14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2"/>
    <x v="0"/>
    <x v="2"/>
    <x v="14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3"/>
    <x v="0"/>
    <x v="2"/>
    <x v="14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4"/>
    <x v="0"/>
    <x v="2"/>
    <x v="14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5"/>
    <x v="0"/>
    <x v="2"/>
    <x v="14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8"/>
    <x v="0"/>
    <x v="2"/>
    <x v="42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5"/>
    <x v="0"/>
    <x v="2"/>
    <x v="42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6"/>
    <x v="0"/>
    <x v="2"/>
    <x v="42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59"/>
    <x v="0"/>
    <x v="2"/>
    <x v="42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0"/>
    <x v="0"/>
    <x v="2"/>
    <x v="42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1"/>
    <x v="0"/>
    <x v="2"/>
    <x v="42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2"/>
    <x v="0"/>
    <x v="2"/>
    <x v="42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3"/>
    <x v="0"/>
    <x v="2"/>
    <x v="42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4"/>
    <x v="0"/>
    <x v="2"/>
    <x v="42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5"/>
    <x v="0"/>
    <x v="2"/>
    <x v="42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6"/>
    <x v="0"/>
    <x v="2"/>
    <x v="42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7"/>
    <x v="0"/>
    <x v="2"/>
    <x v="42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8"/>
    <x v="0"/>
    <x v="2"/>
    <x v="42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69"/>
    <x v="0"/>
    <x v="2"/>
    <x v="42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0"/>
    <x v="0"/>
    <x v="2"/>
    <x v="42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1"/>
    <x v="0"/>
    <x v="2"/>
    <x v="42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2"/>
    <x v="0"/>
    <x v="2"/>
    <x v="42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3"/>
    <x v="0"/>
    <x v="2"/>
    <x v="42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4"/>
    <x v="0"/>
    <x v="2"/>
    <x v="42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5"/>
    <x v="0"/>
    <x v="2"/>
    <x v="42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6"/>
    <x v="0"/>
    <x v="2"/>
    <x v="42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7"/>
    <x v="0"/>
    <x v="2"/>
    <x v="42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8"/>
    <x v="0"/>
    <x v="2"/>
    <x v="42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79"/>
    <x v="0"/>
    <x v="2"/>
    <x v="42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0"/>
    <x v="0"/>
    <x v="2"/>
    <x v="42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1"/>
    <x v="0"/>
    <x v="2"/>
    <x v="42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2"/>
    <x v="0"/>
    <x v="2"/>
    <x v="42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3"/>
    <x v="0"/>
    <x v="2"/>
    <x v="42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4"/>
    <x v="0"/>
    <x v="2"/>
    <x v="42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7"/>
    <x v="0"/>
    <x v="2"/>
    <x v="81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4"/>
    <x v="0"/>
    <x v="2"/>
    <x v="81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5"/>
    <x v="0"/>
    <x v="2"/>
    <x v="81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8"/>
    <x v="0"/>
    <x v="2"/>
    <x v="81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89"/>
    <x v="0"/>
    <x v="2"/>
    <x v="81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0"/>
    <x v="0"/>
    <x v="2"/>
    <x v="81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1"/>
    <x v="0"/>
    <x v="2"/>
    <x v="81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2"/>
    <x v="0"/>
    <x v="2"/>
    <x v="81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3"/>
    <x v="0"/>
    <x v="2"/>
    <x v="81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4"/>
    <x v="0"/>
    <x v="2"/>
    <x v="81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5"/>
    <x v="0"/>
    <x v="2"/>
    <x v="81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6"/>
    <x v="0"/>
    <x v="2"/>
    <x v="81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7"/>
    <x v="0"/>
    <x v="2"/>
    <x v="81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8"/>
    <x v="0"/>
    <x v="2"/>
    <x v="81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699"/>
    <x v="0"/>
    <x v="2"/>
    <x v="81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0"/>
    <x v="0"/>
    <x v="2"/>
    <x v="81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1"/>
    <x v="0"/>
    <x v="2"/>
    <x v="81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2"/>
    <x v="0"/>
    <x v="2"/>
    <x v="81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3"/>
    <x v="0"/>
    <x v="2"/>
    <x v="81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4"/>
    <x v="0"/>
    <x v="2"/>
    <x v="81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5"/>
    <x v="0"/>
    <x v="2"/>
    <x v="81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6"/>
    <x v="0"/>
    <x v="2"/>
    <x v="81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7"/>
    <x v="0"/>
    <x v="2"/>
    <x v="81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8"/>
    <x v="0"/>
    <x v="2"/>
    <x v="81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09"/>
    <x v="0"/>
    <x v="2"/>
    <x v="81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0"/>
    <x v="0"/>
    <x v="2"/>
    <x v="81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1"/>
    <x v="0"/>
    <x v="2"/>
    <x v="81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2"/>
    <x v="0"/>
    <x v="2"/>
    <x v="81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3"/>
    <x v="0"/>
    <x v="2"/>
    <x v="81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6"/>
    <x v="0"/>
    <x v="2"/>
    <x v="82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3"/>
    <x v="0"/>
    <x v="2"/>
    <x v="82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4"/>
    <x v="0"/>
    <x v="2"/>
    <x v="82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7"/>
    <x v="0"/>
    <x v="2"/>
    <x v="82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8"/>
    <x v="0"/>
    <x v="2"/>
    <x v="82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19"/>
    <x v="0"/>
    <x v="2"/>
    <x v="82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0"/>
    <x v="0"/>
    <x v="2"/>
    <x v="82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1"/>
    <x v="0"/>
    <x v="2"/>
    <x v="82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2"/>
    <x v="0"/>
    <x v="2"/>
    <x v="82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3"/>
    <x v="0"/>
    <x v="2"/>
    <x v="82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4"/>
    <x v="0"/>
    <x v="2"/>
    <x v="82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5"/>
    <x v="0"/>
    <x v="2"/>
    <x v="82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6"/>
    <x v="0"/>
    <x v="2"/>
    <x v="82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7"/>
    <x v="0"/>
    <x v="2"/>
    <x v="82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8"/>
    <x v="0"/>
    <x v="2"/>
    <x v="82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29"/>
    <x v="0"/>
    <x v="2"/>
    <x v="82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0"/>
    <x v="0"/>
    <x v="2"/>
    <x v="82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1"/>
    <x v="0"/>
    <x v="2"/>
    <x v="82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2"/>
    <x v="0"/>
    <x v="2"/>
    <x v="82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3"/>
    <x v="0"/>
    <x v="2"/>
    <x v="82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4"/>
    <x v="0"/>
    <x v="2"/>
    <x v="82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5"/>
    <x v="0"/>
    <x v="2"/>
    <x v="82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6"/>
    <x v="0"/>
    <x v="2"/>
    <x v="82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7"/>
    <x v="0"/>
    <x v="2"/>
    <x v="82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8"/>
    <x v="0"/>
    <x v="2"/>
    <x v="82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39"/>
    <x v="0"/>
    <x v="2"/>
    <x v="82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0"/>
    <x v="0"/>
    <x v="2"/>
    <x v="82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1"/>
    <x v="0"/>
    <x v="2"/>
    <x v="82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2"/>
    <x v="0"/>
    <x v="2"/>
    <x v="82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5"/>
    <x v="0"/>
    <x v="2"/>
    <x v="13"/>
    <x v="11"/>
    <x v="1"/>
    <x v="18"/>
    <x v="3"/>
    <x v="4"/>
    <x v="35"/>
    <x v="0"/>
    <x v="3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2"/>
    <x v="0"/>
    <x v="2"/>
    <x v="13"/>
    <x v="11"/>
    <x v="1"/>
    <x v="18"/>
    <x v="3"/>
    <x v="4"/>
    <x v="35"/>
    <x v="0"/>
    <x v="3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3"/>
    <x v="0"/>
    <x v="2"/>
    <x v="13"/>
    <x v="11"/>
    <x v="1"/>
    <x v="18"/>
    <x v="3"/>
    <x v="4"/>
    <x v="35"/>
    <x v="0"/>
    <x v="3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6"/>
    <x v="0"/>
    <x v="2"/>
    <x v="13"/>
    <x v="11"/>
    <x v="1"/>
    <x v="18"/>
    <x v="3"/>
    <x v="4"/>
    <x v="35"/>
    <x v="0"/>
    <x v="3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7"/>
    <x v="0"/>
    <x v="2"/>
    <x v="13"/>
    <x v="11"/>
    <x v="1"/>
    <x v="18"/>
    <x v="3"/>
    <x v="4"/>
    <x v="35"/>
    <x v="0"/>
    <x v="3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8"/>
    <x v="0"/>
    <x v="2"/>
    <x v="13"/>
    <x v="11"/>
    <x v="1"/>
    <x v="18"/>
    <x v="3"/>
    <x v="4"/>
    <x v="35"/>
    <x v="0"/>
    <x v="3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59"/>
    <x v="0"/>
    <x v="2"/>
    <x v="13"/>
    <x v="11"/>
    <x v="1"/>
    <x v="18"/>
    <x v="3"/>
    <x v="4"/>
    <x v="35"/>
    <x v="0"/>
    <x v="3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0"/>
    <x v="0"/>
    <x v="2"/>
    <x v="13"/>
    <x v="11"/>
    <x v="1"/>
    <x v="18"/>
    <x v="3"/>
    <x v="4"/>
    <x v="35"/>
    <x v="0"/>
    <x v="3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1"/>
    <x v="0"/>
    <x v="2"/>
    <x v="13"/>
    <x v="11"/>
    <x v="1"/>
    <x v="18"/>
    <x v="3"/>
    <x v="4"/>
    <x v="35"/>
    <x v="0"/>
    <x v="3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2"/>
    <x v="0"/>
    <x v="2"/>
    <x v="13"/>
    <x v="11"/>
    <x v="1"/>
    <x v="18"/>
    <x v="3"/>
    <x v="4"/>
    <x v="35"/>
    <x v="0"/>
    <x v="3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3"/>
    <x v="0"/>
    <x v="2"/>
    <x v="13"/>
    <x v="11"/>
    <x v="1"/>
    <x v="18"/>
    <x v="3"/>
    <x v="4"/>
    <x v="35"/>
    <x v="0"/>
    <x v="3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4"/>
    <x v="0"/>
    <x v="2"/>
    <x v="13"/>
    <x v="11"/>
    <x v="1"/>
    <x v="18"/>
    <x v="3"/>
    <x v="4"/>
    <x v="35"/>
    <x v="0"/>
    <x v="3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5"/>
    <x v="0"/>
    <x v="2"/>
    <x v="13"/>
    <x v="11"/>
    <x v="1"/>
    <x v="18"/>
    <x v="3"/>
    <x v="4"/>
    <x v="35"/>
    <x v="0"/>
    <x v="3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6"/>
    <x v="0"/>
    <x v="2"/>
    <x v="13"/>
    <x v="11"/>
    <x v="1"/>
    <x v="18"/>
    <x v="3"/>
    <x v="4"/>
    <x v="35"/>
    <x v="0"/>
    <x v="3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7"/>
    <x v="0"/>
    <x v="2"/>
    <x v="13"/>
    <x v="11"/>
    <x v="1"/>
    <x v="18"/>
    <x v="3"/>
    <x v="4"/>
    <x v="35"/>
    <x v="0"/>
    <x v="3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8"/>
    <x v="0"/>
    <x v="2"/>
    <x v="13"/>
    <x v="11"/>
    <x v="1"/>
    <x v="18"/>
    <x v="3"/>
    <x v="4"/>
    <x v="35"/>
    <x v="0"/>
    <x v="3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69"/>
    <x v="0"/>
    <x v="2"/>
    <x v="13"/>
    <x v="11"/>
    <x v="1"/>
    <x v="18"/>
    <x v="3"/>
    <x v="4"/>
    <x v="35"/>
    <x v="0"/>
    <x v="3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0"/>
    <x v="0"/>
    <x v="2"/>
    <x v="13"/>
    <x v="11"/>
    <x v="1"/>
    <x v="18"/>
    <x v="3"/>
    <x v="4"/>
    <x v="35"/>
    <x v="0"/>
    <x v="3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1"/>
    <x v="0"/>
    <x v="2"/>
    <x v="13"/>
    <x v="11"/>
    <x v="1"/>
    <x v="18"/>
    <x v="3"/>
    <x v="4"/>
    <x v="35"/>
    <x v="0"/>
    <x v="3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2"/>
    <x v="0"/>
    <x v="2"/>
    <x v="13"/>
    <x v="11"/>
    <x v="1"/>
    <x v="18"/>
    <x v="3"/>
    <x v="4"/>
    <x v="35"/>
    <x v="0"/>
    <x v="3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3"/>
    <x v="0"/>
    <x v="2"/>
    <x v="13"/>
    <x v="11"/>
    <x v="1"/>
    <x v="18"/>
    <x v="3"/>
    <x v="4"/>
    <x v="35"/>
    <x v="0"/>
    <x v="3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4"/>
    <x v="0"/>
    <x v="2"/>
    <x v="13"/>
    <x v="11"/>
    <x v="1"/>
    <x v="18"/>
    <x v="3"/>
    <x v="4"/>
    <x v="35"/>
    <x v="0"/>
    <x v="3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5"/>
    <x v="0"/>
    <x v="2"/>
    <x v="13"/>
    <x v="11"/>
    <x v="1"/>
    <x v="18"/>
    <x v="3"/>
    <x v="4"/>
    <x v="35"/>
    <x v="0"/>
    <x v="3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6"/>
    <x v="0"/>
    <x v="2"/>
    <x v="13"/>
    <x v="11"/>
    <x v="1"/>
    <x v="18"/>
    <x v="3"/>
    <x v="4"/>
    <x v="35"/>
    <x v="0"/>
    <x v="3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7"/>
    <x v="0"/>
    <x v="2"/>
    <x v="13"/>
    <x v="11"/>
    <x v="1"/>
    <x v="18"/>
    <x v="3"/>
    <x v="4"/>
    <x v="35"/>
    <x v="0"/>
    <x v="3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8"/>
    <x v="0"/>
    <x v="2"/>
    <x v="13"/>
    <x v="11"/>
    <x v="1"/>
    <x v="18"/>
    <x v="3"/>
    <x v="4"/>
    <x v="35"/>
    <x v="0"/>
    <x v="3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79"/>
    <x v="0"/>
    <x v="2"/>
    <x v="13"/>
    <x v="11"/>
    <x v="1"/>
    <x v="18"/>
    <x v="3"/>
    <x v="4"/>
    <x v="35"/>
    <x v="0"/>
    <x v="3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0"/>
    <x v="0"/>
    <x v="2"/>
    <x v="13"/>
    <x v="11"/>
    <x v="1"/>
    <x v="18"/>
    <x v="3"/>
    <x v="4"/>
    <x v="35"/>
    <x v="0"/>
    <x v="3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481"/>
    <x v="0"/>
    <x v="2"/>
    <x v="13"/>
    <x v="11"/>
    <x v="1"/>
    <x v="18"/>
    <x v="3"/>
    <x v="4"/>
    <x v="35"/>
    <x v="0"/>
    <x v="3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9"/>
    <x v="0"/>
    <x v="2"/>
    <x v="13"/>
    <x v="11"/>
    <x v="1"/>
    <x v="18"/>
    <x v="3"/>
    <x v="4"/>
    <x v="35"/>
    <x v="0"/>
    <x v="3"/>
    <x v="8"/>
    <x v="4"/>
    <x v="8"/>
    <x v="7"/>
    <x v="4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5"/>
    <x v="0"/>
    <x v="2"/>
    <x v="22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6"/>
    <x v="0"/>
    <x v="2"/>
    <x v="53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7"/>
    <x v="0"/>
    <x v="2"/>
    <x v="73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0"/>
    <x v="0"/>
    <x v="2"/>
    <x v="21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1"/>
    <x v="0"/>
    <x v="2"/>
    <x v="88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2"/>
    <x v="0"/>
    <x v="2"/>
    <x v="54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3"/>
    <x v="0"/>
    <x v="2"/>
    <x v="74"/>
    <x v="5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08"/>
    <x v="0"/>
    <x v="2"/>
    <x v="74"/>
    <x v="7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4"/>
    <x v="0"/>
    <x v="2"/>
    <x v="14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5"/>
    <x v="0"/>
    <x v="2"/>
    <x v="42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6"/>
    <x v="0"/>
    <x v="2"/>
    <x v="81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7"/>
    <x v="0"/>
    <x v="2"/>
    <x v="82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3"/>
    <x v="64"/>
    <x v="0"/>
    <x v="3"/>
    <x v="38"/>
    <x v="11"/>
    <x v="1"/>
    <x v="1"/>
    <x v="3"/>
    <x v="4"/>
    <x v="35"/>
    <x v="0"/>
    <x v="6"/>
    <x v="8"/>
    <x v="4"/>
    <x v="3"/>
    <x v="2"/>
    <x v="40"/>
    <x v="3"/>
    <x v="12"/>
    <x v="4"/>
    <x v="0"/>
    <x v="4"/>
    <x v="2"/>
    <x v="2"/>
    <x v="2"/>
    <x v="12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767"/>
    <x v="0"/>
    <x v="3"/>
    <x v="38"/>
    <x v="11"/>
    <x v="1"/>
    <x v="1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4"/>
    <x v="0"/>
    <x v="3"/>
    <x v="38"/>
    <x v="11"/>
    <x v="1"/>
    <x v="1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5"/>
    <x v="0"/>
    <x v="3"/>
    <x v="38"/>
    <x v="11"/>
    <x v="1"/>
    <x v="1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8"/>
    <x v="0"/>
    <x v="3"/>
    <x v="38"/>
    <x v="11"/>
    <x v="1"/>
    <x v="1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9"/>
    <x v="0"/>
    <x v="3"/>
    <x v="38"/>
    <x v="11"/>
    <x v="1"/>
    <x v="1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0"/>
    <x v="0"/>
    <x v="3"/>
    <x v="38"/>
    <x v="11"/>
    <x v="1"/>
    <x v="1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1"/>
    <x v="0"/>
    <x v="3"/>
    <x v="38"/>
    <x v="11"/>
    <x v="1"/>
    <x v="1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2"/>
    <x v="0"/>
    <x v="3"/>
    <x v="38"/>
    <x v="11"/>
    <x v="1"/>
    <x v="1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3"/>
    <x v="0"/>
    <x v="3"/>
    <x v="38"/>
    <x v="11"/>
    <x v="1"/>
    <x v="1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4"/>
    <x v="0"/>
    <x v="3"/>
    <x v="38"/>
    <x v="11"/>
    <x v="1"/>
    <x v="1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5"/>
    <x v="0"/>
    <x v="3"/>
    <x v="38"/>
    <x v="11"/>
    <x v="1"/>
    <x v="1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6"/>
    <x v="0"/>
    <x v="3"/>
    <x v="38"/>
    <x v="11"/>
    <x v="1"/>
    <x v="1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7"/>
    <x v="0"/>
    <x v="3"/>
    <x v="38"/>
    <x v="11"/>
    <x v="1"/>
    <x v="1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8"/>
    <x v="0"/>
    <x v="3"/>
    <x v="38"/>
    <x v="11"/>
    <x v="1"/>
    <x v="1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79"/>
    <x v="0"/>
    <x v="3"/>
    <x v="38"/>
    <x v="11"/>
    <x v="1"/>
    <x v="1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0"/>
    <x v="0"/>
    <x v="3"/>
    <x v="38"/>
    <x v="11"/>
    <x v="1"/>
    <x v="1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1"/>
    <x v="0"/>
    <x v="3"/>
    <x v="38"/>
    <x v="11"/>
    <x v="1"/>
    <x v="1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2"/>
    <x v="0"/>
    <x v="3"/>
    <x v="38"/>
    <x v="11"/>
    <x v="1"/>
    <x v="1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3"/>
    <x v="0"/>
    <x v="3"/>
    <x v="38"/>
    <x v="11"/>
    <x v="1"/>
    <x v="1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4"/>
    <x v="0"/>
    <x v="3"/>
    <x v="38"/>
    <x v="11"/>
    <x v="1"/>
    <x v="1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5"/>
    <x v="0"/>
    <x v="3"/>
    <x v="38"/>
    <x v="11"/>
    <x v="1"/>
    <x v="1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6"/>
    <x v="0"/>
    <x v="3"/>
    <x v="38"/>
    <x v="11"/>
    <x v="1"/>
    <x v="1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7"/>
    <x v="0"/>
    <x v="3"/>
    <x v="38"/>
    <x v="11"/>
    <x v="1"/>
    <x v="1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8"/>
    <x v="0"/>
    <x v="3"/>
    <x v="38"/>
    <x v="11"/>
    <x v="1"/>
    <x v="1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89"/>
    <x v="0"/>
    <x v="3"/>
    <x v="38"/>
    <x v="11"/>
    <x v="1"/>
    <x v="1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0"/>
    <x v="0"/>
    <x v="3"/>
    <x v="38"/>
    <x v="11"/>
    <x v="1"/>
    <x v="1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1"/>
    <x v="0"/>
    <x v="3"/>
    <x v="38"/>
    <x v="11"/>
    <x v="1"/>
    <x v="1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2"/>
    <x v="0"/>
    <x v="3"/>
    <x v="38"/>
    <x v="11"/>
    <x v="1"/>
    <x v="1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3"/>
    <x v="0"/>
    <x v="3"/>
    <x v="38"/>
    <x v="11"/>
    <x v="1"/>
    <x v="1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00"/>
    <x v="65"/>
    <x v="0"/>
    <x v="3"/>
    <x v="40"/>
    <x v="11"/>
    <x v="1"/>
    <x v="2"/>
    <x v="3"/>
    <x v="4"/>
    <x v="35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796"/>
    <x v="0"/>
    <x v="3"/>
    <x v="40"/>
    <x v="11"/>
    <x v="1"/>
    <x v="2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3"/>
    <x v="0"/>
    <x v="3"/>
    <x v="40"/>
    <x v="11"/>
    <x v="1"/>
    <x v="2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4"/>
    <x v="0"/>
    <x v="3"/>
    <x v="40"/>
    <x v="11"/>
    <x v="1"/>
    <x v="2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7"/>
    <x v="0"/>
    <x v="3"/>
    <x v="40"/>
    <x v="11"/>
    <x v="1"/>
    <x v="2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8"/>
    <x v="0"/>
    <x v="3"/>
    <x v="40"/>
    <x v="11"/>
    <x v="1"/>
    <x v="2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99"/>
    <x v="0"/>
    <x v="3"/>
    <x v="40"/>
    <x v="11"/>
    <x v="1"/>
    <x v="2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0"/>
    <x v="0"/>
    <x v="3"/>
    <x v="40"/>
    <x v="11"/>
    <x v="1"/>
    <x v="2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1"/>
    <x v="0"/>
    <x v="3"/>
    <x v="40"/>
    <x v="11"/>
    <x v="1"/>
    <x v="2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2"/>
    <x v="0"/>
    <x v="3"/>
    <x v="40"/>
    <x v="11"/>
    <x v="1"/>
    <x v="2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3"/>
    <x v="0"/>
    <x v="3"/>
    <x v="40"/>
    <x v="11"/>
    <x v="1"/>
    <x v="2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4"/>
    <x v="0"/>
    <x v="3"/>
    <x v="40"/>
    <x v="11"/>
    <x v="1"/>
    <x v="2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5"/>
    <x v="0"/>
    <x v="3"/>
    <x v="40"/>
    <x v="11"/>
    <x v="1"/>
    <x v="2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6"/>
    <x v="0"/>
    <x v="3"/>
    <x v="40"/>
    <x v="11"/>
    <x v="1"/>
    <x v="2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7"/>
    <x v="0"/>
    <x v="3"/>
    <x v="40"/>
    <x v="11"/>
    <x v="1"/>
    <x v="2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8"/>
    <x v="0"/>
    <x v="3"/>
    <x v="40"/>
    <x v="11"/>
    <x v="1"/>
    <x v="2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09"/>
    <x v="0"/>
    <x v="3"/>
    <x v="40"/>
    <x v="11"/>
    <x v="1"/>
    <x v="2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0"/>
    <x v="0"/>
    <x v="3"/>
    <x v="40"/>
    <x v="11"/>
    <x v="1"/>
    <x v="2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1"/>
    <x v="0"/>
    <x v="3"/>
    <x v="40"/>
    <x v="11"/>
    <x v="1"/>
    <x v="2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2"/>
    <x v="0"/>
    <x v="3"/>
    <x v="40"/>
    <x v="11"/>
    <x v="1"/>
    <x v="2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3"/>
    <x v="0"/>
    <x v="3"/>
    <x v="40"/>
    <x v="11"/>
    <x v="1"/>
    <x v="2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4"/>
    <x v="0"/>
    <x v="3"/>
    <x v="40"/>
    <x v="11"/>
    <x v="1"/>
    <x v="2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5"/>
    <x v="0"/>
    <x v="3"/>
    <x v="40"/>
    <x v="11"/>
    <x v="1"/>
    <x v="2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6"/>
    <x v="0"/>
    <x v="3"/>
    <x v="40"/>
    <x v="11"/>
    <x v="1"/>
    <x v="2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7"/>
    <x v="0"/>
    <x v="3"/>
    <x v="40"/>
    <x v="11"/>
    <x v="1"/>
    <x v="2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8"/>
    <x v="0"/>
    <x v="3"/>
    <x v="40"/>
    <x v="11"/>
    <x v="1"/>
    <x v="2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19"/>
    <x v="0"/>
    <x v="3"/>
    <x v="40"/>
    <x v="11"/>
    <x v="1"/>
    <x v="2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0"/>
    <x v="0"/>
    <x v="3"/>
    <x v="40"/>
    <x v="11"/>
    <x v="1"/>
    <x v="2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1"/>
    <x v="0"/>
    <x v="3"/>
    <x v="40"/>
    <x v="11"/>
    <x v="1"/>
    <x v="2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2"/>
    <x v="0"/>
    <x v="3"/>
    <x v="40"/>
    <x v="11"/>
    <x v="1"/>
    <x v="2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28"/>
    <x v="66"/>
    <x v="0"/>
    <x v="3"/>
    <x v="56"/>
    <x v="11"/>
    <x v="1"/>
    <x v="3"/>
    <x v="3"/>
    <x v="4"/>
    <x v="35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825"/>
    <x v="0"/>
    <x v="3"/>
    <x v="56"/>
    <x v="11"/>
    <x v="1"/>
    <x v="3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3"/>
    <x v="0"/>
    <x v="3"/>
    <x v="56"/>
    <x v="11"/>
    <x v="1"/>
    <x v="3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6"/>
    <x v="0"/>
    <x v="3"/>
    <x v="56"/>
    <x v="11"/>
    <x v="1"/>
    <x v="3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7"/>
    <x v="0"/>
    <x v="3"/>
    <x v="56"/>
    <x v="11"/>
    <x v="1"/>
    <x v="3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8"/>
    <x v="0"/>
    <x v="3"/>
    <x v="56"/>
    <x v="11"/>
    <x v="1"/>
    <x v="3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29"/>
    <x v="0"/>
    <x v="3"/>
    <x v="56"/>
    <x v="11"/>
    <x v="1"/>
    <x v="3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0"/>
    <x v="0"/>
    <x v="3"/>
    <x v="56"/>
    <x v="11"/>
    <x v="1"/>
    <x v="3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1"/>
    <x v="0"/>
    <x v="3"/>
    <x v="56"/>
    <x v="11"/>
    <x v="1"/>
    <x v="3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2"/>
    <x v="0"/>
    <x v="3"/>
    <x v="56"/>
    <x v="11"/>
    <x v="1"/>
    <x v="3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3"/>
    <x v="0"/>
    <x v="3"/>
    <x v="56"/>
    <x v="11"/>
    <x v="1"/>
    <x v="3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4"/>
    <x v="0"/>
    <x v="3"/>
    <x v="56"/>
    <x v="11"/>
    <x v="1"/>
    <x v="3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5"/>
    <x v="0"/>
    <x v="3"/>
    <x v="56"/>
    <x v="11"/>
    <x v="1"/>
    <x v="3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6"/>
    <x v="0"/>
    <x v="3"/>
    <x v="56"/>
    <x v="11"/>
    <x v="1"/>
    <x v="3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7"/>
    <x v="0"/>
    <x v="3"/>
    <x v="56"/>
    <x v="11"/>
    <x v="1"/>
    <x v="3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8"/>
    <x v="0"/>
    <x v="3"/>
    <x v="56"/>
    <x v="11"/>
    <x v="1"/>
    <x v="3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39"/>
    <x v="0"/>
    <x v="3"/>
    <x v="56"/>
    <x v="11"/>
    <x v="1"/>
    <x v="3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0"/>
    <x v="0"/>
    <x v="3"/>
    <x v="56"/>
    <x v="11"/>
    <x v="1"/>
    <x v="3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1"/>
    <x v="0"/>
    <x v="3"/>
    <x v="56"/>
    <x v="11"/>
    <x v="1"/>
    <x v="3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2"/>
    <x v="0"/>
    <x v="3"/>
    <x v="56"/>
    <x v="11"/>
    <x v="1"/>
    <x v="3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3"/>
    <x v="0"/>
    <x v="3"/>
    <x v="56"/>
    <x v="11"/>
    <x v="1"/>
    <x v="3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4"/>
    <x v="0"/>
    <x v="3"/>
    <x v="56"/>
    <x v="11"/>
    <x v="1"/>
    <x v="3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5"/>
    <x v="0"/>
    <x v="3"/>
    <x v="56"/>
    <x v="11"/>
    <x v="1"/>
    <x v="3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6"/>
    <x v="0"/>
    <x v="3"/>
    <x v="56"/>
    <x v="11"/>
    <x v="1"/>
    <x v="3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7"/>
    <x v="0"/>
    <x v="3"/>
    <x v="56"/>
    <x v="11"/>
    <x v="1"/>
    <x v="3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8"/>
    <x v="0"/>
    <x v="3"/>
    <x v="56"/>
    <x v="11"/>
    <x v="1"/>
    <x v="3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49"/>
    <x v="0"/>
    <x v="3"/>
    <x v="56"/>
    <x v="11"/>
    <x v="1"/>
    <x v="3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0"/>
    <x v="0"/>
    <x v="3"/>
    <x v="56"/>
    <x v="11"/>
    <x v="1"/>
    <x v="3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1"/>
    <x v="0"/>
    <x v="3"/>
    <x v="56"/>
    <x v="11"/>
    <x v="1"/>
    <x v="3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2"/>
    <x v="0"/>
    <x v="3"/>
    <x v="56"/>
    <x v="11"/>
    <x v="1"/>
    <x v="3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1"/>
    <x v="67"/>
    <x v="0"/>
    <x v="3"/>
    <x v="65"/>
    <x v="11"/>
    <x v="1"/>
    <x v="4"/>
    <x v="3"/>
    <x v="4"/>
    <x v="35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854"/>
    <x v="0"/>
    <x v="3"/>
    <x v="65"/>
    <x v="11"/>
    <x v="1"/>
    <x v="4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1"/>
    <x v="0"/>
    <x v="3"/>
    <x v="65"/>
    <x v="11"/>
    <x v="1"/>
    <x v="4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2"/>
    <x v="0"/>
    <x v="3"/>
    <x v="65"/>
    <x v="11"/>
    <x v="1"/>
    <x v="4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5"/>
    <x v="0"/>
    <x v="3"/>
    <x v="65"/>
    <x v="11"/>
    <x v="1"/>
    <x v="4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6"/>
    <x v="0"/>
    <x v="3"/>
    <x v="65"/>
    <x v="11"/>
    <x v="1"/>
    <x v="4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7"/>
    <x v="0"/>
    <x v="3"/>
    <x v="65"/>
    <x v="11"/>
    <x v="1"/>
    <x v="4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8"/>
    <x v="0"/>
    <x v="3"/>
    <x v="65"/>
    <x v="11"/>
    <x v="1"/>
    <x v="4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59"/>
    <x v="0"/>
    <x v="3"/>
    <x v="65"/>
    <x v="11"/>
    <x v="1"/>
    <x v="4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0"/>
    <x v="0"/>
    <x v="3"/>
    <x v="65"/>
    <x v="11"/>
    <x v="1"/>
    <x v="4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1"/>
    <x v="0"/>
    <x v="3"/>
    <x v="65"/>
    <x v="11"/>
    <x v="1"/>
    <x v="4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2"/>
    <x v="0"/>
    <x v="3"/>
    <x v="65"/>
    <x v="11"/>
    <x v="1"/>
    <x v="4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3"/>
    <x v="0"/>
    <x v="3"/>
    <x v="65"/>
    <x v="11"/>
    <x v="1"/>
    <x v="4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4"/>
    <x v="0"/>
    <x v="3"/>
    <x v="65"/>
    <x v="11"/>
    <x v="1"/>
    <x v="4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5"/>
    <x v="0"/>
    <x v="3"/>
    <x v="65"/>
    <x v="11"/>
    <x v="1"/>
    <x v="4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6"/>
    <x v="0"/>
    <x v="3"/>
    <x v="65"/>
    <x v="11"/>
    <x v="1"/>
    <x v="4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7"/>
    <x v="0"/>
    <x v="3"/>
    <x v="65"/>
    <x v="11"/>
    <x v="1"/>
    <x v="4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8"/>
    <x v="0"/>
    <x v="3"/>
    <x v="65"/>
    <x v="11"/>
    <x v="1"/>
    <x v="4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69"/>
    <x v="0"/>
    <x v="3"/>
    <x v="65"/>
    <x v="11"/>
    <x v="1"/>
    <x v="4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0"/>
    <x v="0"/>
    <x v="3"/>
    <x v="65"/>
    <x v="11"/>
    <x v="1"/>
    <x v="4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1"/>
    <x v="0"/>
    <x v="3"/>
    <x v="65"/>
    <x v="11"/>
    <x v="1"/>
    <x v="4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2"/>
    <x v="0"/>
    <x v="3"/>
    <x v="65"/>
    <x v="11"/>
    <x v="1"/>
    <x v="4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3"/>
    <x v="0"/>
    <x v="3"/>
    <x v="65"/>
    <x v="11"/>
    <x v="1"/>
    <x v="4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4"/>
    <x v="0"/>
    <x v="3"/>
    <x v="65"/>
    <x v="11"/>
    <x v="1"/>
    <x v="4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5"/>
    <x v="0"/>
    <x v="3"/>
    <x v="65"/>
    <x v="11"/>
    <x v="1"/>
    <x v="4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6"/>
    <x v="0"/>
    <x v="3"/>
    <x v="65"/>
    <x v="11"/>
    <x v="1"/>
    <x v="4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7"/>
    <x v="0"/>
    <x v="3"/>
    <x v="65"/>
    <x v="11"/>
    <x v="1"/>
    <x v="4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8"/>
    <x v="0"/>
    <x v="3"/>
    <x v="65"/>
    <x v="11"/>
    <x v="1"/>
    <x v="4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79"/>
    <x v="0"/>
    <x v="3"/>
    <x v="65"/>
    <x v="11"/>
    <x v="1"/>
    <x v="4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0"/>
    <x v="0"/>
    <x v="3"/>
    <x v="65"/>
    <x v="11"/>
    <x v="1"/>
    <x v="4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5"/>
    <x v="68"/>
    <x v="0"/>
    <x v="3"/>
    <x v="61"/>
    <x v="11"/>
    <x v="1"/>
    <x v="5"/>
    <x v="3"/>
    <x v="4"/>
    <x v="35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883"/>
    <x v="0"/>
    <x v="3"/>
    <x v="61"/>
    <x v="11"/>
    <x v="1"/>
    <x v="5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0"/>
    <x v="0"/>
    <x v="3"/>
    <x v="61"/>
    <x v="11"/>
    <x v="1"/>
    <x v="5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1"/>
    <x v="0"/>
    <x v="3"/>
    <x v="61"/>
    <x v="11"/>
    <x v="1"/>
    <x v="5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4"/>
    <x v="0"/>
    <x v="3"/>
    <x v="61"/>
    <x v="11"/>
    <x v="1"/>
    <x v="5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5"/>
    <x v="0"/>
    <x v="3"/>
    <x v="61"/>
    <x v="11"/>
    <x v="1"/>
    <x v="5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6"/>
    <x v="0"/>
    <x v="3"/>
    <x v="61"/>
    <x v="11"/>
    <x v="1"/>
    <x v="5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7"/>
    <x v="0"/>
    <x v="3"/>
    <x v="61"/>
    <x v="11"/>
    <x v="1"/>
    <x v="5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8"/>
    <x v="0"/>
    <x v="3"/>
    <x v="61"/>
    <x v="11"/>
    <x v="1"/>
    <x v="5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89"/>
    <x v="0"/>
    <x v="3"/>
    <x v="61"/>
    <x v="11"/>
    <x v="1"/>
    <x v="5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0"/>
    <x v="0"/>
    <x v="3"/>
    <x v="61"/>
    <x v="11"/>
    <x v="1"/>
    <x v="5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1"/>
    <x v="0"/>
    <x v="3"/>
    <x v="61"/>
    <x v="11"/>
    <x v="1"/>
    <x v="5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2"/>
    <x v="0"/>
    <x v="3"/>
    <x v="61"/>
    <x v="11"/>
    <x v="1"/>
    <x v="5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3"/>
    <x v="0"/>
    <x v="3"/>
    <x v="61"/>
    <x v="11"/>
    <x v="1"/>
    <x v="5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4"/>
    <x v="0"/>
    <x v="3"/>
    <x v="61"/>
    <x v="11"/>
    <x v="1"/>
    <x v="5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5"/>
    <x v="0"/>
    <x v="3"/>
    <x v="61"/>
    <x v="11"/>
    <x v="1"/>
    <x v="5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6"/>
    <x v="0"/>
    <x v="3"/>
    <x v="61"/>
    <x v="11"/>
    <x v="1"/>
    <x v="5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7"/>
    <x v="0"/>
    <x v="3"/>
    <x v="61"/>
    <x v="11"/>
    <x v="1"/>
    <x v="5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8"/>
    <x v="0"/>
    <x v="3"/>
    <x v="61"/>
    <x v="11"/>
    <x v="1"/>
    <x v="5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899"/>
    <x v="0"/>
    <x v="3"/>
    <x v="61"/>
    <x v="11"/>
    <x v="1"/>
    <x v="5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0"/>
    <x v="0"/>
    <x v="3"/>
    <x v="61"/>
    <x v="11"/>
    <x v="1"/>
    <x v="5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1"/>
    <x v="0"/>
    <x v="3"/>
    <x v="61"/>
    <x v="11"/>
    <x v="1"/>
    <x v="5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2"/>
    <x v="0"/>
    <x v="3"/>
    <x v="61"/>
    <x v="11"/>
    <x v="1"/>
    <x v="5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3"/>
    <x v="0"/>
    <x v="3"/>
    <x v="61"/>
    <x v="11"/>
    <x v="1"/>
    <x v="5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4"/>
    <x v="0"/>
    <x v="3"/>
    <x v="61"/>
    <x v="11"/>
    <x v="1"/>
    <x v="5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5"/>
    <x v="0"/>
    <x v="3"/>
    <x v="61"/>
    <x v="11"/>
    <x v="1"/>
    <x v="5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6"/>
    <x v="0"/>
    <x v="3"/>
    <x v="61"/>
    <x v="11"/>
    <x v="1"/>
    <x v="5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7"/>
    <x v="0"/>
    <x v="3"/>
    <x v="61"/>
    <x v="11"/>
    <x v="1"/>
    <x v="5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8"/>
    <x v="0"/>
    <x v="3"/>
    <x v="61"/>
    <x v="11"/>
    <x v="1"/>
    <x v="5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09"/>
    <x v="0"/>
    <x v="3"/>
    <x v="61"/>
    <x v="11"/>
    <x v="1"/>
    <x v="5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7"/>
    <x v="69"/>
    <x v="0"/>
    <x v="3"/>
    <x v="62"/>
    <x v="11"/>
    <x v="1"/>
    <x v="6"/>
    <x v="3"/>
    <x v="4"/>
    <x v="35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912"/>
    <x v="0"/>
    <x v="3"/>
    <x v="62"/>
    <x v="11"/>
    <x v="1"/>
    <x v="6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9"/>
    <x v="0"/>
    <x v="3"/>
    <x v="62"/>
    <x v="11"/>
    <x v="1"/>
    <x v="6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0"/>
    <x v="0"/>
    <x v="3"/>
    <x v="62"/>
    <x v="11"/>
    <x v="1"/>
    <x v="6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3"/>
    <x v="0"/>
    <x v="3"/>
    <x v="62"/>
    <x v="11"/>
    <x v="1"/>
    <x v="6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4"/>
    <x v="0"/>
    <x v="3"/>
    <x v="62"/>
    <x v="11"/>
    <x v="1"/>
    <x v="6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5"/>
    <x v="0"/>
    <x v="3"/>
    <x v="62"/>
    <x v="11"/>
    <x v="1"/>
    <x v="6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6"/>
    <x v="0"/>
    <x v="3"/>
    <x v="62"/>
    <x v="11"/>
    <x v="1"/>
    <x v="6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7"/>
    <x v="0"/>
    <x v="3"/>
    <x v="62"/>
    <x v="11"/>
    <x v="1"/>
    <x v="6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8"/>
    <x v="0"/>
    <x v="3"/>
    <x v="62"/>
    <x v="11"/>
    <x v="1"/>
    <x v="6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19"/>
    <x v="0"/>
    <x v="3"/>
    <x v="62"/>
    <x v="11"/>
    <x v="1"/>
    <x v="6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0"/>
    <x v="0"/>
    <x v="3"/>
    <x v="62"/>
    <x v="11"/>
    <x v="1"/>
    <x v="6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1"/>
    <x v="0"/>
    <x v="3"/>
    <x v="62"/>
    <x v="11"/>
    <x v="1"/>
    <x v="6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2"/>
    <x v="0"/>
    <x v="3"/>
    <x v="62"/>
    <x v="11"/>
    <x v="1"/>
    <x v="6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3"/>
    <x v="0"/>
    <x v="3"/>
    <x v="62"/>
    <x v="11"/>
    <x v="1"/>
    <x v="6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4"/>
    <x v="0"/>
    <x v="3"/>
    <x v="62"/>
    <x v="11"/>
    <x v="1"/>
    <x v="6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5"/>
    <x v="0"/>
    <x v="3"/>
    <x v="62"/>
    <x v="11"/>
    <x v="1"/>
    <x v="6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6"/>
    <x v="0"/>
    <x v="3"/>
    <x v="62"/>
    <x v="11"/>
    <x v="1"/>
    <x v="6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7"/>
    <x v="0"/>
    <x v="3"/>
    <x v="62"/>
    <x v="11"/>
    <x v="1"/>
    <x v="6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8"/>
    <x v="0"/>
    <x v="3"/>
    <x v="62"/>
    <x v="11"/>
    <x v="1"/>
    <x v="6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29"/>
    <x v="0"/>
    <x v="3"/>
    <x v="62"/>
    <x v="11"/>
    <x v="1"/>
    <x v="6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0"/>
    <x v="0"/>
    <x v="3"/>
    <x v="62"/>
    <x v="11"/>
    <x v="1"/>
    <x v="6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1"/>
    <x v="0"/>
    <x v="3"/>
    <x v="62"/>
    <x v="11"/>
    <x v="1"/>
    <x v="6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2"/>
    <x v="0"/>
    <x v="3"/>
    <x v="62"/>
    <x v="11"/>
    <x v="1"/>
    <x v="6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3"/>
    <x v="0"/>
    <x v="3"/>
    <x v="62"/>
    <x v="11"/>
    <x v="1"/>
    <x v="6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4"/>
    <x v="0"/>
    <x v="3"/>
    <x v="62"/>
    <x v="11"/>
    <x v="1"/>
    <x v="6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5"/>
    <x v="0"/>
    <x v="3"/>
    <x v="62"/>
    <x v="11"/>
    <x v="1"/>
    <x v="6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6"/>
    <x v="0"/>
    <x v="3"/>
    <x v="62"/>
    <x v="11"/>
    <x v="1"/>
    <x v="6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7"/>
    <x v="0"/>
    <x v="3"/>
    <x v="62"/>
    <x v="11"/>
    <x v="1"/>
    <x v="6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38"/>
    <x v="0"/>
    <x v="3"/>
    <x v="62"/>
    <x v="11"/>
    <x v="1"/>
    <x v="6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34"/>
    <x v="70"/>
    <x v="0"/>
    <x v="3"/>
    <x v="64"/>
    <x v="11"/>
    <x v="1"/>
    <x v="7"/>
    <x v="3"/>
    <x v="4"/>
    <x v="35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941"/>
    <x v="0"/>
    <x v="3"/>
    <x v="64"/>
    <x v="11"/>
    <x v="1"/>
    <x v="7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8"/>
    <x v="0"/>
    <x v="3"/>
    <x v="64"/>
    <x v="11"/>
    <x v="1"/>
    <x v="7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9"/>
    <x v="0"/>
    <x v="3"/>
    <x v="64"/>
    <x v="11"/>
    <x v="1"/>
    <x v="7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2"/>
    <x v="0"/>
    <x v="3"/>
    <x v="64"/>
    <x v="11"/>
    <x v="1"/>
    <x v="7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3"/>
    <x v="0"/>
    <x v="3"/>
    <x v="64"/>
    <x v="11"/>
    <x v="1"/>
    <x v="7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4"/>
    <x v="0"/>
    <x v="3"/>
    <x v="64"/>
    <x v="11"/>
    <x v="1"/>
    <x v="7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5"/>
    <x v="0"/>
    <x v="3"/>
    <x v="64"/>
    <x v="11"/>
    <x v="1"/>
    <x v="7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6"/>
    <x v="0"/>
    <x v="3"/>
    <x v="64"/>
    <x v="11"/>
    <x v="1"/>
    <x v="7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7"/>
    <x v="0"/>
    <x v="3"/>
    <x v="64"/>
    <x v="11"/>
    <x v="1"/>
    <x v="7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8"/>
    <x v="0"/>
    <x v="3"/>
    <x v="64"/>
    <x v="11"/>
    <x v="1"/>
    <x v="7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49"/>
    <x v="0"/>
    <x v="3"/>
    <x v="64"/>
    <x v="11"/>
    <x v="1"/>
    <x v="7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0"/>
    <x v="0"/>
    <x v="3"/>
    <x v="64"/>
    <x v="11"/>
    <x v="1"/>
    <x v="7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1"/>
    <x v="0"/>
    <x v="3"/>
    <x v="64"/>
    <x v="11"/>
    <x v="1"/>
    <x v="7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2"/>
    <x v="0"/>
    <x v="3"/>
    <x v="64"/>
    <x v="11"/>
    <x v="1"/>
    <x v="7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3"/>
    <x v="0"/>
    <x v="3"/>
    <x v="64"/>
    <x v="11"/>
    <x v="1"/>
    <x v="7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4"/>
    <x v="0"/>
    <x v="3"/>
    <x v="64"/>
    <x v="11"/>
    <x v="1"/>
    <x v="7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5"/>
    <x v="0"/>
    <x v="3"/>
    <x v="64"/>
    <x v="11"/>
    <x v="1"/>
    <x v="7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6"/>
    <x v="0"/>
    <x v="3"/>
    <x v="64"/>
    <x v="11"/>
    <x v="1"/>
    <x v="7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7"/>
    <x v="0"/>
    <x v="3"/>
    <x v="64"/>
    <x v="11"/>
    <x v="1"/>
    <x v="7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8"/>
    <x v="0"/>
    <x v="3"/>
    <x v="64"/>
    <x v="11"/>
    <x v="1"/>
    <x v="7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59"/>
    <x v="0"/>
    <x v="3"/>
    <x v="64"/>
    <x v="11"/>
    <x v="1"/>
    <x v="7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0"/>
    <x v="0"/>
    <x v="3"/>
    <x v="64"/>
    <x v="11"/>
    <x v="1"/>
    <x v="7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1"/>
    <x v="0"/>
    <x v="3"/>
    <x v="64"/>
    <x v="11"/>
    <x v="1"/>
    <x v="7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2"/>
    <x v="0"/>
    <x v="3"/>
    <x v="64"/>
    <x v="11"/>
    <x v="1"/>
    <x v="7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3"/>
    <x v="0"/>
    <x v="3"/>
    <x v="64"/>
    <x v="11"/>
    <x v="1"/>
    <x v="7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4"/>
    <x v="0"/>
    <x v="3"/>
    <x v="64"/>
    <x v="11"/>
    <x v="1"/>
    <x v="7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5"/>
    <x v="0"/>
    <x v="3"/>
    <x v="64"/>
    <x v="11"/>
    <x v="1"/>
    <x v="7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6"/>
    <x v="0"/>
    <x v="3"/>
    <x v="64"/>
    <x v="11"/>
    <x v="1"/>
    <x v="7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67"/>
    <x v="0"/>
    <x v="3"/>
    <x v="64"/>
    <x v="11"/>
    <x v="1"/>
    <x v="7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88"/>
    <x v="71"/>
    <x v="0"/>
    <x v="3"/>
    <x v="63"/>
    <x v="11"/>
    <x v="1"/>
    <x v="8"/>
    <x v="3"/>
    <x v="4"/>
    <x v="35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970"/>
    <x v="0"/>
    <x v="3"/>
    <x v="63"/>
    <x v="11"/>
    <x v="1"/>
    <x v="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7"/>
    <x v="0"/>
    <x v="3"/>
    <x v="63"/>
    <x v="11"/>
    <x v="1"/>
    <x v="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8"/>
    <x v="0"/>
    <x v="3"/>
    <x v="63"/>
    <x v="11"/>
    <x v="1"/>
    <x v="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1"/>
    <x v="0"/>
    <x v="3"/>
    <x v="63"/>
    <x v="11"/>
    <x v="1"/>
    <x v="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2"/>
    <x v="0"/>
    <x v="3"/>
    <x v="63"/>
    <x v="11"/>
    <x v="1"/>
    <x v="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3"/>
    <x v="0"/>
    <x v="3"/>
    <x v="63"/>
    <x v="11"/>
    <x v="1"/>
    <x v="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4"/>
    <x v="0"/>
    <x v="3"/>
    <x v="63"/>
    <x v="11"/>
    <x v="1"/>
    <x v="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5"/>
    <x v="0"/>
    <x v="3"/>
    <x v="63"/>
    <x v="11"/>
    <x v="1"/>
    <x v="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6"/>
    <x v="0"/>
    <x v="3"/>
    <x v="63"/>
    <x v="11"/>
    <x v="1"/>
    <x v="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7"/>
    <x v="0"/>
    <x v="3"/>
    <x v="63"/>
    <x v="11"/>
    <x v="1"/>
    <x v="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8"/>
    <x v="0"/>
    <x v="3"/>
    <x v="63"/>
    <x v="11"/>
    <x v="1"/>
    <x v="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79"/>
    <x v="0"/>
    <x v="3"/>
    <x v="63"/>
    <x v="11"/>
    <x v="1"/>
    <x v="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0"/>
    <x v="0"/>
    <x v="3"/>
    <x v="63"/>
    <x v="11"/>
    <x v="1"/>
    <x v="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1"/>
    <x v="0"/>
    <x v="3"/>
    <x v="63"/>
    <x v="11"/>
    <x v="1"/>
    <x v="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2"/>
    <x v="0"/>
    <x v="3"/>
    <x v="63"/>
    <x v="11"/>
    <x v="1"/>
    <x v="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3"/>
    <x v="0"/>
    <x v="3"/>
    <x v="63"/>
    <x v="11"/>
    <x v="1"/>
    <x v="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4"/>
    <x v="0"/>
    <x v="3"/>
    <x v="63"/>
    <x v="11"/>
    <x v="1"/>
    <x v="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5"/>
    <x v="0"/>
    <x v="3"/>
    <x v="63"/>
    <x v="11"/>
    <x v="1"/>
    <x v="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6"/>
    <x v="0"/>
    <x v="3"/>
    <x v="63"/>
    <x v="11"/>
    <x v="1"/>
    <x v="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7"/>
    <x v="0"/>
    <x v="3"/>
    <x v="63"/>
    <x v="11"/>
    <x v="1"/>
    <x v="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8"/>
    <x v="0"/>
    <x v="3"/>
    <x v="63"/>
    <x v="11"/>
    <x v="1"/>
    <x v="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89"/>
    <x v="0"/>
    <x v="3"/>
    <x v="63"/>
    <x v="11"/>
    <x v="1"/>
    <x v="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0"/>
    <x v="0"/>
    <x v="3"/>
    <x v="63"/>
    <x v="11"/>
    <x v="1"/>
    <x v="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1"/>
    <x v="0"/>
    <x v="3"/>
    <x v="63"/>
    <x v="11"/>
    <x v="1"/>
    <x v="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2"/>
    <x v="0"/>
    <x v="3"/>
    <x v="63"/>
    <x v="11"/>
    <x v="1"/>
    <x v="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3"/>
    <x v="0"/>
    <x v="3"/>
    <x v="63"/>
    <x v="11"/>
    <x v="1"/>
    <x v="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4"/>
    <x v="0"/>
    <x v="3"/>
    <x v="63"/>
    <x v="11"/>
    <x v="1"/>
    <x v="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5"/>
    <x v="0"/>
    <x v="3"/>
    <x v="63"/>
    <x v="11"/>
    <x v="1"/>
    <x v="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6"/>
    <x v="0"/>
    <x v="3"/>
    <x v="63"/>
    <x v="11"/>
    <x v="1"/>
    <x v="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26"/>
    <x v="72"/>
    <x v="0"/>
    <x v="4"/>
    <x v="16"/>
    <x v="11"/>
    <x v="1"/>
    <x v="18"/>
    <x v="3"/>
    <x v="4"/>
    <x v="20"/>
    <x v="0"/>
    <x v="6"/>
    <x v="8"/>
    <x v="4"/>
    <x v="1"/>
    <x v="0"/>
    <x v="40"/>
    <x v="0"/>
    <x v="1"/>
    <x v="4"/>
    <x v="1"/>
    <x v="4"/>
    <x v="2"/>
    <x v="2"/>
    <x v="2"/>
    <x v="14"/>
    <x v="0"/>
    <x v="0"/>
    <x v="0"/>
    <x v="0"/>
    <x v="0"/>
    <x v="1"/>
    <x v="0"/>
    <x v="1"/>
    <x v="0"/>
    <x v="0"/>
    <x v="0"/>
    <x v="0"/>
    <x v="0"/>
    <x v="0"/>
    <x v="0"/>
    <x v="0"/>
  </r>
  <r>
    <x v="79"/>
    <x v="73"/>
    <x v="0"/>
    <x v="4"/>
    <x v="16"/>
    <x v="11"/>
    <x v="1"/>
    <x v="18"/>
    <x v="3"/>
    <x v="4"/>
    <x v="20"/>
    <x v="0"/>
    <x v="6"/>
    <x v="8"/>
    <x v="4"/>
    <x v="1"/>
    <x v="0"/>
    <x v="40"/>
    <x v="2"/>
    <x v="1"/>
    <x v="4"/>
    <x v="1"/>
    <x v="5"/>
    <x v="2"/>
    <x v="2"/>
    <x v="2"/>
    <x v="13"/>
    <x v="0"/>
    <x v="0"/>
    <x v="0"/>
    <x v="0"/>
    <x v="0"/>
    <x v="0"/>
    <x v="0"/>
    <x v="1"/>
    <x v="0"/>
    <x v="0"/>
    <x v="0"/>
    <x v="0"/>
    <x v="0"/>
    <x v="0"/>
    <x v="0"/>
    <x v="0"/>
  </r>
  <r>
    <x v="121"/>
    <x v="74"/>
    <x v="0"/>
    <x v="4"/>
    <x v="17"/>
    <x v="11"/>
    <x v="1"/>
    <x v="18"/>
    <x v="3"/>
    <x v="4"/>
    <x v="30"/>
    <x v="0"/>
    <x v="6"/>
    <x v="8"/>
    <x v="4"/>
    <x v="4"/>
    <x v="6"/>
    <x v="40"/>
    <x v="0"/>
    <x v="15"/>
    <x v="4"/>
    <x v="1"/>
    <x v="4"/>
    <x v="2"/>
    <x v="2"/>
    <x v="2"/>
    <x v="16"/>
    <x v="0"/>
    <x v="0"/>
    <x v="0"/>
    <x v="0"/>
    <x v="0"/>
    <x v="1"/>
    <x v="0"/>
    <x v="1"/>
    <x v="0"/>
    <x v="0"/>
    <x v="0"/>
    <x v="0"/>
    <x v="0"/>
    <x v="0"/>
    <x v="0"/>
    <x v="0"/>
  </r>
  <r>
    <x v="147"/>
    <x v="75"/>
    <x v="0"/>
    <x v="4"/>
    <x v="17"/>
    <x v="11"/>
    <x v="1"/>
    <x v="18"/>
    <x v="3"/>
    <x v="4"/>
    <x v="30"/>
    <x v="0"/>
    <x v="6"/>
    <x v="8"/>
    <x v="4"/>
    <x v="4"/>
    <x v="6"/>
    <x v="40"/>
    <x v="2"/>
    <x v="15"/>
    <x v="4"/>
    <x v="1"/>
    <x v="5"/>
    <x v="2"/>
    <x v="2"/>
    <x v="2"/>
    <x v="15"/>
    <x v="0"/>
    <x v="0"/>
    <x v="0"/>
    <x v="0"/>
    <x v="0"/>
    <x v="0"/>
    <x v="0"/>
    <x v="1"/>
    <x v="0"/>
    <x v="0"/>
    <x v="0"/>
    <x v="0"/>
    <x v="0"/>
    <x v="0"/>
    <x v="0"/>
    <x v="0"/>
  </r>
  <r>
    <x v="152"/>
    <x v="76"/>
    <x v="0"/>
    <x v="4"/>
    <x v="18"/>
    <x v="11"/>
    <x v="1"/>
    <x v="18"/>
    <x v="3"/>
    <x v="4"/>
    <x v="25"/>
    <x v="0"/>
    <x v="6"/>
    <x v="8"/>
    <x v="4"/>
    <x v="4"/>
    <x v="2"/>
    <x v="40"/>
    <x v="1"/>
    <x v="14"/>
    <x v="4"/>
    <x v="0"/>
    <x v="4"/>
    <x v="2"/>
    <x v="2"/>
    <x v="2"/>
    <x v="17"/>
    <x v="0"/>
    <x v="0"/>
    <x v="0"/>
    <x v="0"/>
    <x v="0"/>
    <x v="1"/>
    <x v="0"/>
    <x v="1"/>
    <x v="0"/>
    <x v="0"/>
    <x v="0"/>
    <x v="0"/>
    <x v="0"/>
    <x v="0"/>
    <x v="0"/>
    <x v="0"/>
  </r>
  <r>
    <x v="8"/>
    <x v="77"/>
    <x v="0"/>
    <x v="4"/>
    <x v="19"/>
    <x v="11"/>
    <x v="1"/>
    <x v="18"/>
    <x v="3"/>
    <x v="4"/>
    <x v="19"/>
    <x v="0"/>
    <x v="6"/>
    <x v="8"/>
    <x v="4"/>
    <x v="4"/>
    <x v="2"/>
    <x v="40"/>
    <x v="0"/>
    <x v="14"/>
    <x v="4"/>
    <x v="0"/>
    <x v="4"/>
    <x v="2"/>
    <x v="2"/>
    <x v="2"/>
    <x v="18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1021"/>
    <x v="0"/>
    <x v="4"/>
    <x v="17"/>
    <x v="11"/>
    <x v="1"/>
    <x v="18"/>
    <x v="3"/>
    <x v="4"/>
    <x v="30"/>
    <x v="0"/>
    <x v="6"/>
    <x v="8"/>
    <x v="4"/>
    <x v="1"/>
    <x v="11"/>
    <x v="2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2"/>
    <x v="0"/>
    <x v="4"/>
    <x v="17"/>
    <x v="11"/>
    <x v="1"/>
    <x v="18"/>
    <x v="3"/>
    <x v="4"/>
    <x v="30"/>
    <x v="0"/>
    <x v="6"/>
    <x v="8"/>
    <x v="4"/>
    <x v="1"/>
    <x v="11"/>
    <x v="4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3"/>
    <x v="0"/>
    <x v="4"/>
    <x v="17"/>
    <x v="11"/>
    <x v="1"/>
    <x v="18"/>
    <x v="3"/>
    <x v="4"/>
    <x v="30"/>
    <x v="0"/>
    <x v="6"/>
    <x v="8"/>
    <x v="4"/>
    <x v="1"/>
    <x v="11"/>
    <x v="12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4"/>
    <x v="0"/>
    <x v="4"/>
    <x v="17"/>
    <x v="11"/>
    <x v="1"/>
    <x v="18"/>
    <x v="3"/>
    <x v="4"/>
    <x v="30"/>
    <x v="0"/>
    <x v="6"/>
    <x v="8"/>
    <x v="4"/>
    <x v="1"/>
    <x v="11"/>
    <x v="1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5"/>
    <x v="0"/>
    <x v="4"/>
    <x v="17"/>
    <x v="11"/>
    <x v="1"/>
    <x v="18"/>
    <x v="3"/>
    <x v="4"/>
    <x v="30"/>
    <x v="0"/>
    <x v="6"/>
    <x v="8"/>
    <x v="4"/>
    <x v="1"/>
    <x v="11"/>
    <x v="15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6"/>
    <x v="0"/>
    <x v="4"/>
    <x v="17"/>
    <x v="11"/>
    <x v="1"/>
    <x v="18"/>
    <x v="3"/>
    <x v="4"/>
    <x v="30"/>
    <x v="0"/>
    <x v="6"/>
    <x v="8"/>
    <x v="4"/>
    <x v="1"/>
    <x v="11"/>
    <x v="17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7"/>
    <x v="0"/>
    <x v="4"/>
    <x v="17"/>
    <x v="11"/>
    <x v="1"/>
    <x v="18"/>
    <x v="3"/>
    <x v="4"/>
    <x v="30"/>
    <x v="0"/>
    <x v="6"/>
    <x v="8"/>
    <x v="4"/>
    <x v="1"/>
    <x v="11"/>
    <x v="18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8"/>
    <x v="0"/>
    <x v="4"/>
    <x v="17"/>
    <x v="11"/>
    <x v="1"/>
    <x v="18"/>
    <x v="3"/>
    <x v="4"/>
    <x v="30"/>
    <x v="0"/>
    <x v="6"/>
    <x v="8"/>
    <x v="4"/>
    <x v="1"/>
    <x v="11"/>
    <x v="29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9"/>
    <x v="0"/>
    <x v="4"/>
    <x v="17"/>
    <x v="11"/>
    <x v="1"/>
    <x v="18"/>
    <x v="3"/>
    <x v="4"/>
    <x v="30"/>
    <x v="0"/>
    <x v="6"/>
    <x v="8"/>
    <x v="4"/>
    <x v="1"/>
    <x v="11"/>
    <x v="27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0"/>
    <x v="0"/>
    <x v="4"/>
    <x v="17"/>
    <x v="11"/>
    <x v="1"/>
    <x v="18"/>
    <x v="3"/>
    <x v="4"/>
    <x v="30"/>
    <x v="0"/>
    <x v="6"/>
    <x v="8"/>
    <x v="4"/>
    <x v="1"/>
    <x v="11"/>
    <x v="3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1"/>
    <x v="0"/>
    <x v="4"/>
    <x v="17"/>
    <x v="11"/>
    <x v="1"/>
    <x v="18"/>
    <x v="3"/>
    <x v="4"/>
    <x v="30"/>
    <x v="0"/>
    <x v="6"/>
    <x v="8"/>
    <x v="4"/>
    <x v="1"/>
    <x v="11"/>
    <x v="34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2"/>
    <x v="0"/>
    <x v="4"/>
    <x v="17"/>
    <x v="11"/>
    <x v="1"/>
    <x v="18"/>
    <x v="3"/>
    <x v="4"/>
    <x v="30"/>
    <x v="0"/>
    <x v="6"/>
    <x v="8"/>
    <x v="4"/>
    <x v="1"/>
    <x v="11"/>
    <x v="35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3"/>
    <x v="0"/>
    <x v="4"/>
    <x v="17"/>
    <x v="11"/>
    <x v="1"/>
    <x v="18"/>
    <x v="3"/>
    <x v="4"/>
    <x v="30"/>
    <x v="0"/>
    <x v="6"/>
    <x v="8"/>
    <x v="4"/>
    <x v="1"/>
    <x v="11"/>
    <x v="38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4"/>
    <x v="0"/>
    <x v="4"/>
    <x v="17"/>
    <x v="11"/>
    <x v="1"/>
    <x v="18"/>
    <x v="3"/>
    <x v="4"/>
    <x v="30"/>
    <x v="0"/>
    <x v="6"/>
    <x v="8"/>
    <x v="4"/>
    <x v="1"/>
    <x v="11"/>
    <x v="39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5"/>
    <x v="0"/>
    <x v="4"/>
    <x v="18"/>
    <x v="11"/>
    <x v="1"/>
    <x v="18"/>
    <x v="3"/>
    <x v="4"/>
    <x v="25"/>
    <x v="0"/>
    <x v="6"/>
    <x v="8"/>
    <x v="4"/>
    <x v="1"/>
    <x v="11"/>
    <x v="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6"/>
    <x v="0"/>
    <x v="4"/>
    <x v="18"/>
    <x v="11"/>
    <x v="1"/>
    <x v="18"/>
    <x v="3"/>
    <x v="4"/>
    <x v="25"/>
    <x v="0"/>
    <x v="6"/>
    <x v="8"/>
    <x v="4"/>
    <x v="1"/>
    <x v="11"/>
    <x v="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7"/>
    <x v="0"/>
    <x v="4"/>
    <x v="18"/>
    <x v="11"/>
    <x v="1"/>
    <x v="18"/>
    <x v="3"/>
    <x v="4"/>
    <x v="25"/>
    <x v="0"/>
    <x v="6"/>
    <x v="8"/>
    <x v="4"/>
    <x v="1"/>
    <x v="11"/>
    <x v="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8"/>
    <x v="0"/>
    <x v="4"/>
    <x v="18"/>
    <x v="11"/>
    <x v="1"/>
    <x v="18"/>
    <x v="3"/>
    <x v="4"/>
    <x v="25"/>
    <x v="0"/>
    <x v="6"/>
    <x v="8"/>
    <x v="4"/>
    <x v="1"/>
    <x v="11"/>
    <x v="6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39"/>
    <x v="0"/>
    <x v="4"/>
    <x v="18"/>
    <x v="11"/>
    <x v="1"/>
    <x v="18"/>
    <x v="3"/>
    <x v="4"/>
    <x v="25"/>
    <x v="0"/>
    <x v="6"/>
    <x v="8"/>
    <x v="4"/>
    <x v="1"/>
    <x v="11"/>
    <x v="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0"/>
    <x v="0"/>
    <x v="4"/>
    <x v="18"/>
    <x v="11"/>
    <x v="1"/>
    <x v="18"/>
    <x v="3"/>
    <x v="4"/>
    <x v="25"/>
    <x v="0"/>
    <x v="6"/>
    <x v="8"/>
    <x v="4"/>
    <x v="1"/>
    <x v="11"/>
    <x v="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1"/>
    <x v="0"/>
    <x v="4"/>
    <x v="18"/>
    <x v="11"/>
    <x v="1"/>
    <x v="18"/>
    <x v="3"/>
    <x v="4"/>
    <x v="25"/>
    <x v="0"/>
    <x v="6"/>
    <x v="8"/>
    <x v="4"/>
    <x v="1"/>
    <x v="11"/>
    <x v="1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2"/>
    <x v="0"/>
    <x v="4"/>
    <x v="18"/>
    <x v="11"/>
    <x v="1"/>
    <x v="18"/>
    <x v="3"/>
    <x v="4"/>
    <x v="25"/>
    <x v="0"/>
    <x v="6"/>
    <x v="8"/>
    <x v="4"/>
    <x v="1"/>
    <x v="11"/>
    <x v="1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3"/>
    <x v="0"/>
    <x v="4"/>
    <x v="18"/>
    <x v="11"/>
    <x v="1"/>
    <x v="18"/>
    <x v="3"/>
    <x v="4"/>
    <x v="25"/>
    <x v="0"/>
    <x v="6"/>
    <x v="8"/>
    <x v="4"/>
    <x v="1"/>
    <x v="11"/>
    <x v="1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4"/>
    <x v="0"/>
    <x v="4"/>
    <x v="18"/>
    <x v="11"/>
    <x v="1"/>
    <x v="18"/>
    <x v="3"/>
    <x v="4"/>
    <x v="25"/>
    <x v="0"/>
    <x v="6"/>
    <x v="8"/>
    <x v="4"/>
    <x v="1"/>
    <x v="11"/>
    <x v="1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5"/>
    <x v="0"/>
    <x v="4"/>
    <x v="18"/>
    <x v="11"/>
    <x v="1"/>
    <x v="18"/>
    <x v="3"/>
    <x v="4"/>
    <x v="25"/>
    <x v="0"/>
    <x v="6"/>
    <x v="8"/>
    <x v="4"/>
    <x v="1"/>
    <x v="11"/>
    <x v="15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6"/>
    <x v="0"/>
    <x v="4"/>
    <x v="18"/>
    <x v="11"/>
    <x v="1"/>
    <x v="18"/>
    <x v="3"/>
    <x v="4"/>
    <x v="25"/>
    <x v="0"/>
    <x v="6"/>
    <x v="8"/>
    <x v="4"/>
    <x v="1"/>
    <x v="11"/>
    <x v="17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7"/>
    <x v="0"/>
    <x v="4"/>
    <x v="18"/>
    <x v="11"/>
    <x v="1"/>
    <x v="18"/>
    <x v="3"/>
    <x v="4"/>
    <x v="25"/>
    <x v="0"/>
    <x v="6"/>
    <x v="8"/>
    <x v="4"/>
    <x v="1"/>
    <x v="11"/>
    <x v="1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8"/>
    <x v="0"/>
    <x v="4"/>
    <x v="18"/>
    <x v="11"/>
    <x v="1"/>
    <x v="18"/>
    <x v="3"/>
    <x v="4"/>
    <x v="25"/>
    <x v="0"/>
    <x v="6"/>
    <x v="8"/>
    <x v="4"/>
    <x v="1"/>
    <x v="11"/>
    <x v="2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49"/>
    <x v="0"/>
    <x v="4"/>
    <x v="18"/>
    <x v="11"/>
    <x v="1"/>
    <x v="18"/>
    <x v="3"/>
    <x v="4"/>
    <x v="25"/>
    <x v="0"/>
    <x v="6"/>
    <x v="8"/>
    <x v="4"/>
    <x v="1"/>
    <x v="11"/>
    <x v="2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50"/>
    <x v="0"/>
    <x v="4"/>
    <x v="18"/>
    <x v="11"/>
    <x v="1"/>
    <x v="18"/>
    <x v="3"/>
    <x v="4"/>
    <x v="25"/>
    <x v="0"/>
    <x v="6"/>
    <x v="8"/>
    <x v="4"/>
    <x v="1"/>
    <x v="11"/>
    <x v="3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51"/>
    <x v="0"/>
    <x v="4"/>
    <x v="18"/>
    <x v="11"/>
    <x v="1"/>
    <x v="18"/>
    <x v="3"/>
    <x v="4"/>
    <x v="25"/>
    <x v="0"/>
    <x v="6"/>
    <x v="8"/>
    <x v="4"/>
    <x v="1"/>
    <x v="11"/>
    <x v="3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52"/>
    <x v="0"/>
    <x v="4"/>
    <x v="18"/>
    <x v="11"/>
    <x v="1"/>
    <x v="18"/>
    <x v="3"/>
    <x v="4"/>
    <x v="25"/>
    <x v="0"/>
    <x v="6"/>
    <x v="8"/>
    <x v="4"/>
    <x v="1"/>
    <x v="11"/>
    <x v="3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53"/>
    <x v="0"/>
    <x v="4"/>
    <x v="18"/>
    <x v="11"/>
    <x v="1"/>
    <x v="18"/>
    <x v="3"/>
    <x v="4"/>
    <x v="25"/>
    <x v="0"/>
    <x v="6"/>
    <x v="8"/>
    <x v="4"/>
    <x v="1"/>
    <x v="11"/>
    <x v="3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54"/>
    <x v="0"/>
    <x v="4"/>
    <x v="18"/>
    <x v="11"/>
    <x v="1"/>
    <x v="18"/>
    <x v="3"/>
    <x v="4"/>
    <x v="25"/>
    <x v="0"/>
    <x v="6"/>
    <x v="8"/>
    <x v="4"/>
    <x v="1"/>
    <x v="11"/>
    <x v="36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55"/>
    <x v="0"/>
    <x v="4"/>
    <x v="18"/>
    <x v="11"/>
    <x v="1"/>
    <x v="18"/>
    <x v="3"/>
    <x v="4"/>
    <x v="25"/>
    <x v="0"/>
    <x v="6"/>
    <x v="8"/>
    <x v="4"/>
    <x v="1"/>
    <x v="11"/>
    <x v="3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56"/>
    <x v="0"/>
    <x v="4"/>
    <x v="18"/>
    <x v="11"/>
    <x v="1"/>
    <x v="18"/>
    <x v="3"/>
    <x v="4"/>
    <x v="25"/>
    <x v="0"/>
    <x v="6"/>
    <x v="8"/>
    <x v="4"/>
    <x v="1"/>
    <x v="11"/>
    <x v="3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5"/>
    <x v="0"/>
    <x v="4"/>
    <x v="19"/>
    <x v="11"/>
    <x v="1"/>
    <x v="18"/>
    <x v="3"/>
    <x v="4"/>
    <x v="19"/>
    <x v="0"/>
    <x v="6"/>
    <x v="8"/>
    <x v="4"/>
    <x v="1"/>
    <x v="11"/>
    <x v="0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6"/>
    <x v="0"/>
    <x v="4"/>
    <x v="19"/>
    <x v="11"/>
    <x v="1"/>
    <x v="18"/>
    <x v="3"/>
    <x v="4"/>
    <x v="19"/>
    <x v="0"/>
    <x v="6"/>
    <x v="8"/>
    <x v="4"/>
    <x v="1"/>
    <x v="11"/>
    <x v="2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7"/>
    <x v="0"/>
    <x v="4"/>
    <x v="19"/>
    <x v="11"/>
    <x v="1"/>
    <x v="18"/>
    <x v="3"/>
    <x v="4"/>
    <x v="19"/>
    <x v="0"/>
    <x v="6"/>
    <x v="8"/>
    <x v="4"/>
    <x v="1"/>
    <x v="11"/>
    <x v="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8"/>
    <x v="0"/>
    <x v="4"/>
    <x v="19"/>
    <x v="11"/>
    <x v="1"/>
    <x v="18"/>
    <x v="3"/>
    <x v="4"/>
    <x v="19"/>
    <x v="0"/>
    <x v="6"/>
    <x v="8"/>
    <x v="4"/>
    <x v="1"/>
    <x v="11"/>
    <x v="6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9"/>
    <x v="0"/>
    <x v="4"/>
    <x v="19"/>
    <x v="11"/>
    <x v="1"/>
    <x v="18"/>
    <x v="3"/>
    <x v="4"/>
    <x v="19"/>
    <x v="0"/>
    <x v="6"/>
    <x v="8"/>
    <x v="4"/>
    <x v="1"/>
    <x v="11"/>
    <x v="8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0"/>
    <x v="0"/>
    <x v="4"/>
    <x v="19"/>
    <x v="11"/>
    <x v="1"/>
    <x v="18"/>
    <x v="3"/>
    <x v="4"/>
    <x v="19"/>
    <x v="0"/>
    <x v="6"/>
    <x v="8"/>
    <x v="4"/>
    <x v="1"/>
    <x v="11"/>
    <x v="9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1"/>
    <x v="0"/>
    <x v="4"/>
    <x v="19"/>
    <x v="11"/>
    <x v="1"/>
    <x v="18"/>
    <x v="3"/>
    <x v="4"/>
    <x v="19"/>
    <x v="0"/>
    <x v="6"/>
    <x v="8"/>
    <x v="4"/>
    <x v="1"/>
    <x v="11"/>
    <x v="10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2"/>
    <x v="0"/>
    <x v="4"/>
    <x v="19"/>
    <x v="11"/>
    <x v="1"/>
    <x v="18"/>
    <x v="3"/>
    <x v="4"/>
    <x v="19"/>
    <x v="0"/>
    <x v="6"/>
    <x v="8"/>
    <x v="4"/>
    <x v="1"/>
    <x v="11"/>
    <x v="11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3"/>
    <x v="0"/>
    <x v="4"/>
    <x v="19"/>
    <x v="11"/>
    <x v="1"/>
    <x v="18"/>
    <x v="3"/>
    <x v="4"/>
    <x v="19"/>
    <x v="0"/>
    <x v="6"/>
    <x v="8"/>
    <x v="4"/>
    <x v="1"/>
    <x v="11"/>
    <x v="12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4"/>
    <x v="0"/>
    <x v="4"/>
    <x v="19"/>
    <x v="11"/>
    <x v="1"/>
    <x v="18"/>
    <x v="3"/>
    <x v="4"/>
    <x v="19"/>
    <x v="0"/>
    <x v="6"/>
    <x v="8"/>
    <x v="4"/>
    <x v="1"/>
    <x v="11"/>
    <x v="1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5"/>
    <x v="0"/>
    <x v="4"/>
    <x v="19"/>
    <x v="11"/>
    <x v="1"/>
    <x v="18"/>
    <x v="3"/>
    <x v="4"/>
    <x v="19"/>
    <x v="0"/>
    <x v="6"/>
    <x v="8"/>
    <x v="4"/>
    <x v="1"/>
    <x v="11"/>
    <x v="15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6"/>
    <x v="0"/>
    <x v="4"/>
    <x v="19"/>
    <x v="11"/>
    <x v="1"/>
    <x v="18"/>
    <x v="3"/>
    <x v="4"/>
    <x v="19"/>
    <x v="0"/>
    <x v="6"/>
    <x v="8"/>
    <x v="4"/>
    <x v="1"/>
    <x v="11"/>
    <x v="17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7"/>
    <x v="0"/>
    <x v="4"/>
    <x v="19"/>
    <x v="11"/>
    <x v="1"/>
    <x v="18"/>
    <x v="3"/>
    <x v="4"/>
    <x v="19"/>
    <x v="0"/>
    <x v="6"/>
    <x v="8"/>
    <x v="4"/>
    <x v="1"/>
    <x v="11"/>
    <x v="18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8"/>
    <x v="0"/>
    <x v="4"/>
    <x v="19"/>
    <x v="11"/>
    <x v="1"/>
    <x v="18"/>
    <x v="3"/>
    <x v="4"/>
    <x v="19"/>
    <x v="0"/>
    <x v="6"/>
    <x v="8"/>
    <x v="4"/>
    <x v="1"/>
    <x v="11"/>
    <x v="22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29"/>
    <x v="0"/>
    <x v="4"/>
    <x v="19"/>
    <x v="11"/>
    <x v="1"/>
    <x v="18"/>
    <x v="3"/>
    <x v="4"/>
    <x v="19"/>
    <x v="0"/>
    <x v="6"/>
    <x v="8"/>
    <x v="4"/>
    <x v="1"/>
    <x v="11"/>
    <x v="29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0"/>
    <x v="0"/>
    <x v="4"/>
    <x v="19"/>
    <x v="11"/>
    <x v="1"/>
    <x v="18"/>
    <x v="3"/>
    <x v="4"/>
    <x v="19"/>
    <x v="0"/>
    <x v="6"/>
    <x v="8"/>
    <x v="4"/>
    <x v="1"/>
    <x v="11"/>
    <x v="30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1"/>
    <x v="0"/>
    <x v="4"/>
    <x v="19"/>
    <x v="11"/>
    <x v="1"/>
    <x v="18"/>
    <x v="3"/>
    <x v="4"/>
    <x v="19"/>
    <x v="0"/>
    <x v="6"/>
    <x v="8"/>
    <x v="4"/>
    <x v="1"/>
    <x v="11"/>
    <x v="31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2"/>
    <x v="0"/>
    <x v="4"/>
    <x v="19"/>
    <x v="11"/>
    <x v="1"/>
    <x v="18"/>
    <x v="3"/>
    <x v="4"/>
    <x v="19"/>
    <x v="0"/>
    <x v="6"/>
    <x v="8"/>
    <x v="4"/>
    <x v="1"/>
    <x v="11"/>
    <x v="32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3"/>
    <x v="0"/>
    <x v="4"/>
    <x v="19"/>
    <x v="11"/>
    <x v="1"/>
    <x v="18"/>
    <x v="3"/>
    <x v="4"/>
    <x v="19"/>
    <x v="0"/>
    <x v="6"/>
    <x v="8"/>
    <x v="4"/>
    <x v="1"/>
    <x v="11"/>
    <x v="3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4"/>
    <x v="0"/>
    <x v="4"/>
    <x v="19"/>
    <x v="11"/>
    <x v="1"/>
    <x v="18"/>
    <x v="3"/>
    <x v="4"/>
    <x v="19"/>
    <x v="0"/>
    <x v="6"/>
    <x v="8"/>
    <x v="4"/>
    <x v="1"/>
    <x v="11"/>
    <x v="36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5"/>
    <x v="0"/>
    <x v="4"/>
    <x v="19"/>
    <x v="11"/>
    <x v="1"/>
    <x v="18"/>
    <x v="3"/>
    <x v="4"/>
    <x v="19"/>
    <x v="0"/>
    <x v="6"/>
    <x v="8"/>
    <x v="4"/>
    <x v="1"/>
    <x v="11"/>
    <x v="38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6"/>
    <x v="0"/>
    <x v="4"/>
    <x v="19"/>
    <x v="11"/>
    <x v="1"/>
    <x v="18"/>
    <x v="3"/>
    <x v="4"/>
    <x v="19"/>
    <x v="0"/>
    <x v="6"/>
    <x v="8"/>
    <x v="4"/>
    <x v="1"/>
    <x v="11"/>
    <x v="39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46"/>
    <x v="2378"/>
    <x v="0"/>
    <x v="4"/>
    <x v="51"/>
    <x v="11"/>
    <x v="1"/>
    <x v="18"/>
    <x v="3"/>
    <x v="4"/>
    <x v="18"/>
    <x v="0"/>
    <x v="6"/>
    <x v="8"/>
    <x v="4"/>
    <x v="1"/>
    <x v="0"/>
    <x v="40"/>
    <x v="1"/>
    <x v="1"/>
    <x v="4"/>
    <x v="2"/>
    <x v="3"/>
    <x v="0"/>
    <x v="2"/>
    <x v="2"/>
    <x v="20"/>
    <x v="0"/>
    <x v="0"/>
    <x v="0"/>
    <x v="0"/>
    <x v="0"/>
    <x v="1"/>
    <x v="0"/>
    <x v="1"/>
    <x v="0"/>
    <x v="0"/>
    <x v="0"/>
    <x v="0"/>
    <x v="0"/>
    <x v="0"/>
    <x v="0"/>
    <x v="0"/>
  </r>
  <r>
    <x v="50"/>
    <x v="2379"/>
    <x v="0"/>
    <x v="4"/>
    <x v="52"/>
    <x v="11"/>
    <x v="1"/>
    <x v="18"/>
    <x v="3"/>
    <x v="4"/>
    <x v="7"/>
    <x v="0"/>
    <x v="6"/>
    <x v="8"/>
    <x v="4"/>
    <x v="1"/>
    <x v="2"/>
    <x v="40"/>
    <x v="1"/>
    <x v="1"/>
    <x v="4"/>
    <x v="1"/>
    <x v="4"/>
    <x v="2"/>
    <x v="2"/>
    <x v="2"/>
    <x v="19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1057"/>
    <x v="0"/>
    <x v="5"/>
    <x v="36"/>
    <x v="11"/>
    <x v="1"/>
    <x v="18"/>
    <x v="3"/>
    <x v="4"/>
    <x v="35"/>
    <x v="0"/>
    <x v="5"/>
    <x v="8"/>
    <x v="4"/>
    <x v="1"/>
    <x v="11"/>
    <x v="1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1"/>
    <x v="0"/>
    <x v="5"/>
    <x v="36"/>
    <x v="11"/>
    <x v="1"/>
    <x v="18"/>
    <x v="3"/>
    <x v="4"/>
    <x v="35"/>
    <x v="0"/>
    <x v="5"/>
    <x v="8"/>
    <x v="4"/>
    <x v="1"/>
    <x v="11"/>
    <x v="2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2"/>
    <x v="0"/>
    <x v="5"/>
    <x v="36"/>
    <x v="11"/>
    <x v="1"/>
    <x v="18"/>
    <x v="3"/>
    <x v="4"/>
    <x v="35"/>
    <x v="0"/>
    <x v="5"/>
    <x v="8"/>
    <x v="4"/>
    <x v="1"/>
    <x v="11"/>
    <x v="4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3"/>
    <x v="0"/>
    <x v="5"/>
    <x v="36"/>
    <x v="11"/>
    <x v="1"/>
    <x v="18"/>
    <x v="3"/>
    <x v="4"/>
    <x v="35"/>
    <x v="0"/>
    <x v="5"/>
    <x v="8"/>
    <x v="4"/>
    <x v="1"/>
    <x v="11"/>
    <x v="5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4"/>
    <x v="0"/>
    <x v="5"/>
    <x v="36"/>
    <x v="11"/>
    <x v="1"/>
    <x v="18"/>
    <x v="3"/>
    <x v="4"/>
    <x v="35"/>
    <x v="0"/>
    <x v="5"/>
    <x v="8"/>
    <x v="4"/>
    <x v="1"/>
    <x v="11"/>
    <x v="9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5"/>
    <x v="0"/>
    <x v="5"/>
    <x v="36"/>
    <x v="11"/>
    <x v="1"/>
    <x v="18"/>
    <x v="3"/>
    <x v="4"/>
    <x v="35"/>
    <x v="0"/>
    <x v="5"/>
    <x v="8"/>
    <x v="4"/>
    <x v="1"/>
    <x v="11"/>
    <x v="10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6"/>
    <x v="0"/>
    <x v="5"/>
    <x v="36"/>
    <x v="11"/>
    <x v="1"/>
    <x v="18"/>
    <x v="3"/>
    <x v="4"/>
    <x v="35"/>
    <x v="0"/>
    <x v="5"/>
    <x v="8"/>
    <x v="4"/>
    <x v="1"/>
    <x v="11"/>
    <x v="11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7"/>
    <x v="0"/>
    <x v="5"/>
    <x v="36"/>
    <x v="11"/>
    <x v="1"/>
    <x v="18"/>
    <x v="3"/>
    <x v="4"/>
    <x v="35"/>
    <x v="0"/>
    <x v="5"/>
    <x v="8"/>
    <x v="4"/>
    <x v="1"/>
    <x v="11"/>
    <x v="12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8"/>
    <x v="0"/>
    <x v="5"/>
    <x v="36"/>
    <x v="11"/>
    <x v="1"/>
    <x v="18"/>
    <x v="3"/>
    <x v="4"/>
    <x v="35"/>
    <x v="0"/>
    <x v="5"/>
    <x v="8"/>
    <x v="4"/>
    <x v="1"/>
    <x v="11"/>
    <x v="13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69"/>
    <x v="0"/>
    <x v="5"/>
    <x v="36"/>
    <x v="11"/>
    <x v="1"/>
    <x v="18"/>
    <x v="3"/>
    <x v="4"/>
    <x v="35"/>
    <x v="0"/>
    <x v="5"/>
    <x v="8"/>
    <x v="4"/>
    <x v="1"/>
    <x v="11"/>
    <x v="14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0"/>
    <x v="0"/>
    <x v="5"/>
    <x v="36"/>
    <x v="11"/>
    <x v="1"/>
    <x v="18"/>
    <x v="3"/>
    <x v="4"/>
    <x v="35"/>
    <x v="0"/>
    <x v="5"/>
    <x v="8"/>
    <x v="4"/>
    <x v="1"/>
    <x v="11"/>
    <x v="15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1"/>
    <x v="0"/>
    <x v="5"/>
    <x v="36"/>
    <x v="11"/>
    <x v="1"/>
    <x v="18"/>
    <x v="3"/>
    <x v="4"/>
    <x v="35"/>
    <x v="0"/>
    <x v="5"/>
    <x v="8"/>
    <x v="4"/>
    <x v="1"/>
    <x v="11"/>
    <x v="17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2"/>
    <x v="0"/>
    <x v="5"/>
    <x v="36"/>
    <x v="11"/>
    <x v="1"/>
    <x v="18"/>
    <x v="3"/>
    <x v="4"/>
    <x v="35"/>
    <x v="0"/>
    <x v="5"/>
    <x v="8"/>
    <x v="4"/>
    <x v="1"/>
    <x v="11"/>
    <x v="18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3"/>
    <x v="0"/>
    <x v="5"/>
    <x v="36"/>
    <x v="11"/>
    <x v="1"/>
    <x v="18"/>
    <x v="3"/>
    <x v="4"/>
    <x v="35"/>
    <x v="0"/>
    <x v="5"/>
    <x v="8"/>
    <x v="4"/>
    <x v="1"/>
    <x v="11"/>
    <x v="20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4"/>
    <x v="0"/>
    <x v="5"/>
    <x v="36"/>
    <x v="11"/>
    <x v="1"/>
    <x v="18"/>
    <x v="3"/>
    <x v="4"/>
    <x v="35"/>
    <x v="0"/>
    <x v="5"/>
    <x v="8"/>
    <x v="4"/>
    <x v="1"/>
    <x v="11"/>
    <x v="22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5"/>
    <x v="0"/>
    <x v="5"/>
    <x v="36"/>
    <x v="11"/>
    <x v="1"/>
    <x v="18"/>
    <x v="3"/>
    <x v="4"/>
    <x v="35"/>
    <x v="0"/>
    <x v="5"/>
    <x v="8"/>
    <x v="4"/>
    <x v="1"/>
    <x v="11"/>
    <x v="23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6"/>
    <x v="0"/>
    <x v="5"/>
    <x v="36"/>
    <x v="11"/>
    <x v="1"/>
    <x v="18"/>
    <x v="3"/>
    <x v="4"/>
    <x v="35"/>
    <x v="0"/>
    <x v="5"/>
    <x v="8"/>
    <x v="4"/>
    <x v="1"/>
    <x v="11"/>
    <x v="24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7"/>
    <x v="0"/>
    <x v="5"/>
    <x v="36"/>
    <x v="11"/>
    <x v="1"/>
    <x v="18"/>
    <x v="3"/>
    <x v="4"/>
    <x v="35"/>
    <x v="0"/>
    <x v="5"/>
    <x v="8"/>
    <x v="4"/>
    <x v="1"/>
    <x v="11"/>
    <x v="26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8"/>
    <x v="0"/>
    <x v="5"/>
    <x v="36"/>
    <x v="11"/>
    <x v="1"/>
    <x v="18"/>
    <x v="3"/>
    <x v="4"/>
    <x v="35"/>
    <x v="0"/>
    <x v="5"/>
    <x v="8"/>
    <x v="4"/>
    <x v="1"/>
    <x v="11"/>
    <x v="27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79"/>
    <x v="0"/>
    <x v="5"/>
    <x v="36"/>
    <x v="11"/>
    <x v="1"/>
    <x v="18"/>
    <x v="3"/>
    <x v="4"/>
    <x v="35"/>
    <x v="0"/>
    <x v="5"/>
    <x v="8"/>
    <x v="4"/>
    <x v="1"/>
    <x v="11"/>
    <x v="28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80"/>
    <x v="0"/>
    <x v="5"/>
    <x v="36"/>
    <x v="11"/>
    <x v="1"/>
    <x v="18"/>
    <x v="3"/>
    <x v="4"/>
    <x v="35"/>
    <x v="0"/>
    <x v="5"/>
    <x v="8"/>
    <x v="4"/>
    <x v="1"/>
    <x v="11"/>
    <x v="29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81"/>
    <x v="0"/>
    <x v="5"/>
    <x v="36"/>
    <x v="11"/>
    <x v="1"/>
    <x v="18"/>
    <x v="3"/>
    <x v="4"/>
    <x v="35"/>
    <x v="0"/>
    <x v="5"/>
    <x v="8"/>
    <x v="4"/>
    <x v="1"/>
    <x v="11"/>
    <x v="30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82"/>
    <x v="0"/>
    <x v="5"/>
    <x v="36"/>
    <x v="11"/>
    <x v="1"/>
    <x v="18"/>
    <x v="3"/>
    <x v="4"/>
    <x v="35"/>
    <x v="0"/>
    <x v="5"/>
    <x v="8"/>
    <x v="4"/>
    <x v="1"/>
    <x v="11"/>
    <x v="31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83"/>
    <x v="0"/>
    <x v="5"/>
    <x v="36"/>
    <x v="11"/>
    <x v="1"/>
    <x v="18"/>
    <x v="3"/>
    <x v="4"/>
    <x v="35"/>
    <x v="0"/>
    <x v="5"/>
    <x v="8"/>
    <x v="4"/>
    <x v="1"/>
    <x v="11"/>
    <x v="33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84"/>
    <x v="0"/>
    <x v="5"/>
    <x v="36"/>
    <x v="11"/>
    <x v="1"/>
    <x v="18"/>
    <x v="3"/>
    <x v="4"/>
    <x v="35"/>
    <x v="0"/>
    <x v="5"/>
    <x v="8"/>
    <x v="4"/>
    <x v="1"/>
    <x v="11"/>
    <x v="34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85"/>
    <x v="0"/>
    <x v="5"/>
    <x v="36"/>
    <x v="11"/>
    <x v="1"/>
    <x v="18"/>
    <x v="3"/>
    <x v="4"/>
    <x v="35"/>
    <x v="0"/>
    <x v="5"/>
    <x v="8"/>
    <x v="4"/>
    <x v="1"/>
    <x v="11"/>
    <x v="35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58"/>
    <x v="0"/>
    <x v="5"/>
    <x v="36"/>
    <x v="11"/>
    <x v="1"/>
    <x v="18"/>
    <x v="3"/>
    <x v="4"/>
    <x v="35"/>
    <x v="0"/>
    <x v="5"/>
    <x v="8"/>
    <x v="4"/>
    <x v="1"/>
    <x v="11"/>
    <x v="36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59"/>
    <x v="0"/>
    <x v="5"/>
    <x v="36"/>
    <x v="11"/>
    <x v="1"/>
    <x v="18"/>
    <x v="3"/>
    <x v="4"/>
    <x v="35"/>
    <x v="0"/>
    <x v="5"/>
    <x v="8"/>
    <x v="4"/>
    <x v="1"/>
    <x v="11"/>
    <x v="38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60"/>
    <x v="0"/>
    <x v="5"/>
    <x v="36"/>
    <x v="11"/>
    <x v="1"/>
    <x v="18"/>
    <x v="3"/>
    <x v="4"/>
    <x v="35"/>
    <x v="0"/>
    <x v="5"/>
    <x v="8"/>
    <x v="4"/>
    <x v="1"/>
    <x v="11"/>
    <x v="39"/>
    <x v="3"/>
    <x v="22"/>
    <x v="4"/>
    <x v="2"/>
    <x v="7"/>
    <x v="3"/>
    <x v="2"/>
    <x v="3"/>
    <x v="207"/>
    <x v="0"/>
    <x v="0"/>
    <x v="0"/>
    <x v="0"/>
    <x v="2"/>
    <x v="2"/>
    <x v="1"/>
    <x v="2"/>
    <x v="0"/>
    <x v="0"/>
    <x v="0"/>
    <x v="0"/>
    <x v="0"/>
    <x v="0"/>
    <x v="0"/>
    <x v="0"/>
  </r>
  <r>
    <x v="156"/>
    <x v="1086"/>
    <x v="0"/>
    <x v="5"/>
    <x v="36"/>
    <x v="11"/>
    <x v="1"/>
    <x v="18"/>
    <x v="3"/>
    <x v="4"/>
    <x v="35"/>
    <x v="0"/>
    <x v="4"/>
    <x v="8"/>
    <x v="4"/>
    <x v="1"/>
    <x v="11"/>
    <x v="1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0"/>
    <x v="0"/>
    <x v="5"/>
    <x v="36"/>
    <x v="11"/>
    <x v="1"/>
    <x v="18"/>
    <x v="3"/>
    <x v="4"/>
    <x v="35"/>
    <x v="0"/>
    <x v="4"/>
    <x v="8"/>
    <x v="4"/>
    <x v="1"/>
    <x v="11"/>
    <x v="2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1"/>
    <x v="0"/>
    <x v="5"/>
    <x v="36"/>
    <x v="11"/>
    <x v="1"/>
    <x v="18"/>
    <x v="3"/>
    <x v="4"/>
    <x v="35"/>
    <x v="0"/>
    <x v="4"/>
    <x v="8"/>
    <x v="4"/>
    <x v="1"/>
    <x v="11"/>
    <x v="4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2"/>
    <x v="0"/>
    <x v="5"/>
    <x v="36"/>
    <x v="11"/>
    <x v="1"/>
    <x v="18"/>
    <x v="3"/>
    <x v="4"/>
    <x v="35"/>
    <x v="0"/>
    <x v="4"/>
    <x v="8"/>
    <x v="4"/>
    <x v="1"/>
    <x v="11"/>
    <x v="5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3"/>
    <x v="0"/>
    <x v="5"/>
    <x v="36"/>
    <x v="11"/>
    <x v="1"/>
    <x v="18"/>
    <x v="3"/>
    <x v="4"/>
    <x v="35"/>
    <x v="0"/>
    <x v="4"/>
    <x v="8"/>
    <x v="4"/>
    <x v="1"/>
    <x v="11"/>
    <x v="9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4"/>
    <x v="0"/>
    <x v="5"/>
    <x v="36"/>
    <x v="11"/>
    <x v="1"/>
    <x v="18"/>
    <x v="3"/>
    <x v="4"/>
    <x v="35"/>
    <x v="0"/>
    <x v="4"/>
    <x v="8"/>
    <x v="4"/>
    <x v="1"/>
    <x v="11"/>
    <x v="10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5"/>
    <x v="0"/>
    <x v="5"/>
    <x v="36"/>
    <x v="11"/>
    <x v="1"/>
    <x v="18"/>
    <x v="3"/>
    <x v="4"/>
    <x v="35"/>
    <x v="0"/>
    <x v="4"/>
    <x v="8"/>
    <x v="4"/>
    <x v="1"/>
    <x v="11"/>
    <x v="11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6"/>
    <x v="0"/>
    <x v="5"/>
    <x v="36"/>
    <x v="11"/>
    <x v="1"/>
    <x v="18"/>
    <x v="3"/>
    <x v="4"/>
    <x v="35"/>
    <x v="0"/>
    <x v="4"/>
    <x v="8"/>
    <x v="4"/>
    <x v="1"/>
    <x v="11"/>
    <x v="12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7"/>
    <x v="0"/>
    <x v="5"/>
    <x v="36"/>
    <x v="11"/>
    <x v="1"/>
    <x v="18"/>
    <x v="3"/>
    <x v="4"/>
    <x v="35"/>
    <x v="0"/>
    <x v="4"/>
    <x v="8"/>
    <x v="4"/>
    <x v="1"/>
    <x v="11"/>
    <x v="13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8"/>
    <x v="0"/>
    <x v="5"/>
    <x v="36"/>
    <x v="11"/>
    <x v="1"/>
    <x v="18"/>
    <x v="3"/>
    <x v="4"/>
    <x v="35"/>
    <x v="0"/>
    <x v="4"/>
    <x v="8"/>
    <x v="4"/>
    <x v="1"/>
    <x v="11"/>
    <x v="14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99"/>
    <x v="0"/>
    <x v="5"/>
    <x v="36"/>
    <x v="11"/>
    <x v="1"/>
    <x v="18"/>
    <x v="3"/>
    <x v="4"/>
    <x v="35"/>
    <x v="0"/>
    <x v="4"/>
    <x v="8"/>
    <x v="4"/>
    <x v="1"/>
    <x v="11"/>
    <x v="15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0"/>
    <x v="0"/>
    <x v="5"/>
    <x v="36"/>
    <x v="11"/>
    <x v="1"/>
    <x v="18"/>
    <x v="3"/>
    <x v="4"/>
    <x v="35"/>
    <x v="0"/>
    <x v="4"/>
    <x v="8"/>
    <x v="4"/>
    <x v="1"/>
    <x v="11"/>
    <x v="17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1"/>
    <x v="0"/>
    <x v="5"/>
    <x v="36"/>
    <x v="11"/>
    <x v="1"/>
    <x v="18"/>
    <x v="3"/>
    <x v="4"/>
    <x v="35"/>
    <x v="0"/>
    <x v="4"/>
    <x v="8"/>
    <x v="4"/>
    <x v="1"/>
    <x v="11"/>
    <x v="18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2"/>
    <x v="0"/>
    <x v="5"/>
    <x v="36"/>
    <x v="11"/>
    <x v="1"/>
    <x v="18"/>
    <x v="3"/>
    <x v="4"/>
    <x v="35"/>
    <x v="0"/>
    <x v="4"/>
    <x v="8"/>
    <x v="4"/>
    <x v="1"/>
    <x v="11"/>
    <x v="20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3"/>
    <x v="0"/>
    <x v="5"/>
    <x v="36"/>
    <x v="11"/>
    <x v="1"/>
    <x v="18"/>
    <x v="3"/>
    <x v="4"/>
    <x v="35"/>
    <x v="0"/>
    <x v="4"/>
    <x v="8"/>
    <x v="4"/>
    <x v="1"/>
    <x v="11"/>
    <x v="22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4"/>
    <x v="0"/>
    <x v="5"/>
    <x v="36"/>
    <x v="11"/>
    <x v="1"/>
    <x v="18"/>
    <x v="3"/>
    <x v="4"/>
    <x v="35"/>
    <x v="0"/>
    <x v="4"/>
    <x v="8"/>
    <x v="4"/>
    <x v="1"/>
    <x v="11"/>
    <x v="23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5"/>
    <x v="0"/>
    <x v="5"/>
    <x v="36"/>
    <x v="11"/>
    <x v="1"/>
    <x v="18"/>
    <x v="3"/>
    <x v="4"/>
    <x v="35"/>
    <x v="0"/>
    <x v="4"/>
    <x v="8"/>
    <x v="4"/>
    <x v="1"/>
    <x v="11"/>
    <x v="24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6"/>
    <x v="0"/>
    <x v="5"/>
    <x v="36"/>
    <x v="11"/>
    <x v="1"/>
    <x v="18"/>
    <x v="3"/>
    <x v="4"/>
    <x v="35"/>
    <x v="0"/>
    <x v="4"/>
    <x v="8"/>
    <x v="4"/>
    <x v="1"/>
    <x v="11"/>
    <x v="26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7"/>
    <x v="0"/>
    <x v="5"/>
    <x v="36"/>
    <x v="11"/>
    <x v="1"/>
    <x v="18"/>
    <x v="3"/>
    <x v="4"/>
    <x v="35"/>
    <x v="0"/>
    <x v="4"/>
    <x v="8"/>
    <x v="4"/>
    <x v="1"/>
    <x v="11"/>
    <x v="27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8"/>
    <x v="0"/>
    <x v="5"/>
    <x v="36"/>
    <x v="11"/>
    <x v="1"/>
    <x v="18"/>
    <x v="3"/>
    <x v="4"/>
    <x v="35"/>
    <x v="0"/>
    <x v="4"/>
    <x v="8"/>
    <x v="4"/>
    <x v="1"/>
    <x v="11"/>
    <x v="28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09"/>
    <x v="0"/>
    <x v="5"/>
    <x v="36"/>
    <x v="11"/>
    <x v="1"/>
    <x v="18"/>
    <x v="3"/>
    <x v="4"/>
    <x v="35"/>
    <x v="0"/>
    <x v="4"/>
    <x v="8"/>
    <x v="4"/>
    <x v="1"/>
    <x v="11"/>
    <x v="29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0"/>
    <x v="0"/>
    <x v="5"/>
    <x v="36"/>
    <x v="11"/>
    <x v="1"/>
    <x v="18"/>
    <x v="3"/>
    <x v="4"/>
    <x v="35"/>
    <x v="0"/>
    <x v="4"/>
    <x v="8"/>
    <x v="4"/>
    <x v="1"/>
    <x v="11"/>
    <x v="30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1"/>
    <x v="0"/>
    <x v="5"/>
    <x v="36"/>
    <x v="11"/>
    <x v="1"/>
    <x v="18"/>
    <x v="3"/>
    <x v="4"/>
    <x v="35"/>
    <x v="0"/>
    <x v="4"/>
    <x v="8"/>
    <x v="4"/>
    <x v="1"/>
    <x v="11"/>
    <x v="31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2"/>
    <x v="0"/>
    <x v="5"/>
    <x v="36"/>
    <x v="11"/>
    <x v="1"/>
    <x v="18"/>
    <x v="3"/>
    <x v="4"/>
    <x v="35"/>
    <x v="0"/>
    <x v="4"/>
    <x v="8"/>
    <x v="4"/>
    <x v="1"/>
    <x v="11"/>
    <x v="33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3"/>
    <x v="0"/>
    <x v="5"/>
    <x v="36"/>
    <x v="11"/>
    <x v="1"/>
    <x v="18"/>
    <x v="3"/>
    <x v="4"/>
    <x v="35"/>
    <x v="0"/>
    <x v="4"/>
    <x v="8"/>
    <x v="4"/>
    <x v="1"/>
    <x v="11"/>
    <x v="34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14"/>
    <x v="0"/>
    <x v="5"/>
    <x v="36"/>
    <x v="11"/>
    <x v="1"/>
    <x v="18"/>
    <x v="3"/>
    <x v="4"/>
    <x v="35"/>
    <x v="0"/>
    <x v="4"/>
    <x v="8"/>
    <x v="4"/>
    <x v="1"/>
    <x v="11"/>
    <x v="35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87"/>
    <x v="0"/>
    <x v="5"/>
    <x v="36"/>
    <x v="11"/>
    <x v="1"/>
    <x v="18"/>
    <x v="3"/>
    <x v="4"/>
    <x v="35"/>
    <x v="0"/>
    <x v="4"/>
    <x v="8"/>
    <x v="4"/>
    <x v="1"/>
    <x v="11"/>
    <x v="36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88"/>
    <x v="0"/>
    <x v="5"/>
    <x v="36"/>
    <x v="11"/>
    <x v="1"/>
    <x v="18"/>
    <x v="3"/>
    <x v="4"/>
    <x v="35"/>
    <x v="0"/>
    <x v="4"/>
    <x v="8"/>
    <x v="4"/>
    <x v="1"/>
    <x v="11"/>
    <x v="38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89"/>
    <x v="0"/>
    <x v="5"/>
    <x v="36"/>
    <x v="11"/>
    <x v="1"/>
    <x v="18"/>
    <x v="3"/>
    <x v="4"/>
    <x v="35"/>
    <x v="0"/>
    <x v="4"/>
    <x v="8"/>
    <x v="4"/>
    <x v="1"/>
    <x v="11"/>
    <x v="39"/>
    <x v="3"/>
    <x v="22"/>
    <x v="4"/>
    <x v="1"/>
    <x v="4"/>
    <x v="2"/>
    <x v="0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0"/>
    <x v="0"/>
    <x v="5"/>
    <x v="36"/>
    <x v="11"/>
    <x v="1"/>
    <x v="18"/>
    <x v="3"/>
    <x v="4"/>
    <x v="35"/>
    <x v="0"/>
    <x v="5"/>
    <x v="8"/>
    <x v="4"/>
    <x v="8"/>
    <x v="7"/>
    <x v="40"/>
    <x v="3"/>
    <x v="22"/>
    <x v="4"/>
    <x v="1"/>
    <x v="1"/>
    <x v="2"/>
    <x v="0"/>
    <x v="2"/>
    <x v="22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1"/>
    <x v="0"/>
    <x v="5"/>
    <x v="36"/>
    <x v="11"/>
    <x v="1"/>
    <x v="18"/>
    <x v="3"/>
    <x v="4"/>
    <x v="35"/>
    <x v="0"/>
    <x v="4"/>
    <x v="8"/>
    <x v="4"/>
    <x v="8"/>
    <x v="7"/>
    <x v="40"/>
    <x v="3"/>
    <x v="22"/>
    <x v="4"/>
    <x v="1"/>
    <x v="1"/>
    <x v="2"/>
    <x v="0"/>
    <x v="2"/>
    <x v="21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7"/>
    <x v="0"/>
    <x v="6"/>
    <x v="41"/>
    <x v="11"/>
    <x v="1"/>
    <x v="18"/>
    <x v="3"/>
    <x v="4"/>
    <x v="2"/>
    <x v="0"/>
    <x v="6"/>
    <x v="8"/>
    <x v="4"/>
    <x v="1"/>
    <x v="11"/>
    <x v="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8"/>
    <x v="0"/>
    <x v="6"/>
    <x v="41"/>
    <x v="11"/>
    <x v="1"/>
    <x v="18"/>
    <x v="3"/>
    <x v="4"/>
    <x v="2"/>
    <x v="0"/>
    <x v="6"/>
    <x v="8"/>
    <x v="4"/>
    <x v="1"/>
    <x v="11"/>
    <x v="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39"/>
    <x v="0"/>
    <x v="6"/>
    <x v="41"/>
    <x v="11"/>
    <x v="1"/>
    <x v="18"/>
    <x v="3"/>
    <x v="4"/>
    <x v="2"/>
    <x v="0"/>
    <x v="6"/>
    <x v="8"/>
    <x v="4"/>
    <x v="1"/>
    <x v="11"/>
    <x v="4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0"/>
    <x v="0"/>
    <x v="6"/>
    <x v="41"/>
    <x v="11"/>
    <x v="1"/>
    <x v="18"/>
    <x v="3"/>
    <x v="4"/>
    <x v="2"/>
    <x v="0"/>
    <x v="6"/>
    <x v="8"/>
    <x v="4"/>
    <x v="1"/>
    <x v="11"/>
    <x v="5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1"/>
    <x v="0"/>
    <x v="6"/>
    <x v="41"/>
    <x v="11"/>
    <x v="1"/>
    <x v="18"/>
    <x v="3"/>
    <x v="4"/>
    <x v="2"/>
    <x v="0"/>
    <x v="6"/>
    <x v="8"/>
    <x v="4"/>
    <x v="1"/>
    <x v="11"/>
    <x v="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2"/>
    <x v="0"/>
    <x v="6"/>
    <x v="41"/>
    <x v="11"/>
    <x v="1"/>
    <x v="18"/>
    <x v="3"/>
    <x v="4"/>
    <x v="2"/>
    <x v="0"/>
    <x v="6"/>
    <x v="8"/>
    <x v="4"/>
    <x v="1"/>
    <x v="11"/>
    <x v="1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3"/>
    <x v="0"/>
    <x v="6"/>
    <x v="41"/>
    <x v="11"/>
    <x v="1"/>
    <x v="18"/>
    <x v="3"/>
    <x v="4"/>
    <x v="2"/>
    <x v="0"/>
    <x v="6"/>
    <x v="8"/>
    <x v="4"/>
    <x v="1"/>
    <x v="11"/>
    <x v="1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4"/>
    <x v="0"/>
    <x v="6"/>
    <x v="41"/>
    <x v="11"/>
    <x v="1"/>
    <x v="18"/>
    <x v="3"/>
    <x v="4"/>
    <x v="2"/>
    <x v="0"/>
    <x v="6"/>
    <x v="8"/>
    <x v="4"/>
    <x v="1"/>
    <x v="11"/>
    <x v="1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5"/>
    <x v="0"/>
    <x v="6"/>
    <x v="41"/>
    <x v="11"/>
    <x v="1"/>
    <x v="18"/>
    <x v="3"/>
    <x v="4"/>
    <x v="2"/>
    <x v="0"/>
    <x v="6"/>
    <x v="8"/>
    <x v="4"/>
    <x v="1"/>
    <x v="11"/>
    <x v="1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6"/>
    <x v="0"/>
    <x v="6"/>
    <x v="41"/>
    <x v="11"/>
    <x v="1"/>
    <x v="18"/>
    <x v="3"/>
    <x v="4"/>
    <x v="2"/>
    <x v="0"/>
    <x v="6"/>
    <x v="8"/>
    <x v="4"/>
    <x v="1"/>
    <x v="11"/>
    <x v="14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7"/>
    <x v="0"/>
    <x v="6"/>
    <x v="41"/>
    <x v="11"/>
    <x v="1"/>
    <x v="18"/>
    <x v="3"/>
    <x v="4"/>
    <x v="2"/>
    <x v="0"/>
    <x v="6"/>
    <x v="8"/>
    <x v="4"/>
    <x v="1"/>
    <x v="11"/>
    <x v="15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8"/>
    <x v="0"/>
    <x v="6"/>
    <x v="41"/>
    <x v="11"/>
    <x v="1"/>
    <x v="18"/>
    <x v="3"/>
    <x v="4"/>
    <x v="2"/>
    <x v="0"/>
    <x v="6"/>
    <x v="8"/>
    <x v="4"/>
    <x v="1"/>
    <x v="11"/>
    <x v="17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49"/>
    <x v="0"/>
    <x v="6"/>
    <x v="41"/>
    <x v="11"/>
    <x v="1"/>
    <x v="18"/>
    <x v="3"/>
    <x v="4"/>
    <x v="2"/>
    <x v="0"/>
    <x v="6"/>
    <x v="8"/>
    <x v="4"/>
    <x v="1"/>
    <x v="11"/>
    <x v="1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0"/>
    <x v="0"/>
    <x v="6"/>
    <x v="41"/>
    <x v="11"/>
    <x v="1"/>
    <x v="18"/>
    <x v="3"/>
    <x v="4"/>
    <x v="2"/>
    <x v="0"/>
    <x v="6"/>
    <x v="8"/>
    <x v="4"/>
    <x v="1"/>
    <x v="11"/>
    <x v="2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1"/>
    <x v="0"/>
    <x v="6"/>
    <x v="41"/>
    <x v="11"/>
    <x v="1"/>
    <x v="18"/>
    <x v="3"/>
    <x v="4"/>
    <x v="2"/>
    <x v="0"/>
    <x v="6"/>
    <x v="8"/>
    <x v="4"/>
    <x v="1"/>
    <x v="11"/>
    <x v="2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2"/>
    <x v="0"/>
    <x v="6"/>
    <x v="41"/>
    <x v="11"/>
    <x v="1"/>
    <x v="18"/>
    <x v="3"/>
    <x v="4"/>
    <x v="2"/>
    <x v="0"/>
    <x v="6"/>
    <x v="8"/>
    <x v="4"/>
    <x v="1"/>
    <x v="11"/>
    <x v="2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3"/>
    <x v="0"/>
    <x v="6"/>
    <x v="41"/>
    <x v="11"/>
    <x v="1"/>
    <x v="18"/>
    <x v="3"/>
    <x v="4"/>
    <x v="2"/>
    <x v="0"/>
    <x v="6"/>
    <x v="8"/>
    <x v="4"/>
    <x v="1"/>
    <x v="11"/>
    <x v="24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4"/>
    <x v="0"/>
    <x v="6"/>
    <x v="41"/>
    <x v="11"/>
    <x v="1"/>
    <x v="18"/>
    <x v="3"/>
    <x v="4"/>
    <x v="2"/>
    <x v="0"/>
    <x v="6"/>
    <x v="8"/>
    <x v="4"/>
    <x v="1"/>
    <x v="11"/>
    <x v="26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5"/>
    <x v="0"/>
    <x v="6"/>
    <x v="41"/>
    <x v="11"/>
    <x v="1"/>
    <x v="18"/>
    <x v="3"/>
    <x v="4"/>
    <x v="2"/>
    <x v="0"/>
    <x v="6"/>
    <x v="8"/>
    <x v="4"/>
    <x v="1"/>
    <x v="11"/>
    <x v="27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6"/>
    <x v="0"/>
    <x v="6"/>
    <x v="41"/>
    <x v="11"/>
    <x v="1"/>
    <x v="18"/>
    <x v="3"/>
    <x v="4"/>
    <x v="2"/>
    <x v="0"/>
    <x v="6"/>
    <x v="8"/>
    <x v="4"/>
    <x v="1"/>
    <x v="11"/>
    <x v="2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7"/>
    <x v="0"/>
    <x v="6"/>
    <x v="41"/>
    <x v="11"/>
    <x v="1"/>
    <x v="18"/>
    <x v="3"/>
    <x v="4"/>
    <x v="2"/>
    <x v="0"/>
    <x v="6"/>
    <x v="8"/>
    <x v="4"/>
    <x v="1"/>
    <x v="11"/>
    <x v="2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8"/>
    <x v="0"/>
    <x v="6"/>
    <x v="41"/>
    <x v="11"/>
    <x v="1"/>
    <x v="18"/>
    <x v="3"/>
    <x v="4"/>
    <x v="2"/>
    <x v="0"/>
    <x v="6"/>
    <x v="8"/>
    <x v="4"/>
    <x v="1"/>
    <x v="11"/>
    <x v="3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59"/>
    <x v="0"/>
    <x v="6"/>
    <x v="41"/>
    <x v="11"/>
    <x v="1"/>
    <x v="18"/>
    <x v="3"/>
    <x v="4"/>
    <x v="2"/>
    <x v="0"/>
    <x v="6"/>
    <x v="8"/>
    <x v="4"/>
    <x v="1"/>
    <x v="11"/>
    <x v="3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0"/>
    <x v="0"/>
    <x v="6"/>
    <x v="41"/>
    <x v="11"/>
    <x v="1"/>
    <x v="18"/>
    <x v="3"/>
    <x v="4"/>
    <x v="2"/>
    <x v="0"/>
    <x v="6"/>
    <x v="8"/>
    <x v="4"/>
    <x v="1"/>
    <x v="11"/>
    <x v="3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1"/>
    <x v="0"/>
    <x v="6"/>
    <x v="41"/>
    <x v="11"/>
    <x v="1"/>
    <x v="18"/>
    <x v="3"/>
    <x v="4"/>
    <x v="2"/>
    <x v="0"/>
    <x v="6"/>
    <x v="8"/>
    <x v="4"/>
    <x v="1"/>
    <x v="11"/>
    <x v="34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2"/>
    <x v="0"/>
    <x v="6"/>
    <x v="41"/>
    <x v="11"/>
    <x v="1"/>
    <x v="18"/>
    <x v="3"/>
    <x v="4"/>
    <x v="2"/>
    <x v="0"/>
    <x v="6"/>
    <x v="8"/>
    <x v="4"/>
    <x v="1"/>
    <x v="11"/>
    <x v="35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3"/>
    <x v="0"/>
    <x v="6"/>
    <x v="41"/>
    <x v="11"/>
    <x v="1"/>
    <x v="18"/>
    <x v="3"/>
    <x v="4"/>
    <x v="2"/>
    <x v="0"/>
    <x v="6"/>
    <x v="8"/>
    <x v="4"/>
    <x v="1"/>
    <x v="11"/>
    <x v="36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4"/>
    <x v="0"/>
    <x v="6"/>
    <x v="41"/>
    <x v="11"/>
    <x v="1"/>
    <x v="18"/>
    <x v="3"/>
    <x v="4"/>
    <x v="2"/>
    <x v="0"/>
    <x v="6"/>
    <x v="8"/>
    <x v="4"/>
    <x v="1"/>
    <x v="11"/>
    <x v="3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5"/>
    <x v="0"/>
    <x v="6"/>
    <x v="41"/>
    <x v="11"/>
    <x v="1"/>
    <x v="18"/>
    <x v="3"/>
    <x v="4"/>
    <x v="2"/>
    <x v="0"/>
    <x v="6"/>
    <x v="8"/>
    <x v="4"/>
    <x v="1"/>
    <x v="11"/>
    <x v="3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6"/>
    <x v="0"/>
    <x v="6"/>
    <x v="3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7"/>
    <x v="0"/>
    <x v="6"/>
    <x v="3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8"/>
    <x v="0"/>
    <x v="6"/>
    <x v="3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69"/>
    <x v="0"/>
    <x v="6"/>
    <x v="3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0"/>
    <x v="0"/>
    <x v="6"/>
    <x v="3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1"/>
    <x v="0"/>
    <x v="6"/>
    <x v="3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2"/>
    <x v="0"/>
    <x v="6"/>
    <x v="3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3"/>
    <x v="0"/>
    <x v="6"/>
    <x v="3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4"/>
    <x v="0"/>
    <x v="6"/>
    <x v="3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5"/>
    <x v="0"/>
    <x v="6"/>
    <x v="3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6"/>
    <x v="0"/>
    <x v="6"/>
    <x v="3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7"/>
    <x v="0"/>
    <x v="6"/>
    <x v="3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8"/>
    <x v="0"/>
    <x v="6"/>
    <x v="3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79"/>
    <x v="0"/>
    <x v="6"/>
    <x v="3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0"/>
    <x v="0"/>
    <x v="6"/>
    <x v="3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1"/>
    <x v="0"/>
    <x v="6"/>
    <x v="3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2"/>
    <x v="0"/>
    <x v="6"/>
    <x v="3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3"/>
    <x v="0"/>
    <x v="6"/>
    <x v="3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4"/>
    <x v="0"/>
    <x v="6"/>
    <x v="3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5"/>
    <x v="0"/>
    <x v="6"/>
    <x v="3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6"/>
    <x v="0"/>
    <x v="6"/>
    <x v="3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7"/>
    <x v="0"/>
    <x v="6"/>
    <x v="3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8"/>
    <x v="0"/>
    <x v="6"/>
    <x v="3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89"/>
    <x v="0"/>
    <x v="6"/>
    <x v="3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0"/>
    <x v="0"/>
    <x v="6"/>
    <x v="3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1"/>
    <x v="0"/>
    <x v="6"/>
    <x v="3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2"/>
    <x v="0"/>
    <x v="6"/>
    <x v="3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3"/>
    <x v="0"/>
    <x v="6"/>
    <x v="3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4"/>
    <x v="0"/>
    <x v="6"/>
    <x v="3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5"/>
    <x v="0"/>
    <x v="6"/>
    <x v="5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6"/>
    <x v="0"/>
    <x v="6"/>
    <x v="5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7"/>
    <x v="0"/>
    <x v="6"/>
    <x v="5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8"/>
    <x v="0"/>
    <x v="6"/>
    <x v="5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199"/>
    <x v="0"/>
    <x v="6"/>
    <x v="5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0"/>
    <x v="0"/>
    <x v="6"/>
    <x v="5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1"/>
    <x v="0"/>
    <x v="6"/>
    <x v="5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2"/>
    <x v="0"/>
    <x v="6"/>
    <x v="5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3"/>
    <x v="0"/>
    <x v="6"/>
    <x v="5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4"/>
    <x v="0"/>
    <x v="6"/>
    <x v="5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5"/>
    <x v="0"/>
    <x v="6"/>
    <x v="5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6"/>
    <x v="0"/>
    <x v="6"/>
    <x v="5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7"/>
    <x v="0"/>
    <x v="6"/>
    <x v="5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8"/>
    <x v="0"/>
    <x v="6"/>
    <x v="5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09"/>
    <x v="0"/>
    <x v="6"/>
    <x v="5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0"/>
    <x v="0"/>
    <x v="6"/>
    <x v="5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1"/>
    <x v="0"/>
    <x v="6"/>
    <x v="5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2"/>
    <x v="0"/>
    <x v="6"/>
    <x v="5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3"/>
    <x v="0"/>
    <x v="6"/>
    <x v="5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4"/>
    <x v="0"/>
    <x v="6"/>
    <x v="5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5"/>
    <x v="0"/>
    <x v="6"/>
    <x v="5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6"/>
    <x v="0"/>
    <x v="6"/>
    <x v="5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7"/>
    <x v="0"/>
    <x v="6"/>
    <x v="5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8"/>
    <x v="0"/>
    <x v="6"/>
    <x v="5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19"/>
    <x v="0"/>
    <x v="6"/>
    <x v="5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0"/>
    <x v="0"/>
    <x v="6"/>
    <x v="5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1"/>
    <x v="0"/>
    <x v="6"/>
    <x v="5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2"/>
    <x v="0"/>
    <x v="6"/>
    <x v="5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3"/>
    <x v="0"/>
    <x v="6"/>
    <x v="5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4"/>
    <x v="0"/>
    <x v="6"/>
    <x v="7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5"/>
    <x v="0"/>
    <x v="6"/>
    <x v="7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6"/>
    <x v="0"/>
    <x v="6"/>
    <x v="7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7"/>
    <x v="0"/>
    <x v="6"/>
    <x v="7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8"/>
    <x v="0"/>
    <x v="6"/>
    <x v="7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29"/>
    <x v="0"/>
    <x v="6"/>
    <x v="7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0"/>
    <x v="0"/>
    <x v="6"/>
    <x v="7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1"/>
    <x v="0"/>
    <x v="6"/>
    <x v="7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2"/>
    <x v="0"/>
    <x v="6"/>
    <x v="7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3"/>
    <x v="0"/>
    <x v="6"/>
    <x v="7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4"/>
    <x v="0"/>
    <x v="6"/>
    <x v="7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5"/>
    <x v="0"/>
    <x v="6"/>
    <x v="7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6"/>
    <x v="0"/>
    <x v="6"/>
    <x v="7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7"/>
    <x v="0"/>
    <x v="6"/>
    <x v="7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8"/>
    <x v="0"/>
    <x v="6"/>
    <x v="7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39"/>
    <x v="0"/>
    <x v="6"/>
    <x v="7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0"/>
    <x v="0"/>
    <x v="6"/>
    <x v="7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1"/>
    <x v="0"/>
    <x v="6"/>
    <x v="7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2"/>
    <x v="0"/>
    <x v="6"/>
    <x v="7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3"/>
    <x v="0"/>
    <x v="6"/>
    <x v="7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4"/>
    <x v="0"/>
    <x v="6"/>
    <x v="7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5"/>
    <x v="0"/>
    <x v="6"/>
    <x v="7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6"/>
    <x v="0"/>
    <x v="6"/>
    <x v="7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7"/>
    <x v="0"/>
    <x v="6"/>
    <x v="7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8"/>
    <x v="0"/>
    <x v="6"/>
    <x v="7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49"/>
    <x v="0"/>
    <x v="6"/>
    <x v="7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0"/>
    <x v="0"/>
    <x v="6"/>
    <x v="7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1"/>
    <x v="0"/>
    <x v="6"/>
    <x v="7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2"/>
    <x v="0"/>
    <x v="6"/>
    <x v="7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3"/>
    <x v="0"/>
    <x v="6"/>
    <x v="1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4"/>
    <x v="0"/>
    <x v="6"/>
    <x v="1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5"/>
    <x v="0"/>
    <x v="6"/>
    <x v="1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6"/>
    <x v="0"/>
    <x v="6"/>
    <x v="1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7"/>
    <x v="0"/>
    <x v="6"/>
    <x v="1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8"/>
    <x v="0"/>
    <x v="6"/>
    <x v="1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59"/>
    <x v="0"/>
    <x v="6"/>
    <x v="1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0"/>
    <x v="0"/>
    <x v="6"/>
    <x v="1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1"/>
    <x v="0"/>
    <x v="6"/>
    <x v="1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2"/>
    <x v="0"/>
    <x v="6"/>
    <x v="1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3"/>
    <x v="0"/>
    <x v="6"/>
    <x v="1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4"/>
    <x v="0"/>
    <x v="6"/>
    <x v="1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5"/>
    <x v="0"/>
    <x v="6"/>
    <x v="1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6"/>
    <x v="0"/>
    <x v="6"/>
    <x v="1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7"/>
    <x v="0"/>
    <x v="6"/>
    <x v="1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8"/>
    <x v="0"/>
    <x v="6"/>
    <x v="1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69"/>
    <x v="0"/>
    <x v="6"/>
    <x v="1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0"/>
    <x v="0"/>
    <x v="6"/>
    <x v="1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1"/>
    <x v="0"/>
    <x v="6"/>
    <x v="1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2"/>
    <x v="0"/>
    <x v="6"/>
    <x v="1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3"/>
    <x v="0"/>
    <x v="6"/>
    <x v="1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4"/>
    <x v="0"/>
    <x v="6"/>
    <x v="1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5"/>
    <x v="0"/>
    <x v="6"/>
    <x v="1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6"/>
    <x v="0"/>
    <x v="6"/>
    <x v="1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7"/>
    <x v="0"/>
    <x v="6"/>
    <x v="1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8"/>
    <x v="0"/>
    <x v="6"/>
    <x v="1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79"/>
    <x v="0"/>
    <x v="6"/>
    <x v="1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0"/>
    <x v="0"/>
    <x v="6"/>
    <x v="1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1"/>
    <x v="0"/>
    <x v="6"/>
    <x v="1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2"/>
    <x v="0"/>
    <x v="6"/>
    <x v="4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3"/>
    <x v="0"/>
    <x v="6"/>
    <x v="4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4"/>
    <x v="0"/>
    <x v="6"/>
    <x v="4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5"/>
    <x v="0"/>
    <x v="6"/>
    <x v="4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6"/>
    <x v="0"/>
    <x v="6"/>
    <x v="4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7"/>
    <x v="0"/>
    <x v="6"/>
    <x v="4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8"/>
    <x v="0"/>
    <x v="6"/>
    <x v="4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89"/>
    <x v="0"/>
    <x v="6"/>
    <x v="4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0"/>
    <x v="0"/>
    <x v="6"/>
    <x v="4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1"/>
    <x v="0"/>
    <x v="6"/>
    <x v="4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2"/>
    <x v="0"/>
    <x v="6"/>
    <x v="4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3"/>
    <x v="0"/>
    <x v="6"/>
    <x v="4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4"/>
    <x v="0"/>
    <x v="6"/>
    <x v="4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5"/>
    <x v="0"/>
    <x v="6"/>
    <x v="4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6"/>
    <x v="0"/>
    <x v="6"/>
    <x v="4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7"/>
    <x v="0"/>
    <x v="6"/>
    <x v="4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8"/>
    <x v="0"/>
    <x v="6"/>
    <x v="4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299"/>
    <x v="0"/>
    <x v="6"/>
    <x v="4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0"/>
    <x v="0"/>
    <x v="6"/>
    <x v="4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1"/>
    <x v="0"/>
    <x v="6"/>
    <x v="4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2"/>
    <x v="0"/>
    <x v="6"/>
    <x v="4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3"/>
    <x v="0"/>
    <x v="6"/>
    <x v="4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4"/>
    <x v="0"/>
    <x v="6"/>
    <x v="4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5"/>
    <x v="0"/>
    <x v="6"/>
    <x v="4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6"/>
    <x v="0"/>
    <x v="6"/>
    <x v="4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7"/>
    <x v="0"/>
    <x v="6"/>
    <x v="4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8"/>
    <x v="0"/>
    <x v="6"/>
    <x v="4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09"/>
    <x v="0"/>
    <x v="6"/>
    <x v="4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0"/>
    <x v="0"/>
    <x v="6"/>
    <x v="4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1"/>
    <x v="0"/>
    <x v="6"/>
    <x v="2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2"/>
    <x v="0"/>
    <x v="6"/>
    <x v="2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3"/>
    <x v="0"/>
    <x v="6"/>
    <x v="2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4"/>
    <x v="0"/>
    <x v="6"/>
    <x v="2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5"/>
    <x v="0"/>
    <x v="6"/>
    <x v="2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6"/>
    <x v="0"/>
    <x v="6"/>
    <x v="2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7"/>
    <x v="0"/>
    <x v="6"/>
    <x v="2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8"/>
    <x v="0"/>
    <x v="6"/>
    <x v="2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19"/>
    <x v="0"/>
    <x v="6"/>
    <x v="2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0"/>
    <x v="0"/>
    <x v="6"/>
    <x v="2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1"/>
    <x v="0"/>
    <x v="6"/>
    <x v="2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2"/>
    <x v="0"/>
    <x v="6"/>
    <x v="2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3"/>
    <x v="0"/>
    <x v="6"/>
    <x v="2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4"/>
    <x v="0"/>
    <x v="6"/>
    <x v="2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5"/>
    <x v="0"/>
    <x v="6"/>
    <x v="2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6"/>
    <x v="0"/>
    <x v="6"/>
    <x v="2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7"/>
    <x v="0"/>
    <x v="6"/>
    <x v="2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8"/>
    <x v="0"/>
    <x v="6"/>
    <x v="2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29"/>
    <x v="0"/>
    <x v="6"/>
    <x v="2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0"/>
    <x v="0"/>
    <x v="6"/>
    <x v="2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1"/>
    <x v="0"/>
    <x v="6"/>
    <x v="2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2"/>
    <x v="0"/>
    <x v="6"/>
    <x v="2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3"/>
    <x v="0"/>
    <x v="6"/>
    <x v="2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4"/>
    <x v="0"/>
    <x v="6"/>
    <x v="2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5"/>
    <x v="0"/>
    <x v="6"/>
    <x v="2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6"/>
    <x v="0"/>
    <x v="6"/>
    <x v="2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7"/>
    <x v="0"/>
    <x v="6"/>
    <x v="2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8"/>
    <x v="0"/>
    <x v="6"/>
    <x v="2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39"/>
    <x v="0"/>
    <x v="6"/>
    <x v="2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0"/>
    <x v="0"/>
    <x v="6"/>
    <x v="6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1"/>
    <x v="0"/>
    <x v="6"/>
    <x v="6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2"/>
    <x v="0"/>
    <x v="6"/>
    <x v="6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3"/>
    <x v="0"/>
    <x v="6"/>
    <x v="6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4"/>
    <x v="0"/>
    <x v="6"/>
    <x v="6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5"/>
    <x v="0"/>
    <x v="6"/>
    <x v="6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6"/>
    <x v="0"/>
    <x v="6"/>
    <x v="6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7"/>
    <x v="0"/>
    <x v="6"/>
    <x v="6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8"/>
    <x v="0"/>
    <x v="6"/>
    <x v="6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49"/>
    <x v="0"/>
    <x v="6"/>
    <x v="6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0"/>
    <x v="0"/>
    <x v="6"/>
    <x v="6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1"/>
    <x v="0"/>
    <x v="6"/>
    <x v="6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2"/>
    <x v="0"/>
    <x v="6"/>
    <x v="6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3"/>
    <x v="0"/>
    <x v="6"/>
    <x v="6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4"/>
    <x v="0"/>
    <x v="6"/>
    <x v="6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5"/>
    <x v="0"/>
    <x v="6"/>
    <x v="6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6"/>
    <x v="0"/>
    <x v="6"/>
    <x v="6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7"/>
    <x v="0"/>
    <x v="6"/>
    <x v="6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8"/>
    <x v="0"/>
    <x v="6"/>
    <x v="6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59"/>
    <x v="0"/>
    <x v="6"/>
    <x v="6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0"/>
    <x v="0"/>
    <x v="6"/>
    <x v="6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1"/>
    <x v="0"/>
    <x v="6"/>
    <x v="6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2"/>
    <x v="0"/>
    <x v="6"/>
    <x v="6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3"/>
    <x v="0"/>
    <x v="6"/>
    <x v="6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4"/>
    <x v="0"/>
    <x v="6"/>
    <x v="6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5"/>
    <x v="0"/>
    <x v="6"/>
    <x v="6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6"/>
    <x v="0"/>
    <x v="6"/>
    <x v="6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7"/>
    <x v="0"/>
    <x v="6"/>
    <x v="6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8"/>
    <x v="0"/>
    <x v="6"/>
    <x v="6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34"/>
    <x v="2300"/>
    <x v="0"/>
    <x v="6"/>
    <x v="41"/>
    <x v="11"/>
    <x v="1"/>
    <x v="18"/>
    <x v="3"/>
    <x v="4"/>
    <x v="2"/>
    <x v="0"/>
    <x v="6"/>
    <x v="8"/>
    <x v="4"/>
    <x v="4"/>
    <x v="2"/>
    <x v="40"/>
    <x v="1"/>
    <x v="14"/>
    <x v="4"/>
    <x v="0"/>
    <x v="4"/>
    <x v="2"/>
    <x v="2"/>
    <x v="2"/>
    <x v="30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2"/>
    <x v="0"/>
    <x v="6"/>
    <x v="3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5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3"/>
    <x v="0"/>
    <x v="6"/>
    <x v="5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7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4"/>
    <x v="0"/>
    <x v="6"/>
    <x v="7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9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5"/>
    <x v="0"/>
    <x v="6"/>
    <x v="1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3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6"/>
    <x v="0"/>
    <x v="6"/>
    <x v="4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7"/>
    <x v="0"/>
    <x v="6"/>
    <x v="2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4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8"/>
    <x v="0"/>
    <x v="6"/>
    <x v="6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8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69"/>
    <x v="0"/>
    <x v="7"/>
    <x v="43"/>
    <x v="11"/>
    <x v="1"/>
    <x v="18"/>
    <x v="3"/>
    <x v="4"/>
    <x v="35"/>
    <x v="0"/>
    <x v="6"/>
    <x v="8"/>
    <x v="4"/>
    <x v="1"/>
    <x v="11"/>
    <x v="12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0"/>
    <x v="0"/>
    <x v="7"/>
    <x v="43"/>
    <x v="11"/>
    <x v="1"/>
    <x v="18"/>
    <x v="3"/>
    <x v="4"/>
    <x v="35"/>
    <x v="0"/>
    <x v="6"/>
    <x v="8"/>
    <x v="4"/>
    <x v="1"/>
    <x v="11"/>
    <x v="1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1"/>
    <x v="0"/>
    <x v="7"/>
    <x v="43"/>
    <x v="11"/>
    <x v="1"/>
    <x v="18"/>
    <x v="3"/>
    <x v="4"/>
    <x v="35"/>
    <x v="0"/>
    <x v="6"/>
    <x v="8"/>
    <x v="4"/>
    <x v="1"/>
    <x v="11"/>
    <x v="17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2"/>
    <x v="0"/>
    <x v="7"/>
    <x v="43"/>
    <x v="11"/>
    <x v="1"/>
    <x v="18"/>
    <x v="3"/>
    <x v="4"/>
    <x v="35"/>
    <x v="0"/>
    <x v="6"/>
    <x v="8"/>
    <x v="4"/>
    <x v="1"/>
    <x v="11"/>
    <x v="18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3"/>
    <x v="0"/>
    <x v="7"/>
    <x v="43"/>
    <x v="11"/>
    <x v="1"/>
    <x v="18"/>
    <x v="3"/>
    <x v="4"/>
    <x v="35"/>
    <x v="0"/>
    <x v="6"/>
    <x v="8"/>
    <x v="4"/>
    <x v="1"/>
    <x v="11"/>
    <x v="27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4"/>
    <x v="0"/>
    <x v="7"/>
    <x v="43"/>
    <x v="11"/>
    <x v="1"/>
    <x v="18"/>
    <x v="3"/>
    <x v="4"/>
    <x v="35"/>
    <x v="0"/>
    <x v="6"/>
    <x v="8"/>
    <x v="4"/>
    <x v="1"/>
    <x v="11"/>
    <x v="3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5"/>
    <x v="0"/>
    <x v="7"/>
    <x v="43"/>
    <x v="11"/>
    <x v="1"/>
    <x v="18"/>
    <x v="3"/>
    <x v="4"/>
    <x v="35"/>
    <x v="0"/>
    <x v="6"/>
    <x v="8"/>
    <x v="4"/>
    <x v="1"/>
    <x v="11"/>
    <x v="34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6"/>
    <x v="0"/>
    <x v="7"/>
    <x v="43"/>
    <x v="11"/>
    <x v="1"/>
    <x v="18"/>
    <x v="3"/>
    <x v="4"/>
    <x v="35"/>
    <x v="0"/>
    <x v="6"/>
    <x v="8"/>
    <x v="4"/>
    <x v="1"/>
    <x v="11"/>
    <x v="35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7"/>
    <x v="0"/>
    <x v="7"/>
    <x v="43"/>
    <x v="11"/>
    <x v="1"/>
    <x v="18"/>
    <x v="3"/>
    <x v="4"/>
    <x v="35"/>
    <x v="0"/>
    <x v="6"/>
    <x v="8"/>
    <x v="4"/>
    <x v="1"/>
    <x v="11"/>
    <x v="39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8"/>
    <x v="0"/>
    <x v="7"/>
    <x v="44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2"/>
    <x v="0"/>
    <x v="7"/>
    <x v="44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3"/>
    <x v="0"/>
    <x v="7"/>
    <x v="44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4"/>
    <x v="0"/>
    <x v="7"/>
    <x v="44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5"/>
    <x v="0"/>
    <x v="7"/>
    <x v="44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6"/>
    <x v="0"/>
    <x v="7"/>
    <x v="44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7"/>
    <x v="0"/>
    <x v="7"/>
    <x v="44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8"/>
    <x v="0"/>
    <x v="7"/>
    <x v="44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9"/>
    <x v="0"/>
    <x v="7"/>
    <x v="44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0"/>
    <x v="0"/>
    <x v="7"/>
    <x v="44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1"/>
    <x v="0"/>
    <x v="7"/>
    <x v="44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2"/>
    <x v="0"/>
    <x v="7"/>
    <x v="44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3"/>
    <x v="0"/>
    <x v="7"/>
    <x v="44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4"/>
    <x v="0"/>
    <x v="7"/>
    <x v="44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5"/>
    <x v="0"/>
    <x v="7"/>
    <x v="44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6"/>
    <x v="0"/>
    <x v="7"/>
    <x v="44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7"/>
    <x v="0"/>
    <x v="7"/>
    <x v="44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8"/>
    <x v="0"/>
    <x v="7"/>
    <x v="44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99"/>
    <x v="0"/>
    <x v="7"/>
    <x v="44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0"/>
    <x v="0"/>
    <x v="7"/>
    <x v="44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1"/>
    <x v="0"/>
    <x v="7"/>
    <x v="44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2"/>
    <x v="0"/>
    <x v="7"/>
    <x v="44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3"/>
    <x v="0"/>
    <x v="7"/>
    <x v="44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4"/>
    <x v="0"/>
    <x v="7"/>
    <x v="44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5"/>
    <x v="0"/>
    <x v="7"/>
    <x v="44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6"/>
    <x v="0"/>
    <x v="7"/>
    <x v="44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79"/>
    <x v="0"/>
    <x v="7"/>
    <x v="44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0"/>
    <x v="0"/>
    <x v="7"/>
    <x v="44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381"/>
    <x v="0"/>
    <x v="7"/>
    <x v="44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5"/>
    <x v="0"/>
    <x v="7"/>
    <x v="45"/>
    <x v="11"/>
    <x v="1"/>
    <x v="18"/>
    <x v="3"/>
    <x v="4"/>
    <x v="35"/>
    <x v="0"/>
    <x v="6"/>
    <x v="8"/>
    <x v="4"/>
    <x v="1"/>
    <x v="11"/>
    <x v="12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6"/>
    <x v="0"/>
    <x v="7"/>
    <x v="45"/>
    <x v="11"/>
    <x v="1"/>
    <x v="18"/>
    <x v="3"/>
    <x v="4"/>
    <x v="35"/>
    <x v="0"/>
    <x v="6"/>
    <x v="8"/>
    <x v="4"/>
    <x v="1"/>
    <x v="11"/>
    <x v="1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7"/>
    <x v="0"/>
    <x v="7"/>
    <x v="45"/>
    <x v="11"/>
    <x v="1"/>
    <x v="18"/>
    <x v="3"/>
    <x v="4"/>
    <x v="35"/>
    <x v="0"/>
    <x v="6"/>
    <x v="8"/>
    <x v="4"/>
    <x v="1"/>
    <x v="11"/>
    <x v="17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8"/>
    <x v="0"/>
    <x v="7"/>
    <x v="45"/>
    <x v="11"/>
    <x v="1"/>
    <x v="18"/>
    <x v="3"/>
    <x v="4"/>
    <x v="35"/>
    <x v="0"/>
    <x v="6"/>
    <x v="8"/>
    <x v="4"/>
    <x v="1"/>
    <x v="11"/>
    <x v="18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9"/>
    <x v="0"/>
    <x v="7"/>
    <x v="45"/>
    <x v="11"/>
    <x v="1"/>
    <x v="18"/>
    <x v="3"/>
    <x v="4"/>
    <x v="35"/>
    <x v="0"/>
    <x v="6"/>
    <x v="8"/>
    <x v="4"/>
    <x v="1"/>
    <x v="11"/>
    <x v="27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0"/>
    <x v="0"/>
    <x v="7"/>
    <x v="45"/>
    <x v="11"/>
    <x v="1"/>
    <x v="18"/>
    <x v="3"/>
    <x v="4"/>
    <x v="35"/>
    <x v="0"/>
    <x v="6"/>
    <x v="8"/>
    <x v="4"/>
    <x v="1"/>
    <x v="11"/>
    <x v="33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1"/>
    <x v="0"/>
    <x v="7"/>
    <x v="45"/>
    <x v="11"/>
    <x v="1"/>
    <x v="18"/>
    <x v="3"/>
    <x v="4"/>
    <x v="35"/>
    <x v="0"/>
    <x v="6"/>
    <x v="8"/>
    <x v="4"/>
    <x v="1"/>
    <x v="11"/>
    <x v="34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2"/>
    <x v="0"/>
    <x v="7"/>
    <x v="45"/>
    <x v="11"/>
    <x v="1"/>
    <x v="18"/>
    <x v="3"/>
    <x v="4"/>
    <x v="35"/>
    <x v="0"/>
    <x v="6"/>
    <x v="8"/>
    <x v="4"/>
    <x v="1"/>
    <x v="11"/>
    <x v="35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3"/>
    <x v="0"/>
    <x v="7"/>
    <x v="45"/>
    <x v="11"/>
    <x v="1"/>
    <x v="18"/>
    <x v="3"/>
    <x v="4"/>
    <x v="35"/>
    <x v="0"/>
    <x v="6"/>
    <x v="8"/>
    <x v="4"/>
    <x v="1"/>
    <x v="11"/>
    <x v="39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4"/>
    <x v="0"/>
    <x v="7"/>
    <x v="87"/>
    <x v="11"/>
    <x v="1"/>
    <x v="18"/>
    <x v="3"/>
    <x v="4"/>
    <x v="0"/>
    <x v="0"/>
    <x v="6"/>
    <x v="8"/>
    <x v="4"/>
    <x v="1"/>
    <x v="11"/>
    <x v="15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5"/>
    <x v="0"/>
    <x v="7"/>
    <x v="87"/>
    <x v="11"/>
    <x v="1"/>
    <x v="18"/>
    <x v="3"/>
    <x v="4"/>
    <x v="0"/>
    <x v="0"/>
    <x v="6"/>
    <x v="8"/>
    <x v="4"/>
    <x v="1"/>
    <x v="11"/>
    <x v="29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6"/>
    <x v="0"/>
    <x v="7"/>
    <x v="87"/>
    <x v="11"/>
    <x v="1"/>
    <x v="18"/>
    <x v="3"/>
    <x v="4"/>
    <x v="0"/>
    <x v="0"/>
    <x v="6"/>
    <x v="8"/>
    <x v="4"/>
    <x v="1"/>
    <x v="11"/>
    <x v="37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7"/>
    <x v="0"/>
    <x v="7"/>
    <x v="87"/>
    <x v="11"/>
    <x v="1"/>
    <x v="18"/>
    <x v="3"/>
    <x v="4"/>
    <x v="0"/>
    <x v="0"/>
    <x v="6"/>
    <x v="8"/>
    <x v="4"/>
    <x v="1"/>
    <x v="11"/>
    <x v="10"/>
    <x v="0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29"/>
    <x v="0"/>
    <x v="7"/>
    <x v="44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12"/>
    <x v="0"/>
    <x v="0"/>
    <x v="0"/>
    <x v="0"/>
    <x v="0"/>
    <x v="0"/>
    <x v="0"/>
    <x v="1"/>
    <x v="0"/>
    <x v="0"/>
    <x v="0"/>
    <x v="0"/>
    <x v="0"/>
    <x v="0"/>
    <x v="0"/>
    <x v="0"/>
  </r>
  <r>
    <x v="32"/>
    <x v="2352"/>
    <x v="0"/>
    <x v="7"/>
    <x v="43"/>
    <x v="11"/>
    <x v="1"/>
    <x v="18"/>
    <x v="3"/>
    <x v="4"/>
    <x v="26"/>
    <x v="0"/>
    <x v="6"/>
    <x v="8"/>
    <x v="4"/>
    <x v="4"/>
    <x v="2"/>
    <x v="40"/>
    <x v="0"/>
    <x v="14"/>
    <x v="2"/>
    <x v="0"/>
    <x v="4"/>
    <x v="2"/>
    <x v="1"/>
    <x v="2"/>
    <x v="36"/>
    <x v="0"/>
    <x v="0"/>
    <x v="0"/>
    <x v="0"/>
    <x v="1"/>
    <x v="1"/>
    <x v="0"/>
    <x v="1"/>
    <x v="0"/>
    <x v="0"/>
    <x v="0"/>
    <x v="0"/>
    <x v="0"/>
    <x v="0"/>
    <x v="0"/>
    <x v="0"/>
  </r>
  <r>
    <x v="141"/>
    <x v="2353"/>
    <x v="0"/>
    <x v="7"/>
    <x v="43"/>
    <x v="11"/>
    <x v="1"/>
    <x v="18"/>
    <x v="3"/>
    <x v="4"/>
    <x v="28"/>
    <x v="0"/>
    <x v="6"/>
    <x v="8"/>
    <x v="4"/>
    <x v="4"/>
    <x v="2"/>
    <x v="40"/>
    <x v="0"/>
    <x v="14"/>
    <x v="2"/>
    <x v="0"/>
    <x v="4"/>
    <x v="2"/>
    <x v="0"/>
    <x v="2"/>
    <x v="44"/>
    <x v="0"/>
    <x v="0"/>
    <x v="0"/>
    <x v="0"/>
    <x v="1"/>
    <x v="1"/>
    <x v="0"/>
    <x v="1"/>
    <x v="0"/>
    <x v="0"/>
    <x v="0"/>
    <x v="0"/>
    <x v="0"/>
    <x v="0"/>
    <x v="0"/>
    <x v="0"/>
  </r>
  <r>
    <x v="72"/>
    <x v="2354"/>
    <x v="0"/>
    <x v="7"/>
    <x v="43"/>
    <x v="11"/>
    <x v="1"/>
    <x v="18"/>
    <x v="3"/>
    <x v="4"/>
    <x v="28"/>
    <x v="0"/>
    <x v="6"/>
    <x v="8"/>
    <x v="4"/>
    <x v="4"/>
    <x v="2"/>
    <x v="40"/>
    <x v="2"/>
    <x v="14"/>
    <x v="2"/>
    <x v="0"/>
    <x v="5"/>
    <x v="2"/>
    <x v="0"/>
    <x v="2"/>
    <x v="43"/>
    <x v="0"/>
    <x v="0"/>
    <x v="0"/>
    <x v="0"/>
    <x v="0"/>
    <x v="0"/>
    <x v="0"/>
    <x v="1"/>
    <x v="0"/>
    <x v="0"/>
    <x v="0"/>
    <x v="0"/>
    <x v="0"/>
    <x v="0"/>
    <x v="0"/>
    <x v="0"/>
  </r>
  <r>
    <x v="124"/>
    <x v="2355"/>
    <x v="0"/>
    <x v="7"/>
    <x v="43"/>
    <x v="11"/>
    <x v="1"/>
    <x v="18"/>
    <x v="3"/>
    <x v="4"/>
    <x v="27"/>
    <x v="0"/>
    <x v="6"/>
    <x v="8"/>
    <x v="4"/>
    <x v="1"/>
    <x v="0"/>
    <x v="40"/>
    <x v="0"/>
    <x v="5"/>
    <x v="2"/>
    <x v="1"/>
    <x v="4"/>
    <x v="2"/>
    <x v="2"/>
    <x v="2"/>
    <x v="40"/>
    <x v="0"/>
    <x v="0"/>
    <x v="0"/>
    <x v="0"/>
    <x v="1"/>
    <x v="1"/>
    <x v="0"/>
    <x v="1"/>
    <x v="0"/>
    <x v="0"/>
    <x v="0"/>
    <x v="0"/>
    <x v="0"/>
    <x v="0"/>
    <x v="0"/>
    <x v="0"/>
  </r>
  <r>
    <x v="55"/>
    <x v="2356"/>
    <x v="0"/>
    <x v="7"/>
    <x v="43"/>
    <x v="11"/>
    <x v="1"/>
    <x v="18"/>
    <x v="3"/>
    <x v="4"/>
    <x v="28"/>
    <x v="0"/>
    <x v="6"/>
    <x v="8"/>
    <x v="4"/>
    <x v="1"/>
    <x v="0"/>
    <x v="40"/>
    <x v="2"/>
    <x v="5"/>
    <x v="2"/>
    <x v="1"/>
    <x v="5"/>
    <x v="2"/>
    <x v="2"/>
    <x v="2"/>
    <x v="42"/>
    <x v="0"/>
    <x v="0"/>
    <x v="0"/>
    <x v="0"/>
    <x v="1"/>
    <x v="0"/>
    <x v="0"/>
    <x v="1"/>
    <x v="0"/>
    <x v="0"/>
    <x v="0"/>
    <x v="0"/>
    <x v="0"/>
    <x v="0"/>
    <x v="0"/>
    <x v="0"/>
  </r>
  <r>
    <x v="69"/>
    <x v="2357"/>
    <x v="0"/>
    <x v="7"/>
    <x v="43"/>
    <x v="11"/>
    <x v="1"/>
    <x v="18"/>
    <x v="3"/>
    <x v="4"/>
    <x v="27"/>
    <x v="0"/>
    <x v="6"/>
    <x v="8"/>
    <x v="4"/>
    <x v="1"/>
    <x v="0"/>
    <x v="40"/>
    <x v="1"/>
    <x v="2"/>
    <x v="1"/>
    <x v="1"/>
    <x v="4"/>
    <x v="2"/>
    <x v="2"/>
    <x v="2"/>
    <x v="41"/>
    <x v="0"/>
    <x v="0"/>
    <x v="0"/>
    <x v="0"/>
    <x v="0"/>
    <x v="1"/>
    <x v="0"/>
    <x v="1"/>
    <x v="0"/>
    <x v="0"/>
    <x v="0"/>
    <x v="0"/>
    <x v="0"/>
    <x v="0"/>
    <x v="0"/>
    <x v="0"/>
  </r>
  <r>
    <x v="54"/>
    <x v="2358"/>
    <x v="0"/>
    <x v="7"/>
    <x v="43"/>
    <x v="11"/>
    <x v="1"/>
    <x v="18"/>
    <x v="3"/>
    <x v="4"/>
    <x v="27"/>
    <x v="0"/>
    <x v="6"/>
    <x v="8"/>
    <x v="4"/>
    <x v="1"/>
    <x v="0"/>
    <x v="40"/>
    <x v="1"/>
    <x v="1"/>
    <x v="0"/>
    <x v="1"/>
    <x v="4"/>
    <x v="2"/>
    <x v="2"/>
    <x v="2"/>
    <x v="39"/>
    <x v="0"/>
    <x v="0"/>
    <x v="0"/>
    <x v="0"/>
    <x v="0"/>
    <x v="1"/>
    <x v="0"/>
    <x v="1"/>
    <x v="0"/>
    <x v="0"/>
    <x v="0"/>
    <x v="0"/>
    <x v="0"/>
    <x v="0"/>
    <x v="0"/>
    <x v="0"/>
  </r>
  <r>
    <x v="97"/>
    <x v="2359"/>
    <x v="0"/>
    <x v="7"/>
    <x v="43"/>
    <x v="11"/>
    <x v="1"/>
    <x v="18"/>
    <x v="3"/>
    <x v="4"/>
    <x v="26"/>
    <x v="1"/>
    <x v="6"/>
    <x v="8"/>
    <x v="4"/>
    <x v="1"/>
    <x v="0"/>
    <x v="40"/>
    <x v="1"/>
    <x v="5"/>
    <x v="3"/>
    <x v="1"/>
    <x v="4"/>
    <x v="2"/>
    <x v="2"/>
    <x v="2"/>
    <x v="31"/>
    <x v="0"/>
    <x v="0"/>
    <x v="0"/>
    <x v="0"/>
    <x v="1"/>
    <x v="1"/>
    <x v="0"/>
    <x v="1"/>
    <x v="0"/>
    <x v="0"/>
    <x v="0"/>
    <x v="0"/>
    <x v="0"/>
    <x v="0"/>
    <x v="0"/>
    <x v="0"/>
  </r>
  <r>
    <x v="131"/>
    <x v="2360"/>
    <x v="0"/>
    <x v="7"/>
    <x v="43"/>
    <x v="11"/>
    <x v="1"/>
    <x v="18"/>
    <x v="3"/>
    <x v="4"/>
    <x v="26"/>
    <x v="0"/>
    <x v="6"/>
    <x v="8"/>
    <x v="4"/>
    <x v="1"/>
    <x v="9"/>
    <x v="40"/>
    <x v="1"/>
    <x v="10"/>
    <x v="1"/>
    <x v="1"/>
    <x v="4"/>
    <x v="2"/>
    <x v="2"/>
    <x v="2"/>
    <x v="34"/>
    <x v="0"/>
    <x v="0"/>
    <x v="0"/>
    <x v="0"/>
    <x v="0"/>
    <x v="0"/>
    <x v="0"/>
    <x v="1"/>
    <x v="0"/>
    <x v="0"/>
    <x v="0"/>
    <x v="0"/>
    <x v="0"/>
    <x v="0"/>
    <x v="0"/>
    <x v="0"/>
  </r>
  <r>
    <x v="137"/>
    <x v="2361"/>
    <x v="0"/>
    <x v="7"/>
    <x v="43"/>
    <x v="11"/>
    <x v="1"/>
    <x v="18"/>
    <x v="3"/>
    <x v="4"/>
    <x v="26"/>
    <x v="0"/>
    <x v="6"/>
    <x v="8"/>
    <x v="4"/>
    <x v="7"/>
    <x v="10"/>
    <x v="40"/>
    <x v="1"/>
    <x v="20"/>
    <x v="0"/>
    <x v="1"/>
    <x v="4"/>
    <x v="2"/>
    <x v="2"/>
    <x v="2"/>
    <x v="37"/>
    <x v="0"/>
    <x v="0"/>
    <x v="0"/>
    <x v="0"/>
    <x v="0"/>
    <x v="1"/>
    <x v="0"/>
    <x v="1"/>
    <x v="0"/>
    <x v="0"/>
    <x v="0"/>
    <x v="0"/>
    <x v="0"/>
    <x v="0"/>
    <x v="0"/>
    <x v="0"/>
  </r>
  <r>
    <x v="11"/>
    <x v="2362"/>
    <x v="0"/>
    <x v="7"/>
    <x v="43"/>
    <x v="11"/>
    <x v="1"/>
    <x v="18"/>
    <x v="3"/>
    <x v="4"/>
    <x v="26"/>
    <x v="0"/>
    <x v="6"/>
    <x v="8"/>
    <x v="4"/>
    <x v="1"/>
    <x v="6"/>
    <x v="40"/>
    <x v="1"/>
    <x v="7"/>
    <x v="1"/>
    <x v="1"/>
    <x v="4"/>
    <x v="2"/>
    <x v="2"/>
    <x v="2"/>
    <x v="32"/>
    <x v="0"/>
    <x v="0"/>
    <x v="0"/>
    <x v="0"/>
    <x v="0"/>
    <x v="0"/>
    <x v="0"/>
    <x v="1"/>
    <x v="0"/>
    <x v="0"/>
    <x v="0"/>
    <x v="0"/>
    <x v="0"/>
    <x v="0"/>
    <x v="0"/>
    <x v="0"/>
  </r>
  <r>
    <x v="12"/>
    <x v="2363"/>
    <x v="0"/>
    <x v="7"/>
    <x v="43"/>
    <x v="11"/>
    <x v="1"/>
    <x v="18"/>
    <x v="3"/>
    <x v="4"/>
    <x v="26"/>
    <x v="0"/>
    <x v="6"/>
    <x v="8"/>
    <x v="4"/>
    <x v="1"/>
    <x v="9"/>
    <x v="40"/>
    <x v="1"/>
    <x v="11"/>
    <x v="2"/>
    <x v="1"/>
    <x v="4"/>
    <x v="2"/>
    <x v="2"/>
    <x v="2"/>
    <x v="35"/>
    <x v="0"/>
    <x v="0"/>
    <x v="0"/>
    <x v="0"/>
    <x v="1"/>
    <x v="0"/>
    <x v="0"/>
    <x v="1"/>
    <x v="0"/>
    <x v="0"/>
    <x v="0"/>
    <x v="0"/>
    <x v="0"/>
    <x v="0"/>
    <x v="0"/>
    <x v="0"/>
  </r>
  <r>
    <x v="126"/>
    <x v="2364"/>
    <x v="0"/>
    <x v="7"/>
    <x v="43"/>
    <x v="11"/>
    <x v="1"/>
    <x v="18"/>
    <x v="3"/>
    <x v="4"/>
    <x v="26"/>
    <x v="0"/>
    <x v="6"/>
    <x v="8"/>
    <x v="4"/>
    <x v="1"/>
    <x v="6"/>
    <x v="40"/>
    <x v="1"/>
    <x v="8"/>
    <x v="2"/>
    <x v="1"/>
    <x v="4"/>
    <x v="2"/>
    <x v="2"/>
    <x v="2"/>
    <x v="33"/>
    <x v="0"/>
    <x v="0"/>
    <x v="0"/>
    <x v="0"/>
    <x v="1"/>
    <x v="0"/>
    <x v="0"/>
    <x v="1"/>
    <x v="0"/>
    <x v="0"/>
    <x v="0"/>
    <x v="0"/>
    <x v="0"/>
    <x v="0"/>
    <x v="0"/>
    <x v="0"/>
  </r>
  <r>
    <x v="65"/>
    <x v="2365"/>
    <x v="0"/>
    <x v="7"/>
    <x v="43"/>
    <x v="11"/>
    <x v="1"/>
    <x v="18"/>
    <x v="3"/>
    <x v="4"/>
    <x v="26"/>
    <x v="0"/>
    <x v="6"/>
    <x v="8"/>
    <x v="4"/>
    <x v="8"/>
    <x v="7"/>
    <x v="40"/>
    <x v="1"/>
    <x v="22"/>
    <x v="4"/>
    <x v="1"/>
    <x v="2"/>
    <x v="2"/>
    <x v="2"/>
    <x v="2"/>
    <x v="38"/>
    <x v="0"/>
    <x v="0"/>
    <x v="0"/>
    <x v="0"/>
    <x v="0"/>
    <x v="0"/>
    <x v="0"/>
    <x v="1"/>
    <x v="0"/>
    <x v="0"/>
    <x v="0"/>
    <x v="0"/>
    <x v="0"/>
    <x v="0"/>
    <x v="0"/>
    <x v="0"/>
  </r>
  <r>
    <x v="75"/>
    <x v="2366"/>
    <x v="0"/>
    <x v="7"/>
    <x v="45"/>
    <x v="11"/>
    <x v="1"/>
    <x v="18"/>
    <x v="3"/>
    <x v="4"/>
    <x v="24"/>
    <x v="0"/>
    <x v="6"/>
    <x v="8"/>
    <x v="4"/>
    <x v="4"/>
    <x v="2"/>
    <x v="40"/>
    <x v="0"/>
    <x v="14"/>
    <x v="2"/>
    <x v="0"/>
    <x v="4"/>
    <x v="2"/>
    <x v="2"/>
    <x v="2"/>
    <x v="55"/>
    <x v="0"/>
    <x v="0"/>
    <x v="0"/>
    <x v="0"/>
    <x v="1"/>
    <x v="1"/>
    <x v="0"/>
    <x v="1"/>
    <x v="0"/>
    <x v="0"/>
    <x v="0"/>
    <x v="0"/>
    <x v="0"/>
    <x v="0"/>
    <x v="0"/>
    <x v="0"/>
  </r>
  <r>
    <x v="57"/>
    <x v="2367"/>
    <x v="0"/>
    <x v="7"/>
    <x v="45"/>
    <x v="11"/>
    <x v="1"/>
    <x v="18"/>
    <x v="3"/>
    <x v="4"/>
    <x v="24"/>
    <x v="0"/>
    <x v="6"/>
    <x v="8"/>
    <x v="4"/>
    <x v="4"/>
    <x v="2"/>
    <x v="40"/>
    <x v="2"/>
    <x v="14"/>
    <x v="2"/>
    <x v="0"/>
    <x v="5"/>
    <x v="2"/>
    <x v="2"/>
    <x v="2"/>
    <x v="54"/>
    <x v="0"/>
    <x v="0"/>
    <x v="0"/>
    <x v="0"/>
    <x v="0"/>
    <x v="0"/>
    <x v="0"/>
    <x v="1"/>
    <x v="0"/>
    <x v="0"/>
    <x v="0"/>
    <x v="0"/>
    <x v="0"/>
    <x v="0"/>
    <x v="0"/>
    <x v="0"/>
  </r>
  <r>
    <x v="60"/>
    <x v="2368"/>
    <x v="0"/>
    <x v="7"/>
    <x v="45"/>
    <x v="11"/>
    <x v="1"/>
    <x v="18"/>
    <x v="3"/>
    <x v="4"/>
    <x v="24"/>
    <x v="0"/>
    <x v="6"/>
    <x v="8"/>
    <x v="4"/>
    <x v="1"/>
    <x v="0"/>
    <x v="40"/>
    <x v="0"/>
    <x v="5"/>
    <x v="2"/>
    <x v="1"/>
    <x v="4"/>
    <x v="2"/>
    <x v="2"/>
    <x v="2"/>
    <x v="53"/>
    <x v="0"/>
    <x v="0"/>
    <x v="0"/>
    <x v="0"/>
    <x v="1"/>
    <x v="1"/>
    <x v="0"/>
    <x v="1"/>
    <x v="0"/>
    <x v="0"/>
    <x v="0"/>
    <x v="0"/>
    <x v="0"/>
    <x v="0"/>
    <x v="0"/>
    <x v="0"/>
  </r>
  <r>
    <x v="105"/>
    <x v="2369"/>
    <x v="0"/>
    <x v="7"/>
    <x v="45"/>
    <x v="11"/>
    <x v="1"/>
    <x v="18"/>
    <x v="3"/>
    <x v="4"/>
    <x v="24"/>
    <x v="0"/>
    <x v="6"/>
    <x v="8"/>
    <x v="4"/>
    <x v="1"/>
    <x v="0"/>
    <x v="40"/>
    <x v="2"/>
    <x v="5"/>
    <x v="2"/>
    <x v="1"/>
    <x v="5"/>
    <x v="2"/>
    <x v="2"/>
    <x v="2"/>
    <x v="52"/>
    <x v="0"/>
    <x v="0"/>
    <x v="0"/>
    <x v="0"/>
    <x v="1"/>
    <x v="0"/>
    <x v="0"/>
    <x v="1"/>
    <x v="0"/>
    <x v="0"/>
    <x v="0"/>
    <x v="0"/>
    <x v="0"/>
    <x v="0"/>
    <x v="0"/>
    <x v="0"/>
  </r>
  <r>
    <x v="123"/>
    <x v="2370"/>
    <x v="0"/>
    <x v="7"/>
    <x v="45"/>
    <x v="11"/>
    <x v="1"/>
    <x v="18"/>
    <x v="3"/>
    <x v="4"/>
    <x v="24"/>
    <x v="0"/>
    <x v="6"/>
    <x v="8"/>
    <x v="4"/>
    <x v="1"/>
    <x v="0"/>
    <x v="40"/>
    <x v="1"/>
    <x v="2"/>
    <x v="1"/>
    <x v="1"/>
    <x v="4"/>
    <x v="2"/>
    <x v="2"/>
    <x v="2"/>
    <x v="51"/>
    <x v="0"/>
    <x v="0"/>
    <x v="0"/>
    <x v="0"/>
    <x v="0"/>
    <x v="1"/>
    <x v="0"/>
    <x v="1"/>
    <x v="0"/>
    <x v="0"/>
    <x v="0"/>
    <x v="0"/>
    <x v="0"/>
    <x v="0"/>
    <x v="0"/>
    <x v="0"/>
  </r>
  <r>
    <x v="102"/>
    <x v="2371"/>
    <x v="0"/>
    <x v="7"/>
    <x v="45"/>
    <x v="11"/>
    <x v="1"/>
    <x v="18"/>
    <x v="3"/>
    <x v="4"/>
    <x v="24"/>
    <x v="0"/>
    <x v="6"/>
    <x v="8"/>
    <x v="4"/>
    <x v="1"/>
    <x v="0"/>
    <x v="40"/>
    <x v="1"/>
    <x v="1"/>
    <x v="0"/>
    <x v="1"/>
    <x v="4"/>
    <x v="2"/>
    <x v="2"/>
    <x v="2"/>
    <x v="50"/>
    <x v="0"/>
    <x v="0"/>
    <x v="0"/>
    <x v="0"/>
    <x v="0"/>
    <x v="1"/>
    <x v="0"/>
    <x v="1"/>
    <x v="0"/>
    <x v="0"/>
    <x v="0"/>
    <x v="0"/>
    <x v="0"/>
    <x v="0"/>
    <x v="0"/>
    <x v="0"/>
  </r>
  <r>
    <x v="51"/>
    <x v="2372"/>
    <x v="0"/>
    <x v="7"/>
    <x v="45"/>
    <x v="11"/>
    <x v="1"/>
    <x v="18"/>
    <x v="3"/>
    <x v="4"/>
    <x v="23"/>
    <x v="0"/>
    <x v="6"/>
    <x v="8"/>
    <x v="4"/>
    <x v="1"/>
    <x v="9"/>
    <x v="40"/>
    <x v="1"/>
    <x v="10"/>
    <x v="1"/>
    <x v="1"/>
    <x v="4"/>
    <x v="2"/>
    <x v="2"/>
    <x v="2"/>
    <x v="47"/>
    <x v="0"/>
    <x v="0"/>
    <x v="0"/>
    <x v="0"/>
    <x v="0"/>
    <x v="0"/>
    <x v="0"/>
    <x v="1"/>
    <x v="0"/>
    <x v="0"/>
    <x v="0"/>
    <x v="0"/>
    <x v="0"/>
    <x v="0"/>
    <x v="0"/>
    <x v="0"/>
  </r>
  <r>
    <x v="15"/>
    <x v="2373"/>
    <x v="0"/>
    <x v="7"/>
    <x v="45"/>
    <x v="11"/>
    <x v="1"/>
    <x v="18"/>
    <x v="3"/>
    <x v="4"/>
    <x v="23"/>
    <x v="0"/>
    <x v="6"/>
    <x v="8"/>
    <x v="4"/>
    <x v="1"/>
    <x v="6"/>
    <x v="40"/>
    <x v="1"/>
    <x v="7"/>
    <x v="1"/>
    <x v="1"/>
    <x v="4"/>
    <x v="2"/>
    <x v="2"/>
    <x v="2"/>
    <x v="45"/>
    <x v="0"/>
    <x v="0"/>
    <x v="0"/>
    <x v="0"/>
    <x v="0"/>
    <x v="0"/>
    <x v="0"/>
    <x v="1"/>
    <x v="0"/>
    <x v="0"/>
    <x v="0"/>
    <x v="0"/>
    <x v="0"/>
    <x v="0"/>
    <x v="0"/>
    <x v="0"/>
  </r>
  <r>
    <x v="95"/>
    <x v="2374"/>
    <x v="0"/>
    <x v="7"/>
    <x v="45"/>
    <x v="11"/>
    <x v="1"/>
    <x v="18"/>
    <x v="3"/>
    <x v="4"/>
    <x v="23"/>
    <x v="0"/>
    <x v="6"/>
    <x v="8"/>
    <x v="4"/>
    <x v="1"/>
    <x v="9"/>
    <x v="40"/>
    <x v="1"/>
    <x v="11"/>
    <x v="2"/>
    <x v="1"/>
    <x v="4"/>
    <x v="2"/>
    <x v="2"/>
    <x v="2"/>
    <x v="48"/>
    <x v="0"/>
    <x v="0"/>
    <x v="0"/>
    <x v="0"/>
    <x v="1"/>
    <x v="0"/>
    <x v="0"/>
    <x v="1"/>
    <x v="0"/>
    <x v="0"/>
    <x v="0"/>
    <x v="0"/>
    <x v="0"/>
    <x v="0"/>
    <x v="0"/>
    <x v="0"/>
  </r>
  <r>
    <x v="43"/>
    <x v="2375"/>
    <x v="0"/>
    <x v="7"/>
    <x v="45"/>
    <x v="11"/>
    <x v="1"/>
    <x v="18"/>
    <x v="3"/>
    <x v="4"/>
    <x v="23"/>
    <x v="0"/>
    <x v="6"/>
    <x v="8"/>
    <x v="4"/>
    <x v="1"/>
    <x v="6"/>
    <x v="40"/>
    <x v="1"/>
    <x v="8"/>
    <x v="2"/>
    <x v="1"/>
    <x v="4"/>
    <x v="2"/>
    <x v="2"/>
    <x v="2"/>
    <x v="46"/>
    <x v="0"/>
    <x v="0"/>
    <x v="0"/>
    <x v="0"/>
    <x v="1"/>
    <x v="0"/>
    <x v="0"/>
    <x v="1"/>
    <x v="0"/>
    <x v="0"/>
    <x v="0"/>
    <x v="0"/>
    <x v="0"/>
    <x v="0"/>
    <x v="0"/>
    <x v="0"/>
  </r>
  <r>
    <x v="138"/>
    <x v="2376"/>
    <x v="0"/>
    <x v="7"/>
    <x v="45"/>
    <x v="11"/>
    <x v="1"/>
    <x v="18"/>
    <x v="3"/>
    <x v="4"/>
    <x v="23"/>
    <x v="0"/>
    <x v="6"/>
    <x v="8"/>
    <x v="4"/>
    <x v="8"/>
    <x v="7"/>
    <x v="40"/>
    <x v="1"/>
    <x v="22"/>
    <x v="4"/>
    <x v="1"/>
    <x v="2"/>
    <x v="2"/>
    <x v="2"/>
    <x v="2"/>
    <x v="49"/>
    <x v="0"/>
    <x v="0"/>
    <x v="0"/>
    <x v="0"/>
    <x v="0"/>
    <x v="0"/>
    <x v="0"/>
    <x v="1"/>
    <x v="0"/>
    <x v="0"/>
    <x v="0"/>
    <x v="0"/>
    <x v="0"/>
    <x v="0"/>
    <x v="0"/>
    <x v="0"/>
  </r>
  <r>
    <x v="64"/>
    <x v="2450"/>
    <x v="0"/>
    <x v="7"/>
    <x v="87"/>
    <x v="11"/>
    <x v="1"/>
    <x v="18"/>
    <x v="3"/>
    <x v="4"/>
    <x v="0"/>
    <x v="0"/>
    <x v="6"/>
    <x v="8"/>
    <x v="4"/>
    <x v="7"/>
    <x v="1"/>
    <x v="40"/>
    <x v="0"/>
    <x v="17"/>
    <x v="4"/>
    <x v="1"/>
    <x v="4"/>
    <x v="2"/>
    <x v="2"/>
    <x v="2"/>
    <x v="205"/>
    <x v="0"/>
    <x v="0"/>
    <x v="0"/>
    <x v="0"/>
    <x v="0"/>
    <x v="1"/>
    <x v="0"/>
    <x v="1"/>
    <x v="0"/>
    <x v="0"/>
    <x v="0"/>
    <x v="0"/>
    <x v="0"/>
    <x v="0"/>
    <x v="0"/>
    <x v="0"/>
  </r>
  <r>
    <x v="142"/>
    <x v="2451"/>
    <x v="0"/>
    <x v="7"/>
    <x v="87"/>
    <x v="11"/>
    <x v="1"/>
    <x v="18"/>
    <x v="3"/>
    <x v="4"/>
    <x v="0"/>
    <x v="0"/>
    <x v="6"/>
    <x v="8"/>
    <x v="4"/>
    <x v="7"/>
    <x v="1"/>
    <x v="40"/>
    <x v="2"/>
    <x v="17"/>
    <x v="4"/>
    <x v="1"/>
    <x v="5"/>
    <x v="2"/>
    <x v="2"/>
    <x v="2"/>
    <x v="204"/>
    <x v="0"/>
    <x v="0"/>
    <x v="0"/>
    <x v="0"/>
    <x v="1"/>
    <x v="0"/>
    <x v="0"/>
    <x v="1"/>
    <x v="0"/>
    <x v="0"/>
    <x v="0"/>
    <x v="0"/>
    <x v="0"/>
    <x v="0"/>
    <x v="0"/>
    <x v="0"/>
  </r>
  <r>
    <x v="156"/>
    <x v="1848"/>
    <x v="0"/>
    <x v="7"/>
    <x v="87"/>
    <x v="11"/>
    <x v="1"/>
    <x v="18"/>
    <x v="3"/>
    <x v="4"/>
    <x v="0"/>
    <x v="0"/>
    <x v="6"/>
    <x v="8"/>
    <x v="4"/>
    <x v="1"/>
    <x v="11"/>
    <x v="4"/>
    <x v="0"/>
    <x v="22"/>
    <x v="4"/>
    <x v="1"/>
    <x v="4"/>
    <x v="2"/>
    <x v="2"/>
    <x v="2"/>
    <x v="206"/>
    <x v="0"/>
    <x v="0"/>
    <x v="0"/>
    <x v="0"/>
    <x v="0"/>
    <x v="0"/>
    <x v="0"/>
    <x v="0"/>
    <x v="0"/>
    <x v="0"/>
    <x v="0"/>
    <x v="0"/>
    <x v="0"/>
    <x v="0"/>
    <x v="0"/>
    <x v="0"/>
  </r>
  <r>
    <x v="83"/>
    <x v="8"/>
    <x v="0"/>
    <x v="8"/>
    <x v="40"/>
    <x v="11"/>
    <x v="1"/>
    <x v="9"/>
    <x v="2"/>
    <x v="4"/>
    <x v="35"/>
    <x v="0"/>
    <x v="6"/>
    <x v="8"/>
    <x v="4"/>
    <x v="4"/>
    <x v="2"/>
    <x v="40"/>
    <x v="3"/>
    <x v="14"/>
    <x v="4"/>
    <x v="1"/>
    <x v="4"/>
    <x v="1"/>
    <x v="2"/>
    <x v="2"/>
    <x v="61"/>
    <x v="0"/>
    <x v="0"/>
    <x v="0"/>
    <x v="0"/>
    <x v="0"/>
    <x v="0"/>
    <x v="0"/>
    <x v="1"/>
    <x v="0"/>
    <x v="0"/>
    <x v="0"/>
    <x v="0"/>
    <x v="0"/>
    <x v="0"/>
    <x v="0"/>
    <x v="0"/>
  </r>
  <r>
    <x v="86"/>
    <x v="9"/>
    <x v="0"/>
    <x v="8"/>
    <x v="31"/>
    <x v="11"/>
    <x v="1"/>
    <x v="18"/>
    <x v="3"/>
    <x v="4"/>
    <x v="35"/>
    <x v="0"/>
    <x v="6"/>
    <x v="8"/>
    <x v="4"/>
    <x v="8"/>
    <x v="7"/>
    <x v="40"/>
    <x v="3"/>
    <x v="22"/>
    <x v="4"/>
    <x v="1"/>
    <x v="2"/>
    <x v="1"/>
    <x v="2"/>
    <x v="2"/>
    <x v="56"/>
    <x v="0"/>
    <x v="0"/>
    <x v="0"/>
    <x v="0"/>
    <x v="0"/>
    <x v="0"/>
    <x v="0"/>
    <x v="1"/>
    <x v="0"/>
    <x v="0"/>
    <x v="0"/>
    <x v="0"/>
    <x v="0"/>
    <x v="0"/>
    <x v="0"/>
    <x v="0"/>
  </r>
  <r>
    <x v="59"/>
    <x v="10"/>
    <x v="0"/>
    <x v="8"/>
    <x v="38"/>
    <x v="11"/>
    <x v="1"/>
    <x v="18"/>
    <x v="1"/>
    <x v="4"/>
    <x v="35"/>
    <x v="0"/>
    <x v="6"/>
    <x v="8"/>
    <x v="4"/>
    <x v="4"/>
    <x v="0"/>
    <x v="40"/>
    <x v="3"/>
    <x v="13"/>
    <x v="4"/>
    <x v="1"/>
    <x v="4"/>
    <x v="1"/>
    <x v="2"/>
    <x v="2"/>
    <x v="57"/>
    <x v="0"/>
    <x v="0"/>
    <x v="0"/>
    <x v="0"/>
    <x v="0"/>
    <x v="0"/>
    <x v="0"/>
    <x v="1"/>
    <x v="0"/>
    <x v="0"/>
    <x v="0"/>
    <x v="0"/>
    <x v="0"/>
    <x v="0"/>
    <x v="0"/>
    <x v="0"/>
  </r>
  <r>
    <x v="111"/>
    <x v="11"/>
    <x v="0"/>
    <x v="8"/>
    <x v="38"/>
    <x v="11"/>
    <x v="1"/>
    <x v="18"/>
    <x v="1"/>
    <x v="4"/>
    <x v="35"/>
    <x v="0"/>
    <x v="6"/>
    <x v="8"/>
    <x v="4"/>
    <x v="4"/>
    <x v="2"/>
    <x v="40"/>
    <x v="3"/>
    <x v="14"/>
    <x v="4"/>
    <x v="1"/>
    <x v="4"/>
    <x v="1"/>
    <x v="2"/>
    <x v="2"/>
    <x v="58"/>
    <x v="0"/>
    <x v="0"/>
    <x v="0"/>
    <x v="0"/>
    <x v="0"/>
    <x v="0"/>
    <x v="0"/>
    <x v="1"/>
    <x v="0"/>
    <x v="0"/>
    <x v="0"/>
    <x v="0"/>
    <x v="0"/>
    <x v="0"/>
    <x v="0"/>
    <x v="0"/>
  </r>
  <r>
    <x v="71"/>
    <x v="12"/>
    <x v="0"/>
    <x v="8"/>
    <x v="40"/>
    <x v="11"/>
    <x v="1"/>
    <x v="18"/>
    <x v="0"/>
    <x v="4"/>
    <x v="35"/>
    <x v="0"/>
    <x v="6"/>
    <x v="8"/>
    <x v="4"/>
    <x v="4"/>
    <x v="2"/>
    <x v="40"/>
    <x v="3"/>
    <x v="14"/>
    <x v="4"/>
    <x v="1"/>
    <x v="4"/>
    <x v="1"/>
    <x v="2"/>
    <x v="2"/>
    <x v="59"/>
    <x v="0"/>
    <x v="0"/>
    <x v="0"/>
    <x v="0"/>
    <x v="0"/>
    <x v="0"/>
    <x v="0"/>
    <x v="1"/>
    <x v="0"/>
    <x v="0"/>
    <x v="0"/>
    <x v="0"/>
    <x v="0"/>
    <x v="0"/>
    <x v="0"/>
    <x v="0"/>
  </r>
  <r>
    <x v="106"/>
    <x v="13"/>
    <x v="0"/>
    <x v="8"/>
    <x v="40"/>
    <x v="11"/>
    <x v="1"/>
    <x v="18"/>
    <x v="2"/>
    <x v="4"/>
    <x v="35"/>
    <x v="0"/>
    <x v="6"/>
    <x v="8"/>
    <x v="4"/>
    <x v="4"/>
    <x v="2"/>
    <x v="40"/>
    <x v="3"/>
    <x v="14"/>
    <x v="4"/>
    <x v="1"/>
    <x v="4"/>
    <x v="1"/>
    <x v="2"/>
    <x v="2"/>
    <x v="62"/>
    <x v="0"/>
    <x v="0"/>
    <x v="0"/>
    <x v="0"/>
    <x v="0"/>
    <x v="0"/>
    <x v="0"/>
    <x v="1"/>
    <x v="0"/>
    <x v="0"/>
    <x v="0"/>
    <x v="0"/>
    <x v="0"/>
    <x v="0"/>
    <x v="0"/>
    <x v="0"/>
  </r>
  <r>
    <x v="4"/>
    <x v="14"/>
    <x v="0"/>
    <x v="8"/>
    <x v="40"/>
    <x v="11"/>
    <x v="1"/>
    <x v="18"/>
    <x v="3"/>
    <x v="4"/>
    <x v="35"/>
    <x v="0"/>
    <x v="6"/>
    <x v="8"/>
    <x v="4"/>
    <x v="8"/>
    <x v="7"/>
    <x v="40"/>
    <x v="3"/>
    <x v="22"/>
    <x v="4"/>
    <x v="1"/>
    <x v="2"/>
    <x v="1"/>
    <x v="2"/>
    <x v="2"/>
    <x v="60"/>
    <x v="0"/>
    <x v="0"/>
    <x v="0"/>
    <x v="0"/>
    <x v="0"/>
    <x v="0"/>
    <x v="0"/>
    <x v="1"/>
    <x v="0"/>
    <x v="0"/>
    <x v="0"/>
    <x v="0"/>
    <x v="0"/>
    <x v="0"/>
    <x v="0"/>
    <x v="0"/>
  </r>
  <r>
    <x v="37"/>
    <x v="15"/>
    <x v="0"/>
    <x v="8"/>
    <x v="46"/>
    <x v="11"/>
    <x v="1"/>
    <x v="18"/>
    <x v="3"/>
    <x v="4"/>
    <x v="35"/>
    <x v="0"/>
    <x v="6"/>
    <x v="8"/>
    <x v="4"/>
    <x v="8"/>
    <x v="7"/>
    <x v="40"/>
    <x v="3"/>
    <x v="22"/>
    <x v="4"/>
    <x v="1"/>
    <x v="2"/>
    <x v="1"/>
    <x v="2"/>
    <x v="2"/>
    <x v="63"/>
    <x v="0"/>
    <x v="0"/>
    <x v="0"/>
    <x v="0"/>
    <x v="0"/>
    <x v="0"/>
    <x v="0"/>
    <x v="1"/>
    <x v="0"/>
    <x v="0"/>
    <x v="0"/>
    <x v="0"/>
    <x v="0"/>
    <x v="0"/>
    <x v="0"/>
    <x v="0"/>
  </r>
  <r>
    <x v="14"/>
    <x v="16"/>
    <x v="0"/>
    <x v="8"/>
    <x v="56"/>
    <x v="11"/>
    <x v="1"/>
    <x v="18"/>
    <x v="0"/>
    <x v="4"/>
    <x v="35"/>
    <x v="0"/>
    <x v="6"/>
    <x v="8"/>
    <x v="4"/>
    <x v="4"/>
    <x v="0"/>
    <x v="40"/>
    <x v="3"/>
    <x v="13"/>
    <x v="4"/>
    <x v="1"/>
    <x v="4"/>
    <x v="1"/>
    <x v="2"/>
    <x v="2"/>
    <x v="64"/>
    <x v="0"/>
    <x v="0"/>
    <x v="0"/>
    <x v="0"/>
    <x v="0"/>
    <x v="0"/>
    <x v="0"/>
    <x v="1"/>
    <x v="0"/>
    <x v="0"/>
    <x v="0"/>
    <x v="0"/>
    <x v="0"/>
    <x v="0"/>
    <x v="0"/>
    <x v="0"/>
  </r>
  <r>
    <x v="154"/>
    <x v="17"/>
    <x v="0"/>
    <x v="8"/>
    <x v="56"/>
    <x v="11"/>
    <x v="1"/>
    <x v="18"/>
    <x v="1"/>
    <x v="4"/>
    <x v="35"/>
    <x v="0"/>
    <x v="6"/>
    <x v="8"/>
    <x v="4"/>
    <x v="4"/>
    <x v="0"/>
    <x v="40"/>
    <x v="3"/>
    <x v="13"/>
    <x v="4"/>
    <x v="1"/>
    <x v="4"/>
    <x v="1"/>
    <x v="2"/>
    <x v="2"/>
    <x v="67"/>
    <x v="0"/>
    <x v="0"/>
    <x v="0"/>
    <x v="0"/>
    <x v="0"/>
    <x v="0"/>
    <x v="0"/>
    <x v="1"/>
    <x v="0"/>
    <x v="0"/>
    <x v="0"/>
    <x v="0"/>
    <x v="0"/>
    <x v="0"/>
    <x v="0"/>
    <x v="0"/>
  </r>
  <r>
    <x v="18"/>
    <x v="18"/>
    <x v="0"/>
    <x v="8"/>
    <x v="56"/>
    <x v="11"/>
    <x v="1"/>
    <x v="18"/>
    <x v="2"/>
    <x v="4"/>
    <x v="35"/>
    <x v="0"/>
    <x v="6"/>
    <x v="8"/>
    <x v="4"/>
    <x v="4"/>
    <x v="0"/>
    <x v="40"/>
    <x v="3"/>
    <x v="13"/>
    <x v="4"/>
    <x v="1"/>
    <x v="4"/>
    <x v="1"/>
    <x v="2"/>
    <x v="2"/>
    <x v="71"/>
    <x v="0"/>
    <x v="0"/>
    <x v="0"/>
    <x v="0"/>
    <x v="0"/>
    <x v="0"/>
    <x v="0"/>
    <x v="1"/>
    <x v="0"/>
    <x v="0"/>
    <x v="0"/>
    <x v="0"/>
    <x v="0"/>
    <x v="0"/>
    <x v="0"/>
    <x v="0"/>
  </r>
  <r>
    <x v="63"/>
    <x v="19"/>
    <x v="0"/>
    <x v="8"/>
    <x v="56"/>
    <x v="11"/>
    <x v="1"/>
    <x v="18"/>
    <x v="1"/>
    <x v="4"/>
    <x v="35"/>
    <x v="0"/>
    <x v="6"/>
    <x v="8"/>
    <x v="4"/>
    <x v="4"/>
    <x v="2"/>
    <x v="40"/>
    <x v="3"/>
    <x v="14"/>
    <x v="4"/>
    <x v="1"/>
    <x v="4"/>
    <x v="1"/>
    <x v="2"/>
    <x v="2"/>
    <x v="68"/>
    <x v="0"/>
    <x v="0"/>
    <x v="0"/>
    <x v="0"/>
    <x v="0"/>
    <x v="0"/>
    <x v="0"/>
    <x v="1"/>
    <x v="0"/>
    <x v="0"/>
    <x v="0"/>
    <x v="0"/>
    <x v="0"/>
    <x v="0"/>
    <x v="0"/>
    <x v="0"/>
  </r>
  <r>
    <x v="148"/>
    <x v="20"/>
    <x v="0"/>
    <x v="8"/>
    <x v="56"/>
    <x v="11"/>
    <x v="1"/>
    <x v="18"/>
    <x v="2"/>
    <x v="4"/>
    <x v="35"/>
    <x v="0"/>
    <x v="6"/>
    <x v="8"/>
    <x v="4"/>
    <x v="4"/>
    <x v="2"/>
    <x v="40"/>
    <x v="3"/>
    <x v="14"/>
    <x v="4"/>
    <x v="1"/>
    <x v="4"/>
    <x v="1"/>
    <x v="2"/>
    <x v="2"/>
    <x v="72"/>
    <x v="0"/>
    <x v="0"/>
    <x v="0"/>
    <x v="0"/>
    <x v="0"/>
    <x v="0"/>
    <x v="0"/>
    <x v="1"/>
    <x v="0"/>
    <x v="0"/>
    <x v="0"/>
    <x v="0"/>
    <x v="0"/>
    <x v="0"/>
    <x v="0"/>
    <x v="0"/>
  </r>
  <r>
    <x v="82"/>
    <x v="21"/>
    <x v="0"/>
    <x v="8"/>
    <x v="56"/>
    <x v="11"/>
    <x v="1"/>
    <x v="18"/>
    <x v="1"/>
    <x v="4"/>
    <x v="35"/>
    <x v="0"/>
    <x v="6"/>
    <x v="8"/>
    <x v="4"/>
    <x v="4"/>
    <x v="6"/>
    <x v="40"/>
    <x v="3"/>
    <x v="15"/>
    <x v="4"/>
    <x v="1"/>
    <x v="4"/>
    <x v="1"/>
    <x v="2"/>
    <x v="2"/>
    <x v="69"/>
    <x v="0"/>
    <x v="0"/>
    <x v="0"/>
    <x v="0"/>
    <x v="0"/>
    <x v="0"/>
    <x v="0"/>
    <x v="1"/>
    <x v="0"/>
    <x v="0"/>
    <x v="0"/>
    <x v="0"/>
    <x v="0"/>
    <x v="0"/>
    <x v="0"/>
    <x v="0"/>
  </r>
  <r>
    <x v="0"/>
    <x v="22"/>
    <x v="0"/>
    <x v="8"/>
    <x v="56"/>
    <x v="11"/>
    <x v="1"/>
    <x v="18"/>
    <x v="2"/>
    <x v="4"/>
    <x v="35"/>
    <x v="0"/>
    <x v="6"/>
    <x v="8"/>
    <x v="4"/>
    <x v="4"/>
    <x v="6"/>
    <x v="40"/>
    <x v="3"/>
    <x v="15"/>
    <x v="4"/>
    <x v="1"/>
    <x v="4"/>
    <x v="1"/>
    <x v="2"/>
    <x v="2"/>
    <x v="73"/>
    <x v="0"/>
    <x v="0"/>
    <x v="0"/>
    <x v="0"/>
    <x v="0"/>
    <x v="0"/>
    <x v="0"/>
    <x v="1"/>
    <x v="0"/>
    <x v="0"/>
    <x v="0"/>
    <x v="0"/>
    <x v="0"/>
    <x v="0"/>
    <x v="0"/>
    <x v="0"/>
  </r>
  <r>
    <x v="117"/>
    <x v="23"/>
    <x v="0"/>
    <x v="8"/>
    <x v="56"/>
    <x v="11"/>
    <x v="1"/>
    <x v="18"/>
    <x v="0"/>
    <x v="4"/>
    <x v="35"/>
    <x v="0"/>
    <x v="6"/>
    <x v="8"/>
    <x v="4"/>
    <x v="4"/>
    <x v="9"/>
    <x v="40"/>
    <x v="3"/>
    <x v="16"/>
    <x v="4"/>
    <x v="1"/>
    <x v="4"/>
    <x v="1"/>
    <x v="2"/>
    <x v="2"/>
    <x v="65"/>
    <x v="0"/>
    <x v="0"/>
    <x v="0"/>
    <x v="0"/>
    <x v="0"/>
    <x v="0"/>
    <x v="0"/>
    <x v="1"/>
    <x v="0"/>
    <x v="0"/>
    <x v="0"/>
    <x v="0"/>
    <x v="0"/>
    <x v="0"/>
    <x v="0"/>
    <x v="0"/>
  </r>
  <r>
    <x v="40"/>
    <x v="24"/>
    <x v="0"/>
    <x v="8"/>
    <x v="56"/>
    <x v="11"/>
    <x v="1"/>
    <x v="18"/>
    <x v="1"/>
    <x v="4"/>
    <x v="35"/>
    <x v="0"/>
    <x v="6"/>
    <x v="8"/>
    <x v="4"/>
    <x v="4"/>
    <x v="9"/>
    <x v="40"/>
    <x v="3"/>
    <x v="16"/>
    <x v="4"/>
    <x v="1"/>
    <x v="4"/>
    <x v="1"/>
    <x v="2"/>
    <x v="2"/>
    <x v="70"/>
    <x v="0"/>
    <x v="0"/>
    <x v="0"/>
    <x v="0"/>
    <x v="0"/>
    <x v="0"/>
    <x v="0"/>
    <x v="1"/>
    <x v="0"/>
    <x v="0"/>
    <x v="0"/>
    <x v="0"/>
    <x v="0"/>
    <x v="0"/>
    <x v="0"/>
    <x v="0"/>
  </r>
  <r>
    <x v="31"/>
    <x v="25"/>
    <x v="0"/>
    <x v="8"/>
    <x v="56"/>
    <x v="11"/>
    <x v="1"/>
    <x v="18"/>
    <x v="2"/>
    <x v="4"/>
    <x v="35"/>
    <x v="0"/>
    <x v="6"/>
    <x v="8"/>
    <x v="4"/>
    <x v="4"/>
    <x v="9"/>
    <x v="40"/>
    <x v="3"/>
    <x v="16"/>
    <x v="4"/>
    <x v="1"/>
    <x v="4"/>
    <x v="1"/>
    <x v="2"/>
    <x v="2"/>
    <x v="74"/>
    <x v="0"/>
    <x v="0"/>
    <x v="0"/>
    <x v="0"/>
    <x v="0"/>
    <x v="0"/>
    <x v="0"/>
    <x v="1"/>
    <x v="0"/>
    <x v="0"/>
    <x v="0"/>
    <x v="0"/>
    <x v="0"/>
    <x v="0"/>
    <x v="0"/>
    <x v="0"/>
  </r>
  <r>
    <x v="80"/>
    <x v="26"/>
    <x v="0"/>
    <x v="8"/>
    <x v="56"/>
    <x v="11"/>
    <x v="1"/>
    <x v="18"/>
    <x v="3"/>
    <x v="4"/>
    <x v="35"/>
    <x v="0"/>
    <x v="6"/>
    <x v="8"/>
    <x v="4"/>
    <x v="8"/>
    <x v="7"/>
    <x v="40"/>
    <x v="3"/>
    <x v="22"/>
    <x v="4"/>
    <x v="1"/>
    <x v="2"/>
    <x v="1"/>
    <x v="2"/>
    <x v="2"/>
    <x v="66"/>
    <x v="0"/>
    <x v="0"/>
    <x v="0"/>
    <x v="0"/>
    <x v="0"/>
    <x v="0"/>
    <x v="0"/>
    <x v="1"/>
    <x v="0"/>
    <x v="0"/>
    <x v="0"/>
    <x v="0"/>
    <x v="0"/>
    <x v="0"/>
    <x v="0"/>
    <x v="0"/>
  </r>
  <r>
    <x v="107"/>
    <x v="27"/>
    <x v="0"/>
    <x v="8"/>
    <x v="61"/>
    <x v="11"/>
    <x v="1"/>
    <x v="18"/>
    <x v="1"/>
    <x v="4"/>
    <x v="35"/>
    <x v="0"/>
    <x v="6"/>
    <x v="8"/>
    <x v="4"/>
    <x v="4"/>
    <x v="0"/>
    <x v="40"/>
    <x v="3"/>
    <x v="13"/>
    <x v="4"/>
    <x v="1"/>
    <x v="4"/>
    <x v="1"/>
    <x v="2"/>
    <x v="2"/>
    <x v="76"/>
    <x v="0"/>
    <x v="0"/>
    <x v="0"/>
    <x v="0"/>
    <x v="0"/>
    <x v="0"/>
    <x v="0"/>
    <x v="1"/>
    <x v="0"/>
    <x v="0"/>
    <x v="0"/>
    <x v="0"/>
    <x v="0"/>
    <x v="0"/>
    <x v="0"/>
    <x v="0"/>
  </r>
  <r>
    <x v="45"/>
    <x v="28"/>
    <x v="0"/>
    <x v="8"/>
    <x v="61"/>
    <x v="11"/>
    <x v="1"/>
    <x v="18"/>
    <x v="2"/>
    <x v="4"/>
    <x v="35"/>
    <x v="0"/>
    <x v="6"/>
    <x v="8"/>
    <x v="4"/>
    <x v="4"/>
    <x v="0"/>
    <x v="40"/>
    <x v="3"/>
    <x v="13"/>
    <x v="4"/>
    <x v="1"/>
    <x v="4"/>
    <x v="1"/>
    <x v="2"/>
    <x v="2"/>
    <x v="80"/>
    <x v="0"/>
    <x v="0"/>
    <x v="0"/>
    <x v="0"/>
    <x v="0"/>
    <x v="0"/>
    <x v="0"/>
    <x v="1"/>
    <x v="0"/>
    <x v="0"/>
    <x v="0"/>
    <x v="0"/>
    <x v="0"/>
    <x v="0"/>
    <x v="0"/>
    <x v="0"/>
  </r>
  <r>
    <x v="125"/>
    <x v="29"/>
    <x v="0"/>
    <x v="8"/>
    <x v="61"/>
    <x v="11"/>
    <x v="1"/>
    <x v="18"/>
    <x v="1"/>
    <x v="4"/>
    <x v="35"/>
    <x v="0"/>
    <x v="6"/>
    <x v="8"/>
    <x v="4"/>
    <x v="4"/>
    <x v="2"/>
    <x v="40"/>
    <x v="3"/>
    <x v="14"/>
    <x v="4"/>
    <x v="1"/>
    <x v="4"/>
    <x v="1"/>
    <x v="2"/>
    <x v="2"/>
    <x v="77"/>
    <x v="0"/>
    <x v="0"/>
    <x v="0"/>
    <x v="0"/>
    <x v="0"/>
    <x v="0"/>
    <x v="0"/>
    <x v="1"/>
    <x v="0"/>
    <x v="0"/>
    <x v="0"/>
    <x v="0"/>
    <x v="0"/>
    <x v="0"/>
    <x v="0"/>
    <x v="0"/>
  </r>
  <r>
    <x v="92"/>
    <x v="30"/>
    <x v="0"/>
    <x v="8"/>
    <x v="61"/>
    <x v="11"/>
    <x v="1"/>
    <x v="18"/>
    <x v="2"/>
    <x v="4"/>
    <x v="35"/>
    <x v="0"/>
    <x v="6"/>
    <x v="8"/>
    <x v="4"/>
    <x v="4"/>
    <x v="2"/>
    <x v="40"/>
    <x v="3"/>
    <x v="14"/>
    <x v="4"/>
    <x v="1"/>
    <x v="4"/>
    <x v="1"/>
    <x v="2"/>
    <x v="2"/>
    <x v="81"/>
    <x v="0"/>
    <x v="0"/>
    <x v="0"/>
    <x v="0"/>
    <x v="0"/>
    <x v="0"/>
    <x v="0"/>
    <x v="1"/>
    <x v="0"/>
    <x v="0"/>
    <x v="0"/>
    <x v="0"/>
    <x v="0"/>
    <x v="0"/>
    <x v="0"/>
    <x v="0"/>
  </r>
  <r>
    <x v="62"/>
    <x v="31"/>
    <x v="0"/>
    <x v="8"/>
    <x v="61"/>
    <x v="11"/>
    <x v="1"/>
    <x v="18"/>
    <x v="1"/>
    <x v="4"/>
    <x v="35"/>
    <x v="0"/>
    <x v="6"/>
    <x v="8"/>
    <x v="4"/>
    <x v="4"/>
    <x v="6"/>
    <x v="40"/>
    <x v="3"/>
    <x v="15"/>
    <x v="4"/>
    <x v="1"/>
    <x v="4"/>
    <x v="1"/>
    <x v="2"/>
    <x v="2"/>
    <x v="78"/>
    <x v="0"/>
    <x v="0"/>
    <x v="0"/>
    <x v="0"/>
    <x v="0"/>
    <x v="0"/>
    <x v="0"/>
    <x v="1"/>
    <x v="0"/>
    <x v="0"/>
    <x v="0"/>
    <x v="0"/>
    <x v="0"/>
    <x v="0"/>
    <x v="0"/>
    <x v="0"/>
  </r>
  <r>
    <x v="76"/>
    <x v="32"/>
    <x v="0"/>
    <x v="8"/>
    <x v="61"/>
    <x v="11"/>
    <x v="1"/>
    <x v="18"/>
    <x v="2"/>
    <x v="4"/>
    <x v="35"/>
    <x v="0"/>
    <x v="6"/>
    <x v="8"/>
    <x v="4"/>
    <x v="4"/>
    <x v="6"/>
    <x v="40"/>
    <x v="3"/>
    <x v="15"/>
    <x v="4"/>
    <x v="1"/>
    <x v="4"/>
    <x v="1"/>
    <x v="2"/>
    <x v="2"/>
    <x v="82"/>
    <x v="0"/>
    <x v="0"/>
    <x v="0"/>
    <x v="0"/>
    <x v="0"/>
    <x v="0"/>
    <x v="0"/>
    <x v="1"/>
    <x v="0"/>
    <x v="0"/>
    <x v="0"/>
    <x v="0"/>
    <x v="0"/>
    <x v="0"/>
    <x v="0"/>
    <x v="0"/>
  </r>
  <r>
    <x v="140"/>
    <x v="33"/>
    <x v="0"/>
    <x v="8"/>
    <x v="61"/>
    <x v="11"/>
    <x v="1"/>
    <x v="18"/>
    <x v="1"/>
    <x v="4"/>
    <x v="35"/>
    <x v="0"/>
    <x v="6"/>
    <x v="8"/>
    <x v="4"/>
    <x v="4"/>
    <x v="9"/>
    <x v="40"/>
    <x v="3"/>
    <x v="16"/>
    <x v="4"/>
    <x v="1"/>
    <x v="4"/>
    <x v="1"/>
    <x v="2"/>
    <x v="2"/>
    <x v="79"/>
    <x v="0"/>
    <x v="0"/>
    <x v="0"/>
    <x v="0"/>
    <x v="0"/>
    <x v="0"/>
    <x v="0"/>
    <x v="1"/>
    <x v="0"/>
    <x v="0"/>
    <x v="0"/>
    <x v="0"/>
    <x v="0"/>
    <x v="0"/>
    <x v="0"/>
    <x v="0"/>
  </r>
  <r>
    <x v="30"/>
    <x v="34"/>
    <x v="0"/>
    <x v="8"/>
    <x v="61"/>
    <x v="11"/>
    <x v="1"/>
    <x v="18"/>
    <x v="2"/>
    <x v="4"/>
    <x v="35"/>
    <x v="0"/>
    <x v="6"/>
    <x v="8"/>
    <x v="4"/>
    <x v="4"/>
    <x v="9"/>
    <x v="40"/>
    <x v="3"/>
    <x v="16"/>
    <x v="4"/>
    <x v="1"/>
    <x v="4"/>
    <x v="1"/>
    <x v="2"/>
    <x v="2"/>
    <x v="83"/>
    <x v="0"/>
    <x v="0"/>
    <x v="0"/>
    <x v="0"/>
    <x v="0"/>
    <x v="0"/>
    <x v="0"/>
    <x v="1"/>
    <x v="0"/>
    <x v="0"/>
    <x v="0"/>
    <x v="0"/>
    <x v="0"/>
    <x v="0"/>
    <x v="0"/>
    <x v="0"/>
  </r>
  <r>
    <x v="94"/>
    <x v="35"/>
    <x v="0"/>
    <x v="8"/>
    <x v="62"/>
    <x v="11"/>
    <x v="1"/>
    <x v="18"/>
    <x v="1"/>
    <x v="4"/>
    <x v="35"/>
    <x v="0"/>
    <x v="6"/>
    <x v="8"/>
    <x v="4"/>
    <x v="4"/>
    <x v="0"/>
    <x v="40"/>
    <x v="3"/>
    <x v="13"/>
    <x v="4"/>
    <x v="1"/>
    <x v="4"/>
    <x v="1"/>
    <x v="2"/>
    <x v="2"/>
    <x v="84"/>
    <x v="0"/>
    <x v="0"/>
    <x v="0"/>
    <x v="0"/>
    <x v="0"/>
    <x v="0"/>
    <x v="0"/>
    <x v="1"/>
    <x v="0"/>
    <x v="0"/>
    <x v="0"/>
    <x v="0"/>
    <x v="0"/>
    <x v="0"/>
    <x v="0"/>
    <x v="0"/>
  </r>
  <r>
    <x v="16"/>
    <x v="36"/>
    <x v="0"/>
    <x v="8"/>
    <x v="62"/>
    <x v="11"/>
    <x v="1"/>
    <x v="18"/>
    <x v="2"/>
    <x v="4"/>
    <x v="35"/>
    <x v="0"/>
    <x v="6"/>
    <x v="8"/>
    <x v="4"/>
    <x v="4"/>
    <x v="0"/>
    <x v="40"/>
    <x v="3"/>
    <x v="13"/>
    <x v="4"/>
    <x v="1"/>
    <x v="4"/>
    <x v="1"/>
    <x v="2"/>
    <x v="2"/>
    <x v="88"/>
    <x v="0"/>
    <x v="0"/>
    <x v="0"/>
    <x v="0"/>
    <x v="0"/>
    <x v="0"/>
    <x v="0"/>
    <x v="1"/>
    <x v="0"/>
    <x v="0"/>
    <x v="0"/>
    <x v="0"/>
    <x v="0"/>
    <x v="0"/>
    <x v="0"/>
    <x v="0"/>
  </r>
  <r>
    <x v="56"/>
    <x v="37"/>
    <x v="0"/>
    <x v="8"/>
    <x v="62"/>
    <x v="11"/>
    <x v="1"/>
    <x v="18"/>
    <x v="1"/>
    <x v="4"/>
    <x v="35"/>
    <x v="0"/>
    <x v="6"/>
    <x v="8"/>
    <x v="4"/>
    <x v="4"/>
    <x v="2"/>
    <x v="40"/>
    <x v="3"/>
    <x v="14"/>
    <x v="4"/>
    <x v="1"/>
    <x v="4"/>
    <x v="1"/>
    <x v="2"/>
    <x v="2"/>
    <x v="85"/>
    <x v="0"/>
    <x v="0"/>
    <x v="0"/>
    <x v="0"/>
    <x v="0"/>
    <x v="0"/>
    <x v="0"/>
    <x v="1"/>
    <x v="0"/>
    <x v="0"/>
    <x v="0"/>
    <x v="0"/>
    <x v="0"/>
    <x v="0"/>
    <x v="0"/>
    <x v="0"/>
  </r>
  <r>
    <x v="61"/>
    <x v="38"/>
    <x v="0"/>
    <x v="8"/>
    <x v="62"/>
    <x v="11"/>
    <x v="1"/>
    <x v="18"/>
    <x v="2"/>
    <x v="4"/>
    <x v="35"/>
    <x v="0"/>
    <x v="6"/>
    <x v="8"/>
    <x v="4"/>
    <x v="4"/>
    <x v="2"/>
    <x v="40"/>
    <x v="3"/>
    <x v="14"/>
    <x v="4"/>
    <x v="1"/>
    <x v="4"/>
    <x v="1"/>
    <x v="2"/>
    <x v="2"/>
    <x v="89"/>
    <x v="0"/>
    <x v="0"/>
    <x v="0"/>
    <x v="0"/>
    <x v="0"/>
    <x v="0"/>
    <x v="0"/>
    <x v="1"/>
    <x v="0"/>
    <x v="0"/>
    <x v="0"/>
    <x v="0"/>
    <x v="0"/>
    <x v="0"/>
    <x v="0"/>
    <x v="0"/>
  </r>
  <r>
    <x v="120"/>
    <x v="39"/>
    <x v="0"/>
    <x v="8"/>
    <x v="62"/>
    <x v="11"/>
    <x v="1"/>
    <x v="18"/>
    <x v="1"/>
    <x v="4"/>
    <x v="35"/>
    <x v="0"/>
    <x v="6"/>
    <x v="8"/>
    <x v="4"/>
    <x v="4"/>
    <x v="6"/>
    <x v="40"/>
    <x v="3"/>
    <x v="15"/>
    <x v="4"/>
    <x v="1"/>
    <x v="4"/>
    <x v="1"/>
    <x v="2"/>
    <x v="2"/>
    <x v="86"/>
    <x v="0"/>
    <x v="0"/>
    <x v="0"/>
    <x v="0"/>
    <x v="0"/>
    <x v="0"/>
    <x v="0"/>
    <x v="1"/>
    <x v="0"/>
    <x v="0"/>
    <x v="0"/>
    <x v="0"/>
    <x v="0"/>
    <x v="0"/>
    <x v="0"/>
    <x v="0"/>
  </r>
  <r>
    <x v="36"/>
    <x v="40"/>
    <x v="0"/>
    <x v="8"/>
    <x v="62"/>
    <x v="11"/>
    <x v="1"/>
    <x v="18"/>
    <x v="2"/>
    <x v="4"/>
    <x v="35"/>
    <x v="0"/>
    <x v="6"/>
    <x v="8"/>
    <x v="4"/>
    <x v="4"/>
    <x v="6"/>
    <x v="40"/>
    <x v="3"/>
    <x v="15"/>
    <x v="4"/>
    <x v="1"/>
    <x v="4"/>
    <x v="1"/>
    <x v="2"/>
    <x v="2"/>
    <x v="90"/>
    <x v="0"/>
    <x v="0"/>
    <x v="0"/>
    <x v="0"/>
    <x v="0"/>
    <x v="0"/>
    <x v="0"/>
    <x v="1"/>
    <x v="0"/>
    <x v="0"/>
    <x v="0"/>
    <x v="0"/>
    <x v="0"/>
    <x v="0"/>
    <x v="0"/>
    <x v="0"/>
  </r>
  <r>
    <x v="23"/>
    <x v="41"/>
    <x v="0"/>
    <x v="8"/>
    <x v="62"/>
    <x v="11"/>
    <x v="1"/>
    <x v="18"/>
    <x v="1"/>
    <x v="4"/>
    <x v="35"/>
    <x v="0"/>
    <x v="6"/>
    <x v="8"/>
    <x v="4"/>
    <x v="4"/>
    <x v="9"/>
    <x v="40"/>
    <x v="3"/>
    <x v="16"/>
    <x v="4"/>
    <x v="1"/>
    <x v="4"/>
    <x v="1"/>
    <x v="2"/>
    <x v="2"/>
    <x v="87"/>
    <x v="0"/>
    <x v="0"/>
    <x v="0"/>
    <x v="0"/>
    <x v="0"/>
    <x v="0"/>
    <x v="0"/>
    <x v="1"/>
    <x v="0"/>
    <x v="0"/>
    <x v="0"/>
    <x v="0"/>
    <x v="0"/>
    <x v="0"/>
    <x v="0"/>
    <x v="0"/>
  </r>
  <r>
    <x v="1"/>
    <x v="42"/>
    <x v="0"/>
    <x v="8"/>
    <x v="62"/>
    <x v="11"/>
    <x v="1"/>
    <x v="18"/>
    <x v="2"/>
    <x v="4"/>
    <x v="35"/>
    <x v="0"/>
    <x v="6"/>
    <x v="8"/>
    <x v="4"/>
    <x v="4"/>
    <x v="9"/>
    <x v="40"/>
    <x v="3"/>
    <x v="16"/>
    <x v="4"/>
    <x v="1"/>
    <x v="4"/>
    <x v="1"/>
    <x v="2"/>
    <x v="2"/>
    <x v="91"/>
    <x v="0"/>
    <x v="0"/>
    <x v="0"/>
    <x v="0"/>
    <x v="0"/>
    <x v="0"/>
    <x v="0"/>
    <x v="1"/>
    <x v="0"/>
    <x v="0"/>
    <x v="0"/>
    <x v="0"/>
    <x v="0"/>
    <x v="0"/>
    <x v="0"/>
    <x v="0"/>
  </r>
  <r>
    <x v="28"/>
    <x v="43"/>
    <x v="0"/>
    <x v="8"/>
    <x v="64"/>
    <x v="11"/>
    <x v="1"/>
    <x v="18"/>
    <x v="1"/>
    <x v="4"/>
    <x v="35"/>
    <x v="0"/>
    <x v="6"/>
    <x v="8"/>
    <x v="4"/>
    <x v="4"/>
    <x v="0"/>
    <x v="40"/>
    <x v="3"/>
    <x v="13"/>
    <x v="4"/>
    <x v="1"/>
    <x v="4"/>
    <x v="1"/>
    <x v="2"/>
    <x v="2"/>
    <x v="92"/>
    <x v="0"/>
    <x v="0"/>
    <x v="0"/>
    <x v="0"/>
    <x v="0"/>
    <x v="0"/>
    <x v="0"/>
    <x v="1"/>
    <x v="0"/>
    <x v="0"/>
    <x v="0"/>
    <x v="0"/>
    <x v="0"/>
    <x v="0"/>
    <x v="0"/>
    <x v="0"/>
  </r>
  <r>
    <x v="90"/>
    <x v="44"/>
    <x v="0"/>
    <x v="8"/>
    <x v="64"/>
    <x v="11"/>
    <x v="1"/>
    <x v="18"/>
    <x v="2"/>
    <x v="4"/>
    <x v="35"/>
    <x v="0"/>
    <x v="6"/>
    <x v="8"/>
    <x v="4"/>
    <x v="4"/>
    <x v="0"/>
    <x v="40"/>
    <x v="3"/>
    <x v="13"/>
    <x v="4"/>
    <x v="1"/>
    <x v="4"/>
    <x v="1"/>
    <x v="2"/>
    <x v="2"/>
    <x v="96"/>
    <x v="0"/>
    <x v="0"/>
    <x v="0"/>
    <x v="0"/>
    <x v="0"/>
    <x v="0"/>
    <x v="0"/>
    <x v="1"/>
    <x v="0"/>
    <x v="0"/>
    <x v="0"/>
    <x v="0"/>
    <x v="0"/>
    <x v="0"/>
    <x v="0"/>
    <x v="0"/>
  </r>
  <r>
    <x v="103"/>
    <x v="45"/>
    <x v="0"/>
    <x v="8"/>
    <x v="64"/>
    <x v="11"/>
    <x v="1"/>
    <x v="18"/>
    <x v="1"/>
    <x v="4"/>
    <x v="35"/>
    <x v="0"/>
    <x v="6"/>
    <x v="8"/>
    <x v="4"/>
    <x v="4"/>
    <x v="2"/>
    <x v="40"/>
    <x v="3"/>
    <x v="14"/>
    <x v="4"/>
    <x v="1"/>
    <x v="4"/>
    <x v="1"/>
    <x v="2"/>
    <x v="2"/>
    <x v="93"/>
    <x v="0"/>
    <x v="0"/>
    <x v="0"/>
    <x v="0"/>
    <x v="0"/>
    <x v="0"/>
    <x v="0"/>
    <x v="1"/>
    <x v="0"/>
    <x v="0"/>
    <x v="0"/>
    <x v="0"/>
    <x v="0"/>
    <x v="0"/>
    <x v="0"/>
    <x v="0"/>
  </r>
  <r>
    <x v="74"/>
    <x v="46"/>
    <x v="0"/>
    <x v="8"/>
    <x v="64"/>
    <x v="11"/>
    <x v="1"/>
    <x v="18"/>
    <x v="2"/>
    <x v="4"/>
    <x v="35"/>
    <x v="0"/>
    <x v="6"/>
    <x v="8"/>
    <x v="4"/>
    <x v="4"/>
    <x v="2"/>
    <x v="40"/>
    <x v="3"/>
    <x v="14"/>
    <x v="4"/>
    <x v="1"/>
    <x v="4"/>
    <x v="1"/>
    <x v="2"/>
    <x v="2"/>
    <x v="97"/>
    <x v="0"/>
    <x v="0"/>
    <x v="0"/>
    <x v="0"/>
    <x v="0"/>
    <x v="0"/>
    <x v="0"/>
    <x v="1"/>
    <x v="0"/>
    <x v="0"/>
    <x v="0"/>
    <x v="0"/>
    <x v="0"/>
    <x v="0"/>
    <x v="0"/>
    <x v="0"/>
  </r>
  <r>
    <x v="129"/>
    <x v="47"/>
    <x v="0"/>
    <x v="8"/>
    <x v="64"/>
    <x v="11"/>
    <x v="1"/>
    <x v="18"/>
    <x v="1"/>
    <x v="4"/>
    <x v="35"/>
    <x v="0"/>
    <x v="6"/>
    <x v="8"/>
    <x v="4"/>
    <x v="4"/>
    <x v="6"/>
    <x v="40"/>
    <x v="3"/>
    <x v="15"/>
    <x v="4"/>
    <x v="1"/>
    <x v="4"/>
    <x v="1"/>
    <x v="2"/>
    <x v="2"/>
    <x v="94"/>
    <x v="0"/>
    <x v="0"/>
    <x v="0"/>
    <x v="0"/>
    <x v="0"/>
    <x v="0"/>
    <x v="0"/>
    <x v="1"/>
    <x v="0"/>
    <x v="0"/>
    <x v="0"/>
    <x v="0"/>
    <x v="0"/>
    <x v="0"/>
    <x v="0"/>
    <x v="0"/>
  </r>
  <r>
    <x v="143"/>
    <x v="48"/>
    <x v="0"/>
    <x v="8"/>
    <x v="64"/>
    <x v="11"/>
    <x v="1"/>
    <x v="18"/>
    <x v="2"/>
    <x v="4"/>
    <x v="35"/>
    <x v="0"/>
    <x v="6"/>
    <x v="8"/>
    <x v="4"/>
    <x v="4"/>
    <x v="6"/>
    <x v="40"/>
    <x v="3"/>
    <x v="15"/>
    <x v="4"/>
    <x v="1"/>
    <x v="4"/>
    <x v="1"/>
    <x v="2"/>
    <x v="2"/>
    <x v="98"/>
    <x v="0"/>
    <x v="0"/>
    <x v="0"/>
    <x v="0"/>
    <x v="0"/>
    <x v="0"/>
    <x v="0"/>
    <x v="1"/>
    <x v="0"/>
    <x v="0"/>
    <x v="0"/>
    <x v="0"/>
    <x v="0"/>
    <x v="0"/>
    <x v="0"/>
    <x v="0"/>
  </r>
  <r>
    <x v="47"/>
    <x v="49"/>
    <x v="0"/>
    <x v="8"/>
    <x v="64"/>
    <x v="11"/>
    <x v="1"/>
    <x v="18"/>
    <x v="1"/>
    <x v="4"/>
    <x v="35"/>
    <x v="0"/>
    <x v="6"/>
    <x v="8"/>
    <x v="4"/>
    <x v="4"/>
    <x v="9"/>
    <x v="40"/>
    <x v="3"/>
    <x v="16"/>
    <x v="4"/>
    <x v="1"/>
    <x v="4"/>
    <x v="1"/>
    <x v="2"/>
    <x v="2"/>
    <x v="95"/>
    <x v="0"/>
    <x v="0"/>
    <x v="0"/>
    <x v="0"/>
    <x v="0"/>
    <x v="0"/>
    <x v="0"/>
    <x v="1"/>
    <x v="0"/>
    <x v="0"/>
    <x v="0"/>
    <x v="0"/>
    <x v="0"/>
    <x v="0"/>
    <x v="0"/>
    <x v="0"/>
  </r>
  <r>
    <x v="27"/>
    <x v="50"/>
    <x v="0"/>
    <x v="8"/>
    <x v="64"/>
    <x v="11"/>
    <x v="1"/>
    <x v="18"/>
    <x v="2"/>
    <x v="4"/>
    <x v="35"/>
    <x v="0"/>
    <x v="6"/>
    <x v="8"/>
    <x v="4"/>
    <x v="4"/>
    <x v="9"/>
    <x v="40"/>
    <x v="3"/>
    <x v="16"/>
    <x v="4"/>
    <x v="1"/>
    <x v="4"/>
    <x v="1"/>
    <x v="2"/>
    <x v="2"/>
    <x v="99"/>
    <x v="0"/>
    <x v="0"/>
    <x v="0"/>
    <x v="0"/>
    <x v="0"/>
    <x v="0"/>
    <x v="0"/>
    <x v="1"/>
    <x v="0"/>
    <x v="0"/>
    <x v="0"/>
    <x v="0"/>
    <x v="0"/>
    <x v="0"/>
    <x v="0"/>
    <x v="0"/>
  </r>
  <r>
    <x v="9"/>
    <x v="51"/>
    <x v="0"/>
    <x v="8"/>
    <x v="65"/>
    <x v="11"/>
    <x v="1"/>
    <x v="18"/>
    <x v="0"/>
    <x v="4"/>
    <x v="35"/>
    <x v="0"/>
    <x v="6"/>
    <x v="8"/>
    <x v="4"/>
    <x v="4"/>
    <x v="0"/>
    <x v="40"/>
    <x v="3"/>
    <x v="13"/>
    <x v="4"/>
    <x v="1"/>
    <x v="4"/>
    <x v="1"/>
    <x v="2"/>
    <x v="2"/>
    <x v="100"/>
    <x v="0"/>
    <x v="0"/>
    <x v="0"/>
    <x v="0"/>
    <x v="0"/>
    <x v="0"/>
    <x v="0"/>
    <x v="1"/>
    <x v="0"/>
    <x v="0"/>
    <x v="0"/>
    <x v="0"/>
    <x v="0"/>
    <x v="0"/>
    <x v="0"/>
    <x v="0"/>
  </r>
  <r>
    <x v="139"/>
    <x v="52"/>
    <x v="0"/>
    <x v="8"/>
    <x v="65"/>
    <x v="11"/>
    <x v="1"/>
    <x v="18"/>
    <x v="1"/>
    <x v="4"/>
    <x v="35"/>
    <x v="0"/>
    <x v="6"/>
    <x v="8"/>
    <x v="4"/>
    <x v="4"/>
    <x v="0"/>
    <x v="40"/>
    <x v="3"/>
    <x v="13"/>
    <x v="4"/>
    <x v="1"/>
    <x v="4"/>
    <x v="1"/>
    <x v="2"/>
    <x v="2"/>
    <x v="104"/>
    <x v="0"/>
    <x v="0"/>
    <x v="0"/>
    <x v="0"/>
    <x v="0"/>
    <x v="0"/>
    <x v="0"/>
    <x v="1"/>
    <x v="0"/>
    <x v="0"/>
    <x v="0"/>
    <x v="0"/>
    <x v="0"/>
    <x v="0"/>
    <x v="0"/>
    <x v="0"/>
  </r>
  <r>
    <x v="41"/>
    <x v="53"/>
    <x v="0"/>
    <x v="8"/>
    <x v="65"/>
    <x v="11"/>
    <x v="1"/>
    <x v="18"/>
    <x v="2"/>
    <x v="4"/>
    <x v="35"/>
    <x v="0"/>
    <x v="6"/>
    <x v="8"/>
    <x v="4"/>
    <x v="4"/>
    <x v="0"/>
    <x v="40"/>
    <x v="3"/>
    <x v="13"/>
    <x v="4"/>
    <x v="1"/>
    <x v="4"/>
    <x v="1"/>
    <x v="2"/>
    <x v="2"/>
    <x v="108"/>
    <x v="0"/>
    <x v="0"/>
    <x v="0"/>
    <x v="0"/>
    <x v="0"/>
    <x v="0"/>
    <x v="0"/>
    <x v="1"/>
    <x v="0"/>
    <x v="0"/>
    <x v="0"/>
    <x v="0"/>
    <x v="0"/>
    <x v="0"/>
    <x v="0"/>
    <x v="0"/>
  </r>
  <r>
    <x v="81"/>
    <x v="54"/>
    <x v="0"/>
    <x v="8"/>
    <x v="65"/>
    <x v="11"/>
    <x v="1"/>
    <x v="18"/>
    <x v="0"/>
    <x v="4"/>
    <x v="35"/>
    <x v="0"/>
    <x v="6"/>
    <x v="8"/>
    <x v="4"/>
    <x v="4"/>
    <x v="2"/>
    <x v="40"/>
    <x v="3"/>
    <x v="14"/>
    <x v="4"/>
    <x v="1"/>
    <x v="4"/>
    <x v="1"/>
    <x v="2"/>
    <x v="2"/>
    <x v="101"/>
    <x v="0"/>
    <x v="0"/>
    <x v="0"/>
    <x v="0"/>
    <x v="0"/>
    <x v="0"/>
    <x v="0"/>
    <x v="1"/>
    <x v="0"/>
    <x v="0"/>
    <x v="0"/>
    <x v="0"/>
    <x v="0"/>
    <x v="0"/>
    <x v="0"/>
    <x v="0"/>
  </r>
  <r>
    <x v="136"/>
    <x v="55"/>
    <x v="0"/>
    <x v="8"/>
    <x v="65"/>
    <x v="11"/>
    <x v="1"/>
    <x v="18"/>
    <x v="1"/>
    <x v="4"/>
    <x v="35"/>
    <x v="0"/>
    <x v="6"/>
    <x v="8"/>
    <x v="4"/>
    <x v="4"/>
    <x v="2"/>
    <x v="40"/>
    <x v="3"/>
    <x v="14"/>
    <x v="4"/>
    <x v="1"/>
    <x v="4"/>
    <x v="1"/>
    <x v="2"/>
    <x v="2"/>
    <x v="105"/>
    <x v="0"/>
    <x v="0"/>
    <x v="0"/>
    <x v="0"/>
    <x v="0"/>
    <x v="0"/>
    <x v="0"/>
    <x v="1"/>
    <x v="0"/>
    <x v="0"/>
    <x v="0"/>
    <x v="0"/>
    <x v="0"/>
    <x v="0"/>
    <x v="0"/>
    <x v="0"/>
  </r>
  <r>
    <x v="99"/>
    <x v="56"/>
    <x v="0"/>
    <x v="8"/>
    <x v="65"/>
    <x v="11"/>
    <x v="1"/>
    <x v="18"/>
    <x v="2"/>
    <x v="4"/>
    <x v="35"/>
    <x v="0"/>
    <x v="6"/>
    <x v="8"/>
    <x v="4"/>
    <x v="4"/>
    <x v="2"/>
    <x v="40"/>
    <x v="3"/>
    <x v="14"/>
    <x v="4"/>
    <x v="1"/>
    <x v="4"/>
    <x v="1"/>
    <x v="2"/>
    <x v="2"/>
    <x v="109"/>
    <x v="0"/>
    <x v="0"/>
    <x v="0"/>
    <x v="0"/>
    <x v="0"/>
    <x v="0"/>
    <x v="0"/>
    <x v="1"/>
    <x v="0"/>
    <x v="0"/>
    <x v="0"/>
    <x v="0"/>
    <x v="0"/>
    <x v="0"/>
    <x v="0"/>
    <x v="0"/>
  </r>
  <r>
    <x v="132"/>
    <x v="57"/>
    <x v="0"/>
    <x v="8"/>
    <x v="65"/>
    <x v="11"/>
    <x v="1"/>
    <x v="18"/>
    <x v="0"/>
    <x v="4"/>
    <x v="35"/>
    <x v="0"/>
    <x v="6"/>
    <x v="8"/>
    <x v="4"/>
    <x v="4"/>
    <x v="6"/>
    <x v="40"/>
    <x v="3"/>
    <x v="15"/>
    <x v="4"/>
    <x v="1"/>
    <x v="4"/>
    <x v="1"/>
    <x v="2"/>
    <x v="2"/>
    <x v="102"/>
    <x v="0"/>
    <x v="0"/>
    <x v="0"/>
    <x v="0"/>
    <x v="0"/>
    <x v="0"/>
    <x v="0"/>
    <x v="1"/>
    <x v="0"/>
    <x v="0"/>
    <x v="0"/>
    <x v="0"/>
    <x v="0"/>
    <x v="0"/>
    <x v="0"/>
    <x v="0"/>
  </r>
  <r>
    <x v="66"/>
    <x v="58"/>
    <x v="0"/>
    <x v="8"/>
    <x v="65"/>
    <x v="11"/>
    <x v="1"/>
    <x v="18"/>
    <x v="1"/>
    <x v="4"/>
    <x v="35"/>
    <x v="0"/>
    <x v="6"/>
    <x v="8"/>
    <x v="4"/>
    <x v="4"/>
    <x v="6"/>
    <x v="40"/>
    <x v="3"/>
    <x v="15"/>
    <x v="4"/>
    <x v="1"/>
    <x v="4"/>
    <x v="1"/>
    <x v="2"/>
    <x v="2"/>
    <x v="106"/>
    <x v="0"/>
    <x v="0"/>
    <x v="0"/>
    <x v="0"/>
    <x v="0"/>
    <x v="0"/>
    <x v="0"/>
    <x v="1"/>
    <x v="0"/>
    <x v="0"/>
    <x v="0"/>
    <x v="0"/>
    <x v="0"/>
    <x v="0"/>
    <x v="0"/>
    <x v="0"/>
  </r>
  <r>
    <x v="112"/>
    <x v="59"/>
    <x v="0"/>
    <x v="8"/>
    <x v="65"/>
    <x v="11"/>
    <x v="1"/>
    <x v="18"/>
    <x v="2"/>
    <x v="4"/>
    <x v="35"/>
    <x v="0"/>
    <x v="6"/>
    <x v="8"/>
    <x v="4"/>
    <x v="4"/>
    <x v="6"/>
    <x v="40"/>
    <x v="3"/>
    <x v="15"/>
    <x v="4"/>
    <x v="1"/>
    <x v="4"/>
    <x v="1"/>
    <x v="2"/>
    <x v="2"/>
    <x v="110"/>
    <x v="0"/>
    <x v="0"/>
    <x v="0"/>
    <x v="0"/>
    <x v="0"/>
    <x v="0"/>
    <x v="0"/>
    <x v="1"/>
    <x v="0"/>
    <x v="0"/>
    <x v="0"/>
    <x v="0"/>
    <x v="0"/>
    <x v="0"/>
    <x v="0"/>
    <x v="0"/>
  </r>
  <r>
    <x v="33"/>
    <x v="60"/>
    <x v="0"/>
    <x v="8"/>
    <x v="65"/>
    <x v="11"/>
    <x v="1"/>
    <x v="18"/>
    <x v="0"/>
    <x v="4"/>
    <x v="35"/>
    <x v="0"/>
    <x v="6"/>
    <x v="8"/>
    <x v="4"/>
    <x v="4"/>
    <x v="9"/>
    <x v="40"/>
    <x v="3"/>
    <x v="16"/>
    <x v="4"/>
    <x v="1"/>
    <x v="4"/>
    <x v="1"/>
    <x v="2"/>
    <x v="2"/>
    <x v="103"/>
    <x v="0"/>
    <x v="0"/>
    <x v="0"/>
    <x v="0"/>
    <x v="0"/>
    <x v="0"/>
    <x v="0"/>
    <x v="1"/>
    <x v="0"/>
    <x v="0"/>
    <x v="0"/>
    <x v="0"/>
    <x v="0"/>
    <x v="0"/>
    <x v="0"/>
    <x v="0"/>
  </r>
  <r>
    <x v="29"/>
    <x v="61"/>
    <x v="0"/>
    <x v="8"/>
    <x v="65"/>
    <x v="11"/>
    <x v="1"/>
    <x v="18"/>
    <x v="1"/>
    <x v="4"/>
    <x v="35"/>
    <x v="0"/>
    <x v="6"/>
    <x v="8"/>
    <x v="4"/>
    <x v="4"/>
    <x v="9"/>
    <x v="40"/>
    <x v="3"/>
    <x v="16"/>
    <x v="4"/>
    <x v="1"/>
    <x v="4"/>
    <x v="1"/>
    <x v="2"/>
    <x v="2"/>
    <x v="107"/>
    <x v="0"/>
    <x v="0"/>
    <x v="0"/>
    <x v="0"/>
    <x v="0"/>
    <x v="0"/>
    <x v="0"/>
    <x v="1"/>
    <x v="0"/>
    <x v="0"/>
    <x v="0"/>
    <x v="0"/>
    <x v="0"/>
    <x v="0"/>
    <x v="0"/>
    <x v="0"/>
  </r>
  <r>
    <x v="149"/>
    <x v="62"/>
    <x v="0"/>
    <x v="8"/>
    <x v="65"/>
    <x v="11"/>
    <x v="1"/>
    <x v="18"/>
    <x v="2"/>
    <x v="4"/>
    <x v="35"/>
    <x v="0"/>
    <x v="6"/>
    <x v="8"/>
    <x v="4"/>
    <x v="4"/>
    <x v="9"/>
    <x v="40"/>
    <x v="3"/>
    <x v="16"/>
    <x v="4"/>
    <x v="1"/>
    <x v="4"/>
    <x v="1"/>
    <x v="2"/>
    <x v="2"/>
    <x v="111"/>
    <x v="0"/>
    <x v="0"/>
    <x v="0"/>
    <x v="0"/>
    <x v="0"/>
    <x v="0"/>
    <x v="0"/>
    <x v="1"/>
    <x v="0"/>
    <x v="0"/>
    <x v="0"/>
    <x v="0"/>
    <x v="0"/>
    <x v="0"/>
    <x v="0"/>
    <x v="0"/>
  </r>
  <r>
    <x v="115"/>
    <x v="63"/>
    <x v="0"/>
    <x v="8"/>
    <x v="57"/>
    <x v="11"/>
    <x v="1"/>
    <x v="18"/>
    <x v="3"/>
    <x v="4"/>
    <x v="35"/>
    <x v="0"/>
    <x v="6"/>
    <x v="8"/>
    <x v="4"/>
    <x v="8"/>
    <x v="7"/>
    <x v="40"/>
    <x v="3"/>
    <x v="22"/>
    <x v="4"/>
    <x v="1"/>
    <x v="2"/>
    <x v="1"/>
    <x v="2"/>
    <x v="2"/>
    <x v="75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4"/>
    <x v="0"/>
    <x v="9"/>
    <x v="49"/>
    <x v="11"/>
    <x v="1"/>
    <x v="18"/>
    <x v="3"/>
    <x v="4"/>
    <x v="1"/>
    <x v="0"/>
    <x v="6"/>
    <x v="8"/>
    <x v="4"/>
    <x v="1"/>
    <x v="11"/>
    <x v="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5"/>
    <x v="0"/>
    <x v="9"/>
    <x v="49"/>
    <x v="11"/>
    <x v="1"/>
    <x v="18"/>
    <x v="3"/>
    <x v="4"/>
    <x v="1"/>
    <x v="0"/>
    <x v="6"/>
    <x v="8"/>
    <x v="4"/>
    <x v="1"/>
    <x v="11"/>
    <x v="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6"/>
    <x v="0"/>
    <x v="9"/>
    <x v="49"/>
    <x v="11"/>
    <x v="1"/>
    <x v="18"/>
    <x v="3"/>
    <x v="4"/>
    <x v="1"/>
    <x v="0"/>
    <x v="6"/>
    <x v="8"/>
    <x v="4"/>
    <x v="1"/>
    <x v="11"/>
    <x v="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7"/>
    <x v="0"/>
    <x v="9"/>
    <x v="49"/>
    <x v="11"/>
    <x v="1"/>
    <x v="18"/>
    <x v="3"/>
    <x v="4"/>
    <x v="1"/>
    <x v="0"/>
    <x v="6"/>
    <x v="8"/>
    <x v="4"/>
    <x v="1"/>
    <x v="11"/>
    <x v="6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8"/>
    <x v="0"/>
    <x v="9"/>
    <x v="49"/>
    <x v="11"/>
    <x v="1"/>
    <x v="18"/>
    <x v="3"/>
    <x v="4"/>
    <x v="1"/>
    <x v="0"/>
    <x v="6"/>
    <x v="8"/>
    <x v="4"/>
    <x v="1"/>
    <x v="11"/>
    <x v="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29"/>
    <x v="0"/>
    <x v="9"/>
    <x v="49"/>
    <x v="11"/>
    <x v="1"/>
    <x v="18"/>
    <x v="3"/>
    <x v="4"/>
    <x v="1"/>
    <x v="0"/>
    <x v="6"/>
    <x v="8"/>
    <x v="4"/>
    <x v="1"/>
    <x v="11"/>
    <x v="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0"/>
    <x v="0"/>
    <x v="9"/>
    <x v="49"/>
    <x v="11"/>
    <x v="1"/>
    <x v="18"/>
    <x v="3"/>
    <x v="4"/>
    <x v="1"/>
    <x v="0"/>
    <x v="6"/>
    <x v="8"/>
    <x v="4"/>
    <x v="1"/>
    <x v="11"/>
    <x v="1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1"/>
    <x v="0"/>
    <x v="9"/>
    <x v="49"/>
    <x v="11"/>
    <x v="1"/>
    <x v="18"/>
    <x v="3"/>
    <x v="4"/>
    <x v="1"/>
    <x v="0"/>
    <x v="6"/>
    <x v="8"/>
    <x v="4"/>
    <x v="1"/>
    <x v="11"/>
    <x v="1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2"/>
    <x v="0"/>
    <x v="9"/>
    <x v="49"/>
    <x v="11"/>
    <x v="1"/>
    <x v="18"/>
    <x v="3"/>
    <x v="4"/>
    <x v="1"/>
    <x v="0"/>
    <x v="6"/>
    <x v="8"/>
    <x v="4"/>
    <x v="1"/>
    <x v="11"/>
    <x v="1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3"/>
    <x v="0"/>
    <x v="9"/>
    <x v="49"/>
    <x v="11"/>
    <x v="1"/>
    <x v="18"/>
    <x v="3"/>
    <x v="4"/>
    <x v="1"/>
    <x v="0"/>
    <x v="6"/>
    <x v="8"/>
    <x v="4"/>
    <x v="1"/>
    <x v="11"/>
    <x v="1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4"/>
    <x v="0"/>
    <x v="9"/>
    <x v="49"/>
    <x v="11"/>
    <x v="1"/>
    <x v="18"/>
    <x v="3"/>
    <x v="4"/>
    <x v="1"/>
    <x v="0"/>
    <x v="6"/>
    <x v="8"/>
    <x v="4"/>
    <x v="1"/>
    <x v="11"/>
    <x v="15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5"/>
    <x v="0"/>
    <x v="9"/>
    <x v="49"/>
    <x v="11"/>
    <x v="1"/>
    <x v="18"/>
    <x v="3"/>
    <x v="4"/>
    <x v="1"/>
    <x v="0"/>
    <x v="6"/>
    <x v="8"/>
    <x v="4"/>
    <x v="1"/>
    <x v="11"/>
    <x v="17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6"/>
    <x v="0"/>
    <x v="9"/>
    <x v="49"/>
    <x v="11"/>
    <x v="1"/>
    <x v="18"/>
    <x v="3"/>
    <x v="4"/>
    <x v="1"/>
    <x v="0"/>
    <x v="6"/>
    <x v="8"/>
    <x v="4"/>
    <x v="1"/>
    <x v="11"/>
    <x v="1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7"/>
    <x v="0"/>
    <x v="9"/>
    <x v="49"/>
    <x v="11"/>
    <x v="1"/>
    <x v="18"/>
    <x v="3"/>
    <x v="4"/>
    <x v="1"/>
    <x v="0"/>
    <x v="6"/>
    <x v="8"/>
    <x v="4"/>
    <x v="1"/>
    <x v="11"/>
    <x v="2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6"/>
    <x v="0"/>
    <x v="9"/>
    <x v="28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0"/>
    <x v="0"/>
    <x v="9"/>
    <x v="28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1"/>
    <x v="0"/>
    <x v="9"/>
    <x v="28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2"/>
    <x v="0"/>
    <x v="9"/>
    <x v="28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3"/>
    <x v="0"/>
    <x v="9"/>
    <x v="28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4"/>
    <x v="0"/>
    <x v="9"/>
    <x v="28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5"/>
    <x v="0"/>
    <x v="9"/>
    <x v="28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6"/>
    <x v="0"/>
    <x v="9"/>
    <x v="28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7"/>
    <x v="0"/>
    <x v="9"/>
    <x v="28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8"/>
    <x v="0"/>
    <x v="9"/>
    <x v="28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59"/>
    <x v="0"/>
    <x v="9"/>
    <x v="28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0"/>
    <x v="0"/>
    <x v="9"/>
    <x v="28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1"/>
    <x v="0"/>
    <x v="9"/>
    <x v="28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2"/>
    <x v="0"/>
    <x v="9"/>
    <x v="28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2"/>
    <x v="0"/>
    <x v="9"/>
    <x v="28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13"/>
    <x v="0"/>
    <x v="0"/>
    <x v="0"/>
    <x v="0"/>
    <x v="0"/>
    <x v="0"/>
    <x v="0"/>
    <x v="1"/>
    <x v="0"/>
    <x v="0"/>
    <x v="0"/>
    <x v="0"/>
    <x v="0"/>
    <x v="0"/>
    <x v="0"/>
    <x v="0"/>
  </r>
  <r>
    <x v="133"/>
    <x v="2382"/>
    <x v="0"/>
    <x v="9"/>
    <x v="49"/>
    <x v="11"/>
    <x v="1"/>
    <x v="18"/>
    <x v="3"/>
    <x v="4"/>
    <x v="1"/>
    <x v="0"/>
    <x v="6"/>
    <x v="8"/>
    <x v="4"/>
    <x v="4"/>
    <x v="2"/>
    <x v="7"/>
    <x v="1"/>
    <x v="22"/>
    <x v="4"/>
    <x v="0"/>
    <x v="4"/>
    <x v="2"/>
    <x v="2"/>
    <x v="2"/>
    <x v="114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8"/>
    <x v="0"/>
    <x v="9"/>
    <x v="49"/>
    <x v="11"/>
    <x v="1"/>
    <x v="18"/>
    <x v="3"/>
    <x v="4"/>
    <x v="1"/>
    <x v="0"/>
    <x v="6"/>
    <x v="8"/>
    <x v="4"/>
    <x v="1"/>
    <x v="11"/>
    <x v="2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39"/>
    <x v="0"/>
    <x v="9"/>
    <x v="49"/>
    <x v="11"/>
    <x v="1"/>
    <x v="18"/>
    <x v="3"/>
    <x v="4"/>
    <x v="1"/>
    <x v="0"/>
    <x v="6"/>
    <x v="8"/>
    <x v="4"/>
    <x v="1"/>
    <x v="11"/>
    <x v="3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0"/>
    <x v="0"/>
    <x v="9"/>
    <x v="49"/>
    <x v="11"/>
    <x v="1"/>
    <x v="18"/>
    <x v="3"/>
    <x v="4"/>
    <x v="1"/>
    <x v="0"/>
    <x v="6"/>
    <x v="8"/>
    <x v="4"/>
    <x v="1"/>
    <x v="11"/>
    <x v="3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1"/>
    <x v="0"/>
    <x v="9"/>
    <x v="49"/>
    <x v="11"/>
    <x v="1"/>
    <x v="18"/>
    <x v="3"/>
    <x v="4"/>
    <x v="1"/>
    <x v="0"/>
    <x v="6"/>
    <x v="8"/>
    <x v="4"/>
    <x v="1"/>
    <x v="11"/>
    <x v="3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2"/>
    <x v="0"/>
    <x v="9"/>
    <x v="49"/>
    <x v="11"/>
    <x v="1"/>
    <x v="18"/>
    <x v="3"/>
    <x v="4"/>
    <x v="1"/>
    <x v="0"/>
    <x v="6"/>
    <x v="8"/>
    <x v="4"/>
    <x v="1"/>
    <x v="11"/>
    <x v="3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3"/>
    <x v="0"/>
    <x v="9"/>
    <x v="49"/>
    <x v="11"/>
    <x v="1"/>
    <x v="18"/>
    <x v="3"/>
    <x v="4"/>
    <x v="1"/>
    <x v="0"/>
    <x v="6"/>
    <x v="8"/>
    <x v="4"/>
    <x v="1"/>
    <x v="11"/>
    <x v="36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4"/>
    <x v="0"/>
    <x v="9"/>
    <x v="49"/>
    <x v="11"/>
    <x v="1"/>
    <x v="18"/>
    <x v="3"/>
    <x v="4"/>
    <x v="1"/>
    <x v="0"/>
    <x v="6"/>
    <x v="8"/>
    <x v="4"/>
    <x v="1"/>
    <x v="11"/>
    <x v="3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5"/>
    <x v="0"/>
    <x v="9"/>
    <x v="49"/>
    <x v="11"/>
    <x v="1"/>
    <x v="18"/>
    <x v="3"/>
    <x v="4"/>
    <x v="1"/>
    <x v="0"/>
    <x v="6"/>
    <x v="8"/>
    <x v="4"/>
    <x v="1"/>
    <x v="11"/>
    <x v="3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3"/>
    <x v="0"/>
    <x v="9"/>
    <x v="28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4"/>
    <x v="0"/>
    <x v="9"/>
    <x v="28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5"/>
    <x v="0"/>
    <x v="9"/>
    <x v="28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6"/>
    <x v="0"/>
    <x v="9"/>
    <x v="28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7"/>
    <x v="0"/>
    <x v="9"/>
    <x v="28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8"/>
    <x v="0"/>
    <x v="9"/>
    <x v="28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69"/>
    <x v="0"/>
    <x v="9"/>
    <x v="28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0"/>
    <x v="0"/>
    <x v="9"/>
    <x v="28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1"/>
    <x v="0"/>
    <x v="9"/>
    <x v="28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2"/>
    <x v="0"/>
    <x v="9"/>
    <x v="28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3"/>
    <x v="0"/>
    <x v="9"/>
    <x v="28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4"/>
    <x v="0"/>
    <x v="9"/>
    <x v="28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7"/>
    <x v="0"/>
    <x v="9"/>
    <x v="28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8"/>
    <x v="0"/>
    <x v="9"/>
    <x v="28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49"/>
    <x v="0"/>
    <x v="9"/>
    <x v="28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5"/>
    <x v="0"/>
    <x v="10"/>
    <x v="86"/>
    <x v="11"/>
    <x v="1"/>
    <x v="18"/>
    <x v="3"/>
    <x v="4"/>
    <x v="2"/>
    <x v="0"/>
    <x v="6"/>
    <x v="4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6"/>
    <x v="0"/>
    <x v="10"/>
    <x v="86"/>
    <x v="11"/>
    <x v="1"/>
    <x v="18"/>
    <x v="3"/>
    <x v="4"/>
    <x v="2"/>
    <x v="0"/>
    <x v="6"/>
    <x v="4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7"/>
    <x v="0"/>
    <x v="10"/>
    <x v="86"/>
    <x v="11"/>
    <x v="1"/>
    <x v="18"/>
    <x v="3"/>
    <x v="4"/>
    <x v="2"/>
    <x v="0"/>
    <x v="6"/>
    <x v="4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8"/>
    <x v="0"/>
    <x v="10"/>
    <x v="86"/>
    <x v="11"/>
    <x v="1"/>
    <x v="18"/>
    <x v="3"/>
    <x v="4"/>
    <x v="2"/>
    <x v="0"/>
    <x v="6"/>
    <x v="4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79"/>
    <x v="0"/>
    <x v="10"/>
    <x v="86"/>
    <x v="11"/>
    <x v="1"/>
    <x v="18"/>
    <x v="3"/>
    <x v="4"/>
    <x v="2"/>
    <x v="0"/>
    <x v="6"/>
    <x v="4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0"/>
    <x v="0"/>
    <x v="10"/>
    <x v="86"/>
    <x v="11"/>
    <x v="1"/>
    <x v="18"/>
    <x v="3"/>
    <x v="4"/>
    <x v="2"/>
    <x v="0"/>
    <x v="6"/>
    <x v="4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1"/>
    <x v="0"/>
    <x v="10"/>
    <x v="86"/>
    <x v="11"/>
    <x v="1"/>
    <x v="18"/>
    <x v="3"/>
    <x v="4"/>
    <x v="2"/>
    <x v="0"/>
    <x v="6"/>
    <x v="4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2"/>
    <x v="0"/>
    <x v="10"/>
    <x v="86"/>
    <x v="11"/>
    <x v="1"/>
    <x v="18"/>
    <x v="3"/>
    <x v="4"/>
    <x v="2"/>
    <x v="0"/>
    <x v="6"/>
    <x v="4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3"/>
    <x v="0"/>
    <x v="10"/>
    <x v="86"/>
    <x v="11"/>
    <x v="1"/>
    <x v="18"/>
    <x v="3"/>
    <x v="4"/>
    <x v="2"/>
    <x v="0"/>
    <x v="6"/>
    <x v="4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4"/>
    <x v="0"/>
    <x v="10"/>
    <x v="86"/>
    <x v="11"/>
    <x v="1"/>
    <x v="18"/>
    <x v="3"/>
    <x v="4"/>
    <x v="2"/>
    <x v="0"/>
    <x v="6"/>
    <x v="4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5"/>
    <x v="0"/>
    <x v="10"/>
    <x v="86"/>
    <x v="11"/>
    <x v="1"/>
    <x v="18"/>
    <x v="3"/>
    <x v="4"/>
    <x v="2"/>
    <x v="0"/>
    <x v="6"/>
    <x v="4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6"/>
    <x v="0"/>
    <x v="10"/>
    <x v="86"/>
    <x v="11"/>
    <x v="1"/>
    <x v="18"/>
    <x v="3"/>
    <x v="4"/>
    <x v="2"/>
    <x v="0"/>
    <x v="6"/>
    <x v="4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7"/>
    <x v="0"/>
    <x v="10"/>
    <x v="86"/>
    <x v="11"/>
    <x v="1"/>
    <x v="18"/>
    <x v="3"/>
    <x v="4"/>
    <x v="2"/>
    <x v="0"/>
    <x v="6"/>
    <x v="4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8"/>
    <x v="0"/>
    <x v="10"/>
    <x v="86"/>
    <x v="11"/>
    <x v="1"/>
    <x v="18"/>
    <x v="3"/>
    <x v="4"/>
    <x v="2"/>
    <x v="0"/>
    <x v="6"/>
    <x v="4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89"/>
    <x v="0"/>
    <x v="10"/>
    <x v="86"/>
    <x v="11"/>
    <x v="1"/>
    <x v="18"/>
    <x v="3"/>
    <x v="4"/>
    <x v="2"/>
    <x v="0"/>
    <x v="6"/>
    <x v="4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0"/>
    <x v="0"/>
    <x v="10"/>
    <x v="86"/>
    <x v="11"/>
    <x v="1"/>
    <x v="18"/>
    <x v="3"/>
    <x v="4"/>
    <x v="2"/>
    <x v="0"/>
    <x v="6"/>
    <x v="4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1"/>
    <x v="0"/>
    <x v="10"/>
    <x v="86"/>
    <x v="11"/>
    <x v="1"/>
    <x v="18"/>
    <x v="3"/>
    <x v="4"/>
    <x v="2"/>
    <x v="0"/>
    <x v="6"/>
    <x v="4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2"/>
    <x v="0"/>
    <x v="10"/>
    <x v="86"/>
    <x v="11"/>
    <x v="1"/>
    <x v="18"/>
    <x v="3"/>
    <x v="4"/>
    <x v="2"/>
    <x v="0"/>
    <x v="6"/>
    <x v="4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3"/>
    <x v="0"/>
    <x v="10"/>
    <x v="86"/>
    <x v="11"/>
    <x v="1"/>
    <x v="18"/>
    <x v="3"/>
    <x v="4"/>
    <x v="2"/>
    <x v="0"/>
    <x v="6"/>
    <x v="4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4"/>
    <x v="0"/>
    <x v="10"/>
    <x v="86"/>
    <x v="11"/>
    <x v="1"/>
    <x v="18"/>
    <x v="3"/>
    <x v="4"/>
    <x v="2"/>
    <x v="0"/>
    <x v="6"/>
    <x v="4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5"/>
    <x v="0"/>
    <x v="10"/>
    <x v="86"/>
    <x v="11"/>
    <x v="1"/>
    <x v="18"/>
    <x v="3"/>
    <x v="4"/>
    <x v="2"/>
    <x v="0"/>
    <x v="6"/>
    <x v="4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6"/>
    <x v="0"/>
    <x v="10"/>
    <x v="86"/>
    <x v="11"/>
    <x v="1"/>
    <x v="18"/>
    <x v="3"/>
    <x v="4"/>
    <x v="2"/>
    <x v="0"/>
    <x v="6"/>
    <x v="4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7"/>
    <x v="0"/>
    <x v="10"/>
    <x v="86"/>
    <x v="11"/>
    <x v="1"/>
    <x v="18"/>
    <x v="3"/>
    <x v="4"/>
    <x v="2"/>
    <x v="0"/>
    <x v="6"/>
    <x v="4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8"/>
    <x v="0"/>
    <x v="10"/>
    <x v="86"/>
    <x v="11"/>
    <x v="1"/>
    <x v="18"/>
    <x v="3"/>
    <x v="4"/>
    <x v="2"/>
    <x v="0"/>
    <x v="6"/>
    <x v="5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99"/>
    <x v="0"/>
    <x v="10"/>
    <x v="86"/>
    <x v="11"/>
    <x v="1"/>
    <x v="18"/>
    <x v="3"/>
    <x v="4"/>
    <x v="2"/>
    <x v="0"/>
    <x v="6"/>
    <x v="5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0"/>
    <x v="0"/>
    <x v="10"/>
    <x v="86"/>
    <x v="11"/>
    <x v="1"/>
    <x v="18"/>
    <x v="3"/>
    <x v="4"/>
    <x v="2"/>
    <x v="0"/>
    <x v="6"/>
    <x v="5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1"/>
    <x v="0"/>
    <x v="10"/>
    <x v="86"/>
    <x v="11"/>
    <x v="1"/>
    <x v="18"/>
    <x v="3"/>
    <x v="4"/>
    <x v="2"/>
    <x v="0"/>
    <x v="6"/>
    <x v="5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2"/>
    <x v="0"/>
    <x v="10"/>
    <x v="86"/>
    <x v="11"/>
    <x v="1"/>
    <x v="18"/>
    <x v="3"/>
    <x v="4"/>
    <x v="2"/>
    <x v="0"/>
    <x v="6"/>
    <x v="5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3"/>
    <x v="0"/>
    <x v="10"/>
    <x v="86"/>
    <x v="11"/>
    <x v="1"/>
    <x v="18"/>
    <x v="3"/>
    <x v="4"/>
    <x v="2"/>
    <x v="0"/>
    <x v="6"/>
    <x v="5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4"/>
    <x v="0"/>
    <x v="10"/>
    <x v="86"/>
    <x v="11"/>
    <x v="1"/>
    <x v="18"/>
    <x v="3"/>
    <x v="4"/>
    <x v="2"/>
    <x v="0"/>
    <x v="6"/>
    <x v="5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5"/>
    <x v="0"/>
    <x v="10"/>
    <x v="86"/>
    <x v="11"/>
    <x v="1"/>
    <x v="18"/>
    <x v="3"/>
    <x v="4"/>
    <x v="2"/>
    <x v="0"/>
    <x v="6"/>
    <x v="5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6"/>
    <x v="0"/>
    <x v="10"/>
    <x v="86"/>
    <x v="11"/>
    <x v="1"/>
    <x v="18"/>
    <x v="3"/>
    <x v="4"/>
    <x v="2"/>
    <x v="0"/>
    <x v="6"/>
    <x v="5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7"/>
    <x v="0"/>
    <x v="10"/>
    <x v="86"/>
    <x v="11"/>
    <x v="1"/>
    <x v="18"/>
    <x v="3"/>
    <x v="4"/>
    <x v="2"/>
    <x v="0"/>
    <x v="6"/>
    <x v="5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8"/>
    <x v="0"/>
    <x v="10"/>
    <x v="86"/>
    <x v="11"/>
    <x v="1"/>
    <x v="18"/>
    <x v="3"/>
    <x v="4"/>
    <x v="2"/>
    <x v="0"/>
    <x v="6"/>
    <x v="5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09"/>
    <x v="0"/>
    <x v="10"/>
    <x v="86"/>
    <x v="11"/>
    <x v="1"/>
    <x v="18"/>
    <x v="3"/>
    <x v="4"/>
    <x v="2"/>
    <x v="0"/>
    <x v="6"/>
    <x v="5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0"/>
    <x v="0"/>
    <x v="10"/>
    <x v="86"/>
    <x v="11"/>
    <x v="1"/>
    <x v="18"/>
    <x v="3"/>
    <x v="4"/>
    <x v="2"/>
    <x v="0"/>
    <x v="6"/>
    <x v="5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1"/>
    <x v="0"/>
    <x v="10"/>
    <x v="86"/>
    <x v="11"/>
    <x v="1"/>
    <x v="18"/>
    <x v="3"/>
    <x v="4"/>
    <x v="2"/>
    <x v="0"/>
    <x v="6"/>
    <x v="5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2"/>
    <x v="0"/>
    <x v="10"/>
    <x v="86"/>
    <x v="11"/>
    <x v="1"/>
    <x v="18"/>
    <x v="3"/>
    <x v="4"/>
    <x v="2"/>
    <x v="0"/>
    <x v="6"/>
    <x v="5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3"/>
    <x v="0"/>
    <x v="10"/>
    <x v="86"/>
    <x v="11"/>
    <x v="1"/>
    <x v="18"/>
    <x v="3"/>
    <x v="4"/>
    <x v="2"/>
    <x v="0"/>
    <x v="6"/>
    <x v="5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4"/>
    <x v="0"/>
    <x v="10"/>
    <x v="86"/>
    <x v="11"/>
    <x v="1"/>
    <x v="18"/>
    <x v="3"/>
    <x v="4"/>
    <x v="2"/>
    <x v="0"/>
    <x v="6"/>
    <x v="5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5"/>
    <x v="0"/>
    <x v="10"/>
    <x v="86"/>
    <x v="11"/>
    <x v="1"/>
    <x v="18"/>
    <x v="3"/>
    <x v="4"/>
    <x v="2"/>
    <x v="0"/>
    <x v="6"/>
    <x v="5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6"/>
    <x v="0"/>
    <x v="10"/>
    <x v="86"/>
    <x v="11"/>
    <x v="1"/>
    <x v="18"/>
    <x v="3"/>
    <x v="4"/>
    <x v="2"/>
    <x v="0"/>
    <x v="6"/>
    <x v="5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7"/>
    <x v="0"/>
    <x v="10"/>
    <x v="86"/>
    <x v="11"/>
    <x v="1"/>
    <x v="18"/>
    <x v="3"/>
    <x v="4"/>
    <x v="2"/>
    <x v="0"/>
    <x v="6"/>
    <x v="5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8"/>
    <x v="0"/>
    <x v="10"/>
    <x v="86"/>
    <x v="11"/>
    <x v="1"/>
    <x v="18"/>
    <x v="3"/>
    <x v="4"/>
    <x v="2"/>
    <x v="0"/>
    <x v="6"/>
    <x v="5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19"/>
    <x v="0"/>
    <x v="10"/>
    <x v="86"/>
    <x v="11"/>
    <x v="1"/>
    <x v="18"/>
    <x v="3"/>
    <x v="4"/>
    <x v="2"/>
    <x v="0"/>
    <x v="6"/>
    <x v="5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0"/>
    <x v="0"/>
    <x v="10"/>
    <x v="86"/>
    <x v="11"/>
    <x v="1"/>
    <x v="18"/>
    <x v="3"/>
    <x v="4"/>
    <x v="2"/>
    <x v="0"/>
    <x v="6"/>
    <x v="5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1"/>
    <x v="0"/>
    <x v="10"/>
    <x v="86"/>
    <x v="11"/>
    <x v="1"/>
    <x v="18"/>
    <x v="3"/>
    <x v="4"/>
    <x v="2"/>
    <x v="0"/>
    <x v="6"/>
    <x v="6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2"/>
    <x v="0"/>
    <x v="10"/>
    <x v="86"/>
    <x v="11"/>
    <x v="1"/>
    <x v="18"/>
    <x v="3"/>
    <x v="4"/>
    <x v="2"/>
    <x v="0"/>
    <x v="6"/>
    <x v="6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3"/>
    <x v="0"/>
    <x v="10"/>
    <x v="86"/>
    <x v="11"/>
    <x v="1"/>
    <x v="18"/>
    <x v="3"/>
    <x v="4"/>
    <x v="2"/>
    <x v="0"/>
    <x v="6"/>
    <x v="6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4"/>
    <x v="0"/>
    <x v="10"/>
    <x v="86"/>
    <x v="11"/>
    <x v="1"/>
    <x v="18"/>
    <x v="3"/>
    <x v="4"/>
    <x v="2"/>
    <x v="0"/>
    <x v="6"/>
    <x v="6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5"/>
    <x v="0"/>
    <x v="10"/>
    <x v="86"/>
    <x v="11"/>
    <x v="1"/>
    <x v="18"/>
    <x v="3"/>
    <x v="4"/>
    <x v="2"/>
    <x v="0"/>
    <x v="6"/>
    <x v="6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6"/>
    <x v="0"/>
    <x v="10"/>
    <x v="86"/>
    <x v="11"/>
    <x v="1"/>
    <x v="18"/>
    <x v="3"/>
    <x v="4"/>
    <x v="2"/>
    <x v="0"/>
    <x v="6"/>
    <x v="6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7"/>
    <x v="0"/>
    <x v="10"/>
    <x v="86"/>
    <x v="11"/>
    <x v="1"/>
    <x v="18"/>
    <x v="3"/>
    <x v="4"/>
    <x v="2"/>
    <x v="0"/>
    <x v="6"/>
    <x v="6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8"/>
    <x v="0"/>
    <x v="10"/>
    <x v="86"/>
    <x v="11"/>
    <x v="1"/>
    <x v="18"/>
    <x v="3"/>
    <x v="4"/>
    <x v="2"/>
    <x v="0"/>
    <x v="6"/>
    <x v="6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29"/>
    <x v="0"/>
    <x v="10"/>
    <x v="86"/>
    <x v="11"/>
    <x v="1"/>
    <x v="18"/>
    <x v="3"/>
    <x v="4"/>
    <x v="2"/>
    <x v="0"/>
    <x v="6"/>
    <x v="6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0"/>
    <x v="0"/>
    <x v="10"/>
    <x v="86"/>
    <x v="11"/>
    <x v="1"/>
    <x v="18"/>
    <x v="3"/>
    <x v="4"/>
    <x v="2"/>
    <x v="0"/>
    <x v="6"/>
    <x v="6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1"/>
    <x v="0"/>
    <x v="10"/>
    <x v="86"/>
    <x v="11"/>
    <x v="1"/>
    <x v="18"/>
    <x v="3"/>
    <x v="4"/>
    <x v="2"/>
    <x v="0"/>
    <x v="6"/>
    <x v="6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2"/>
    <x v="0"/>
    <x v="10"/>
    <x v="86"/>
    <x v="11"/>
    <x v="1"/>
    <x v="18"/>
    <x v="3"/>
    <x v="4"/>
    <x v="2"/>
    <x v="0"/>
    <x v="6"/>
    <x v="6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3"/>
    <x v="0"/>
    <x v="10"/>
    <x v="86"/>
    <x v="11"/>
    <x v="1"/>
    <x v="18"/>
    <x v="3"/>
    <x v="4"/>
    <x v="2"/>
    <x v="0"/>
    <x v="6"/>
    <x v="6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4"/>
    <x v="0"/>
    <x v="10"/>
    <x v="86"/>
    <x v="11"/>
    <x v="1"/>
    <x v="18"/>
    <x v="3"/>
    <x v="4"/>
    <x v="2"/>
    <x v="0"/>
    <x v="6"/>
    <x v="6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5"/>
    <x v="0"/>
    <x v="10"/>
    <x v="86"/>
    <x v="11"/>
    <x v="1"/>
    <x v="18"/>
    <x v="3"/>
    <x v="4"/>
    <x v="2"/>
    <x v="0"/>
    <x v="6"/>
    <x v="6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6"/>
    <x v="0"/>
    <x v="10"/>
    <x v="86"/>
    <x v="11"/>
    <x v="1"/>
    <x v="18"/>
    <x v="3"/>
    <x v="4"/>
    <x v="2"/>
    <x v="0"/>
    <x v="6"/>
    <x v="6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7"/>
    <x v="0"/>
    <x v="10"/>
    <x v="86"/>
    <x v="11"/>
    <x v="1"/>
    <x v="18"/>
    <x v="3"/>
    <x v="4"/>
    <x v="2"/>
    <x v="0"/>
    <x v="6"/>
    <x v="6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8"/>
    <x v="0"/>
    <x v="10"/>
    <x v="86"/>
    <x v="11"/>
    <x v="1"/>
    <x v="18"/>
    <x v="3"/>
    <x v="4"/>
    <x v="2"/>
    <x v="0"/>
    <x v="6"/>
    <x v="6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39"/>
    <x v="0"/>
    <x v="10"/>
    <x v="86"/>
    <x v="11"/>
    <x v="1"/>
    <x v="18"/>
    <x v="3"/>
    <x v="4"/>
    <x v="2"/>
    <x v="0"/>
    <x v="6"/>
    <x v="6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0"/>
    <x v="0"/>
    <x v="10"/>
    <x v="86"/>
    <x v="11"/>
    <x v="1"/>
    <x v="18"/>
    <x v="3"/>
    <x v="4"/>
    <x v="2"/>
    <x v="0"/>
    <x v="6"/>
    <x v="6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1"/>
    <x v="0"/>
    <x v="10"/>
    <x v="86"/>
    <x v="11"/>
    <x v="1"/>
    <x v="18"/>
    <x v="3"/>
    <x v="4"/>
    <x v="2"/>
    <x v="0"/>
    <x v="6"/>
    <x v="6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2"/>
    <x v="0"/>
    <x v="10"/>
    <x v="86"/>
    <x v="11"/>
    <x v="1"/>
    <x v="18"/>
    <x v="3"/>
    <x v="4"/>
    <x v="2"/>
    <x v="0"/>
    <x v="6"/>
    <x v="6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3"/>
    <x v="0"/>
    <x v="10"/>
    <x v="86"/>
    <x v="11"/>
    <x v="1"/>
    <x v="18"/>
    <x v="3"/>
    <x v="4"/>
    <x v="2"/>
    <x v="0"/>
    <x v="6"/>
    <x v="6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4"/>
    <x v="0"/>
    <x v="10"/>
    <x v="34"/>
    <x v="11"/>
    <x v="1"/>
    <x v="18"/>
    <x v="3"/>
    <x v="4"/>
    <x v="13"/>
    <x v="0"/>
    <x v="6"/>
    <x v="0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5"/>
    <x v="0"/>
    <x v="10"/>
    <x v="34"/>
    <x v="11"/>
    <x v="1"/>
    <x v="18"/>
    <x v="3"/>
    <x v="4"/>
    <x v="13"/>
    <x v="0"/>
    <x v="6"/>
    <x v="0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6"/>
    <x v="0"/>
    <x v="10"/>
    <x v="34"/>
    <x v="11"/>
    <x v="1"/>
    <x v="18"/>
    <x v="3"/>
    <x v="4"/>
    <x v="13"/>
    <x v="0"/>
    <x v="6"/>
    <x v="0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7"/>
    <x v="0"/>
    <x v="10"/>
    <x v="34"/>
    <x v="11"/>
    <x v="1"/>
    <x v="18"/>
    <x v="3"/>
    <x v="4"/>
    <x v="13"/>
    <x v="0"/>
    <x v="6"/>
    <x v="0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8"/>
    <x v="0"/>
    <x v="10"/>
    <x v="34"/>
    <x v="11"/>
    <x v="1"/>
    <x v="18"/>
    <x v="3"/>
    <x v="4"/>
    <x v="13"/>
    <x v="0"/>
    <x v="6"/>
    <x v="0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49"/>
    <x v="0"/>
    <x v="10"/>
    <x v="34"/>
    <x v="11"/>
    <x v="1"/>
    <x v="18"/>
    <x v="3"/>
    <x v="4"/>
    <x v="13"/>
    <x v="0"/>
    <x v="6"/>
    <x v="0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0"/>
    <x v="0"/>
    <x v="10"/>
    <x v="34"/>
    <x v="11"/>
    <x v="1"/>
    <x v="18"/>
    <x v="3"/>
    <x v="4"/>
    <x v="13"/>
    <x v="0"/>
    <x v="6"/>
    <x v="0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1"/>
    <x v="0"/>
    <x v="10"/>
    <x v="34"/>
    <x v="11"/>
    <x v="1"/>
    <x v="18"/>
    <x v="3"/>
    <x v="4"/>
    <x v="13"/>
    <x v="0"/>
    <x v="6"/>
    <x v="0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2"/>
    <x v="0"/>
    <x v="10"/>
    <x v="34"/>
    <x v="11"/>
    <x v="1"/>
    <x v="18"/>
    <x v="3"/>
    <x v="4"/>
    <x v="13"/>
    <x v="0"/>
    <x v="6"/>
    <x v="0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3"/>
    <x v="0"/>
    <x v="10"/>
    <x v="34"/>
    <x v="11"/>
    <x v="1"/>
    <x v="18"/>
    <x v="3"/>
    <x v="4"/>
    <x v="13"/>
    <x v="0"/>
    <x v="6"/>
    <x v="0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4"/>
    <x v="0"/>
    <x v="10"/>
    <x v="34"/>
    <x v="11"/>
    <x v="1"/>
    <x v="18"/>
    <x v="3"/>
    <x v="4"/>
    <x v="13"/>
    <x v="0"/>
    <x v="6"/>
    <x v="0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5"/>
    <x v="0"/>
    <x v="10"/>
    <x v="34"/>
    <x v="11"/>
    <x v="1"/>
    <x v="18"/>
    <x v="3"/>
    <x v="4"/>
    <x v="13"/>
    <x v="0"/>
    <x v="6"/>
    <x v="0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6"/>
    <x v="0"/>
    <x v="10"/>
    <x v="34"/>
    <x v="11"/>
    <x v="1"/>
    <x v="18"/>
    <x v="3"/>
    <x v="4"/>
    <x v="13"/>
    <x v="0"/>
    <x v="6"/>
    <x v="0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7"/>
    <x v="0"/>
    <x v="10"/>
    <x v="34"/>
    <x v="11"/>
    <x v="1"/>
    <x v="18"/>
    <x v="3"/>
    <x v="4"/>
    <x v="13"/>
    <x v="0"/>
    <x v="6"/>
    <x v="0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8"/>
    <x v="0"/>
    <x v="10"/>
    <x v="34"/>
    <x v="11"/>
    <x v="1"/>
    <x v="18"/>
    <x v="3"/>
    <x v="4"/>
    <x v="13"/>
    <x v="0"/>
    <x v="6"/>
    <x v="0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59"/>
    <x v="0"/>
    <x v="10"/>
    <x v="34"/>
    <x v="11"/>
    <x v="1"/>
    <x v="18"/>
    <x v="3"/>
    <x v="4"/>
    <x v="13"/>
    <x v="0"/>
    <x v="6"/>
    <x v="0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0"/>
    <x v="0"/>
    <x v="10"/>
    <x v="34"/>
    <x v="11"/>
    <x v="1"/>
    <x v="18"/>
    <x v="3"/>
    <x v="4"/>
    <x v="13"/>
    <x v="0"/>
    <x v="6"/>
    <x v="0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1"/>
    <x v="0"/>
    <x v="10"/>
    <x v="34"/>
    <x v="11"/>
    <x v="1"/>
    <x v="18"/>
    <x v="3"/>
    <x v="4"/>
    <x v="13"/>
    <x v="0"/>
    <x v="6"/>
    <x v="0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2"/>
    <x v="0"/>
    <x v="10"/>
    <x v="34"/>
    <x v="11"/>
    <x v="1"/>
    <x v="18"/>
    <x v="3"/>
    <x v="4"/>
    <x v="13"/>
    <x v="0"/>
    <x v="6"/>
    <x v="0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3"/>
    <x v="0"/>
    <x v="10"/>
    <x v="34"/>
    <x v="11"/>
    <x v="1"/>
    <x v="18"/>
    <x v="3"/>
    <x v="4"/>
    <x v="13"/>
    <x v="0"/>
    <x v="6"/>
    <x v="0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4"/>
    <x v="0"/>
    <x v="10"/>
    <x v="34"/>
    <x v="11"/>
    <x v="1"/>
    <x v="18"/>
    <x v="3"/>
    <x v="4"/>
    <x v="13"/>
    <x v="0"/>
    <x v="6"/>
    <x v="0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5"/>
    <x v="0"/>
    <x v="10"/>
    <x v="34"/>
    <x v="11"/>
    <x v="1"/>
    <x v="18"/>
    <x v="3"/>
    <x v="4"/>
    <x v="13"/>
    <x v="0"/>
    <x v="6"/>
    <x v="0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6"/>
    <x v="0"/>
    <x v="10"/>
    <x v="34"/>
    <x v="11"/>
    <x v="1"/>
    <x v="18"/>
    <x v="3"/>
    <x v="4"/>
    <x v="13"/>
    <x v="0"/>
    <x v="6"/>
    <x v="0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7"/>
    <x v="0"/>
    <x v="10"/>
    <x v="34"/>
    <x v="11"/>
    <x v="1"/>
    <x v="18"/>
    <x v="3"/>
    <x v="4"/>
    <x v="13"/>
    <x v="0"/>
    <x v="6"/>
    <x v="1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8"/>
    <x v="0"/>
    <x v="10"/>
    <x v="34"/>
    <x v="11"/>
    <x v="1"/>
    <x v="18"/>
    <x v="3"/>
    <x v="4"/>
    <x v="13"/>
    <x v="0"/>
    <x v="6"/>
    <x v="1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69"/>
    <x v="0"/>
    <x v="10"/>
    <x v="34"/>
    <x v="11"/>
    <x v="1"/>
    <x v="18"/>
    <x v="3"/>
    <x v="4"/>
    <x v="13"/>
    <x v="0"/>
    <x v="6"/>
    <x v="1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0"/>
    <x v="0"/>
    <x v="10"/>
    <x v="34"/>
    <x v="11"/>
    <x v="1"/>
    <x v="18"/>
    <x v="3"/>
    <x v="4"/>
    <x v="13"/>
    <x v="0"/>
    <x v="6"/>
    <x v="1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1"/>
    <x v="0"/>
    <x v="10"/>
    <x v="34"/>
    <x v="11"/>
    <x v="1"/>
    <x v="18"/>
    <x v="3"/>
    <x v="4"/>
    <x v="13"/>
    <x v="0"/>
    <x v="6"/>
    <x v="1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2"/>
    <x v="0"/>
    <x v="10"/>
    <x v="34"/>
    <x v="11"/>
    <x v="1"/>
    <x v="18"/>
    <x v="3"/>
    <x v="4"/>
    <x v="13"/>
    <x v="0"/>
    <x v="6"/>
    <x v="1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3"/>
    <x v="0"/>
    <x v="10"/>
    <x v="34"/>
    <x v="11"/>
    <x v="1"/>
    <x v="18"/>
    <x v="3"/>
    <x v="4"/>
    <x v="13"/>
    <x v="0"/>
    <x v="6"/>
    <x v="1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4"/>
    <x v="0"/>
    <x v="10"/>
    <x v="34"/>
    <x v="11"/>
    <x v="1"/>
    <x v="18"/>
    <x v="3"/>
    <x v="4"/>
    <x v="13"/>
    <x v="0"/>
    <x v="6"/>
    <x v="1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5"/>
    <x v="0"/>
    <x v="10"/>
    <x v="34"/>
    <x v="11"/>
    <x v="1"/>
    <x v="18"/>
    <x v="3"/>
    <x v="4"/>
    <x v="13"/>
    <x v="0"/>
    <x v="6"/>
    <x v="1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6"/>
    <x v="0"/>
    <x v="10"/>
    <x v="34"/>
    <x v="11"/>
    <x v="1"/>
    <x v="18"/>
    <x v="3"/>
    <x v="4"/>
    <x v="13"/>
    <x v="0"/>
    <x v="6"/>
    <x v="1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7"/>
    <x v="0"/>
    <x v="10"/>
    <x v="34"/>
    <x v="11"/>
    <x v="1"/>
    <x v="18"/>
    <x v="3"/>
    <x v="4"/>
    <x v="13"/>
    <x v="0"/>
    <x v="6"/>
    <x v="1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8"/>
    <x v="0"/>
    <x v="10"/>
    <x v="34"/>
    <x v="11"/>
    <x v="1"/>
    <x v="18"/>
    <x v="3"/>
    <x v="4"/>
    <x v="13"/>
    <x v="0"/>
    <x v="6"/>
    <x v="1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79"/>
    <x v="0"/>
    <x v="10"/>
    <x v="34"/>
    <x v="11"/>
    <x v="1"/>
    <x v="18"/>
    <x v="3"/>
    <x v="4"/>
    <x v="13"/>
    <x v="0"/>
    <x v="6"/>
    <x v="1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0"/>
    <x v="0"/>
    <x v="10"/>
    <x v="34"/>
    <x v="11"/>
    <x v="1"/>
    <x v="18"/>
    <x v="3"/>
    <x v="4"/>
    <x v="13"/>
    <x v="0"/>
    <x v="6"/>
    <x v="1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1"/>
    <x v="0"/>
    <x v="10"/>
    <x v="34"/>
    <x v="11"/>
    <x v="1"/>
    <x v="18"/>
    <x v="3"/>
    <x v="4"/>
    <x v="13"/>
    <x v="0"/>
    <x v="6"/>
    <x v="1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2"/>
    <x v="0"/>
    <x v="10"/>
    <x v="34"/>
    <x v="11"/>
    <x v="1"/>
    <x v="18"/>
    <x v="3"/>
    <x v="4"/>
    <x v="13"/>
    <x v="0"/>
    <x v="6"/>
    <x v="1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3"/>
    <x v="0"/>
    <x v="10"/>
    <x v="34"/>
    <x v="11"/>
    <x v="1"/>
    <x v="18"/>
    <x v="3"/>
    <x v="4"/>
    <x v="13"/>
    <x v="0"/>
    <x v="6"/>
    <x v="1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4"/>
    <x v="0"/>
    <x v="10"/>
    <x v="34"/>
    <x v="11"/>
    <x v="1"/>
    <x v="18"/>
    <x v="3"/>
    <x v="4"/>
    <x v="13"/>
    <x v="0"/>
    <x v="6"/>
    <x v="1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5"/>
    <x v="0"/>
    <x v="10"/>
    <x v="34"/>
    <x v="11"/>
    <x v="1"/>
    <x v="18"/>
    <x v="3"/>
    <x v="4"/>
    <x v="13"/>
    <x v="0"/>
    <x v="6"/>
    <x v="1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6"/>
    <x v="0"/>
    <x v="10"/>
    <x v="34"/>
    <x v="11"/>
    <x v="1"/>
    <x v="18"/>
    <x v="3"/>
    <x v="4"/>
    <x v="13"/>
    <x v="0"/>
    <x v="6"/>
    <x v="1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7"/>
    <x v="0"/>
    <x v="10"/>
    <x v="34"/>
    <x v="11"/>
    <x v="1"/>
    <x v="18"/>
    <x v="3"/>
    <x v="4"/>
    <x v="13"/>
    <x v="0"/>
    <x v="6"/>
    <x v="1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8"/>
    <x v="0"/>
    <x v="10"/>
    <x v="34"/>
    <x v="11"/>
    <x v="1"/>
    <x v="18"/>
    <x v="3"/>
    <x v="4"/>
    <x v="13"/>
    <x v="0"/>
    <x v="6"/>
    <x v="1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89"/>
    <x v="0"/>
    <x v="10"/>
    <x v="34"/>
    <x v="11"/>
    <x v="1"/>
    <x v="18"/>
    <x v="3"/>
    <x v="4"/>
    <x v="13"/>
    <x v="0"/>
    <x v="6"/>
    <x v="1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0"/>
    <x v="0"/>
    <x v="10"/>
    <x v="34"/>
    <x v="11"/>
    <x v="1"/>
    <x v="18"/>
    <x v="3"/>
    <x v="4"/>
    <x v="14"/>
    <x v="0"/>
    <x v="6"/>
    <x v="0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1"/>
    <x v="0"/>
    <x v="10"/>
    <x v="34"/>
    <x v="11"/>
    <x v="1"/>
    <x v="18"/>
    <x v="3"/>
    <x v="4"/>
    <x v="14"/>
    <x v="0"/>
    <x v="6"/>
    <x v="0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2"/>
    <x v="0"/>
    <x v="10"/>
    <x v="34"/>
    <x v="11"/>
    <x v="1"/>
    <x v="18"/>
    <x v="3"/>
    <x v="4"/>
    <x v="14"/>
    <x v="0"/>
    <x v="6"/>
    <x v="0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3"/>
    <x v="0"/>
    <x v="10"/>
    <x v="34"/>
    <x v="11"/>
    <x v="1"/>
    <x v="18"/>
    <x v="3"/>
    <x v="4"/>
    <x v="14"/>
    <x v="0"/>
    <x v="6"/>
    <x v="0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4"/>
    <x v="0"/>
    <x v="10"/>
    <x v="34"/>
    <x v="11"/>
    <x v="1"/>
    <x v="18"/>
    <x v="3"/>
    <x v="4"/>
    <x v="14"/>
    <x v="0"/>
    <x v="6"/>
    <x v="0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5"/>
    <x v="0"/>
    <x v="10"/>
    <x v="34"/>
    <x v="11"/>
    <x v="1"/>
    <x v="18"/>
    <x v="3"/>
    <x v="4"/>
    <x v="14"/>
    <x v="0"/>
    <x v="6"/>
    <x v="0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6"/>
    <x v="0"/>
    <x v="10"/>
    <x v="34"/>
    <x v="11"/>
    <x v="1"/>
    <x v="18"/>
    <x v="3"/>
    <x v="4"/>
    <x v="14"/>
    <x v="0"/>
    <x v="6"/>
    <x v="0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7"/>
    <x v="0"/>
    <x v="10"/>
    <x v="34"/>
    <x v="11"/>
    <x v="1"/>
    <x v="18"/>
    <x v="3"/>
    <x v="4"/>
    <x v="14"/>
    <x v="0"/>
    <x v="6"/>
    <x v="0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8"/>
    <x v="0"/>
    <x v="10"/>
    <x v="34"/>
    <x v="11"/>
    <x v="1"/>
    <x v="18"/>
    <x v="3"/>
    <x v="4"/>
    <x v="14"/>
    <x v="0"/>
    <x v="6"/>
    <x v="0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599"/>
    <x v="0"/>
    <x v="10"/>
    <x v="34"/>
    <x v="11"/>
    <x v="1"/>
    <x v="18"/>
    <x v="3"/>
    <x v="4"/>
    <x v="14"/>
    <x v="0"/>
    <x v="6"/>
    <x v="0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0"/>
    <x v="0"/>
    <x v="10"/>
    <x v="34"/>
    <x v="11"/>
    <x v="1"/>
    <x v="18"/>
    <x v="3"/>
    <x v="4"/>
    <x v="14"/>
    <x v="0"/>
    <x v="6"/>
    <x v="0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1"/>
    <x v="0"/>
    <x v="10"/>
    <x v="34"/>
    <x v="11"/>
    <x v="1"/>
    <x v="18"/>
    <x v="3"/>
    <x v="4"/>
    <x v="14"/>
    <x v="0"/>
    <x v="6"/>
    <x v="0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2"/>
    <x v="0"/>
    <x v="10"/>
    <x v="34"/>
    <x v="11"/>
    <x v="1"/>
    <x v="18"/>
    <x v="3"/>
    <x v="4"/>
    <x v="14"/>
    <x v="0"/>
    <x v="6"/>
    <x v="0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3"/>
    <x v="0"/>
    <x v="10"/>
    <x v="34"/>
    <x v="11"/>
    <x v="1"/>
    <x v="18"/>
    <x v="3"/>
    <x v="4"/>
    <x v="14"/>
    <x v="0"/>
    <x v="6"/>
    <x v="0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4"/>
    <x v="0"/>
    <x v="10"/>
    <x v="34"/>
    <x v="11"/>
    <x v="1"/>
    <x v="18"/>
    <x v="3"/>
    <x v="4"/>
    <x v="14"/>
    <x v="0"/>
    <x v="6"/>
    <x v="0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5"/>
    <x v="0"/>
    <x v="10"/>
    <x v="34"/>
    <x v="11"/>
    <x v="1"/>
    <x v="18"/>
    <x v="3"/>
    <x v="4"/>
    <x v="14"/>
    <x v="0"/>
    <x v="6"/>
    <x v="0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6"/>
    <x v="0"/>
    <x v="10"/>
    <x v="34"/>
    <x v="11"/>
    <x v="1"/>
    <x v="18"/>
    <x v="3"/>
    <x v="4"/>
    <x v="14"/>
    <x v="0"/>
    <x v="6"/>
    <x v="0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7"/>
    <x v="0"/>
    <x v="10"/>
    <x v="34"/>
    <x v="11"/>
    <x v="1"/>
    <x v="18"/>
    <x v="3"/>
    <x v="4"/>
    <x v="14"/>
    <x v="0"/>
    <x v="6"/>
    <x v="0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8"/>
    <x v="0"/>
    <x v="10"/>
    <x v="34"/>
    <x v="11"/>
    <x v="1"/>
    <x v="18"/>
    <x v="3"/>
    <x v="4"/>
    <x v="14"/>
    <x v="0"/>
    <x v="6"/>
    <x v="0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09"/>
    <x v="0"/>
    <x v="10"/>
    <x v="34"/>
    <x v="11"/>
    <x v="1"/>
    <x v="18"/>
    <x v="3"/>
    <x v="4"/>
    <x v="14"/>
    <x v="0"/>
    <x v="6"/>
    <x v="0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0"/>
    <x v="0"/>
    <x v="10"/>
    <x v="34"/>
    <x v="11"/>
    <x v="1"/>
    <x v="18"/>
    <x v="3"/>
    <x v="4"/>
    <x v="14"/>
    <x v="0"/>
    <x v="6"/>
    <x v="0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1"/>
    <x v="0"/>
    <x v="10"/>
    <x v="34"/>
    <x v="11"/>
    <x v="1"/>
    <x v="18"/>
    <x v="3"/>
    <x v="4"/>
    <x v="14"/>
    <x v="0"/>
    <x v="6"/>
    <x v="0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2"/>
    <x v="0"/>
    <x v="10"/>
    <x v="34"/>
    <x v="11"/>
    <x v="1"/>
    <x v="18"/>
    <x v="3"/>
    <x v="4"/>
    <x v="14"/>
    <x v="0"/>
    <x v="6"/>
    <x v="0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3"/>
    <x v="0"/>
    <x v="10"/>
    <x v="34"/>
    <x v="11"/>
    <x v="1"/>
    <x v="18"/>
    <x v="3"/>
    <x v="4"/>
    <x v="14"/>
    <x v="0"/>
    <x v="6"/>
    <x v="1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4"/>
    <x v="0"/>
    <x v="10"/>
    <x v="34"/>
    <x v="11"/>
    <x v="1"/>
    <x v="18"/>
    <x v="3"/>
    <x v="4"/>
    <x v="14"/>
    <x v="0"/>
    <x v="6"/>
    <x v="1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5"/>
    <x v="0"/>
    <x v="10"/>
    <x v="34"/>
    <x v="11"/>
    <x v="1"/>
    <x v="18"/>
    <x v="3"/>
    <x v="4"/>
    <x v="14"/>
    <x v="0"/>
    <x v="6"/>
    <x v="1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6"/>
    <x v="0"/>
    <x v="10"/>
    <x v="34"/>
    <x v="11"/>
    <x v="1"/>
    <x v="18"/>
    <x v="3"/>
    <x v="4"/>
    <x v="14"/>
    <x v="0"/>
    <x v="6"/>
    <x v="1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7"/>
    <x v="0"/>
    <x v="10"/>
    <x v="34"/>
    <x v="11"/>
    <x v="1"/>
    <x v="18"/>
    <x v="3"/>
    <x v="4"/>
    <x v="14"/>
    <x v="0"/>
    <x v="6"/>
    <x v="1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8"/>
    <x v="0"/>
    <x v="10"/>
    <x v="34"/>
    <x v="11"/>
    <x v="1"/>
    <x v="18"/>
    <x v="3"/>
    <x v="4"/>
    <x v="14"/>
    <x v="0"/>
    <x v="6"/>
    <x v="1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19"/>
    <x v="0"/>
    <x v="10"/>
    <x v="34"/>
    <x v="11"/>
    <x v="1"/>
    <x v="18"/>
    <x v="3"/>
    <x v="4"/>
    <x v="14"/>
    <x v="0"/>
    <x v="6"/>
    <x v="1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0"/>
    <x v="0"/>
    <x v="10"/>
    <x v="34"/>
    <x v="11"/>
    <x v="1"/>
    <x v="18"/>
    <x v="3"/>
    <x v="4"/>
    <x v="14"/>
    <x v="0"/>
    <x v="6"/>
    <x v="1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1"/>
    <x v="0"/>
    <x v="10"/>
    <x v="34"/>
    <x v="11"/>
    <x v="1"/>
    <x v="18"/>
    <x v="3"/>
    <x v="4"/>
    <x v="14"/>
    <x v="0"/>
    <x v="6"/>
    <x v="1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2"/>
    <x v="0"/>
    <x v="10"/>
    <x v="34"/>
    <x v="11"/>
    <x v="1"/>
    <x v="18"/>
    <x v="3"/>
    <x v="4"/>
    <x v="14"/>
    <x v="0"/>
    <x v="6"/>
    <x v="1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3"/>
    <x v="0"/>
    <x v="10"/>
    <x v="34"/>
    <x v="11"/>
    <x v="1"/>
    <x v="18"/>
    <x v="3"/>
    <x v="4"/>
    <x v="14"/>
    <x v="0"/>
    <x v="6"/>
    <x v="1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4"/>
    <x v="0"/>
    <x v="10"/>
    <x v="34"/>
    <x v="11"/>
    <x v="1"/>
    <x v="18"/>
    <x v="3"/>
    <x v="4"/>
    <x v="14"/>
    <x v="0"/>
    <x v="6"/>
    <x v="1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5"/>
    <x v="0"/>
    <x v="10"/>
    <x v="34"/>
    <x v="11"/>
    <x v="1"/>
    <x v="18"/>
    <x v="3"/>
    <x v="4"/>
    <x v="14"/>
    <x v="0"/>
    <x v="6"/>
    <x v="1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6"/>
    <x v="0"/>
    <x v="10"/>
    <x v="34"/>
    <x v="11"/>
    <x v="1"/>
    <x v="18"/>
    <x v="3"/>
    <x v="4"/>
    <x v="14"/>
    <x v="0"/>
    <x v="6"/>
    <x v="1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7"/>
    <x v="0"/>
    <x v="10"/>
    <x v="34"/>
    <x v="11"/>
    <x v="1"/>
    <x v="18"/>
    <x v="3"/>
    <x v="4"/>
    <x v="14"/>
    <x v="0"/>
    <x v="6"/>
    <x v="1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8"/>
    <x v="0"/>
    <x v="10"/>
    <x v="34"/>
    <x v="11"/>
    <x v="1"/>
    <x v="18"/>
    <x v="3"/>
    <x v="4"/>
    <x v="14"/>
    <x v="0"/>
    <x v="6"/>
    <x v="1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29"/>
    <x v="0"/>
    <x v="10"/>
    <x v="34"/>
    <x v="11"/>
    <x v="1"/>
    <x v="18"/>
    <x v="3"/>
    <x v="4"/>
    <x v="14"/>
    <x v="0"/>
    <x v="6"/>
    <x v="1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0"/>
    <x v="0"/>
    <x v="10"/>
    <x v="34"/>
    <x v="11"/>
    <x v="1"/>
    <x v="18"/>
    <x v="3"/>
    <x v="4"/>
    <x v="14"/>
    <x v="0"/>
    <x v="6"/>
    <x v="1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1"/>
    <x v="0"/>
    <x v="10"/>
    <x v="34"/>
    <x v="11"/>
    <x v="1"/>
    <x v="18"/>
    <x v="3"/>
    <x v="4"/>
    <x v="14"/>
    <x v="0"/>
    <x v="6"/>
    <x v="1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2"/>
    <x v="0"/>
    <x v="10"/>
    <x v="34"/>
    <x v="11"/>
    <x v="1"/>
    <x v="18"/>
    <x v="3"/>
    <x v="4"/>
    <x v="14"/>
    <x v="0"/>
    <x v="6"/>
    <x v="1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3"/>
    <x v="0"/>
    <x v="10"/>
    <x v="34"/>
    <x v="11"/>
    <x v="1"/>
    <x v="18"/>
    <x v="3"/>
    <x v="4"/>
    <x v="14"/>
    <x v="0"/>
    <x v="6"/>
    <x v="1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4"/>
    <x v="0"/>
    <x v="10"/>
    <x v="34"/>
    <x v="11"/>
    <x v="1"/>
    <x v="18"/>
    <x v="3"/>
    <x v="4"/>
    <x v="14"/>
    <x v="0"/>
    <x v="6"/>
    <x v="1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5"/>
    <x v="0"/>
    <x v="10"/>
    <x v="34"/>
    <x v="11"/>
    <x v="1"/>
    <x v="18"/>
    <x v="3"/>
    <x v="4"/>
    <x v="14"/>
    <x v="0"/>
    <x v="6"/>
    <x v="1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6"/>
    <x v="0"/>
    <x v="10"/>
    <x v="34"/>
    <x v="11"/>
    <x v="1"/>
    <x v="18"/>
    <x v="3"/>
    <x v="4"/>
    <x v="14"/>
    <x v="0"/>
    <x v="6"/>
    <x v="2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7"/>
    <x v="0"/>
    <x v="10"/>
    <x v="34"/>
    <x v="11"/>
    <x v="1"/>
    <x v="18"/>
    <x v="3"/>
    <x v="4"/>
    <x v="14"/>
    <x v="0"/>
    <x v="6"/>
    <x v="2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8"/>
    <x v="0"/>
    <x v="10"/>
    <x v="34"/>
    <x v="11"/>
    <x v="1"/>
    <x v="18"/>
    <x v="3"/>
    <x v="4"/>
    <x v="14"/>
    <x v="0"/>
    <x v="6"/>
    <x v="2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39"/>
    <x v="0"/>
    <x v="10"/>
    <x v="34"/>
    <x v="11"/>
    <x v="1"/>
    <x v="18"/>
    <x v="3"/>
    <x v="4"/>
    <x v="14"/>
    <x v="0"/>
    <x v="6"/>
    <x v="2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0"/>
    <x v="0"/>
    <x v="10"/>
    <x v="34"/>
    <x v="11"/>
    <x v="1"/>
    <x v="18"/>
    <x v="3"/>
    <x v="4"/>
    <x v="14"/>
    <x v="0"/>
    <x v="6"/>
    <x v="2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1"/>
    <x v="0"/>
    <x v="10"/>
    <x v="34"/>
    <x v="11"/>
    <x v="1"/>
    <x v="18"/>
    <x v="3"/>
    <x v="4"/>
    <x v="14"/>
    <x v="0"/>
    <x v="6"/>
    <x v="2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2"/>
    <x v="0"/>
    <x v="10"/>
    <x v="34"/>
    <x v="11"/>
    <x v="1"/>
    <x v="18"/>
    <x v="3"/>
    <x v="4"/>
    <x v="14"/>
    <x v="0"/>
    <x v="6"/>
    <x v="2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3"/>
    <x v="0"/>
    <x v="10"/>
    <x v="34"/>
    <x v="11"/>
    <x v="1"/>
    <x v="18"/>
    <x v="3"/>
    <x v="4"/>
    <x v="14"/>
    <x v="0"/>
    <x v="6"/>
    <x v="2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4"/>
    <x v="0"/>
    <x v="10"/>
    <x v="34"/>
    <x v="11"/>
    <x v="1"/>
    <x v="18"/>
    <x v="3"/>
    <x v="4"/>
    <x v="14"/>
    <x v="0"/>
    <x v="6"/>
    <x v="2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5"/>
    <x v="0"/>
    <x v="10"/>
    <x v="34"/>
    <x v="11"/>
    <x v="1"/>
    <x v="18"/>
    <x v="3"/>
    <x v="4"/>
    <x v="14"/>
    <x v="0"/>
    <x v="6"/>
    <x v="2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6"/>
    <x v="0"/>
    <x v="10"/>
    <x v="34"/>
    <x v="11"/>
    <x v="1"/>
    <x v="18"/>
    <x v="3"/>
    <x v="4"/>
    <x v="14"/>
    <x v="0"/>
    <x v="6"/>
    <x v="2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7"/>
    <x v="0"/>
    <x v="10"/>
    <x v="34"/>
    <x v="11"/>
    <x v="1"/>
    <x v="18"/>
    <x v="3"/>
    <x v="4"/>
    <x v="14"/>
    <x v="0"/>
    <x v="6"/>
    <x v="2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8"/>
    <x v="0"/>
    <x v="10"/>
    <x v="34"/>
    <x v="11"/>
    <x v="1"/>
    <x v="18"/>
    <x v="3"/>
    <x v="4"/>
    <x v="14"/>
    <x v="0"/>
    <x v="6"/>
    <x v="2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49"/>
    <x v="0"/>
    <x v="10"/>
    <x v="34"/>
    <x v="11"/>
    <x v="1"/>
    <x v="18"/>
    <x v="3"/>
    <x v="4"/>
    <x v="14"/>
    <x v="0"/>
    <x v="6"/>
    <x v="2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0"/>
    <x v="0"/>
    <x v="10"/>
    <x v="34"/>
    <x v="11"/>
    <x v="1"/>
    <x v="18"/>
    <x v="3"/>
    <x v="4"/>
    <x v="14"/>
    <x v="0"/>
    <x v="6"/>
    <x v="2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1"/>
    <x v="0"/>
    <x v="10"/>
    <x v="34"/>
    <x v="11"/>
    <x v="1"/>
    <x v="18"/>
    <x v="3"/>
    <x v="4"/>
    <x v="14"/>
    <x v="0"/>
    <x v="6"/>
    <x v="2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2"/>
    <x v="0"/>
    <x v="10"/>
    <x v="34"/>
    <x v="11"/>
    <x v="1"/>
    <x v="18"/>
    <x v="3"/>
    <x v="4"/>
    <x v="14"/>
    <x v="0"/>
    <x v="6"/>
    <x v="2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3"/>
    <x v="0"/>
    <x v="10"/>
    <x v="34"/>
    <x v="11"/>
    <x v="1"/>
    <x v="18"/>
    <x v="3"/>
    <x v="4"/>
    <x v="14"/>
    <x v="0"/>
    <x v="6"/>
    <x v="2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4"/>
    <x v="0"/>
    <x v="10"/>
    <x v="34"/>
    <x v="11"/>
    <x v="1"/>
    <x v="18"/>
    <x v="3"/>
    <x v="4"/>
    <x v="14"/>
    <x v="0"/>
    <x v="6"/>
    <x v="2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5"/>
    <x v="0"/>
    <x v="10"/>
    <x v="34"/>
    <x v="11"/>
    <x v="1"/>
    <x v="18"/>
    <x v="3"/>
    <x v="4"/>
    <x v="14"/>
    <x v="0"/>
    <x v="6"/>
    <x v="2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6"/>
    <x v="0"/>
    <x v="10"/>
    <x v="34"/>
    <x v="11"/>
    <x v="1"/>
    <x v="18"/>
    <x v="3"/>
    <x v="4"/>
    <x v="14"/>
    <x v="0"/>
    <x v="6"/>
    <x v="2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7"/>
    <x v="0"/>
    <x v="10"/>
    <x v="34"/>
    <x v="11"/>
    <x v="1"/>
    <x v="18"/>
    <x v="3"/>
    <x v="4"/>
    <x v="14"/>
    <x v="0"/>
    <x v="6"/>
    <x v="2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8"/>
    <x v="0"/>
    <x v="10"/>
    <x v="34"/>
    <x v="11"/>
    <x v="1"/>
    <x v="18"/>
    <x v="3"/>
    <x v="4"/>
    <x v="14"/>
    <x v="0"/>
    <x v="6"/>
    <x v="2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59"/>
    <x v="0"/>
    <x v="10"/>
    <x v="34"/>
    <x v="11"/>
    <x v="1"/>
    <x v="18"/>
    <x v="3"/>
    <x v="4"/>
    <x v="14"/>
    <x v="0"/>
    <x v="6"/>
    <x v="3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0"/>
    <x v="0"/>
    <x v="10"/>
    <x v="34"/>
    <x v="11"/>
    <x v="1"/>
    <x v="18"/>
    <x v="3"/>
    <x v="4"/>
    <x v="14"/>
    <x v="0"/>
    <x v="6"/>
    <x v="3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1"/>
    <x v="0"/>
    <x v="10"/>
    <x v="34"/>
    <x v="11"/>
    <x v="1"/>
    <x v="18"/>
    <x v="3"/>
    <x v="4"/>
    <x v="14"/>
    <x v="0"/>
    <x v="6"/>
    <x v="3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2"/>
    <x v="0"/>
    <x v="10"/>
    <x v="34"/>
    <x v="11"/>
    <x v="1"/>
    <x v="18"/>
    <x v="3"/>
    <x v="4"/>
    <x v="14"/>
    <x v="0"/>
    <x v="6"/>
    <x v="3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3"/>
    <x v="0"/>
    <x v="10"/>
    <x v="34"/>
    <x v="11"/>
    <x v="1"/>
    <x v="18"/>
    <x v="3"/>
    <x v="4"/>
    <x v="14"/>
    <x v="0"/>
    <x v="6"/>
    <x v="3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4"/>
    <x v="0"/>
    <x v="10"/>
    <x v="34"/>
    <x v="11"/>
    <x v="1"/>
    <x v="18"/>
    <x v="3"/>
    <x v="4"/>
    <x v="14"/>
    <x v="0"/>
    <x v="6"/>
    <x v="3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5"/>
    <x v="0"/>
    <x v="10"/>
    <x v="34"/>
    <x v="11"/>
    <x v="1"/>
    <x v="18"/>
    <x v="3"/>
    <x v="4"/>
    <x v="14"/>
    <x v="0"/>
    <x v="6"/>
    <x v="3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6"/>
    <x v="0"/>
    <x v="10"/>
    <x v="34"/>
    <x v="11"/>
    <x v="1"/>
    <x v="18"/>
    <x v="3"/>
    <x v="4"/>
    <x v="14"/>
    <x v="0"/>
    <x v="6"/>
    <x v="3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7"/>
    <x v="0"/>
    <x v="10"/>
    <x v="34"/>
    <x v="11"/>
    <x v="1"/>
    <x v="18"/>
    <x v="3"/>
    <x v="4"/>
    <x v="14"/>
    <x v="0"/>
    <x v="6"/>
    <x v="3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8"/>
    <x v="0"/>
    <x v="10"/>
    <x v="34"/>
    <x v="11"/>
    <x v="1"/>
    <x v="18"/>
    <x v="3"/>
    <x v="4"/>
    <x v="14"/>
    <x v="0"/>
    <x v="6"/>
    <x v="3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69"/>
    <x v="0"/>
    <x v="10"/>
    <x v="34"/>
    <x v="11"/>
    <x v="1"/>
    <x v="18"/>
    <x v="3"/>
    <x v="4"/>
    <x v="14"/>
    <x v="0"/>
    <x v="6"/>
    <x v="3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0"/>
    <x v="0"/>
    <x v="10"/>
    <x v="34"/>
    <x v="11"/>
    <x v="1"/>
    <x v="18"/>
    <x v="3"/>
    <x v="4"/>
    <x v="14"/>
    <x v="0"/>
    <x v="6"/>
    <x v="3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1"/>
    <x v="0"/>
    <x v="10"/>
    <x v="34"/>
    <x v="11"/>
    <x v="1"/>
    <x v="18"/>
    <x v="3"/>
    <x v="4"/>
    <x v="14"/>
    <x v="0"/>
    <x v="6"/>
    <x v="3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2"/>
    <x v="0"/>
    <x v="10"/>
    <x v="34"/>
    <x v="11"/>
    <x v="1"/>
    <x v="18"/>
    <x v="3"/>
    <x v="4"/>
    <x v="14"/>
    <x v="0"/>
    <x v="6"/>
    <x v="3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3"/>
    <x v="0"/>
    <x v="10"/>
    <x v="34"/>
    <x v="11"/>
    <x v="1"/>
    <x v="18"/>
    <x v="3"/>
    <x v="4"/>
    <x v="14"/>
    <x v="0"/>
    <x v="6"/>
    <x v="3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4"/>
    <x v="0"/>
    <x v="10"/>
    <x v="34"/>
    <x v="11"/>
    <x v="1"/>
    <x v="18"/>
    <x v="3"/>
    <x v="4"/>
    <x v="14"/>
    <x v="0"/>
    <x v="6"/>
    <x v="3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5"/>
    <x v="0"/>
    <x v="10"/>
    <x v="34"/>
    <x v="11"/>
    <x v="1"/>
    <x v="18"/>
    <x v="3"/>
    <x v="4"/>
    <x v="14"/>
    <x v="0"/>
    <x v="6"/>
    <x v="3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6"/>
    <x v="0"/>
    <x v="10"/>
    <x v="34"/>
    <x v="11"/>
    <x v="1"/>
    <x v="18"/>
    <x v="3"/>
    <x v="4"/>
    <x v="14"/>
    <x v="0"/>
    <x v="6"/>
    <x v="3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7"/>
    <x v="0"/>
    <x v="10"/>
    <x v="34"/>
    <x v="11"/>
    <x v="1"/>
    <x v="18"/>
    <x v="3"/>
    <x v="4"/>
    <x v="14"/>
    <x v="0"/>
    <x v="6"/>
    <x v="3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8"/>
    <x v="0"/>
    <x v="10"/>
    <x v="34"/>
    <x v="11"/>
    <x v="1"/>
    <x v="18"/>
    <x v="3"/>
    <x v="4"/>
    <x v="14"/>
    <x v="0"/>
    <x v="6"/>
    <x v="3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79"/>
    <x v="0"/>
    <x v="10"/>
    <x v="34"/>
    <x v="11"/>
    <x v="1"/>
    <x v="18"/>
    <x v="3"/>
    <x v="4"/>
    <x v="14"/>
    <x v="0"/>
    <x v="6"/>
    <x v="3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0"/>
    <x v="0"/>
    <x v="10"/>
    <x v="34"/>
    <x v="11"/>
    <x v="1"/>
    <x v="18"/>
    <x v="3"/>
    <x v="4"/>
    <x v="14"/>
    <x v="0"/>
    <x v="6"/>
    <x v="3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1"/>
    <x v="0"/>
    <x v="10"/>
    <x v="34"/>
    <x v="11"/>
    <x v="1"/>
    <x v="18"/>
    <x v="3"/>
    <x v="4"/>
    <x v="14"/>
    <x v="0"/>
    <x v="6"/>
    <x v="3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87"/>
    <x v="2383"/>
    <x v="0"/>
    <x v="10"/>
    <x v="34"/>
    <x v="11"/>
    <x v="1"/>
    <x v="18"/>
    <x v="3"/>
    <x v="4"/>
    <x v="14"/>
    <x v="0"/>
    <x v="6"/>
    <x v="0"/>
    <x v="4"/>
    <x v="1"/>
    <x v="8"/>
    <x v="40"/>
    <x v="3"/>
    <x v="9"/>
    <x v="4"/>
    <x v="1"/>
    <x v="4"/>
    <x v="2"/>
    <x v="2"/>
    <x v="2"/>
    <x v="117"/>
    <x v="0"/>
    <x v="0"/>
    <x v="0"/>
    <x v="0"/>
    <x v="0"/>
    <x v="1"/>
    <x v="0"/>
    <x v="1"/>
    <x v="0"/>
    <x v="0"/>
    <x v="0"/>
    <x v="0"/>
    <x v="0"/>
    <x v="0"/>
    <x v="0"/>
    <x v="0"/>
  </r>
  <r>
    <x v="122"/>
    <x v="2384"/>
    <x v="0"/>
    <x v="10"/>
    <x v="34"/>
    <x v="11"/>
    <x v="1"/>
    <x v="18"/>
    <x v="3"/>
    <x v="4"/>
    <x v="14"/>
    <x v="0"/>
    <x v="6"/>
    <x v="0"/>
    <x v="4"/>
    <x v="3"/>
    <x v="2"/>
    <x v="40"/>
    <x v="3"/>
    <x v="12"/>
    <x v="4"/>
    <x v="0"/>
    <x v="4"/>
    <x v="2"/>
    <x v="2"/>
    <x v="2"/>
    <x v="118"/>
    <x v="0"/>
    <x v="0"/>
    <x v="0"/>
    <x v="0"/>
    <x v="0"/>
    <x v="1"/>
    <x v="0"/>
    <x v="1"/>
    <x v="0"/>
    <x v="0"/>
    <x v="0"/>
    <x v="0"/>
    <x v="0"/>
    <x v="0"/>
    <x v="0"/>
    <x v="0"/>
  </r>
  <r>
    <x v="77"/>
    <x v="2385"/>
    <x v="0"/>
    <x v="10"/>
    <x v="34"/>
    <x v="11"/>
    <x v="1"/>
    <x v="18"/>
    <x v="3"/>
    <x v="4"/>
    <x v="14"/>
    <x v="0"/>
    <x v="6"/>
    <x v="1"/>
    <x v="4"/>
    <x v="3"/>
    <x v="2"/>
    <x v="40"/>
    <x v="3"/>
    <x v="12"/>
    <x v="4"/>
    <x v="0"/>
    <x v="4"/>
    <x v="2"/>
    <x v="2"/>
    <x v="2"/>
    <x v="121"/>
    <x v="0"/>
    <x v="0"/>
    <x v="0"/>
    <x v="0"/>
    <x v="0"/>
    <x v="1"/>
    <x v="0"/>
    <x v="1"/>
    <x v="0"/>
    <x v="0"/>
    <x v="0"/>
    <x v="0"/>
    <x v="0"/>
    <x v="0"/>
    <x v="0"/>
    <x v="0"/>
  </r>
  <r>
    <x v="70"/>
    <x v="2386"/>
    <x v="0"/>
    <x v="10"/>
    <x v="34"/>
    <x v="11"/>
    <x v="1"/>
    <x v="18"/>
    <x v="3"/>
    <x v="4"/>
    <x v="13"/>
    <x v="0"/>
    <x v="6"/>
    <x v="0"/>
    <x v="4"/>
    <x v="7"/>
    <x v="2"/>
    <x v="40"/>
    <x v="3"/>
    <x v="18"/>
    <x v="4"/>
    <x v="1"/>
    <x v="4"/>
    <x v="2"/>
    <x v="2"/>
    <x v="2"/>
    <x v="115"/>
    <x v="0"/>
    <x v="0"/>
    <x v="0"/>
    <x v="0"/>
    <x v="0"/>
    <x v="1"/>
    <x v="0"/>
    <x v="1"/>
    <x v="0"/>
    <x v="0"/>
    <x v="0"/>
    <x v="0"/>
    <x v="0"/>
    <x v="0"/>
    <x v="0"/>
    <x v="0"/>
  </r>
  <r>
    <x v="116"/>
    <x v="2387"/>
    <x v="0"/>
    <x v="10"/>
    <x v="34"/>
    <x v="11"/>
    <x v="1"/>
    <x v="18"/>
    <x v="3"/>
    <x v="4"/>
    <x v="13"/>
    <x v="0"/>
    <x v="6"/>
    <x v="1"/>
    <x v="4"/>
    <x v="7"/>
    <x v="2"/>
    <x v="40"/>
    <x v="3"/>
    <x v="18"/>
    <x v="4"/>
    <x v="1"/>
    <x v="4"/>
    <x v="2"/>
    <x v="2"/>
    <x v="2"/>
    <x v="116"/>
    <x v="0"/>
    <x v="0"/>
    <x v="0"/>
    <x v="0"/>
    <x v="0"/>
    <x v="1"/>
    <x v="0"/>
    <x v="1"/>
    <x v="0"/>
    <x v="0"/>
    <x v="0"/>
    <x v="0"/>
    <x v="0"/>
    <x v="0"/>
    <x v="0"/>
    <x v="0"/>
  </r>
  <r>
    <x v="104"/>
    <x v="2388"/>
    <x v="0"/>
    <x v="10"/>
    <x v="34"/>
    <x v="11"/>
    <x v="1"/>
    <x v="18"/>
    <x v="3"/>
    <x v="4"/>
    <x v="14"/>
    <x v="0"/>
    <x v="6"/>
    <x v="0"/>
    <x v="4"/>
    <x v="6"/>
    <x v="2"/>
    <x v="40"/>
    <x v="3"/>
    <x v="18"/>
    <x v="4"/>
    <x v="1"/>
    <x v="4"/>
    <x v="2"/>
    <x v="2"/>
    <x v="2"/>
    <x v="119"/>
    <x v="0"/>
    <x v="0"/>
    <x v="0"/>
    <x v="0"/>
    <x v="0"/>
    <x v="1"/>
    <x v="0"/>
    <x v="1"/>
    <x v="0"/>
    <x v="0"/>
    <x v="0"/>
    <x v="0"/>
    <x v="0"/>
    <x v="0"/>
    <x v="0"/>
    <x v="0"/>
  </r>
  <r>
    <x v="127"/>
    <x v="2389"/>
    <x v="0"/>
    <x v="10"/>
    <x v="34"/>
    <x v="11"/>
    <x v="1"/>
    <x v="18"/>
    <x v="3"/>
    <x v="4"/>
    <x v="14"/>
    <x v="0"/>
    <x v="6"/>
    <x v="1"/>
    <x v="4"/>
    <x v="7"/>
    <x v="2"/>
    <x v="40"/>
    <x v="3"/>
    <x v="18"/>
    <x v="4"/>
    <x v="1"/>
    <x v="4"/>
    <x v="2"/>
    <x v="2"/>
    <x v="2"/>
    <x v="122"/>
    <x v="0"/>
    <x v="0"/>
    <x v="0"/>
    <x v="0"/>
    <x v="0"/>
    <x v="1"/>
    <x v="0"/>
    <x v="1"/>
    <x v="0"/>
    <x v="0"/>
    <x v="0"/>
    <x v="0"/>
    <x v="0"/>
    <x v="0"/>
    <x v="0"/>
    <x v="0"/>
  </r>
  <r>
    <x v="67"/>
    <x v="2390"/>
    <x v="0"/>
    <x v="10"/>
    <x v="34"/>
    <x v="11"/>
    <x v="1"/>
    <x v="18"/>
    <x v="3"/>
    <x v="4"/>
    <x v="14"/>
    <x v="0"/>
    <x v="6"/>
    <x v="2"/>
    <x v="4"/>
    <x v="7"/>
    <x v="2"/>
    <x v="40"/>
    <x v="3"/>
    <x v="18"/>
    <x v="4"/>
    <x v="1"/>
    <x v="4"/>
    <x v="2"/>
    <x v="2"/>
    <x v="2"/>
    <x v="123"/>
    <x v="0"/>
    <x v="0"/>
    <x v="0"/>
    <x v="0"/>
    <x v="0"/>
    <x v="1"/>
    <x v="0"/>
    <x v="1"/>
    <x v="0"/>
    <x v="0"/>
    <x v="0"/>
    <x v="0"/>
    <x v="0"/>
    <x v="0"/>
    <x v="0"/>
    <x v="0"/>
  </r>
  <r>
    <x v="7"/>
    <x v="2391"/>
    <x v="0"/>
    <x v="10"/>
    <x v="34"/>
    <x v="11"/>
    <x v="1"/>
    <x v="18"/>
    <x v="3"/>
    <x v="4"/>
    <x v="14"/>
    <x v="0"/>
    <x v="6"/>
    <x v="3"/>
    <x v="4"/>
    <x v="7"/>
    <x v="2"/>
    <x v="40"/>
    <x v="3"/>
    <x v="18"/>
    <x v="4"/>
    <x v="1"/>
    <x v="4"/>
    <x v="2"/>
    <x v="2"/>
    <x v="2"/>
    <x v="124"/>
    <x v="0"/>
    <x v="0"/>
    <x v="0"/>
    <x v="0"/>
    <x v="0"/>
    <x v="1"/>
    <x v="0"/>
    <x v="1"/>
    <x v="0"/>
    <x v="0"/>
    <x v="0"/>
    <x v="0"/>
    <x v="0"/>
    <x v="0"/>
    <x v="0"/>
    <x v="0"/>
  </r>
  <r>
    <x v="73"/>
    <x v="2392"/>
    <x v="0"/>
    <x v="10"/>
    <x v="34"/>
    <x v="11"/>
    <x v="1"/>
    <x v="18"/>
    <x v="3"/>
    <x v="4"/>
    <x v="14"/>
    <x v="0"/>
    <x v="6"/>
    <x v="0"/>
    <x v="4"/>
    <x v="7"/>
    <x v="4"/>
    <x v="40"/>
    <x v="3"/>
    <x v="19"/>
    <x v="4"/>
    <x v="1"/>
    <x v="4"/>
    <x v="2"/>
    <x v="2"/>
    <x v="2"/>
    <x v="120"/>
    <x v="0"/>
    <x v="0"/>
    <x v="0"/>
    <x v="0"/>
    <x v="0"/>
    <x v="1"/>
    <x v="0"/>
    <x v="1"/>
    <x v="0"/>
    <x v="0"/>
    <x v="0"/>
    <x v="0"/>
    <x v="0"/>
    <x v="0"/>
    <x v="0"/>
    <x v="0"/>
  </r>
  <r>
    <x v="85"/>
    <x v="2393"/>
    <x v="0"/>
    <x v="10"/>
    <x v="34"/>
    <x v="11"/>
    <x v="1"/>
    <x v="18"/>
    <x v="3"/>
    <x v="4"/>
    <x v="14"/>
    <x v="0"/>
    <x v="6"/>
    <x v="3"/>
    <x v="4"/>
    <x v="7"/>
    <x v="4"/>
    <x v="40"/>
    <x v="3"/>
    <x v="19"/>
    <x v="4"/>
    <x v="1"/>
    <x v="4"/>
    <x v="2"/>
    <x v="2"/>
    <x v="2"/>
    <x v="125"/>
    <x v="0"/>
    <x v="0"/>
    <x v="0"/>
    <x v="0"/>
    <x v="0"/>
    <x v="1"/>
    <x v="0"/>
    <x v="1"/>
    <x v="0"/>
    <x v="0"/>
    <x v="0"/>
    <x v="0"/>
    <x v="0"/>
    <x v="0"/>
    <x v="0"/>
    <x v="0"/>
  </r>
  <r>
    <x v="44"/>
    <x v="2394"/>
    <x v="0"/>
    <x v="10"/>
    <x v="86"/>
    <x v="11"/>
    <x v="1"/>
    <x v="18"/>
    <x v="3"/>
    <x v="4"/>
    <x v="2"/>
    <x v="0"/>
    <x v="6"/>
    <x v="4"/>
    <x v="4"/>
    <x v="7"/>
    <x v="2"/>
    <x v="40"/>
    <x v="3"/>
    <x v="18"/>
    <x v="4"/>
    <x v="1"/>
    <x v="4"/>
    <x v="2"/>
    <x v="2"/>
    <x v="2"/>
    <x v="126"/>
    <x v="0"/>
    <x v="0"/>
    <x v="0"/>
    <x v="0"/>
    <x v="0"/>
    <x v="1"/>
    <x v="0"/>
    <x v="1"/>
    <x v="0"/>
    <x v="0"/>
    <x v="0"/>
    <x v="0"/>
    <x v="0"/>
    <x v="0"/>
    <x v="0"/>
    <x v="0"/>
  </r>
  <r>
    <x v="91"/>
    <x v="2395"/>
    <x v="0"/>
    <x v="10"/>
    <x v="86"/>
    <x v="11"/>
    <x v="1"/>
    <x v="18"/>
    <x v="3"/>
    <x v="4"/>
    <x v="2"/>
    <x v="0"/>
    <x v="6"/>
    <x v="5"/>
    <x v="4"/>
    <x v="7"/>
    <x v="2"/>
    <x v="40"/>
    <x v="3"/>
    <x v="18"/>
    <x v="4"/>
    <x v="1"/>
    <x v="4"/>
    <x v="2"/>
    <x v="2"/>
    <x v="2"/>
    <x v="127"/>
    <x v="0"/>
    <x v="0"/>
    <x v="0"/>
    <x v="0"/>
    <x v="0"/>
    <x v="1"/>
    <x v="0"/>
    <x v="1"/>
    <x v="0"/>
    <x v="0"/>
    <x v="0"/>
    <x v="0"/>
    <x v="0"/>
    <x v="0"/>
    <x v="0"/>
    <x v="0"/>
  </r>
  <r>
    <x v="58"/>
    <x v="2396"/>
    <x v="0"/>
    <x v="10"/>
    <x v="86"/>
    <x v="11"/>
    <x v="1"/>
    <x v="18"/>
    <x v="3"/>
    <x v="4"/>
    <x v="2"/>
    <x v="0"/>
    <x v="6"/>
    <x v="6"/>
    <x v="4"/>
    <x v="7"/>
    <x v="2"/>
    <x v="40"/>
    <x v="3"/>
    <x v="18"/>
    <x v="4"/>
    <x v="1"/>
    <x v="4"/>
    <x v="2"/>
    <x v="2"/>
    <x v="2"/>
    <x v="128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1682"/>
    <x v="0"/>
    <x v="11"/>
    <x v="67"/>
    <x v="11"/>
    <x v="1"/>
    <x v="18"/>
    <x v="3"/>
    <x v="4"/>
    <x v="21"/>
    <x v="0"/>
    <x v="6"/>
    <x v="8"/>
    <x v="4"/>
    <x v="1"/>
    <x v="11"/>
    <x v="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3"/>
    <x v="0"/>
    <x v="11"/>
    <x v="67"/>
    <x v="11"/>
    <x v="1"/>
    <x v="18"/>
    <x v="3"/>
    <x v="4"/>
    <x v="21"/>
    <x v="0"/>
    <x v="6"/>
    <x v="8"/>
    <x v="4"/>
    <x v="1"/>
    <x v="11"/>
    <x v="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4"/>
    <x v="0"/>
    <x v="11"/>
    <x v="67"/>
    <x v="11"/>
    <x v="1"/>
    <x v="18"/>
    <x v="3"/>
    <x v="4"/>
    <x v="21"/>
    <x v="0"/>
    <x v="6"/>
    <x v="8"/>
    <x v="4"/>
    <x v="1"/>
    <x v="11"/>
    <x v="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5"/>
    <x v="0"/>
    <x v="11"/>
    <x v="67"/>
    <x v="11"/>
    <x v="1"/>
    <x v="18"/>
    <x v="3"/>
    <x v="4"/>
    <x v="21"/>
    <x v="0"/>
    <x v="6"/>
    <x v="8"/>
    <x v="4"/>
    <x v="1"/>
    <x v="11"/>
    <x v="6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6"/>
    <x v="0"/>
    <x v="11"/>
    <x v="67"/>
    <x v="11"/>
    <x v="1"/>
    <x v="18"/>
    <x v="3"/>
    <x v="4"/>
    <x v="21"/>
    <x v="0"/>
    <x v="6"/>
    <x v="8"/>
    <x v="4"/>
    <x v="1"/>
    <x v="11"/>
    <x v="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7"/>
    <x v="0"/>
    <x v="11"/>
    <x v="67"/>
    <x v="11"/>
    <x v="1"/>
    <x v="18"/>
    <x v="3"/>
    <x v="4"/>
    <x v="21"/>
    <x v="0"/>
    <x v="6"/>
    <x v="8"/>
    <x v="4"/>
    <x v="1"/>
    <x v="11"/>
    <x v="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8"/>
    <x v="0"/>
    <x v="11"/>
    <x v="67"/>
    <x v="11"/>
    <x v="1"/>
    <x v="18"/>
    <x v="3"/>
    <x v="4"/>
    <x v="21"/>
    <x v="0"/>
    <x v="6"/>
    <x v="8"/>
    <x v="4"/>
    <x v="1"/>
    <x v="11"/>
    <x v="1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89"/>
    <x v="0"/>
    <x v="11"/>
    <x v="67"/>
    <x v="11"/>
    <x v="1"/>
    <x v="18"/>
    <x v="3"/>
    <x v="4"/>
    <x v="21"/>
    <x v="0"/>
    <x v="6"/>
    <x v="8"/>
    <x v="4"/>
    <x v="1"/>
    <x v="11"/>
    <x v="1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0"/>
    <x v="0"/>
    <x v="11"/>
    <x v="67"/>
    <x v="11"/>
    <x v="1"/>
    <x v="18"/>
    <x v="3"/>
    <x v="4"/>
    <x v="21"/>
    <x v="0"/>
    <x v="6"/>
    <x v="8"/>
    <x v="4"/>
    <x v="1"/>
    <x v="11"/>
    <x v="1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1"/>
    <x v="0"/>
    <x v="11"/>
    <x v="67"/>
    <x v="11"/>
    <x v="1"/>
    <x v="18"/>
    <x v="3"/>
    <x v="4"/>
    <x v="21"/>
    <x v="0"/>
    <x v="6"/>
    <x v="8"/>
    <x v="4"/>
    <x v="1"/>
    <x v="11"/>
    <x v="1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2"/>
    <x v="0"/>
    <x v="11"/>
    <x v="67"/>
    <x v="11"/>
    <x v="1"/>
    <x v="18"/>
    <x v="3"/>
    <x v="4"/>
    <x v="21"/>
    <x v="0"/>
    <x v="6"/>
    <x v="8"/>
    <x v="4"/>
    <x v="1"/>
    <x v="11"/>
    <x v="15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3"/>
    <x v="0"/>
    <x v="11"/>
    <x v="67"/>
    <x v="11"/>
    <x v="1"/>
    <x v="18"/>
    <x v="3"/>
    <x v="4"/>
    <x v="21"/>
    <x v="0"/>
    <x v="6"/>
    <x v="8"/>
    <x v="4"/>
    <x v="1"/>
    <x v="11"/>
    <x v="17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4"/>
    <x v="0"/>
    <x v="11"/>
    <x v="67"/>
    <x v="11"/>
    <x v="1"/>
    <x v="18"/>
    <x v="3"/>
    <x v="4"/>
    <x v="21"/>
    <x v="0"/>
    <x v="6"/>
    <x v="8"/>
    <x v="4"/>
    <x v="1"/>
    <x v="11"/>
    <x v="1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5"/>
    <x v="0"/>
    <x v="11"/>
    <x v="67"/>
    <x v="11"/>
    <x v="1"/>
    <x v="18"/>
    <x v="3"/>
    <x v="4"/>
    <x v="21"/>
    <x v="0"/>
    <x v="6"/>
    <x v="8"/>
    <x v="4"/>
    <x v="1"/>
    <x v="11"/>
    <x v="2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48"/>
    <x v="2377"/>
    <x v="0"/>
    <x v="11"/>
    <x v="51"/>
    <x v="11"/>
    <x v="1"/>
    <x v="18"/>
    <x v="3"/>
    <x v="4"/>
    <x v="22"/>
    <x v="0"/>
    <x v="6"/>
    <x v="8"/>
    <x v="4"/>
    <x v="1"/>
    <x v="0"/>
    <x v="40"/>
    <x v="1"/>
    <x v="3"/>
    <x v="4"/>
    <x v="1"/>
    <x v="0"/>
    <x v="2"/>
    <x v="2"/>
    <x v="2"/>
    <x v="130"/>
    <x v="0"/>
    <x v="0"/>
    <x v="0"/>
    <x v="0"/>
    <x v="0"/>
    <x v="0"/>
    <x v="0"/>
    <x v="1"/>
    <x v="0"/>
    <x v="0"/>
    <x v="0"/>
    <x v="0"/>
    <x v="0"/>
    <x v="0"/>
    <x v="0"/>
    <x v="0"/>
  </r>
  <r>
    <x v="130"/>
    <x v="2380"/>
    <x v="0"/>
    <x v="11"/>
    <x v="51"/>
    <x v="11"/>
    <x v="1"/>
    <x v="18"/>
    <x v="3"/>
    <x v="4"/>
    <x v="22"/>
    <x v="0"/>
    <x v="6"/>
    <x v="8"/>
    <x v="4"/>
    <x v="1"/>
    <x v="0"/>
    <x v="40"/>
    <x v="1"/>
    <x v="1"/>
    <x v="4"/>
    <x v="2"/>
    <x v="3"/>
    <x v="0"/>
    <x v="2"/>
    <x v="2"/>
    <x v="131"/>
    <x v="0"/>
    <x v="0"/>
    <x v="0"/>
    <x v="0"/>
    <x v="0"/>
    <x v="1"/>
    <x v="0"/>
    <x v="1"/>
    <x v="0"/>
    <x v="0"/>
    <x v="0"/>
    <x v="0"/>
    <x v="0"/>
    <x v="0"/>
    <x v="0"/>
    <x v="0"/>
  </r>
  <r>
    <x v="35"/>
    <x v="2381"/>
    <x v="0"/>
    <x v="11"/>
    <x v="52"/>
    <x v="11"/>
    <x v="1"/>
    <x v="18"/>
    <x v="3"/>
    <x v="4"/>
    <x v="11"/>
    <x v="0"/>
    <x v="6"/>
    <x v="8"/>
    <x v="4"/>
    <x v="1"/>
    <x v="0"/>
    <x v="40"/>
    <x v="1"/>
    <x v="1"/>
    <x v="4"/>
    <x v="1"/>
    <x v="4"/>
    <x v="2"/>
    <x v="2"/>
    <x v="2"/>
    <x v="129"/>
    <x v="0"/>
    <x v="0"/>
    <x v="0"/>
    <x v="0"/>
    <x v="0"/>
    <x v="1"/>
    <x v="0"/>
    <x v="1"/>
    <x v="0"/>
    <x v="0"/>
    <x v="0"/>
    <x v="0"/>
    <x v="0"/>
    <x v="0"/>
    <x v="0"/>
    <x v="0"/>
  </r>
  <r>
    <x v="135"/>
    <x v="2397"/>
    <x v="0"/>
    <x v="11"/>
    <x v="66"/>
    <x v="11"/>
    <x v="1"/>
    <x v="18"/>
    <x v="3"/>
    <x v="4"/>
    <x v="30"/>
    <x v="1"/>
    <x v="6"/>
    <x v="8"/>
    <x v="4"/>
    <x v="4"/>
    <x v="6"/>
    <x v="40"/>
    <x v="1"/>
    <x v="15"/>
    <x v="4"/>
    <x v="1"/>
    <x v="4"/>
    <x v="2"/>
    <x v="2"/>
    <x v="2"/>
    <x v="132"/>
    <x v="0"/>
    <x v="0"/>
    <x v="0"/>
    <x v="0"/>
    <x v="0"/>
    <x v="1"/>
    <x v="0"/>
    <x v="1"/>
    <x v="0"/>
    <x v="0"/>
    <x v="0"/>
    <x v="0"/>
    <x v="0"/>
    <x v="0"/>
    <x v="0"/>
    <x v="0"/>
  </r>
  <r>
    <x v="25"/>
    <x v="2398"/>
    <x v="0"/>
    <x v="11"/>
    <x v="70"/>
    <x v="11"/>
    <x v="0"/>
    <x v="18"/>
    <x v="3"/>
    <x v="4"/>
    <x v="8"/>
    <x v="0"/>
    <x v="6"/>
    <x v="8"/>
    <x v="3"/>
    <x v="5"/>
    <x v="3"/>
    <x v="40"/>
    <x v="1"/>
    <x v="22"/>
    <x v="4"/>
    <x v="1"/>
    <x v="4"/>
    <x v="2"/>
    <x v="2"/>
    <x v="2"/>
    <x v="137"/>
    <x v="0"/>
    <x v="0"/>
    <x v="0"/>
    <x v="0"/>
    <x v="0"/>
    <x v="0"/>
    <x v="0"/>
    <x v="1"/>
    <x v="0"/>
    <x v="0"/>
    <x v="0"/>
    <x v="0"/>
    <x v="0"/>
    <x v="0"/>
    <x v="0"/>
    <x v="0"/>
  </r>
  <r>
    <x v="2"/>
    <x v="2399"/>
    <x v="0"/>
    <x v="11"/>
    <x v="70"/>
    <x v="11"/>
    <x v="0"/>
    <x v="18"/>
    <x v="3"/>
    <x v="4"/>
    <x v="8"/>
    <x v="0"/>
    <x v="6"/>
    <x v="8"/>
    <x v="1"/>
    <x v="1"/>
    <x v="0"/>
    <x v="40"/>
    <x v="1"/>
    <x v="22"/>
    <x v="4"/>
    <x v="1"/>
    <x v="4"/>
    <x v="2"/>
    <x v="2"/>
    <x v="0"/>
    <x v="138"/>
    <x v="0"/>
    <x v="0"/>
    <x v="0"/>
    <x v="0"/>
    <x v="0"/>
    <x v="0"/>
    <x v="0"/>
    <x v="1"/>
    <x v="0"/>
    <x v="0"/>
    <x v="0"/>
    <x v="0"/>
    <x v="0"/>
    <x v="0"/>
    <x v="0"/>
    <x v="0"/>
  </r>
  <r>
    <x v="101"/>
    <x v="2400"/>
    <x v="0"/>
    <x v="11"/>
    <x v="70"/>
    <x v="11"/>
    <x v="0"/>
    <x v="18"/>
    <x v="3"/>
    <x v="4"/>
    <x v="8"/>
    <x v="0"/>
    <x v="6"/>
    <x v="8"/>
    <x v="2"/>
    <x v="1"/>
    <x v="0"/>
    <x v="40"/>
    <x v="1"/>
    <x v="22"/>
    <x v="4"/>
    <x v="1"/>
    <x v="4"/>
    <x v="2"/>
    <x v="2"/>
    <x v="1"/>
    <x v="139"/>
    <x v="0"/>
    <x v="0"/>
    <x v="0"/>
    <x v="0"/>
    <x v="0"/>
    <x v="0"/>
    <x v="0"/>
    <x v="1"/>
    <x v="0"/>
    <x v="0"/>
    <x v="0"/>
    <x v="0"/>
    <x v="0"/>
    <x v="0"/>
    <x v="0"/>
    <x v="0"/>
  </r>
  <r>
    <x v="84"/>
    <x v="2401"/>
    <x v="0"/>
    <x v="11"/>
    <x v="67"/>
    <x v="11"/>
    <x v="1"/>
    <x v="18"/>
    <x v="3"/>
    <x v="4"/>
    <x v="21"/>
    <x v="0"/>
    <x v="6"/>
    <x v="8"/>
    <x v="4"/>
    <x v="4"/>
    <x v="2"/>
    <x v="40"/>
    <x v="1"/>
    <x v="14"/>
    <x v="4"/>
    <x v="0"/>
    <x v="4"/>
    <x v="2"/>
    <x v="2"/>
    <x v="2"/>
    <x v="136"/>
    <x v="0"/>
    <x v="0"/>
    <x v="0"/>
    <x v="0"/>
    <x v="0"/>
    <x v="1"/>
    <x v="0"/>
    <x v="1"/>
    <x v="0"/>
    <x v="0"/>
    <x v="0"/>
    <x v="0"/>
    <x v="0"/>
    <x v="0"/>
    <x v="0"/>
    <x v="0"/>
  </r>
  <r>
    <x v="38"/>
    <x v="2402"/>
    <x v="0"/>
    <x v="11"/>
    <x v="68"/>
    <x v="11"/>
    <x v="1"/>
    <x v="18"/>
    <x v="3"/>
    <x v="4"/>
    <x v="8"/>
    <x v="0"/>
    <x v="6"/>
    <x v="8"/>
    <x v="4"/>
    <x v="1"/>
    <x v="0"/>
    <x v="40"/>
    <x v="1"/>
    <x v="4"/>
    <x v="4"/>
    <x v="1"/>
    <x v="4"/>
    <x v="2"/>
    <x v="2"/>
    <x v="2"/>
    <x v="133"/>
    <x v="0"/>
    <x v="0"/>
    <x v="0"/>
    <x v="0"/>
    <x v="0"/>
    <x v="0"/>
    <x v="0"/>
    <x v="1"/>
    <x v="0"/>
    <x v="0"/>
    <x v="0"/>
    <x v="0"/>
    <x v="0"/>
    <x v="0"/>
    <x v="0"/>
    <x v="0"/>
  </r>
  <r>
    <x v="53"/>
    <x v="2403"/>
    <x v="0"/>
    <x v="11"/>
    <x v="67"/>
    <x v="11"/>
    <x v="1"/>
    <x v="18"/>
    <x v="3"/>
    <x v="4"/>
    <x v="8"/>
    <x v="1"/>
    <x v="6"/>
    <x v="8"/>
    <x v="4"/>
    <x v="1"/>
    <x v="0"/>
    <x v="40"/>
    <x v="1"/>
    <x v="1"/>
    <x v="4"/>
    <x v="1"/>
    <x v="4"/>
    <x v="2"/>
    <x v="2"/>
    <x v="2"/>
    <x v="135"/>
    <x v="0"/>
    <x v="0"/>
    <x v="0"/>
    <x v="0"/>
    <x v="0"/>
    <x v="1"/>
    <x v="0"/>
    <x v="1"/>
    <x v="0"/>
    <x v="0"/>
    <x v="0"/>
    <x v="0"/>
    <x v="0"/>
    <x v="0"/>
    <x v="0"/>
    <x v="0"/>
  </r>
  <r>
    <x v="24"/>
    <x v="2404"/>
    <x v="0"/>
    <x v="11"/>
    <x v="69"/>
    <x v="11"/>
    <x v="1"/>
    <x v="18"/>
    <x v="3"/>
    <x v="4"/>
    <x v="21"/>
    <x v="0"/>
    <x v="6"/>
    <x v="8"/>
    <x v="4"/>
    <x v="1"/>
    <x v="0"/>
    <x v="40"/>
    <x v="1"/>
    <x v="1"/>
    <x v="4"/>
    <x v="1"/>
    <x v="4"/>
    <x v="2"/>
    <x v="2"/>
    <x v="2"/>
    <x v="134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1696"/>
    <x v="0"/>
    <x v="11"/>
    <x v="67"/>
    <x v="11"/>
    <x v="1"/>
    <x v="18"/>
    <x v="3"/>
    <x v="4"/>
    <x v="21"/>
    <x v="2"/>
    <x v="6"/>
    <x v="8"/>
    <x v="4"/>
    <x v="8"/>
    <x v="11"/>
    <x v="2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7"/>
    <x v="0"/>
    <x v="11"/>
    <x v="67"/>
    <x v="11"/>
    <x v="1"/>
    <x v="18"/>
    <x v="3"/>
    <x v="4"/>
    <x v="21"/>
    <x v="2"/>
    <x v="6"/>
    <x v="8"/>
    <x v="4"/>
    <x v="8"/>
    <x v="11"/>
    <x v="30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8"/>
    <x v="0"/>
    <x v="11"/>
    <x v="67"/>
    <x v="11"/>
    <x v="1"/>
    <x v="18"/>
    <x v="3"/>
    <x v="4"/>
    <x v="21"/>
    <x v="2"/>
    <x v="6"/>
    <x v="8"/>
    <x v="4"/>
    <x v="8"/>
    <x v="11"/>
    <x v="31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699"/>
    <x v="0"/>
    <x v="11"/>
    <x v="67"/>
    <x v="11"/>
    <x v="1"/>
    <x v="18"/>
    <x v="3"/>
    <x v="4"/>
    <x v="21"/>
    <x v="2"/>
    <x v="6"/>
    <x v="8"/>
    <x v="4"/>
    <x v="8"/>
    <x v="11"/>
    <x v="32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0"/>
    <x v="0"/>
    <x v="11"/>
    <x v="67"/>
    <x v="11"/>
    <x v="1"/>
    <x v="18"/>
    <x v="3"/>
    <x v="4"/>
    <x v="21"/>
    <x v="2"/>
    <x v="6"/>
    <x v="8"/>
    <x v="4"/>
    <x v="8"/>
    <x v="11"/>
    <x v="33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1"/>
    <x v="0"/>
    <x v="11"/>
    <x v="67"/>
    <x v="11"/>
    <x v="1"/>
    <x v="18"/>
    <x v="3"/>
    <x v="4"/>
    <x v="21"/>
    <x v="2"/>
    <x v="6"/>
    <x v="8"/>
    <x v="4"/>
    <x v="8"/>
    <x v="11"/>
    <x v="36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2"/>
    <x v="0"/>
    <x v="11"/>
    <x v="67"/>
    <x v="11"/>
    <x v="1"/>
    <x v="18"/>
    <x v="3"/>
    <x v="4"/>
    <x v="21"/>
    <x v="2"/>
    <x v="6"/>
    <x v="8"/>
    <x v="4"/>
    <x v="8"/>
    <x v="11"/>
    <x v="38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3"/>
    <x v="0"/>
    <x v="11"/>
    <x v="67"/>
    <x v="11"/>
    <x v="1"/>
    <x v="18"/>
    <x v="3"/>
    <x v="4"/>
    <x v="21"/>
    <x v="2"/>
    <x v="6"/>
    <x v="8"/>
    <x v="4"/>
    <x v="8"/>
    <x v="11"/>
    <x v="39"/>
    <x v="1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999"/>
    <x v="0"/>
    <x v="3"/>
    <x v="47"/>
    <x v="11"/>
    <x v="1"/>
    <x v="18"/>
    <x v="3"/>
    <x v="4"/>
    <x v="35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0"/>
    <x v="0"/>
    <x v="3"/>
    <x v="47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1"/>
    <x v="0"/>
    <x v="3"/>
    <x v="47"/>
    <x v="11"/>
    <x v="1"/>
    <x v="18"/>
    <x v="3"/>
    <x v="4"/>
    <x v="35"/>
    <x v="0"/>
    <x v="6"/>
    <x v="8"/>
    <x v="4"/>
    <x v="1"/>
    <x v="11"/>
    <x v="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2"/>
    <x v="0"/>
    <x v="3"/>
    <x v="47"/>
    <x v="11"/>
    <x v="1"/>
    <x v="18"/>
    <x v="3"/>
    <x v="4"/>
    <x v="35"/>
    <x v="0"/>
    <x v="6"/>
    <x v="8"/>
    <x v="4"/>
    <x v="1"/>
    <x v="11"/>
    <x v="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3"/>
    <x v="0"/>
    <x v="3"/>
    <x v="47"/>
    <x v="11"/>
    <x v="1"/>
    <x v="18"/>
    <x v="3"/>
    <x v="4"/>
    <x v="35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4"/>
    <x v="0"/>
    <x v="3"/>
    <x v="47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5"/>
    <x v="0"/>
    <x v="3"/>
    <x v="47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6"/>
    <x v="0"/>
    <x v="3"/>
    <x v="47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7"/>
    <x v="0"/>
    <x v="3"/>
    <x v="47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8"/>
    <x v="0"/>
    <x v="3"/>
    <x v="47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09"/>
    <x v="0"/>
    <x v="3"/>
    <x v="47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0"/>
    <x v="0"/>
    <x v="3"/>
    <x v="47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1"/>
    <x v="0"/>
    <x v="3"/>
    <x v="47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2"/>
    <x v="0"/>
    <x v="3"/>
    <x v="47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3"/>
    <x v="0"/>
    <x v="3"/>
    <x v="47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4"/>
    <x v="0"/>
    <x v="3"/>
    <x v="47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5"/>
    <x v="0"/>
    <x v="3"/>
    <x v="47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6"/>
    <x v="0"/>
    <x v="3"/>
    <x v="47"/>
    <x v="11"/>
    <x v="1"/>
    <x v="18"/>
    <x v="3"/>
    <x v="4"/>
    <x v="35"/>
    <x v="0"/>
    <x v="6"/>
    <x v="8"/>
    <x v="4"/>
    <x v="1"/>
    <x v="11"/>
    <x v="3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7"/>
    <x v="0"/>
    <x v="3"/>
    <x v="47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8"/>
    <x v="0"/>
    <x v="3"/>
    <x v="47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19"/>
    <x v="0"/>
    <x v="3"/>
    <x v="47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020"/>
    <x v="0"/>
    <x v="3"/>
    <x v="47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5"/>
    <x v="0"/>
    <x v="3"/>
    <x v="48"/>
    <x v="11"/>
    <x v="1"/>
    <x v="18"/>
    <x v="3"/>
    <x v="4"/>
    <x v="35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6"/>
    <x v="0"/>
    <x v="3"/>
    <x v="48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7"/>
    <x v="0"/>
    <x v="3"/>
    <x v="48"/>
    <x v="11"/>
    <x v="1"/>
    <x v="18"/>
    <x v="3"/>
    <x v="4"/>
    <x v="35"/>
    <x v="0"/>
    <x v="6"/>
    <x v="8"/>
    <x v="4"/>
    <x v="1"/>
    <x v="11"/>
    <x v="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8"/>
    <x v="0"/>
    <x v="3"/>
    <x v="48"/>
    <x v="11"/>
    <x v="1"/>
    <x v="18"/>
    <x v="3"/>
    <x v="4"/>
    <x v="35"/>
    <x v="0"/>
    <x v="6"/>
    <x v="8"/>
    <x v="4"/>
    <x v="1"/>
    <x v="11"/>
    <x v="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49"/>
    <x v="0"/>
    <x v="3"/>
    <x v="48"/>
    <x v="11"/>
    <x v="1"/>
    <x v="18"/>
    <x v="3"/>
    <x v="4"/>
    <x v="35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0"/>
    <x v="0"/>
    <x v="3"/>
    <x v="48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1"/>
    <x v="0"/>
    <x v="3"/>
    <x v="48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2"/>
    <x v="0"/>
    <x v="3"/>
    <x v="48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3"/>
    <x v="0"/>
    <x v="3"/>
    <x v="48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4"/>
    <x v="0"/>
    <x v="3"/>
    <x v="48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5"/>
    <x v="0"/>
    <x v="3"/>
    <x v="48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6"/>
    <x v="0"/>
    <x v="3"/>
    <x v="48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7"/>
    <x v="0"/>
    <x v="3"/>
    <x v="48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8"/>
    <x v="0"/>
    <x v="3"/>
    <x v="48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59"/>
    <x v="0"/>
    <x v="3"/>
    <x v="48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0"/>
    <x v="0"/>
    <x v="3"/>
    <x v="48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1"/>
    <x v="0"/>
    <x v="3"/>
    <x v="48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2"/>
    <x v="0"/>
    <x v="3"/>
    <x v="48"/>
    <x v="11"/>
    <x v="1"/>
    <x v="18"/>
    <x v="3"/>
    <x v="4"/>
    <x v="35"/>
    <x v="0"/>
    <x v="6"/>
    <x v="8"/>
    <x v="4"/>
    <x v="1"/>
    <x v="11"/>
    <x v="3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3"/>
    <x v="0"/>
    <x v="3"/>
    <x v="48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4"/>
    <x v="0"/>
    <x v="3"/>
    <x v="48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5"/>
    <x v="0"/>
    <x v="3"/>
    <x v="48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766"/>
    <x v="0"/>
    <x v="3"/>
    <x v="48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2"/>
    <x v="0"/>
    <x v="12"/>
    <x v="33"/>
    <x v="11"/>
    <x v="1"/>
    <x v="18"/>
    <x v="3"/>
    <x v="4"/>
    <x v="35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3"/>
    <x v="0"/>
    <x v="12"/>
    <x v="33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4"/>
    <x v="0"/>
    <x v="12"/>
    <x v="33"/>
    <x v="11"/>
    <x v="1"/>
    <x v="18"/>
    <x v="3"/>
    <x v="4"/>
    <x v="35"/>
    <x v="0"/>
    <x v="6"/>
    <x v="8"/>
    <x v="4"/>
    <x v="1"/>
    <x v="11"/>
    <x v="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5"/>
    <x v="0"/>
    <x v="12"/>
    <x v="33"/>
    <x v="11"/>
    <x v="1"/>
    <x v="18"/>
    <x v="3"/>
    <x v="4"/>
    <x v="35"/>
    <x v="0"/>
    <x v="6"/>
    <x v="8"/>
    <x v="4"/>
    <x v="1"/>
    <x v="11"/>
    <x v="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6"/>
    <x v="0"/>
    <x v="12"/>
    <x v="33"/>
    <x v="11"/>
    <x v="1"/>
    <x v="18"/>
    <x v="3"/>
    <x v="4"/>
    <x v="35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7"/>
    <x v="0"/>
    <x v="12"/>
    <x v="33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8"/>
    <x v="0"/>
    <x v="12"/>
    <x v="33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9"/>
    <x v="0"/>
    <x v="12"/>
    <x v="33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0"/>
    <x v="0"/>
    <x v="12"/>
    <x v="33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1"/>
    <x v="0"/>
    <x v="12"/>
    <x v="33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2"/>
    <x v="0"/>
    <x v="12"/>
    <x v="33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3"/>
    <x v="0"/>
    <x v="12"/>
    <x v="33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4"/>
    <x v="0"/>
    <x v="12"/>
    <x v="33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5"/>
    <x v="0"/>
    <x v="12"/>
    <x v="33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6"/>
    <x v="0"/>
    <x v="12"/>
    <x v="33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7"/>
    <x v="0"/>
    <x v="12"/>
    <x v="33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8"/>
    <x v="0"/>
    <x v="12"/>
    <x v="33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29"/>
    <x v="0"/>
    <x v="12"/>
    <x v="33"/>
    <x v="11"/>
    <x v="1"/>
    <x v="18"/>
    <x v="3"/>
    <x v="4"/>
    <x v="35"/>
    <x v="0"/>
    <x v="6"/>
    <x v="8"/>
    <x v="4"/>
    <x v="1"/>
    <x v="11"/>
    <x v="3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0"/>
    <x v="0"/>
    <x v="12"/>
    <x v="33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1"/>
    <x v="0"/>
    <x v="12"/>
    <x v="33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2"/>
    <x v="0"/>
    <x v="12"/>
    <x v="33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3"/>
    <x v="0"/>
    <x v="12"/>
    <x v="33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4"/>
    <x v="0"/>
    <x v="12"/>
    <x v="32"/>
    <x v="11"/>
    <x v="1"/>
    <x v="18"/>
    <x v="3"/>
    <x v="4"/>
    <x v="35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5"/>
    <x v="0"/>
    <x v="12"/>
    <x v="32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6"/>
    <x v="0"/>
    <x v="12"/>
    <x v="32"/>
    <x v="11"/>
    <x v="1"/>
    <x v="18"/>
    <x v="3"/>
    <x v="4"/>
    <x v="35"/>
    <x v="0"/>
    <x v="6"/>
    <x v="8"/>
    <x v="4"/>
    <x v="1"/>
    <x v="11"/>
    <x v="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7"/>
    <x v="0"/>
    <x v="12"/>
    <x v="32"/>
    <x v="11"/>
    <x v="1"/>
    <x v="18"/>
    <x v="3"/>
    <x v="4"/>
    <x v="35"/>
    <x v="0"/>
    <x v="6"/>
    <x v="8"/>
    <x v="4"/>
    <x v="1"/>
    <x v="11"/>
    <x v="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8"/>
    <x v="0"/>
    <x v="12"/>
    <x v="32"/>
    <x v="11"/>
    <x v="1"/>
    <x v="18"/>
    <x v="3"/>
    <x v="4"/>
    <x v="35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39"/>
    <x v="0"/>
    <x v="12"/>
    <x v="32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0"/>
    <x v="0"/>
    <x v="12"/>
    <x v="32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1"/>
    <x v="0"/>
    <x v="12"/>
    <x v="32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2"/>
    <x v="0"/>
    <x v="12"/>
    <x v="32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3"/>
    <x v="0"/>
    <x v="12"/>
    <x v="32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4"/>
    <x v="0"/>
    <x v="12"/>
    <x v="32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5"/>
    <x v="0"/>
    <x v="12"/>
    <x v="32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6"/>
    <x v="0"/>
    <x v="12"/>
    <x v="32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7"/>
    <x v="0"/>
    <x v="12"/>
    <x v="32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8"/>
    <x v="0"/>
    <x v="12"/>
    <x v="32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49"/>
    <x v="0"/>
    <x v="12"/>
    <x v="32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0"/>
    <x v="0"/>
    <x v="12"/>
    <x v="32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1"/>
    <x v="0"/>
    <x v="12"/>
    <x v="32"/>
    <x v="11"/>
    <x v="1"/>
    <x v="18"/>
    <x v="3"/>
    <x v="4"/>
    <x v="35"/>
    <x v="0"/>
    <x v="6"/>
    <x v="8"/>
    <x v="4"/>
    <x v="1"/>
    <x v="11"/>
    <x v="3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2"/>
    <x v="0"/>
    <x v="12"/>
    <x v="32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3"/>
    <x v="0"/>
    <x v="12"/>
    <x v="32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4"/>
    <x v="0"/>
    <x v="12"/>
    <x v="32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5"/>
    <x v="0"/>
    <x v="12"/>
    <x v="32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6"/>
    <x v="0"/>
    <x v="12"/>
    <x v="59"/>
    <x v="11"/>
    <x v="1"/>
    <x v="18"/>
    <x v="3"/>
    <x v="4"/>
    <x v="35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7"/>
    <x v="0"/>
    <x v="12"/>
    <x v="59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8"/>
    <x v="0"/>
    <x v="12"/>
    <x v="59"/>
    <x v="11"/>
    <x v="1"/>
    <x v="18"/>
    <x v="3"/>
    <x v="4"/>
    <x v="35"/>
    <x v="0"/>
    <x v="6"/>
    <x v="8"/>
    <x v="4"/>
    <x v="1"/>
    <x v="11"/>
    <x v="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59"/>
    <x v="0"/>
    <x v="12"/>
    <x v="59"/>
    <x v="11"/>
    <x v="1"/>
    <x v="18"/>
    <x v="3"/>
    <x v="4"/>
    <x v="35"/>
    <x v="0"/>
    <x v="6"/>
    <x v="8"/>
    <x v="4"/>
    <x v="1"/>
    <x v="11"/>
    <x v="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0"/>
    <x v="0"/>
    <x v="12"/>
    <x v="59"/>
    <x v="11"/>
    <x v="1"/>
    <x v="18"/>
    <x v="3"/>
    <x v="4"/>
    <x v="35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1"/>
    <x v="0"/>
    <x v="12"/>
    <x v="59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2"/>
    <x v="0"/>
    <x v="12"/>
    <x v="59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3"/>
    <x v="0"/>
    <x v="12"/>
    <x v="59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4"/>
    <x v="0"/>
    <x v="12"/>
    <x v="59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5"/>
    <x v="0"/>
    <x v="12"/>
    <x v="59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6"/>
    <x v="0"/>
    <x v="12"/>
    <x v="59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7"/>
    <x v="0"/>
    <x v="12"/>
    <x v="59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8"/>
    <x v="0"/>
    <x v="12"/>
    <x v="59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69"/>
    <x v="0"/>
    <x v="12"/>
    <x v="59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0"/>
    <x v="0"/>
    <x v="12"/>
    <x v="59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1"/>
    <x v="0"/>
    <x v="12"/>
    <x v="59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2"/>
    <x v="0"/>
    <x v="12"/>
    <x v="59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3"/>
    <x v="0"/>
    <x v="12"/>
    <x v="59"/>
    <x v="11"/>
    <x v="1"/>
    <x v="18"/>
    <x v="3"/>
    <x v="4"/>
    <x v="35"/>
    <x v="0"/>
    <x v="6"/>
    <x v="8"/>
    <x v="4"/>
    <x v="1"/>
    <x v="11"/>
    <x v="3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4"/>
    <x v="0"/>
    <x v="12"/>
    <x v="59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5"/>
    <x v="0"/>
    <x v="12"/>
    <x v="59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6"/>
    <x v="0"/>
    <x v="12"/>
    <x v="59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7"/>
    <x v="0"/>
    <x v="12"/>
    <x v="59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8"/>
    <x v="0"/>
    <x v="12"/>
    <x v="60"/>
    <x v="11"/>
    <x v="1"/>
    <x v="18"/>
    <x v="3"/>
    <x v="4"/>
    <x v="35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79"/>
    <x v="0"/>
    <x v="12"/>
    <x v="60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0"/>
    <x v="0"/>
    <x v="12"/>
    <x v="60"/>
    <x v="11"/>
    <x v="1"/>
    <x v="18"/>
    <x v="3"/>
    <x v="4"/>
    <x v="35"/>
    <x v="0"/>
    <x v="6"/>
    <x v="8"/>
    <x v="4"/>
    <x v="1"/>
    <x v="11"/>
    <x v="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1"/>
    <x v="0"/>
    <x v="12"/>
    <x v="60"/>
    <x v="11"/>
    <x v="1"/>
    <x v="18"/>
    <x v="3"/>
    <x v="4"/>
    <x v="35"/>
    <x v="0"/>
    <x v="6"/>
    <x v="8"/>
    <x v="4"/>
    <x v="1"/>
    <x v="11"/>
    <x v="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2"/>
    <x v="0"/>
    <x v="12"/>
    <x v="60"/>
    <x v="11"/>
    <x v="1"/>
    <x v="18"/>
    <x v="3"/>
    <x v="4"/>
    <x v="35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3"/>
    <x v="0"/>
    <x v="12"/>
    <x v="60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4"/>
    <x v="0"/>
    <x v="12"/>
    <x v="60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5"/>
    <x v="0"/>
    <x v="12"/>
    <x v="60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6"/>
    <x v="0"/>
    <x v="12"/>
    <x v="60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7"/>
    <x v="0"/>
    <x v="12"/>
    <x v="60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8"/>
    <x v="0"/>
    <x v="12"/>
    <x v="60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89"/>
    <x v="0"/>
    <x v="12"/>
    <x v="60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0"/>
    <x v="0"/>
    <x v="12"/>
    <x v="60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1"/>
    <x v="0"/>
    <x v="12"/>
    <x v="60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2"/>
    <x v="0"/>
    <x v="12"/>
    <x v="60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3"/>
    <x v="0"/>
    <x v="12"/>
    <x v="60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4"/>
    <x v="0"/>
    <x v="12"/>
    <x v="60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5"/>
    <x v="0"/>
    <x v="12"/>
    <x v="60"/>
    <x v="11"/>
    <x v="1"/>
    <x v="18"/>
    <x v="3"/>
    <x v="4"/>
    <x v="35"/>
    <x v="0"/>
    <x v="6"/>
    <x v="8"/>
    <x v="4"/>
    <x v="1"/>
    <x v="11"/>
    <x v="3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6"/>
    <x v="0"/>
    <x v="12"/>
    <x v="60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7"/>
    <x v="0"/>
    <x v="12"/>
    <x v="60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8"/>
    <x v="0"/>
    <x v="12"/>
    <x v="60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99"/>
    <x v="0"/>
    <x v="12"/>
    <x v="60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0"/>
    <x v="0"/>
    <x v="12"/>
    <x v="58"/>
    <x v="11"/>
    <x v="1"/>
    <x v="18"/>
    <x v="3"/>
    <x v="4"/>
    <x v="35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1"/>
    <x v="0"/>
    <x v="12"/>
    <x v="58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2"/>
    <x v="0"/>
    <x v="12"/>
    <x v="58"/>
    <x v="11"/>
    <x v="1"/>
    <x v="18"/>
    <x v="3"/>
    <x v="4"/>
    <x v="35"/>
    <x v="0"/>
    <x v="6"/>
    <x v="8"/>
    <x v="4"/>
    <x v="1"/>
    <x v="11"/>
    <x v="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3"/>
    <x v="0"/>
    <x v="12"/>
    <x v="58"/>
    <x v="11"/>
    <x v="1"/>
    <x v="18"/>
    <x v="3"/>
    <x v="4"/>
    <x v="35"/>
    <x v="0"/>
    <x v="6"/>
    <x v="8"/>
    <x v="4"/>
    <x v="1"/>
    <x v="11"/>
    <x v="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4"/>
    <x v="0"/>
    <x v="12"/>
    <x v="58"/>
    <x v="11"/>
    <x v="1"/>
    <x v="18"/>
    <x v="3"/>
    <x v="4"/>
    <x v="35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5"/>
    <x v="0"/>
    <x v="12"/>
    <x v="58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6"/>
    <x v="0"/>
    <x v="12"/>
    <x v="58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7"/>
    <x v="0"/>
    <x v="12"/>
    <x v="58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8"/>
    <x v="0"/>
    <x v="12"/>
    <x v="58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09"/>
    <x v="0"/>
    <x v="12"/>
    <x v="58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0"/>
    <x v="0"/>
    <x v="12"/>
    <x v="58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1"/>
    <x v="0"/>
    <x v="12"/>
    <x v="58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2"/>
    <x v="0"/>
    <x v="12"/>
    <x v="58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3"/>
    <x v="0"/>
    <x v="12"/>
    <x v="58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4"/>
    <x v="0"/>
    <x v="12"/>
    <x v="58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5"/>
    <x v="0"/>
    <x v="12"/>
    <x v="58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6"/>
    <x v="0"/>
    <x v="12"/>
    <x v="58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7"/>
    <x v="0"/>
    <x v="12"/>
    <x v="58"/>
    <x v="11"/>
    <x v="1"/>
    <x v="18"/>
    <x v="3"/>
    <x v="4"/>
    <x v="35"/>
    <x v="0"/>
    <x v="6"/>
    <x v="8"/>
    <x v="4"/>
    <x v="1"/>
    <x v="11"/>
    <x v="3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8"/>
    <x v="0"/>
    <x v="12"/>
    <x v="58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19"/>
    <x v="0"/>
    <x v="12"/>
    <x v="58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0"/>
    <x v="0"/>
    <x v="12"/>
    <x v="58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1"/>
    <x v="0"/>
    <x v="12"/>
    <x v="58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2"/>
    <x v="0"/>
    <x v="12"/>
    <x v="56"/>
    <x v="11"/>
    <x v="1"/>
    <x v="18"/>
    <x v="3"/>
    <x v="4"/>
    <x v="35"/>
    <x v="0"/>
    <x v="6"/>
    <x v="8"/>
    <x v="4"/>
    <x v="1"/>
    <x v="11"/>
    <x v="0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3"/>
    <x v="0"/>
    <x v="12"/>
    <x v="56"/>
    <x v="11"/>
    <x v="1"/>
    <x v="18"/>
    <x v="3"/>
    <x v="4"/>
    <x v="35"/>
    <x v="0"/>
    <x v="6"/>
    <x v="8"/>
    <x v="4"/>
    <x v="1"/>
    <x v="11"/>
    <x v="2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4"/>
    <x v="0"/>
    <x v="12"/>
    <x v="56"/>
    <x v="11"/>
    <x v="1"/>
    <x v="18"/>
    <x v="3"/>
    <x v="4"/>
    <x v="35"/>
    <x v="0"/>
    <x v="6"/>
    <x v="8"/>
    <x v="4"/>
    <x v="1"/>
    <x v="11"/>
    <x v="3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5"/>
    <x v="0"/>
    <x v="12"/>
    <x v="56"/>
    <x v="11"/>
    <x v="1"/>
    <x v="18"/>
    <x v="3"/>
    <x v="4"/>
    <x v="35"/>
    <x v="0"/>
    <x v="6"/>
    <x v="8"/>
    <x v="4"/>
    <x v="1"/>
    <x v="11"/>
    <x v="6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6"/>
    <x v="0"/>
    <x v="12"/>
    <x v="56"/>
    <x v="11"/>
    <x v="1"/>
    <x v="18"/>
    <x v="3"/>
    <x v="4"/>
    <x v="35"/>
    <x v="0"/>
    <x v="6"/>
    <x v="8"/>
    <x v="4"/>
    <x v="1"/>
    <x v="11"/>
    <x v="8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7"/>
    <x v="0"/>
    <x v="12"/>
    <x v="56"/>
    <x v="11"/>
    <x v="1"/>
    <x v="18"/>
    <x v="3"/>
    <x v="4"/>
    <x v="35"/>
    <x v="0"/>
    <x v="6"/>
    <x v="8"/>
    <x v="4"/>
    <x v="1"/>
    <x v="11"/>
    <x v="9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8"/>
    <x v="0"/>
    <x v="12"/>
    <x v="56"/>
    <x v="11"/>
    <x v="1"/>
    <x v="18"/>
    <x v="3"/>
    <x v="4"/>
    <x v="35"/>
    <x v="0"/>
    <x v="6"/>
    <x v="8"/>
    <x v="4"/>
    <x v="1"/>
    <x v="11"/>
    <x v="10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29"/>
    <x v="0"/>
    <x v="12"/>
    <x v="56"/>
    <x v="11"/>
    <x v="1"/>
    <x v="18"/>
    <x v="3"/>
    <x v="4"/>
    <x v="35"/>
    <x v="0"/>
    <x v="6"/>
    <x v="8"/>
    <x v="4"/>
    <x v="1"/>
    <x v="11"/>
    <x v="11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0"/>
    <x v="0"/>
    <x v="12"/>
    <x v="56"/>
    <x v="11"/>
    <x v="1"/>
    <x v="18"/>
    <x v="3"/>
    <x v="4"/>
    <x v="35"/>
    <x v="0"/>
    <x v="6"/>
    <x v="8"/>
    <x v="4"/>
    <x v="1"/>
    <x v="11"/>
    <x v="12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1"/>
    <x v="0"/>
    <x v="12"/>
    <x v="56"/>
    <x v="11"/>
    <x v="1"/>
    <x v="18"/>
    <x v="3"/>
    <x v="4"/>
    <x v="35"/>
    <x v="0"/>
    <x v="6"/>
    <x v="8"/>
    <x v="4"/>
    <x v="1"/>
    <x v="11"/>
    <x v="13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2"/>
    <x v="0"/>
    <x v="12"/>
    <x v="56"/>
    <x v="11"/>
    <x v="1"/>
    <x v="18"/>
    <x v="3"/>
    <x v="4"/>
    <x v="35"/>
    <x v="0"/>
    <x v="6"/>
    <x v="8"/>
    <x v="4"/>
    <x v="1"/>
    <x v="11"/>
    <x v="15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3"/>
    <x v="0"/>
    <x v="12"/>
    <x v="56"/>
    <x v="11"/>
    <x v="1"/>
    <x v="18"/>
    <x v="3"/>
    <x v="4"/>
    <x v="35"/>
    <x v="0"/>
    <x v="6"/>
    <x v="8"/>
    <x v="4"/>
    <x v="1"/>
    <x v="11"/>
    <x v="17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4"/>
    <x v="0"/>
    <x v="12"/>
    <x v="56"/>
    <x v="11"/>
    <x v="1"/>
    <x v="18"/>
    <x v="3"/>
    <x v="4"/>
    <x v="35"/>
    <x v="0"/>
    <x v="6"/>
    <x v="8"/>
    <x v="4"/>
    <x v="1"/>
    <x v="11"/>
    <x v="18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5"/>
    <x v="0"/>
    <x v="12"/>
    <x v="56"/>
    <x v="11"/>
    <x v="1"/>
    <x v="18"/>
    <x v="3"/>
    <x v="4"/>
    <x v="35"/>
    <x v="0"/>
    <x v="6"/>
    <x v="8"/>
    <x v="4"/>
    <x v="1"/>
    <x v="11"/>
    <x v="22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6"/>
    <x v="0"/>
    <x v="12"/>
    <x v="56"/>
    <x v="11"/>
    <x v="1"/>
    <x v="18"/>
    <x v="3"/>
    <x v="4"/>
    <x v="35"/>
    <x v="0"/>
    <x v="6"/>
    <x v="8"/>
    <x v="4"/>
    <x v="1"/>
    <x v="11"/>
    <x v="29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7"/>
    <x v="0"/>
    <x v="12"/>
    <x v="56"/>
    <x v="11"/>
    <x v="1"/>
    <x v="18"/>
    <x v="3"/>
    <x v="4"/>
    <x v="35"/>
    <x v="0"/>
    <x v="6"/>
    <x v="8"/>
    <x v="4"/>
    <x v="1"/>
    <x v="11"/>
    <x v="30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8"/>
    <x v="0"/>
    <x v="12"/>
    <x v="56"/>
    <x v="11"/>
    <x v="1"/>
    <x v="18"/>
    <x v="3"/>
    <x v="4"/>
    <x v="35"/>
    <x v="0"/>
    <x v="6"/>
    <x v="8"/>
    <x v="4"/>
    <x v="1"/>
    <x v="11"/>
    <x v="31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39"/>
    <x v="0"/>
    <x v="12"/>
    <x v="56"/>
    <x v="11"/>
    <x v="1"/>
    <x v="18"/>
    <x v="3"/>
    <x v="4"/>
    <x v="35"/>
    <x v="0"/>
    <x v="6"/>
    <x v="8"/>
    <x v="4"/>
    <x v="1"/>
    <x v="11"/>
    <x v="32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0"/>
    <x v="0"/>
    <x v="12"/>
    <x v="56"/>
    <x v="11"/>
    <x v="1"/>
    <x v="18"/>
    <x v="3"/>
    <x v="4"/>
    <x v="35"/>
    <x v="0"/>
    <x v="6"/>
    <x v="8"/>
    <x v="4"/>
    <x v="1"/>
    <x v="11"/>
    <x v="33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1"/>
    <x v="0"/>
    <x v="12"/>
    <x v="56"/>
    <x v="11"/>
    <x v="1"/>
    <x v="18"/>
    <x v="3"/>
    <x v="4"/>
    <x v="35"/>
    <x v="0"/>
    <x v="6"/>
    <x v="8"/>
    <x v="4"/>
    <x v="1"/>
    <x v="11"/>
    <x v="36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2"/>
    <x v="0"/>
    <x v="12"/>
    <x v="56"/>
    <x v="11"/>
    <x v="1"/>
    <x v="18"/>
    <x v="3"/>
    <x v="4"/>
    <x v="35"/>
    <x v="0"/>
    <x v="6"/>
    <x v="8"/>
    <x v="4"/>
    <x v="1"/>
    <x v="11"/>
    <x v="38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3"/>
    <x v="0"/>
    <x v="12"/>
    <x v="56"/>
    <x v="11"/>
    <x v="1"/>
    <x v="18"/>
    <x v="3"/>
    <x v="4"/>
    <x v="35"/>
    <x v="0"/>
    <x v="6"/>
    <x v="8"/>
    <x v="4"/>
    <x v="1"/>
    <x v="11"/>
    <x v="39"/>
    <x v="3"/>
    <x v="21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5"/>
    <x v="0"/>
    <x v="12"/>
    <x v="33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2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9"/>
    <x v="0"/>
    <x v="3"/>
    <x v="47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3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18"/>
    <x v="0"/>
    <x v="3"/>
    <x v="48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4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6"/>
    <x v="0"/>
    <x v="12"/>
    <x v="32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1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7"/>
    <x v="0"/>
    <x v="12"/>
    <x v="20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0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8"/>
    <x v="0"/>
    <x v="12"/>
    <x v="59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7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9"/>
    <x v="0"/>
    <x v="12"/>
    <x v="60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8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0"/>
    <x v="0"/>
    <x v="12"/>
    <x v="58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1"/>
    <x v="0"/>
    <x v="12"/>
    <x v="56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45"/>
    <x v="0"/>
    <x v="0"/>
    <x v="0"/>
    <x v="0"/>
    <x v="0"/>
    <x v="0"/>
    <x v="0"/>
    <x v="1"/>
    <x v="0"/>
    <x v="0"/>
    <x v="0"/>
    <x v="0"/>
    <x v="0"/>
    <x v="0"/>
    <x v="0"/>
    <x v="0"/>
  </r>
  <r>
    <x v="78"/>
    <x v="2405"/>
    <x v="0"/>
    <x v="13"/>
    <x v="76"/>
    <x v="11"/>
    <x v="1"/>
    <x v="18"/>
    <x v="3"/>
    <x v="4"/>
    <x v="4"/>
    <x v="0"/>
    <x v="6"/>
    <x v="8"/>
    <x v="4"/>
    <x v="2"/>
    <x v="2"/>
    <x v="40"/>
    <x v="1"/>
    <x v="12"/>
    <x v="4"/>
    <x v="0"/>
    <x v="4"/>
    <x v="2"/>
    <x v="2"/>
    <x v="2"/>
    <x v="156"/>
    <x v="0"/>
    <x v="0"/>
    <x v="0"/>
    <x v="0"/>
    <x v="0"/>
    <x v="1"/>
    <x v="0"/>
    <x v="1"/>
    <x v="0"/>
    <x v="0"/>
    <x v="0"/>
    <x v="0"/>
    <x v="0"/>
    <x v="0"/>
    <x v="0"/>
    <x v="0"/>
  </r>
  <r>
    <x v="49"/>
    <x v="2406"/>
    <x v="0"/>
    <x v="13"/>
    <x v="84"/>
    <x v="11"/>
    <x v="1"/>
    <x v="18"/>
    <x v="3"/>
    <x v="4"/>
    <x v="16"/>
    <x v="0"/>
    <x v="6"/>
    <x v="8"/>
    <x v="4"/>
    <x v="2"/>
    <x v="2"/>
    <x v="40"/>
    <x v="1"/>
    <x v="12"/>
    <x v="4"/>
    <x v="0"/>
    <x v="4"/>
    <x v="2"/>
    <x v="2"/>
    <x v="2"/>
    <x v="157"/>
    <x v="0"/>
    <x v="0"/>
    <x v="0"/>
    <x v="0"/>
    <x v="0"/>
    <x v="1"/>
    <x v="0"/>
    <x v="1"/>
    <x v="0"/>
    <x v="0"/>
    <x v="0"/>
    <x v="0"/>
    <x v="0"/>
    <x v="0"/>
    <x v="0"/>
    <x v="0"/>
  </r>
  <r>
    <x v="19"/>
    <x v="2407"/>
    <x v="0"/>
    <x v="13"/>
    <x v="91"/>
    <x v="11"/>
    <x v="1"/>
    <x v="18"/>
    <x v="3"/>
    <x v="4"/>
    <x v="16"/>
    <x v="0"/>
    <x v="6"/>
    <x v="8"/>
    <x v="4"/>
    <x v="2"/>
    <x v="2"/>
    <x v="40"/>
    <x v="1"/>
    <x v="12"/>
    <x v="4"/>
    <x v="0"/>
    <x v="4"/>
    <x v="2"/>
    <x v="2"/>
    <x v="2"/>
    <x v="160"/>
    <x v="0"/>
    <x v="0"/>
    <x v="0"/>
    <x v="0"/>
    <x v="0"/>
    <x v="1"/>
    <x v="0"/>
    <x v="1"/>
    <x v="0"/>
    <x v="0"/>
    <x v="0"/>
    <x v="0"/>
    <x v="0"/>
    <x v="0"/>
    <x v="0"/>
    <x v="0"/>
  </r>
  <r>
    <x v="118"/>
    <x v="2408"/>
    <x v="0"/>
    <x v="13"/>
    <x v="27"/>
    <x v="11"/>
    <x v="1"/>
    <x v="18"/>
    <x v="3"/>
    <x v="4"/>
    <x v="15"/>
    <x v="0"/>
    <x v="6"/>
    <x v="8"/>
    <x v="4"/>
    <x v="3"/>
    <x v="2"/>
    <x v="40"/>
    <x v="1"/>
    <x v="12"/>
    <x v="4"/>
    <x v="0"/>
    <x v="4"/>
    <x v="2"/>
    <x v="2"/>
    <x v="2"/>
    <x v="151"/>
    <x v="0"/>
    <x v="0"/>
    <x v="0"/>
    <x v="0"/>
    <x v="0"/>
    <x v="1"/>
    <x v="0"/>
    <x v="1"/>
    <x v="0"/>
    <x v="0"/>
    <x v="0"/>
    <x v="0"/>
    <x v="0"/>
    <x v="0"/>
    <x v="0"/>
    <x v="0"/>
  </r>
  <r>
    <x v="6"/>
    <x v="2409"/>
    <x v="0"/>
    <x v="13"/>
    <x v="27"/>
    <x v="11"/>
    <x v="1"/>
    <x v="18"/>
    <x v="3"/>
    <x v="4"/>
    <x v="15"/>
    <x v="0"/>
    <x v="6"/>
    <x v="8"/>
    <x v="4"/>
    <x v="1"/>
    <x v="6"/>
    <x v="40"/>
    <x v="1"/>
    <x v="6"/>
    <x v="4"/>
    <x v="1"/>
    <x v="4"/>
    <x v="2"/>
    <x v="2"/>
    <x v="2"/>
    <x v="150"/>
    <x v="0"/>
    <x v="0"/>
    <x v="0"/>
    <x v="0"/>
    <x v="0"/>
    <x v="1"/>
    <x v="0"/>
    <x v="1"/>
    <x v="0"/>
    <x v="0"/>
    <x v="0"/>
    <x v="0"/>
    <x v="0"/>
    <x v="0"/>
    <x v="0"/>
    <x v="0"/>
  </r>
  <r>
    <x v="42"/>
    <x v="2410"/>
    <x v="0"/>
    <x v="13"/>
    <x v="76"/>
    <x v="11"/>
    <x v="1"/>
    <x v="18"/>
    <x v="3"/>
    <x v="4"/>
    <x v="3"/>
    <x v="0"/>
    <x v="6"/>
    <x v="8"/>
    <x v="4"/>
    <x v="0"/>
    <x v="5"/>
    <x v="40"/>
    <x v="1"/>
    <x v="6"/>
    <x v="4"/>
    <x v="1"/>
    <x v="4"/>
    <x v="2"/>
    <x v="2"/>
    <x v="2"/>
    <x v="155"/>
    <x v="0"/>
    <x v="0"/>
    <x v="0"/>
    <x v="0"/>
    <x v="0"/>
    <x v="1"/>
    <x v="0"/>
    <x v="1"/>
    <x v="0"/>
    <x v="0"/>
    <x v="0"/>
    <x v="0"/>
    <x v="0"/>
    <x v="0"/>
    <x v="0"/>
    <x v="0"/>
  </r>
  <r>
    <x v="68"/>
    <x v="2411"/>
    <x v="0"/>
    <x v="13"/>
    <x v="76"/>
    <x v="11"/>
    <x v="1"/>
    <x v="18"/>
    <x v="3"/>
    <x v="4"/>
    <x v="3"/>
    <x v="0"/>
    <x v="6"/>
    <x v="8"/>
    <x v="4"/>
    <x v="1"/>
    <x v="8"/>
    <x v="40"/>
    <x v="1"/>
    <x v="9"/>
    <x v="4"/>
    <x v="1"/>
    <x v="4"/>
    <x v="2"/>
    <x v="2"/>
    <x v="2"/>
    <x v="154"/>
    <x v="0"/>
    <x v="0"/>
    <x v="0"/>
    <x v="0"/>
    <x v="0"/>
    <x v="1"/>
    <x v="0"/>
    <x v="1"/>
    <x v="0"/>
    <x v="0"/>
    <x v="0"/>
    <x v="0"/>
    <x v="0"/>
    <x v="0"/>
    <x v="0"/>
    <x v="0"/>
  </r>
  <r>
    <x v="145"/>
    <x v="2412"/>
    <x v="0"/>
    <x v="13"/>
    <x v="91"/>
    <x v="11"/>
    <x v="1"/>
    <x v="18"/>
    <x v="3"/>
    <x v="4"/>
    <x v="16"/>
    <x v="0"/>
    <x v="6"/>
    <x v="8"/>
    <x v="4"/>
    <x v="0"/>
    <x v="5"/>
    <x v="40"/>
    <x v="1"/>
    <x v="6"/>
    <x v="4"/>
    <x v="1"/>
    <x v="4"/>
    <x v="2"/>
    <x v="2"/>
    <x v="2"/>
    <x v="159"/>
    <x v="0"/>
    <x v="0"/>
    <x v="0"/>
    <x v="0"/>
    <x v="0"/>
    <x v="1"/>
    <x v="0"/>
    <x v="1"/>
    <x v="0"/>
    <x v="0"/>
    <x v="0"/>
    <x v="0"/>
    <x v="0"/>
    <x v="0"/>
    <x v="0"/>
    <x v="0"/>
  </r>
  <r>
    <x v="113"/>
    <x v="2413"/>
    <x v="0"/>
    <x v="13"/>
    <x v="75"/>
    <x v="11"/>
    <x v="1"/>
    <x v="18"/>
    <x v="3"/>
    <x v="4"/>
    <x v="4"/>
    <x v="0"/>
    <x v="6"/>
    <x v="8"/>
    <x v="4"/>
    <x v="2"/>
    <x v="2"/>
    <x v="40"/>
    <x v="1"/>
    <x v="12"/>
    <x v="4"/>
    <x v="0"/>
    <x v="4"/>
    <x v="2"/>
    <x v="2"/>
    <x v="2"/>
    <x v="153"/>
    <x v="0"/>
    <x v="0"/>
    <x v="0"/>
    <x v="0"/>
    <x v="0"/>
    <x v="1"/>
    <x v="0"/>
    <x v="1"/>
    <x v="0"/>
    <x v="0"/>
    <x v="0"/>
    <x v="0"/>
    <x v="0"/>
    <x v="0"/>
    <x v="0"/>
    <x v="0"/>
  </r>
  <r>
    <x v="150"/>
    <x v="2414"/>
    <x v="0"/>
    <x v="13"/>
    <x v="26"/>
    <x v="11"/>
    <x v="1"/>
    <x v="18"/>
    <x v="3"/>
    <x v="4"/>
    <x v="15"/>
    <x v="0"/>
    <x v="6"/>
    <x v="8"/>
    <x v="4"/>
    <x v="3"/>
    <x v="2"/>
    <x v="40"/>
    <x v="1"/>
    <x v="12"/>
    <x v="4"/>
    <x v="0"/>
    <x v="4"/>
    <x v="2"/>
    <x v="2"/>
    <x v="2"/>
    <x v="149"/>
    <x v="0"/>
    <x v="0"/>
    <x v="0"/>
    <x v="0"/>
    <x v="0"/>
    <x v="1"/>
    <x v="0"/>
    <x v="1"/>
    <x v="0"/>
    <x v="0"/>
    <x v="0"/>
    <x v="0"/>
    <x v="0"/>
    <x v="0"/>
    <x v="0"/>
    <x v="0"/>
  </r>
  <r>
    <x v="96"/>
    <x v="2415"/>
    <x v="0"/>
    <x v="13"/>
    <x v="90"/>
    <x v="11"/>
    <x v="1"/>
    <x v="18"/>
    <x v="3"/>
    <x v="4"/>
    <x v="16"/>
    <x v="0"/>
    <x v="6"/>
    <x v="8"/>
    <x v="4"/>
    <x v="2"/>
    <x v="2"/>
    <x v="40"/>
    <x v="1"/>
    <x v="12"/>
    <x v="4"/>
    <x v="0"/>
    <x v="4"/>
    <x v="2"/>
    <x v="2"/>
    <x v="2"/>
    <x v="158"/>
    <x v="0"/>
    <x v="0"/>
    <x v="0"/>
    <x v="0"/>
    <x v="0"/>
    <x v="1"/>
    <x v="0"/>
    <x v="1"/>
    <x v="0"/>
    <x v="0"/>
    <x v="0"/>
    <x v="0"/>
    <x v="0"/>
    <x v="0"/>
    <x v="0"/>
    <x v="0"/>
  </r>
  <r>
    <x v="3"/>
    <x v="2416"/>
    <x v="0"/>
    <x v="13"/>
    <x v="71"/>
    <x v="11"/>
    <x v="1"/>
    <x v="18"/>
    <x v="3"/>
    <x v="4"/>
    <x v="35"/>
    <x v="0"/>
    <x v="6"/>
    <x v="8"/>
    <x v="4"/>
    <x v="2"/>
    <x v="2"/>
    <x v="40"/>
    <x v="1"/>
    <x v="12"/>
    <x v="4"/>
    <x v="1"/>
    <x v="6"/>
    <x v="2"/>
    <x v="2"/>
    <x v="2"/>
    <x v="152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17"/>
    <x v="0"/>
    <x v="14"/>
    <x v="9"/>
    <x v="3"/>
    <x v="1"/>
    <x v="18"/>
    <x v="3"/>
    <x v="0"/>
    <x v="35"/>
    <x v="0"/>
    <x v="6"/>
    <x v="8"/>
    <x v="4"/>
    <x v="1"/>
    <x v="0"/>
    <x v="40"/>
    <x v="1"/>
    <x v="1"/>
    <x v="4"/>
    <x v="1"/>
    <x v="6"/>
    <x v="2"/>
    <x v="2"/>
    <x v="2"/>
    <x v="162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18"/>
    <x v="0"/>
    <x v="14"/>
    <x v="9"/>
    <x v="10"/>
    <x v="1"/>
    <x v="18"/>
    <x v="3"/>
    <x v="0"/>
    <x v="35"/>
    <x v="0"/>
    <x v="6"/>
    <x v="8"/>
    <x v="4"/>
    <x v="1"/>
    <x v="0"/>
    <x v="40"/>
    <x v="1"/>
    <x v="1"/>
    <x v="4"/>
    <x v="1"/>
    <x v="6"/>
    <x v="2"/>
    <x v="2"/>
    <x v="2"/>
    <x v="163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19"/>
    <x v="0"/>
    <x v="14"/>
    <x v="9"/>
    <x v="3"/>
    <x v="1"/>
    <x v="18"/>
    <x v="3"/>
    <x v="0"/>
    <x v="35"/>
    <x v="0"/>
    <x v="6"/>
    <x v="8"/>
    <x v="4"/>
    <x v="4"/>
    <x v="2"/>
    <x v="40"/>
    <x v="1"/>
    <x v="14"/>
    <x v="4"/>
    <x v="1"/>
    <x v="6"/>
    <x v="2"/>
    <x v="2"/>
    <x v="2"/>
    <x v="164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20"/>
    <x v="0"/>
    <x v="14"/>
    <x v="9"/>
    <x v="10"/>
    <x v="1"/>
    <x v="18"/>
    <x v="3"/>
    <x v="0"/>
    <x v="35"/>
    <x v="0"/>
    <x v="6"/>
    <x v="8"/>
    <x v="4"/>
    <x v="4"/>
    <x v="2"/>
    <x v="40"/>
    <x v="1"/>
    <x v="14"/>
    <x v="4"/>
    <x v="1"/>
    <x v="6"/>
    <x v="2"/>
    <x v="2"/>
    <x v="2"/>
    <x v="165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21"/>
    <x v="0"/>
    <x v="14"/>
    <x v="9"/>
    <x v="0"/>
    <x v="1"/>
    <x v="18"/>
    <x v="3"/>
    <x v="0"/>
    <x v="35"/>
    <x v="0"/>
    <x v="6"/>
    <x v="8"/>
    <x v="4"/>
    <x v="4"/>
    <x v="9"/>
    <x v="40"/>
    <x v="1"/>
    <x v="16"/>
    <x v="4"/>
    <x v="1"/>
    <x v="6"/>
    <x v="2"/>
    <x v="2"/>
    <x v="2"/>
    <x v="16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22"/>
    <x v="0"/>
    <x v="14"/>
    <x v="9"/>
    <x v="0"/>
    <x v="1"/>
    <x v="18"/>
    <x v="3"/>
    <x v="1"/>
    <x v="35"/>
    <x v="0"/>
    <x v="6"/>
    <x v="8"/>
    <x v="4"/>
    <x v="1"/>
    <x v="0"/>
    <x v="40"/>
    <x v="1"/>
    <x v="1"/>
    <x v="4"/>
    <x v="1"/>
    <x v="6"/>
    <x v="2"/>
    <x v="2"/>
    <x v="2"/>
    <x v="167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23"/>
    <x v="0"/>
    <x v="14"/>
    <x v="9"/>
    <x v="1"/>
    <x v="1"/>
    <x v="18"/>
    <x v="3"/>
    <x v="1"/>
    <x v="35"/>
    <x v="0"/>
    <x v="6"/>
    <x v="8"/>
    <x v="4"/>
    <x v="1"/>
    <x v="0"/>
    <x v="40"/>
    <x v="1"/>
    <x v="1"/>
    <x v="4"/>
    <x v="2"/>
    <x v="3"/>
    <x v="0"/>
    <x v="2"/>
    <x v="2"/>
    <x v="168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24"/>
    <x v="0"/>
    <x v="14"/>
    <x v="9"/>
    <x v="0"/>
    <x v="1"/>
    <x v="18"/>
    <x v="3"/>
    <x v="1"/>
    <x v="35"/>
    <x v="0"/>
    <x v="6"/>
    <x v="8"/>
    <x v="4"/>
    <x v="4"/>
    <x v="2"/>
    <x v="40"/>
    <x v="1"/>
    <x v="14"/>
    <x v="4"/>
    <x v="1"/>
    <x v="6"/>
    <x v="2"/>
    <x v="2"/>
    <x v="2"/>
    <x v="169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25"/>
    <x v="0"/>
    <x v="14"/>
    <x v="9"/>
    <x v="2"/>
    <x v="1"/>
    <x v="18"/>
    <x v="3"/>
    <x v="1"/>
    <x v="35"/>
    <x v="0"/>
    <x v="6"/>
    <x v="8"/>
    <x v="4"/>
    <x v="4"/>
    <x v="2"/>
    <x v="40"/>
    <x v="1"/>
    <x v="14"/>
    <x v="4"/>
    <x v="2"/>
    <x v="3"/>
    <x v="0"/>
    <x v="2"/>
    <x v="2"/>
    <x v="170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26"/>
    <x v="0"/>
    <x v="14"/>
    <x v="9"/>
    <x v="2"/>
    <x v="1"/>
    <x v="18"/>
    <x v="3"/>
    <x v="1"/>
    <x v="35"/>
    <x v="0"/>
    <x v="6"/>
    <x v="8"/>
    <x v="4"/>
    <x v="4"/>
    <x v="2"/>
    <x v="40"/>
    <x v="1"/>
    <x v="14"/>
    <x v="4"/>
    <x v="1"/>
    <x v="6"/>
    <x v="2"/>
    <x v="2"/>
    <x v="2"/>
    <x v="171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27"/>
    <x v="0"/>
    <x v="14"/>
    <x v="9"/>
    <x v="4"/>
    <x v="1"/>
    <x v="18"/>
    <x v="3"/>
    <x v="1"/>
    <x v="35"/>
    <x v="0"/>
    <x v="6"/>
    <x v="8"/>
    <x v="4"/>
    <x v="4"/>
    <x v="2"/>
    <x v="40"/>
    <x v="1"/>
    <x v="14"/>
    <x v="4"/>
    <x v="2"/>
    <x v="3"/>
    <x v="0"/>
    <x v="2"/>
    <x v="2"/>
    <x v="172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28"/>
    <x v="0"/>
    <x v="14"/>
    <x v="9"/>
    <x v="4"/>
    <x v="1"/>
    <x v="18"/>
    <x v="3"/>
    <x v="1"/>
    <x v="35"/>
    <x v="0"/>
    <x v="6"/>
    <x v="8"/>
    <x v="4"/>
    <x v="4"/>
    <x v="2"/>
    <x v="40"/>
    <x v="1"/>
    <x v="14"/>
    <x v="4"/>
    <x v="1"/>
    <x v="6"/>
    <x v="2"/>
    <x v="2"/>
    <x v="2"/>
    <x v="173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29"/>
    <x v="0"/>
    <x v="14"/>
    <x v="9"/>
    <x v="1"/>
    <x v="1"/>
    <x v="18"/>
    <x v="3"/>
    <x v="1"/>
    <x v="35"/>
    <x v="0"/>
    <x v="6"/>
    <x v="8"/>
    <x v="4"/>
    <x v="4"/>
    <x v="9"/>
    <x v="40"/>
    <x v="1"/>
    <x v="16"/>
    <x v="4"/>
    <x v="2"/>
    <x v="3"/>
    <x v="0"/>
    <x v="2"/>
    <x v="2"/>
    <x v="174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30"/>
    <x v="0"/>
    <x v="14"/>
    <x v="9"/>
    <x v="0"/>
    <x v="1"/>
    <x v="18"/>
    <x v="3"/>
    <x v="2"/>
    <x v="35"/>
    <x v="0"/>
    <x v="6"/>
    <x v="8"/>
    <x v="4"/>
    <x v="4"/>
    <x v="2"/>
    <x v="40"/>
    <x v="1"/>
    <x v="14"/>
    <x v="4"/>
    <x v="1"/>
    <x v="6"/>
    <x v="2"/>
    <x v="2"/>
    <x v="2"/>
    <x v="175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31"/>
    <x v="0"/>
    <x v="14"/>
    <x v="9"/>
    <x v="6"/>
    <x v="1"/>
    <x v="18"/>
    <x v="3"/>
    <x v="2"/>
    <x v="35"/>
    <x v="0"/>
    <x v="6"/>
    <x v="8"/>
    <x v="4"/>
    <x v="4"/>
    <x v="2"/>
    <x v="40"/>
    <x v="1"/>
    <x v="14"/>
    <x v="4"/>
    <x v="0"/>
    <x v="0"/>
    <x v="2"/>
    <x v="2"/>
    <x v="2"/>
    <x v="176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32"/>
    <x v="0"/>
    <x v="14"/>
    <x v="9"/>
    <x v="0"/>
    <x v="1"/>
    <x v="18"/>
    <x v="3"/>
    <x v="3"/>
    <x v="35"/>
    <x v="0"/>
    <x v="6"/>
    <x v="8"/>
    <x v="4"/>
    <x v="1"/>
    <x v="0"/>
    <x v="40"/>
    <x v="1"/>
    <x v="1"/>
    <x v="4"/>
    <x v="1"/>
    <x v="6"/>
    <x v="2"/>
    <x v="2"/>
    <x v="2"/>
    <x v="177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33"/>
    <x v="0"/>
    <x v="14"/>
    <x v="9"/>
    <x v="1"/>
    <x v="1"/>
    <x v="18"/>
    <x v="3"/>
    <x v="3"/>
    <x v="35"/>
    <x v="0"/>
    <x v="6"/>
    <x v="8"/>
    <x v="4"/>
    <x v="1"/>
    <x v="0"/>
    <x v="40"/>
    <x v="1"/>
    <x v="1"/>
    <x v="4"/>
    <x v="2"/>
    <x v="3"/>
    <x v="0"/>
    <x v="2"/>
    <x v="2"/>
    <x v="178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34"/>
    <x v="0"/>
    <x v="14"/>
    <x v="9"/>
    <x v="8"/>
    <x v="1"/>
    <x v="18"/>
    <x v="3"/>
    <x v="3"/>
    <x v="35"/>
    <x v="0"/>
    <x v="6"/>
    <x v="8"/>
    <x v="4"/>
    <x v="1"/>
    <x v="0"/>
    <x v="40"/>
    <x v="1"/>
    <x v="1"/>
    <x v="4"/>
    <x v="2"/>
    <x v="3"/>
    <x v="0"/>
    <x v="2"/>
    <x v="2"/>
    <x v="179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35"/>
    <x v="0"/>
    <x v="14"/>
    <x v="9"/>
    <x v="0"/>
    <x v="1"/>
    <x v="18"/>
    <x v="3"/>
    <x v="3"/>
    <x v="35"/>
    <x v="0"/>
    <x v="6"/>
    <x v="8"/>
    <x v="4"/>
    <x v="4"/>
    <x v="2"/>
    <x v="40"/>
    <x v="1"/>
    <x v="14"/>
    <x v="4"/>
    <x v="1"/>
    <x v="6"/>
    <x v="2"/>
    <x v="2"/>
    <x v="2"/>
    <x v="180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36"/>
    <x v="0"/>
    <x v="14"/>
    <x v="9"/>
    <x v="2"/>
    <x v="1"/>
    <x v="18"/>
    <x v="3"/>
    <x v="3"/>
    <x v="35"/>
    <x v="0"/>
    <x v="6"/>
    <x v="8"/>
    <x v="4"/>
    <x v="4"/>
    <x v="2"/>
    <x v="40"/>
    <x v="1"/>
    <x v="14"/>
    <x v="4"/>
    <x v="2"/>
    <x v="3"/>
    <x v="0"/>
    <x v="2"/>
    <x v="2"/>
    <x v="181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37"/>
    <x v="0"/>
    <x v="14"/>
    <x v="9"/>
    <x v="2"/>
    <x v="1"/>
    <x v="18"/>
    <x v="3"/>
    <x v="3"/>
    <x v="35"/>
    <x v="0"/>
    <x v="6"/>
    <x v="8"/>
    <x v="4"/>
    <x v="4"/>
    <x v="2"/>
    <x v="40"/>
    <x v="1"/>
    <x v="14"/>
    <x v="4"/>
    <x v="1"/>
    <x v="6"/>
    <x v="2"/>
    <x v="2"/>
    <x v="2"/>
    <x v="182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38"/>
    <x v="0"/>
    <x v="14"/>
    <x v="9"/>
    <x v="4"/>
    <x v="1"/>
    <x v="18"/>
    <x v="3"/>
    <x v="3"/>
    <x v="35"/>
    <x v="0"/>
    <x v="6"/>
    <x v="8"/>
    <x v="4"/>
    <x v="4"/>
    <x v="2"/>
    <x v="40"/>
    <x v="1"/>
    <x v="14"/>
    <x v="4"/>
    <x v="2"/>
    <x v="3"/>
    <x v="0"/>
    <x v="2"/>
    <x v="2"/>
    <x v="183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39"/>
    <x v="0"/>
    <x v="14"/>
    <x v="9"/>
    <x v="4"/>
    <x v="1"/>
    <x v="18"/>
    <x v="3"/>
    <x v="3"/>
    <x v="35"/>
    <x v="0"/>
    <x v="6"/>
    <x v="8"/>
    <x v="4"/>
    <x v="4"/>
    <x v="2"/>
    <x v="40"/>
    <x v="1"/>
    <x v="14"/>
    <x v="4"/>
    <x v="1"/>
    <x v="6"/>
    <x v="2"/>
    <x v="2"/>
    <x v="2"/>
    <x v="184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40"/>
    <x v="0"/>
    <x v="14"/>
    <x v="9"/>
    <x v="9"/>
    <x v="1"/>
    <x v="18"/>
    <x v="3"/>
    <x v="3"/>
    <x v="35"/>
    <x v="0"/>
    <x v="6"/>
    <x v="8"/>
    <x v="4"/>
    <x v="4"/>
    <x v="2"/>
    <x v="40"/>
    <x v="1"/>
    <x v="14"/>
    <x v="4"/>
    <x v="2"/>
    <x v="3"/>
    <x v="0"/>
    <x v="2"/>
    <x v="2"/>
    <x v="185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41"/>
    <x v="0"/>
    <x v="14"/>
    <x v="9"/>
    <x v="9"/>
    <x v="1"/>
    <x v="18"/>
    <x v="3"/>
    <x v="3"/>
    <x v="35"/>
    <x v="0"/>
    <x v="6"/>
    <x v="8"/>
    <x v="4"/>
    <x v="4"/>
    <x v="2"/>
    <x v="40"/>
    <x v="1"/>
    <x v="14"/>
    <x v="4"/>
    <x v="1"/>
    <x v="6"/>
    <x v="2"/>
    <x v="2"/>
    <x v="2"/>
    <x v="18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42"/>
    <x v="0"/>
    <x v="14"/>
    <x v="9"/>
    <x v="1"/>
    <x v="1"/>
    <x v="18"/>
    <x v="3"/>
    <x v="3"/>
    <x v="35"/>
    <x v="0"/>
    <x v="6"/>
    <x v="8"/>
    <x v="4"/>
    <x v="4"/>
    <x v="6"/>
    <x v="40"/>
    <x v="1"/>
    <x v="15"/>
    <x v="4"/>
    <x v="2"/>
    <x v="3"/>
    <x v="0"/>
    <x v="2"/>
    <x v="2"/>
    <x v="187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43"/>
    <x v="0"/>
    <x v="14"/>
    <x v="9"/>
    <x v="8"/>
    <x v="1"/>
    <x v="18"/>
    <x v="3"/>
    <x v="3"/>
    <x v="35"/>
    <x v="0"/>
    <x v="6"/>
    <x v="8"/>
    <x v="4"/>
    <x v="4"/>
    <x v="6"/>
    <x v="40"/>
    <x v="1"/>
    <x v="15"/>
    <x v="4"/>
    <x v="2"/>
    <x v="3"/>
    <x v="0"/>
    <x v="2"/>
    <x v="2"/>
    <x v="188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44"/>
    <x v="0"/>
    <x v="14"/>
    <x v="9"/>
    <x v="1"/>
    <x v="1"/>
    <x v="18"/>
    <x v="3"/>
    <x v="3"/>
    <x v="35"/>
    <x v="0"/>
    <x v="6"/>
    <x v="8"/>
    <x v="4"/>
    <x v="4"/>
    <x v="9"/>
    <x v="40"/>
    <x v="1"/>
    <x v="16"/>
    <x v="4"/>
    <x v="2"/>
    <x v="3"/>
    <x v="0"/>
    <x v="2"/>
    <x v="2"/>
    <x v="189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45"/>
    <x v="0"/>
    <x v="14"/>
    <x v="9"/>
    <x v="8"/>
    <x v="1"/>
    <x v="18"/>
    <x v="3"/>
    <x v="3"/>
    <x v="35"/>
    <x v="0"/>
    <x v="6"/>
    <x v="8"/>
    <x v="4"/>
    <x v="4"/>
    <x v="9"/>
    <x v="40"/>
    <x v="1"/>
    <x v="16"/>
    <x v="4"/>
    <x v="2"/>
    <x v="3"/>
    <x v="0"/>
    <x v="2"/>
    <x v="2"/>
    <x v="190"/>
    <x v="0"/>
    <x v="0"/>
    <x v="0"/>
    <x v="0"/>
    <x v="0"/>
    <x v="1"/>
    <x v="0"/>
    <x v="1"/>
    <x v="0"/>
    <x v="0"/>
    <x v="0"/>
    <x v="0"/>
    <x v="0"/>
    <x v="0"/>
    <x v="0"/>
    <x v="0"/>
  </r>
  <r>
    <x v="156"/>
    <x v="2446"/>
    <x v="0"/>
    <x v="14"/>
    <x v="8"/>
    <x v="11"/>
    <x v="1"/>
    <x v="18"/>
    <x v="3"/>
    <x v="4"/>
    <x v="35"/>
    <x v="0"/>
    <x v="6"/>
    <x v="8"/>
    <x v="4"/>
    <x v="4"/>
    <x v="9"/>
    <x v="40"/>
    <x v="1"/>
    <x v="22"/>
    <x v="4"/>
    <x v="2"/>
    <x v="3"/>
    <x v="2"/>
    <x v="2"/>
    <x v="2"/>
    <x v="161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47"/>
    <x v="0"/>
    <x v="14"/>
    <x v="23"/>
    <x v="11"/>
    <x v="1"/>
    <x v="18"/>
    <x v="3"/>
    <x v="4"/>
    <x v="35"/>
    <x v="0"/>
    <x v="6"/>
    <x v="8"/>
    <x v="4"/>
    <x v="4"/>
    <x v="9"/>
    <x v="40"/>
    <x v="1"/>
    <x v="22"/>
    <x v="4"/>
    <x v="2"/>
    <x v="3"/>
    <x v="2"/>
    <x v="2"/>
    <x v="2"/>
    <x v="191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48"/>
    <x v="0"/>
    <x v="14"/>
    <x v="83"/>
    <x v="8"/>
    <x v="1"/>
    <x v="18"/>
    <x v="3"/>
    <x v="4"/>
    <x v="35"/>
    <x v="0"/>
    <x v="6"/>
    <x v="8"/>
    <x v="4"/>
    <x v="1"/>
    <x v="0"/>
    <x v="40"/>
    <x v="1"/>
    <x v="22"/>
    <x v="4"/>
    <x v="2"/>
    <x v="3"/>
    <x v="2"/>
    <x v="2"/>
    <x v="2"/>
    <x v="193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449"/>
    <x v="0"/>
    <x v="14"/>
    <x v="83"/>
    <x v="1"/>
    <x v="1"/>
    <x v="18"/>
    <x v="3"/>
    <x v="4"/>
    <x v="35"/>
    <x v="0"/>
    <x v="6"/>
    <x v="8"/>
    <x v="4"/>
    <x v="1"/>
    <x v="0"/>
    <x v="40"/>
    <x v="3"/>
    <x v="22"/>
    <x v="4"/>
    <x v="2"/>
    <x v="3"/>
    <x v="2"/>
    <x v="2"/>
    <x v="2"/>
    <x v="192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0"/>
    <x v="0"/>
    <x v="15"/>
    <x v="0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1"/>
    <x v="0"/>
    <x v="15"/>
    <x v="0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2"/>
    <x v="0"/>
    <x v="15"/>
    <x v="0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3"/>
    <x v="0"/>
    <x v="15"/>
    <x v="0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4"/>
    <x v="0"/>
    <x v="15"/>
    <x v="0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5"/>
    <x v="0"/>
    <x v="15"/>
    <x v="0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6"/>
    <x v="0"/>
    <x v="15"/>
    <x v="0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7"/>
    <x v="0"/>
    <x v="15"/>
    <x v="0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8"/>
    <x v="0"/>
    <x v="15"/>
    <x v="0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19"/>
    <x v="0"/>
    <x v="15"/>
    <x v="0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0"/>
    <x v="0"/>
    <x v="15"/>
    <x v="0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1"/>
    <x v="0"/>
    <x v="15"/>
    <x v="0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2"/>
    <x v="0"/>
    <x v="15"/>
    <x v="0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3"/>
    <x v="0"/>
    <x v="15"/>
    <x v="0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4"/>
    <x v="0"/>
    <x v="15"/>
    <x v="0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5"/>
    <x v="0"/>
    <x v="15"/>
    <x v="0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6"/>
    <x v="0"/>
    <x v="15"/>
    <x v="0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7"/>
    <x v="0"/>
    <x v="15"/>
    <x v="0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8"/>
    <x v="0"/>
    <x v="15"/>
    <x v="0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29"/>
    <x v="0"/>
    <x v="15"/>
    <x v="0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0"/>
    <x v="0"/>
    <x v="15"/>
    <x v="0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1"/>
    <x v="0"/>
    <x v="15"/>
    <x v="0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2"/>
    <x v="0"/>
    <x v="15"/>
    <x v="0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3"/>
    <x v="0"/>
    <x v="15"/>
    <x v="0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4"/>
    <x v="0"/>
    <x v="15"/>
    <x v="0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5"/>
    <x v="0"/>
    <x v="15"/>
    <x v="0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6"/>
    <x v="0"/>
    <x v="15"/>
    <x v="0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7"/>
    <x v="0"/>
    <x v="15"/>
    <x v="0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8"/>
    <x v="0"/>
    <x v="15"/>
    <x v="0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39"/>
    <x v="0"/>
    <x v="15"/>
    <x v="25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0"/>
    <x v="0"/>
    <x v="15"/>
    <x v="25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1"/>
    <x v="0"/>
    <x v="15"/>
    <x v="25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2"/>
    <x v="0"/>
    <x v="15"/>
    <x v="25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3"/>
    <x v="0"/>
    <x v="15"/>
    <x v="25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4"/>
    <x v="0"/>
    <x v="15"/>
    <x v="25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5"/>
    <x v="0"/>
    <x v="15"/>
    <x v="25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6"/>
    <x v="0"/>
    <x v="15"/>
    <x v="25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7"/>
    <x v="0"/>
    <x v="15"/>
    <x v="25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8"/>
    <x v="0"/>
    <x v="15"/>
    <x v="25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49"/>
    <x v="0"/>
    <x v="15"/>
    <x v="25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0"/>
    <x v="0"/>
    <x v="15"/>
    <x v="25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1"/>
    <x v="0"/>
    <x v="15"/>
    <x v="25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2"/>
    <x v="0"/>
    <x v="15"/>
    <x v="25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3"/>
    <x v="0"/>
    <x v="15"/>
    <x v="25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4"/>
    <x v="0"/>
    <x v="15"/>
    <x v="25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5"/>
    <x v="0"/>
    <x v="15"/>
    <x v="25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6"/>
    <x v="0"/>
    <x v="15"/>
    <x v="25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7"/>
    <x v="0"/>
    <x v="15"/>
    <x v="25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8"/>
    <x v="0"/>
    <x v="15"/>
    <x v="25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59"/>
    <x v="0"/>
    <x v="15"/>
    <x v="25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0"/>
    <x v="0"/>
    <x v="15"/>
    <x v="25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1"/>
    <x v="0"/>
    <x v="15"/>
    <x v="25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2"/>
    <x v="0"/>
    <x v="15"/>
    <x v="25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3"/>
    <x v="0"/>
    <x v="15"/>
    <x v="25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4"/>
    <x v="0"/>
    <x v="15"/>
    <x v="25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5"/>
    <x v="0"/>
    <x v="15"/>
    <x v="25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6"/>
    <x v="0"/>
    <x v="15"/>
    <x v="25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7"/>
    <x v="0"/>
    <x v="15"/>
    <x v="25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8"/>
    <x v="0"/>
    <x v="15"/>
    <x v="80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69"/>
    <x v="0"/>
    <x v="15"/>
    <x v="80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0"/>
    <x v="0"/>
    <x v="15"/>
    <x v="80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1"/>
    <x v="0"/>
    <x v="15"/>
    <x v="80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2"/>
    <x v="0"/>
    <x v="15"/>
    <x v="80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3"/>
    <x v="0"/>
    <x v="15"/>
    <x v="80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4"/>
    <x v="0"/>
    <x v="15"/>
    <x v="80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5"/>
    <x v="0"/>
    <x v="15"/>
    <x v="80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6"/>
    <x v="0"/>
    <x v="15"/>
    <x v="80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7"/>
    <x v="0"/>
    <x v="15"/>
    <x v="80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8"/>
    <x v="0"/>
    <x v="15"/>
    <x v="80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79"/>
    <x v="0"/>
    <x v="15"/>
    <x v="80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0"/>
    <x v="0"/>
    <x v="15"/>
    <x v="80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1"/>
    <x v="0"/>
    <x v="15"/>
    <x v="80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2"/>
    <x v="0"/>
    <x v="15"/>
    <x v="80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3"/>
    <x v="0"/>
    <x v="15"/>
    <x v="80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4"/>
    <x v="0"/>
    <x v="15"/>
    <x v="80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5"/>
    <x v="0"/>
    <x v="15"/>
    <x v="80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6"/>
    <x v="0"/>
    <x v="15"/>
    <x v="80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7"/>
    <x v="0"/>
    <x v="15"/>
    <x v="80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8"/>
    <x v="0"/>
    <x v="15"/>
    <x v="80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89"/>
    <x v="0"/>
    <x v="15"/>
    <x v="80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0"/>
    <x v="0"/>
    <x v="15"/>
    <x v="80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1"/>
    <x v="0"/>
    <x v="15"/>
    <x v="80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2"/>
    <x v="0"/>
    <x v="15"/>
    <x v="80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3"/>
    <x v="0"/>
    <x v="15"/>
    <x v="80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4"/>
    <x v="0"/>
    <x v="15"/>
    <x v="80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5"/>
    <x v="0"/>
    <x v="15"/>
    <x v="80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6"/>
    <x v="0"/>
    <x v="15"/>
    <x v="80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7"/>
    <x v="0"/>
    <x v="15"/>
    <x v="24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8"/>
    <x v="0"/>
    <x v="15"/>
    <x v="24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99"/>
    <x v="0"/>
    <x v="15"/>
    <x v="24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0"/>
    <x v="0"/>
    <x v="15"/>
    <x v="24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1"/>
    <x v="0"/>
    <x v="15"/>
    <x v="24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2"/>
    <x v="0"/>
    <x v="15"/>
    <x v="24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3"/>
    <x v="0"/>
    <x v="15"/>
    <x v="24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4"/>
    <x v="0"/>
    <x v="15"/>
    <x v="24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5"/>
    <x v="0"/>
    <x v="15"/>
    <x v="24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6"/>
    <x v="0"/>
    <x v="15"/>
    <x v="24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7"/>
    <x v="0"/>
    <x v="15"/>
    <x v="24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8"/>
    <x v="0"/>
    <x v="15"/>
    <x v="24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09"/>
    <x v="0"/>
    <x v="15"/>
    <x v="24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0"/>
    <x v="0"/>
    <x v="15"/>
    <x v="24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1"/>
    <x v="0"/>
    <x v="15"/>
    <x v="24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2"/>
    <x v="0"/>
    <x v="15"/>
    <x v="24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3"/>
    <x v="0"/>
    <x v="15"/>
    <x v="24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4"/>
    <x v="0"/>
    <x v="15"/>
    <x v="24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5"/>
    <x v="0"/>
    <x v="15"/>
    <x v="24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6"/>
    <x v="0"/>
    <x v="15"/>
    <x v="24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7"/>
    <x v="0"/>
    <x v="15"/>
    <x v="24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8"/>
    <x v="0"/>
    <x v="15"/>
    <x v="24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19"/>
    <x v="0"/>
    <x v="15"/>
    <x v="24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0"/>
    <x v="0"/>
    <x v="15"/>
    <x v="24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1"/>
    <x v="0"/>
    <x v="15"/>
    <x v="24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2"/>
    <x v="0"/>
    <x v="15"/>
    <x v="24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3"/>
    <x v="0"/>
    <x v="15"/>
    <x v="24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4"/>
    <x v="0"/>
    <x v="15"/>
    <x v="24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5"/>
    <x v="0"/>
    <x v="15"/>
    <x v="24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6"/>
    <x v="0"/>
    <x v="15"/>
    <x v="30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7"/>
    <x v="0"/>
    <x v="15"/>
    <x v="30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8"/>
    <x v="0"/>
    <x v="15"/>
    <x v="30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29"/>
    <x v="0"/>
    <x v="15"/>
    <x v="30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0"/>
    <x v="0"/>
    <x v="15"/>
    <x v="30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1"/>
    <x v="0"/>
    <x v="15"/>
    <x v="30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2"/>
    <x v="0"/>
    <x v="15"/>
    <x v="30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3"/>
    <x v="0"/>
    <x v="15"/>
    <x v="30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4"/>
    <x v="0"/>
    <x v="15"/>
    <x v="30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5"/>
    <x v="0"/>
    <x v="15"/>
    <x v="30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6"/>
    <x v="0"/>
    <x v="15"/>
    <x v="30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7"/>
    <x v="0"/>
    <x v="15"/>
    <x v="30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8"/>
    <x v="0"/>
    <x v="15"/>
    <x v="30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39"/>
    <x v="0"/>
    <x v="15"/>
    <x v="30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0"/>
    <x v="0"/>
    <x v="15"/>
    <x v="30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1"/>
    <x v="0"/>
    <x v="15"/>
    <x v="30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2"/>
    <x v="0"/>
    <x v="15"/>
    <x v="30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3"/>
    <x v="0"/>
    <x v="15"/>
    <x v="30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4"/>
    <x v="0"/>
    <x v="15"/>
    <x v="30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5"/>
    <x v="0"/>
    <x v="15"/>
    <x v="30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6"/>
    <x v="0"/>
    <x v="15"/>
    <x v="30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7"/>
    <x v="0"/>
    <x v="15"/>
    <x v="30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8"/>
    <x v="0"/>
    <x v="15"/>
    <x v="30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49"/>
    <x v="0"/>
    <x v="15"/>
    <x v="30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0"/>
    <x v="0"/>
    <x v="15"/>
    <x v="30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1"/>
    <x v="0"/>
    <x v="15"/>
    <x v="30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2"/>
    <x v="0"/>
    <x v="15"/>
    <x v="30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3"/>
    <x v="0"/>
    <x v="15"/>
    <x v="30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4"/>
    <x v="0"/>
    <x v="15"/>
    <x v="30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5"/>
    <x v="0"/>
    <x v="15"/>
    <x v="29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6"/>
    <x v="0"/>
    <x v="15"/>
    <x v="29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7"/>
    <x v="0"/>
    <x v="15"/>
    <x v="29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8"/>
    <x v="0"/>
    <x v="15"/>
    <x v="29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59"/>
    <x v="0"/>
    <x v="15"/>
    <x v="29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0"/>
    <x v="0"/>
    <x v="15"/>
    <x v="29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1"/>
    <x v="0"/>
    <x v="15"/>
    <x v="29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2"/>
    <x v="0"/>
    <x v="15"/>
    <x v="29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3"/>
    <x v="0"/>
    <x v="15"/>
    <x v="29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4"/>
    <x v="0"/>
    <x v="15"/>
    <x v="29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5"/>
    <x v="0"/>
    <x v="15"/>
    <x v="29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6"/>
    <x v="0"/>
    <x v="15"/>
    <x v="29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7"/>
    <x v="0"/>
    <x v="15"/>
    <x v="29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8"/>
    <x v="0"/>
    <x v="15"/>
    <x v="29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69"/>
    <x v="0"/>
    <x v="15"/>
    <x v="29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0"/>
    <x v="0"/>
    <x v="15"/>
    <x v="29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1"/>
    <x v="0"/>
    <x v="15"/>
    <x v="29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2"/>
    <x v="0"/>
    <x v="15"/>
    <x v="29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3"/>
    <x v="0"/>
    <x v="15"/>
    <x v="29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4"/>
    <x v="0"/>
    <x v="15"/>
    <x v="29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5"/>
    <x v="0"/>
    <x v="15"/>
    <x v="29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6"/>
    <x v="0"/>
    <x v="15"/>
    <x v="29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7"/>
    <x v="0"/>
    <x v="15"/>
    <x v="29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8"/>
    <x v="0"/>
    <x v="15"/>
    <x v="29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79"/>
    <x v="0"/>
    <x v="15"/>
    <x v="29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0"/>
    <x v="0"/>
    <x v="15"/>
    <x v="29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1"/>
    <x v="0"/>
    <x v="15"/>
    <x v="29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2"/>
    <x v="0"/>
    <x v="15"/>
    <x v="29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3"/>
    <x v="0"/>
    <x v="15"/>
    <x v="29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4"/>
    <x v="0"/>
    <x v="15"/>
    <x v="93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5"/>
    <x v="0"/>
    <x v="15"/>
    <x v="93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6"/>
    <x v="0"/>
    <x v="15"/>
    <x v="93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7"/>
    <x v="0"/>
    <x v="15"/>
    <x v="93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8"/>
    <x v="0"/>
    <x v="15"/>
    <x v="93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89"/>
    <x v="0"/>
    <x v="15"/>
    <x v="93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0"/>
    <x v="0"/>
    <x v="15"/>
    <x v="93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1"/>
    <x v="0"/>
    <x v="15"/>
    <x v="93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2"/>
    <x v="0"/>
    <x v="15"/>
    <x v="93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3"/>
    <x v="0"/>
    <x v="15"/>
    <x v="93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4"/>
    <x v="0"/>
    <x v="15"/>
    <x v="93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5"/>
    <x v="0"/>
    <x v="15"/>
    <x v="93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6"/>
    <x v="0"/>
    <x v="15"/>
    <x v="93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7"/>
    <x v="0"/>
    <x v="15"/>
    <x v="93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8"/>
    <x v="0"/>
    <x v="15"/>
    <x v="93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199"/>
    <x v="0"/>
    <x v="15"/>
    <x v="93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0"/>
    <x v="0"/>
    <x v="15"/>
    <x v="93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1"/>
    <x v="0"/>
    <x v="15"/>
    <x v="93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2"/>
    <x v="0"/>
    <x v="15"/>
    <x v="93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3"/>
    <x v="0"/>
    <x v="15"/>
    <x v="93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4"/>
    <x v="0"/>
    <x v="15"/>
    <x v="93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5"/>
    <x v="0"/>
    <x v="15"/>
    <x v="93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6"/>
    <x v="0"/>
    <x v="15"/>
    <x v="93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7"/>
    <x v="0"/>
    <x v="15"/>
    <x v="93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8"/>
    <x v="0"/>
    <x v="15"/>
    <x v="93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09"/>
    <x v="0"/>
    <x v="15"/>
    <x v="93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0"/>
    <x v="0"/>
    <x v="15"/>
    <x v="93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1"/>
    <x v="0"/>
    <x v="15"/>
    <x v="93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2"/>
    <x v="0"/>
    <x v="15"/>
    <x v="93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3"/>
    <x v="0"/>
    <x v="15"/>
    <x v="35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4"/>
    <x v="0"/>
    <x v="15"/>
    <x v="35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5"/>
    <x v="0"/>
    <x v="15"/>
    <x v="35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6"/>
    <x v="0"/>
    <x v="15"/>
    <x v="35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7"/>
    <x v="0"/>
    <x v="15"/>
    <x v="35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8"/>
    <x v="0"/>
    <x v="15"/>
    <x v="35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19"/>
    <x v="0"/>
    <x v="15"/>
    <x v="35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0"/>
    <x v="0"/>
    <x v="15"/>
    <x v="35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1"/>
    <x v="0"/>
    <x v="15"/>
    <x v="35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2"/>
    <x v="0"/>
    <x v="15"/>
    <x v="35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3"/>
    <x v="0"/>
    <x v="15"/>
    <x v="35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4"/>
    <x v="0"/>
    <x v="15"/>
    <x v="35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5"/>
    <x v="0"/>
    <x v="15"/>
    <x v="35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6"/>
    <x v="0"/>
    <x v="15"/>
    <x v="35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7"/>
    <x v="0"/>
    <x v="15"/>
    <x v="35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8"/>
    <x v="0"/>
    <x v="15"/>
    <x v="35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29"/>
    <x v="0"/>
    <x v="15"/>
    <x v="35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0"/>
    <x v="0"/>
    <x v="15"/>
    <x v="35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1"/>
    <x v="0"/>
    <x v="15"/>
    <x v="35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2"/>
    <x v="0"/>
    <x v="15"/>
    <x v="35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3"/>
    <x v="0"/>
    <x v="15"/>
    <x v="35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4"/>
    <x v="0"/>
    <x v="15"/>
    <x v="35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5"/>
    <x v="0"/>
    <x v="15"/>
    <x v="35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6"/>
    <x v="0"/>
    <x v="15"/>
    <x v="35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7"/>
    <x v="0"/>
    <x v="15"/>
    <x v="35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8"/>
    <x v="0"/>
    <x v="15"/>
    <x v="35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39"/>
    <x v="0"/>
    <x v="15"/>
    <x v="35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0"/>
    <x v="0"/>
    <x v="15"/>
    <x v="35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1"/>
    <x v="0"/>
    <x v="15"/>
    <x v="35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2"/>
    <x v="0"/>
    <x v="15"/>
    <x v="15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3"/>
    <x v="0"/>
    <x v="15"/>
    <x v="15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4"/>
    <x v="0"/>
    <x v="15"/>
    <x v="15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5"/>
    <x v="0"/>
    <x v="15"/>
    <x v="15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6"/>
    <x v="0"/>
    <x v="15"/>
    <x v="15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7"/>
    <x v="0"/>
    <x v="15"/>
    <x v="15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8"/>
    <x v="0"/>
    <x v="15"/>
    <x v="15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49"/>
    <x v="0"/>
    <x v="15"/>
    <x v="15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0"/>
    <x v="0"/>
    <x v="15"/>
    <x v="15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1"/>
    <x v="0"/>
    <x v="15"/>
    <x v="15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2"/>
    <x v="0"/>
    <x v="15"/>
    <x v="15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3"/>
    <x v="0"/>
    <x v="15"/>
    <x v="15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4"/>
    <x v="0"/>
    <x v="15"/>
    <x v="15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5"/>
    <x v="0"/>
    <x v="15"/>
    <x v="15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6"/>
    <x v="0"/>
    <x v="15"/>
    <x v="15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7"/>
    <x v="0"/>
    <x v="15"/>
    <x v="15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8"/>
    <x v="0"/>
    <x v="15"/>
    <x v="15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59"/>
    <x v="0"/>
    <x v="15"/>
    <x v="15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0"/>
    <x v="0"/>
    <x v="15"/>
    <x v="15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1"/>
    <x v="0"/>
    <x v="15"/>
    <x v="15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2"/>
    <x v="0"/>
    <x v="15"/>
    <x v="15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3"/>
    <x v="0"/>
    <x v="15"/>
    <x v="15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4"/>
    <x v="0"/>
    <x v="15"/>
    <x v="15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5"/>
    <x v="0"/>
    <x v="15"/>
    <x v="15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6"/>
    <x v="0"/>
    <x v="15"/>
    <x v="15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7"/>
    <x v="0"/>
    <x v="15"/>
    <x v="15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8"/>
    <x v="0"/>
    <x v="15"/>
    <x v="15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69"/>
    <x v="0"/>
    <x v="15"/>
    <x v="15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0"/>
    <x v="0"/>
    <x v="15"/>
    <x v="15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1"/>
    <x v="0"/>
    <x v="15"/>
    <x v="37"/>
    <x v="11"/>
    <x v="1"/>
    <x v="18"/>
    <x v="3"/>
    <x v="4"/>
    <x v="35"/>
    <x v="0"/>
    <x v="6"/>
    <x v="8"/>
    <x v="4"/>
    <x v="1"/>
    <x v="11"/>
    <x v="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2"/>
    <x v="0"/>
    <x v="15"/>
    <x v="37"/>
    <x v="11"/>
    <x v="1"/>
    <x v="18"/>
    <x v="3"/>
    <x v="4"/>
    <x v="3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3"/>
    <x v="0"/>
    <x v="15"/>
    <x v="37"/>
    <x v="11"/>
    <x v="1"/>
    <x v="18"/>
    <x v="3"/>
    <x v="4"/>
    <x v="3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4"/>
    <x v="0"/>
    <x v="15"/>
    <x v="37"/>
    <x v="11"/>
    <x v="1"/>
    <x v="18"/>
    <x v="3"/>
    <x v="4"/>
    <x v="35"/>
    <x v="0"/>
    <x v="6"/>
    <x v="8"/>
    <x v="4"/>
    <x v="1"/>
    <x v="11"/>
    <x v="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5"/>
    <x v="0"/>
    <x v="15"/>
    <x v="37"/>
    <x v="11"/>
    <x v="1"/>
    <x v="18"/>
    <x v="3"/>
    <x v="4"/>
    <x v="3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6"/>
    <x v="0"/>
    <x v="15"/>
    <x v="37"/>
    <x v="11"/>
    <x v="1"/>
    <x v="18"/>
    <x v="3"/>
    <x v="4"/>
    <x v="3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7"/>
    <x v="0"/>
    <x v="15"/>
    <x v="37"/>
    <x v="11"/>
    <x v="1"/>
    <x v="18"/>
    <x v="3"/>
    <x v="4"/>
    <x v="35"/>
    <x v="0"/>
    <x v="6"/>
    <x v="8"/>
    <x v="4"/>
    <x v="1"/>
    <x v="11"/>
    <x v="1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8"/>
    <x v="0"/>
    <x v="15"/>
    <x v="37"/>
    <x v="11"/>
    <x v="1"/>
    <x v="18"/>
    <x v="3"/>
    <x v="4"/>
    <x v="3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79"/>
    <x v="0"/>
    <x v="15"/>
    <x v="37"/>
    <x v="11"/>
    <x v="1"/>
    <x v="18"/>
    <x v="3"/>
    <x v="4"/>
    <x v="3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0"/>
    <x v="0"/>
    <x v="15"/>
    <x v="37"/>
    <x v="11"/>
    <x v="1"/>
    <x v="18"/>
    <x v="3"/>
    <x v="4"/>
    <x v="3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1"/>
    <x v="0"/>
    <x v="15"/>
    <x v="37"/>
    <x v="11"/>
    <x v="1"/>
    <x v="18"/>
    <x v="3"/>
    <x v="4"/>
    <x v="3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2"/>
    <x v="0"/>
    <x v="15"/>
    <x v="37"/>
    <x v="11"/>
    <x v="1"/>
    <x v="18"/>
    <x v="3"/>
    <x v="4"/>
    <x v="3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3"/>
    <x v="0"/>
    <x v="15"/>
    <x v="37"/>
    <x v="11"/>
    <x v="1"/>
    <x v="18"/>
    <x v="3"/>
    <x v="4"/>
    <x v="3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4"/>
    <x v="0"/>
    <x v="15"/>
    <x v="37"/>
    <x v="11"/>
    <x v="1"/>
    <x v="18"/>
    <x v="3"/>
    <x v="4"/>
    <x v="3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5"/>
    <x v="0"/>
    <x v="15"/>
    <x v="37"/>
    <x v="11"/>
    <x v="1"/>
    <x v="18"/>
    <x v="3"/>
    <x v="4"/>
    <x v="35"/>
    <x v="0"/>
    <x v="6"/>
    <x v="8"/>
    <x v="4"/>
    <x v="1"/>
    <x v="11"/>
    <x v="2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6"/>
    <x v="0"/>
    <x v="15"/>
    <x v="37"/>
    <x v="11"/>
    <x v="1"/>
    <x v="18"/>
    <x v="3"/>
    <x v="4"/>
    <x v="35"/>
    <x v="0"/>
    <x v="6"/>
    <x v="8"/>
    <x v="4"/>
    <x v="1"/>
    <x v="11"/>
    <x v="2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7"/>
    <x v="0"/>
    <x v="15"/>
    <x v="37"/>
    <x v="11"/>
    <x v="1"/>
    <x v="18"/>
    <x v="3"/>
    <x v="4"/>
    <x v="35"/>
    <x v="0"/>
    <x v="6"/>
    <x v="8"/>
    <x v="4"/>
    <x v="1"/>
    <x v="11"/>
    <x v="2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8"/>
    <x v="0"/>
    <x v="15"/>
    <x v="37"/>
    <x v="11"/>
    <x v="1"/>
    <x v="18"/>
    <x v="3"/>
    <x v="4"/>
    <x v="35"/>
    <x v="0"/>
    <x v="6"/>
    <x v="8"/>
    <x v="4"/>
    <x v="1"/>
    <x v="11"/>
    <x v="2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89"/>
    <x v="0"/>
    <x v="15"/>
    <x v="37"/>
    <x v="11"/>
    <x v="1"/>
    <x v="18"/>
    <x v="3"/>
    <x v="4"/>
    <x v="35"/>
    <x v="0"/>
    <x v="6"/>
    <x v="8"/>
    <x v="4"/>
    <x v="1"/>
    <x v="11"/>
    <x v="2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0"/>
    <x v="0"/>
    <x v="15"/>
    <x v="37"/>
    <x v="11"/>
    <x v="1"/>
    <x v="18"/>
    <x v="3"/>
    <x v="4"/>
    <x v="35"/>
    <x v="0"/>
    <x v="6"/>
    <x v="8"/>
    <x v="4"/>
    <x v="1"/>
    <x v="11"/>
    <x v="2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1"/>
    <x v="0"/>
    <x v="15"/>
    <x v="37"/>
    <x v="11"/>
    <x v="1"/>
    <x v="18"/>
    <x v="3"/>
    <x v="4"/>
    <x v="3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2"/>
    <x v="0"/>
    <x v="15"/>
    <x v="37"/>
    <x v="11"/>
    <x v="1"/>
    <x v="18"/>
    <x v="3"/>
    <x v="4"/>
    <x v="3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3"/>
    <x v="0"/>
    <x v="15"/>
    <x v="37"/>
    <x v="11"/>
    <x v="1"/>
    <x v="18"/>
    <x v="3"/>
    <x v="4"/>
    <x v="3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4"/>
    <x v="0"/>
    <x v="15"/>
    <x v="37"/>
    <x v="11"/>
    <x v="1"/>
    <x v="18"/>
    <x v="3"/>
    <x v="4"/>
    <x v="3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5"/>
    <x v="0"/>
    <x v="15"/>
    <x v="37"/>
    <x v="11"/>
    <x v="1"/>
    <x v="18"/>
    <x v="3"/>
    <x v="4"/>
    <x v="35"/>
    <x v="0"/>
    <x v="6"/>
    <x v="8"/>
    <x v="4"/>
    <x v="1"/>
    <x v="11"/>
    <x v="3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6"/>
    <x v="0"/>
    <x v="15"/>
    <x v="37"/>
    <x v="11"/>
    <x v="1"/>
    <x v="18"/>
    <x v="3"/>
    <x v="4"/>
    <x v="35"/>
    <x v="0"/>
    <x v="6"/>
    <x v="8"/>
    <x v="4"/>
    <x v="1"/>
    <x v="11"/>
    <x v="3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7"/>
    <x v="0"/>
    <x v="15"/>
    <x v="37"/>
    <x v="11"/>
    <x v="1"/>
    <x v="18"/>
    <x v="3"/>
    <x v="4"/>
    <x v="3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8"/>
    <x v="0"/>
    <x v="15"/>
    <x v="37"/>
    <x v="11"/>
    <x v="1"/>
    <x v="18"/>
    <x v="3"/>
    <x v="4"/>
    <x v="3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299"/>
    <x v="0"/>
    <x v="15"/>
    <x v="37"/>
    <x v="11"/>
    <x v="1"/>
    <x v="18"/>
    <x v="3"/>
    <x v="4"/>
    <x v="35"/>
    <x v="0"/>
    <x v="6"/>
    <x v="8"/>
    <x v="4"/>
    <x v="1"/>
    <x v="11"/>
    <x v="3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2"/>
    <x v="0"/>
    <x v="15"/>
    <x v="25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97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3"/>
    <x v="0"/>
    <x v="15"/>
    <x v="0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94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4"/>
    <x v="0"/>
    <x v="15"/>
    <x v="80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2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5"/>
    <x v="0"/>
    <x v="15"/>
    <x v="24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9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6"/>
    <x v="0"/>
    <x v="15"/>
    <x v="30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99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7"/>
    <x v="0"/>
    <x v="15"/>
    <x v="29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98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8"/>
    <x v="0"/>
    <x v="15"/>
    <x v="93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3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49"/>
    <x v="0"/>
    <x v="15"/>
    <x v="35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0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50"/>
    <x v="0"/>
    <x v="15"/>
    <x v="15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195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51"/>
    <x v="0"/>
    <x v="15"/>
    <x v="37"/>
    <x v="11"/>
    <x v="1"/>
    <x v="18"/>
    <x v="3"/>
    <x v="4"/>
    <x v="35"/>
    <x v="0"/>
    <x v="6"/>
    <x v="8"/>
    <x v="4"/>
    <x v="8"/>
    <x v="7"/>
    <x v="40"/>
    <x v="3"/>
    <x v="22"/>
    <x v="4"/>
    <x v="1"/>
    <x v="1"/>
    <x v="2"/>
    <x v="2"/>
    <x v="2"/>
    <x v="201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49"/>
    <x v="0"/>
    <x v="16"/>
    <x v="10"/>
    <x v="11"/>
    <x v="1"/>
    <x v="18"/>
    <x v="3"/>
    <x v="4"/>
    <x v="34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0"/>
    <x v="0"/>
    <x v="16"/>
    <x v="10"/>
    <x v="11"/>
    <x v="1"/>
    <x v="18"/>
    <x v="3"/>
    <x v="4"/>
    <x v="34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1"/>
    <x v="0"/>
    <x v="16"/>
    <x v="10"/>
    <x v="11"/>
    <x v="1"/>
    <x v="18"/>
    <x v="3"/>
    <x v="4"/>
    <x v="34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2"/>
    <x v="0"/>
    <x v="16"/>
    <x v="10"/>
    <x v="11"/>
    <x v="1"/>
    <x v="18"/>
    <x v="3"/>
    <x v="4"/>
    <x v="34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3"/>
    <x v="0"/>
    <x v="16"/>
    <x v="10"/>
    <x v="11"/>
    <x v="1"/>
    <x v="18"/>
    <x v="3"/>
    <x v="4"/>
    <x v="34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4"/>
    <x v="0"/>
    <x v="16"/>
    <x v="10"/>
    <x v="11"/>
    <x v="1"/>
    <x v="18"/>
    <x v="3"/>
    <x v="4"/>
    <x v="34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5"/>
    <x v="0"/>
    <x v="16"/>
    <x v="10"/>
    <x v="11"/>
    <x v="1"/>
    <x v="18"/>
    <x v="3"/>
    <x v="4"/>
    <x v="34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6"/>
    <x v="0"/>
    <x v="16"/>
    <x v="10"/>
    <x v="11"/>
    <x v="1"/>
    <x v="18"/>
    <x v="3"/>
    <x v="4"/>
    <x v="34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7"/>
    <x v="0"/>
    <x v="16"/>
    <x v="10"/>
    <x v="11"/>
    <x v="1"/>
    <x v="18"/>
    <x v="3"/>
    <x v="4"/>
    <x v="34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8"/>
    <x v="0"/>
    <x v="16"/>
    <x v="10"/>
    <x v="11"/>
    <x v="1"/>
    <x v="18"/>
    <x v="3"/>
    <x v="4"/>
    <x v="34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59"/>
    <x v="0"/>
    <x v="16"/>
    <x v="10"/>
    <x v="11"/>
    <x v="1"/>
    <x v="18"/>
    <x v="3"/>
    <x v="4"/>
    <x v="34"/>
    <x v="0"/>
    <x v="6"/>
    <x v="8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0"/>
    <x v="0"/>
    <x v="16"/>
    <x v="10"/>
    <x v="11"/>
    <x v="1"/>
    <x v="18"/>
    <x v="3"/>
    <x v="4"/>
    <x v="34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1"/>
    <x v="0"/>
    <x v="16"/>
    <x v="10"/>
    <x v="11"/>
    <x v="1"/>
    <x v="18"/>
    <x v="3"/>
    <x v="4"/>
    <x v="34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2"/>
    <x v="0"/>
    <x v="16"/>
    <x v="10"/>
    <x v="11"/>
    <x v="1"/>
    <x v="18"/>
    <x v="3"/>
    <x v="4"/>
    <x v="34"/>
    <x v="0"/>
    <x v="6"/>
    <x v="8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3"/>
    <x v="0"/>
    <x v="16"/>
    <x v="10"/>
    <x v="11"/>
    <x v="1"/>
    <x v="18"/>
    <x v="3"/>
    <x v="4"/>
    <x v="34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4"/>
    <x v="0"/>
    <x v="16"/>
    <x v="10"/>
    <x v="11"/>
    <x v="1"/>
    <x v="18"/>
    <x v="3"/>
    <x v="4"/>
    <x v="34"/>
    <x v="0"/>
    <x v="6"/>
    <x v="8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5"/>
    <x v="0"/>
    <x v="16"/>
    <x v="10"/>
    <x v="11"/>
    <x v="1"/>
    <x v="18"/>
    <x v="3"/>
    <x v="4"/>
    <x v="34"/>
    <x v="0"/>
    <x v="6"/>
    <x v="8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6"/>
    <x v="0"/>
    <x v="16"/>
    <x v="10"/>
    <x v="11"/>
    <x v="1"/>
    <x v="18"/>
    <x v="3"/>
    <x v="4"/>
    <x v="34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7"/>
    <x v="0"/>
    <x v="16"/>
    <x v="10"/>
    <x v="11"/>
    <x v="1"/>
    <x v="18"/>
    <x v="3"/>
    <x v="4"/>
    <x v="34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8"/>
    <x v="0"/>
    <x v="16"/>
    <x v="10"/>
    <x v="11"/>
    <x v="1"/>
    <x v="18"/>
    <x v="3"/>
    <x v="4"/>
    <x v="34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69"/>
    <x v="0"/>
    <x v="16"/>
    <x v="10"/>
    <x v="11"/>
    <x v="1"/>
    <x v="18"/>
    <x v="3"/>
    <x v="4"/>
    <x v="34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0"/>
    <x v="0"/>
    <x v="16"/>
    <x v="10"/>
    <x v="11"/>
    <x v="1"/>
    <x v="18"/>
    <x v="3"/>
    <x v="4"/>
    <x v="34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1"/>
    <x v="0"/>
    <x v="16"/>
    <x v="10"/>
    <x v="11"/>
    <x v="1"/>
    <x v="18"/>
    <x v="3"/>
    <x v="4"/>
    <x v="34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2"/>
    <x v="0"/>
    <x v="16"/>
    <x v="11"/>
    <x v="11"/>
    <x v="1"/>
    <x v="18"/>
    <x v="3"/>
    <x v="4"/>
    <x v="34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3"/>
    <x v="0"/>
    <x v="16"/>
    <x v="11"/>
    <x v="11"/>
    <x v="1"/>
    <x v="18"/>
    <x v="3"/>
    <x v="4"/>
    <x v="34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4"/>
    <x v="0"/>
    <x v="16"/>
    <x v="11"/>
    <x v="11"/>
    <x v="1"/>
    <x v="18"/>
    <x v="3"/>
    <x v="4"/>
    <x v="34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5"/>
    <x v="0"/>
    <x v="16"/>
    <x v="11"/>
    <x v="11"/>
    <x v="1"/>
    <x v="18"/>
    <x v="3"/>
    <x v="4"/>
    <x v="34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6"/>
    <x v="0"/>
    <x v="16"/>
    <x v="11"/>
    <x v="11"/>
    <x v="1"/>
    <x v="18"/>
    <x v="3"/>
    <x v="4"/>
    <x v="34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7"/>
    <x v="0"/>
    <x v="16"/>
    <x v="11"/>
    <x v="11"/>
    <x v="1"/>
    <x v="18"/>
    <x v="3"/>
    <x v="4"/>
    <x v="34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8"/>
    <x v="0"/>
    <x v="16"/>
    <x v="11"/>
    <x v="11"/>
    <x v="1"/>
    <x v="18"/>
    <x v="3"/>
    <x v="4"/>
    <x v="34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79"/>
    <x v="0"/>
    <x v="16"/>
    <x v="11"/>
    <x v="11"/>
    <x v="1"/>
    <x v="18"/>
    <x v="3"/>
    <x v="4"/>
    <x v="34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0"/>
    <x v="0"/>
    <x v="16"/>
    <x v="11"/>
    <x v="11"/>
    <x v="1"/>
    <x v="18"/>
    <x v="3"/>
    <x v="4"/>
    <x v="34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1"/>
    <x v="0"/>
    <x v="16"/>
    <x v="11"/>
    <x v="11"/>
    <x v="1"/>
    <x v="18"/>
    <x v="3"/>
    <x v="4"/>
    <x v="34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2"/>
    <x v="0"/>
    <x v="16"/>
    <x v="11"/>
    <x v="11"/>
    <x v="1"/>
    <x v="18"/>
    <x v="3"/>
    <x v="4"/>
    <x v="34"/>
    <x v="0"/>
    <x v="6"/>
    <x v="8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3"/>
    <x v="0"/>
    <x v="16"/>
    <x v="11"/>
    <x v="11"/>
    <x v="1"/>
    <x v="18"/>
    <x v="3"/>
    <x v="4"/>
    <x v="34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4"/>
    <x v="0"/>
    <x v="16"/>
    <x v="11"/>
    <x v="11"/>
    <x v="1"/>
    <x v="18"/>
    <x v="3"/>
    <x v="4"/>
    <x v="34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5"/>
    <x v="0"/>
    <x v="16"/>
    <x v="11"/>
    <x v="11"/>
    <x v="1"/>
    <x v="18"/>
    <x v="3"/>
    <x v="4"/>
    <x v="34"/>
    <x v="0"/>
    <x v="6"/>
    <x v="8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6"/>
    <x v="0"/>
    <x v="16"/>
    <x v="11"/>
    <x v="11"/>
    <x v="1"/>
    <x v="18"/>
    <x v="3"/>
    <x v="4"/>
    <x v="34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7"/>
    <x v="0"/>
    <x v="16"/>
    <x v="11"/>
    <x v="11"/>
    <x v="1"/>
    <x v="18"/>
    <x v="3"/>
    <x v="4"/>
    <x v="34"/>
    <x v="0"/>
    <x v="6"/>
    <x v="8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8"/>
    <x v="0"/>
    <x v="16"/>
    <x v="11"/>
    <x v="11"/>
    <x v="1"/>
    <x v="18"/>
    <x v="3"/>
    <x v="4"/>
    <x v="34"/>
    <x v="0"/>
    <x v="6"/>
    <x v="8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89"/>
    <x v="0"/>
    <x v="16"/>
    <x v="11"/>
    <x v="11"/>
    <x v="1"/>
    <x v="18"/>
    <x v="3"/>
    <x v="4"/>
    <x v="34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0"/>
    <x v="0"/>
    <x v="16"/>
    <x v="11"/>
    <x v="11"/>
    <x v="1"/>
    <x v="18"/>
    <x v="3"/>
    <x v="4"/>
    <x v="34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1"/>
    <x v="0"/>
    <x v="16"/>
    <x v="11"/>
    <x v="11"/>
    <x v="1"/>
    <x v="18"/>
    <x v="3"/>
    <x v="4"/>
    <x v="34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2"/>
    <x v="0"/>
    <x v="16"/>
    <x v="11"/>
    <x v="11"/>
    <x v="1"/>
    <x v="18"/>
    <x v="3"/>
    <x v="4"/>
    <x v="34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3"/>
    <x v="0"/>
    <x v="16"/>
    <x v="11"/>
    <x v="11"/>
    <x v="1"/>
    <x v="18"/>
    <x v="3"/>
    <x v="4"/>
    <x v="34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4"/>
    <x v="0"/>
    <x v="16"/>
    <x v="11"/>
    <x v="11"/>
    <x v="1"/>
    <x v="18"/>
    <x v="3"/>
    <x v="4"/>
    <x v="34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5"/>
    <x v="0"/>
    <x v="16"/>
    <x v="12"/>
    <x v="11"/>
    <x v="1"/>
    <x v="18"/>
    <x v="3"/>
    <x v="4"/>
    <x v="34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6"/>
    <x v="0"/>
    <x v="16"/>
    <x v="12"/>
    <x v="11"/>
    <x v="1"/>
    <x v="18"/>
    <x v="3"/>
    <x v="4"/>
    <x v="34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7"/>
    <x v="0"/>
    <x v="16"/>
    <x v="12"/>
    <x v="11"/>
    <x v="1"/>
    <x v="18"/>
    <x v="3"/>
    <x v="4"/>
    <x v="34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8"/>
    <x v="0"/>
    <x v="16"/>
    <x v="12"/>
    <x v="11"/>
    <x v="1"/>
    <x v="18"/>
    <x v="3"/>
    <x v="4"/>
    <x v="34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899"/>
    <x v="0"/>
    <x v="16"/>
    <x v="12"/>
    <x v="11"/>
    <x v="1"/>
    <x v="18"/>
    <x v="3"/>
    <x v="4"/>
    <x v="34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0"/>
    <x v="0"/>
    <x v="16"/>
    <x v="12"/>
    <x v="11"/>
    <x v="1"/>
    <x v="18"/>
    <x v="3"/>
    <x v="4"/>
    <x v="34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1"/>
    <x v="0"/>
    <x v="16"/>
    <x v="12"/>
    <x v="11"/>
    <x v="1"/>
    <x v="18"/>
    <x v="3"/>
    <x v="4"/>
    <x v="34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2"/>
    <x v="0"/>
    <x v="16"/>
    <x v="12"/>
    <x v="11"/>
    <x v="1"/>
    <x v="18"/>
    <x v="3"/>
    <x v="4"/>
    <x v="34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3"/>
    <x v="0"/>
    <x v="16"/>
    <x v="12"/>
    <x v="11"/>
    <x v="1"/>
    <x v="18"/>
    <x v="3"/>
    <x v="4"/>
    <x v="34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4"/>
    <x v="0"/>
    <x v="16"/>
    <x v="12"/>
    <x v="11"/>
    <x v="1"/>
    <x v="18"/>
    <x v="3"/>
    <x v="4"/>
    <x v="34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5"/>
    <x v="0"/>
    <x v="16"/>
    <x v="12"/>
    <x v="11"/>
    <x v="1"/>
    <x v="18"/>
    <x v="3"/>
    <x v="4"/>
    <x v="34"/>
    <x v="0"/>
    <x v="6"/>
    <x v="8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6"/>
    <x v="0"/>
    <x v="16"/>
    <x v="12"/>
    <x v="11"/>
    <x v="1"/>
    <x v="18"/>
    <x v="3"/>
    <x v="4"/>
    <x v="34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7"/>
    <x v="0"/>
    <x v="16"/>
    <x v="12"/>
    <x v="11"/>
    <x v="1"/>
    <x v="18"/>
    <x v="3"/>
    <x v="4"/>
    <x v="34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8"/>
    <x v="0"/>
    <x v="16"/>
    <x v="12"/>
    <x v="11"/>
    <x v="1"/>
    <x v="18"/>
    <x v="3"/>
    <x v="4"/>
    <x v="34"/>
    <x v="0"/>
    <x v="6"/>
    <x v="8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09"/>
    <x v="0"/>
    <x v="16"/>
    <x v="12"/>
    <x v="11"/>
    <x v="1"/>
    <x v="18"/>
    <x v="3"/>
    <x v="4"/>
    <x v="34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0"/>
    <x v="0"/>
    <x v="16"/>
    <x v="12"/>
    <x v="11"/>
    <x v="1"/>
    <x v="18"/>
    <x v="3"/>
    <x v="4"/>
    <x v="34"/>
    <x v="0"/>
    <x v="6"/>
    <x v="8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1"/>
    <x v="0"/>
    <x v="16"/>
    <x v="12"/>
    <x v="11"/>
    <x v="1"/>
    <x v="18"/>
    <x v="3"/>
    <x v="4"/>
    <x v="34"/>
    <x v="0"/>
    <x v="6"/>
    <x v="8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2"/>
    <x v="0"/>
    <x v="16"/>
    <x v="12"/>
    <x v="11"/>
    <x v="1"/>
    <x v="18"/>
    <x v="3"/>
    <x v="4"/>
    <x v="34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3"/>
    <x v="0"/>
    <x v="16"/>
    <x v="12"/>
    <x v="11"/>
    <x v="1"/>
    <x v="18"/>
    <x v="3"/>
    <x v="4"/>
    <x v="34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4"/>
    <x v="0"/>
    <x v="16"/>
    <x v="12"/>
    <x v="11"/>
    <x v="1"/>
    <x v="18"/>
    <x v="3"/>
    <x v="4"/>
    <x v="34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5"/>
    <x v="0"/>
    <x v="16"/>
    <x v="12"/>
    <x v="11"/>
    <x v="1"/>
    <x v="18"/>
    <x v="3"/>
    <x v="4"/>
    <x v="34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6"/>
    <x v="0"/>
    <x v="16"/>
    <x v="12"/>
    <x v="11"/>
    <x v="1"/>
    <x v="18"/>
    <x v="3"/>
    <x v="4"/>
    <x v="34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7"/>
    <x v="0"/>
    <x v="16"/>
    <x v="12"/>
    <x v="11"/>
    <x v="1"/>
    <x v="18"/>
    <x v="3"/>
    <x v="4"/>
    <x v="34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8"/>
    <x v="0"/>
    <x v="16"/>
    <x v="50"/>
    <x v="11"/>
    <x v="1"/>
    <x v="18"/>
    <x v="3"/>
    <x v="4"/>
    <x v="5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19"/>
    <x v="0"/>
    <x v="16"/>
    <x v="50"/>
    <x v="11"/>
    <x v="1"/>
    <x v="18"/>
    <x v="3"/>
    <x v="4"/>
    <x v="5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0"/>
    <x v="0"/>
    <x v="16"/>
    <x v="50"/>
    <x v="11"/>
    <x v="1"/>
    <x v="18"/>
    <x v="3"/>
    <x v="4"/>
    <x v="5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1"/>
    <x v="0"/>
    <x v="16"/>
    <x v="50"/>
    <x v="11"/>
    <x v="1"/>
    <x v="18"/>
    <x v="3"/>
    <x v="4"/>
    <x v="5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2"/>
    <x v="0"/>
    <x v="16"/>
    <x v="50"/>
    <x v="11"/>
    <x v="1"/>
    <x v="18"/>
    <x v="3"/>
    <x v="4"/>
    <x v="5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3"/>
    <x v="0"/>
    <x v="16"/>
    <x v="50"/>
    <x v="11"/>
    <x v="1"/>
    <x v="18"/>
    <x v="3"/>
    <x v="4"/>
    <x v="5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4"/>
    <x v="0"/>
    <x v="16"/>
    <x v="50"/>
    <x v="11"/>
    <x v="1"/>
    <x v="18"/>
    <x v="3"/>
    <x v="4"/>
    <x v="5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5"/>
    <x v="0"/>
    <x v="16"/>
    <x v="50"/>
    <x v="11"/>
    <x v="1"/>
    <x v="18"/>
    <x v="3"/>
    <x v="4"/>
    <x v="5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6"/>
    <x v="0"/>
    <x v="16"/>
    <x v="50"/>
    <x v="11"/>
    <x v="1"/>
    <x v="18"/>
    <x v="3"/>
    <x v="4"/>
    <x v="5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7"/>
    <x v="0"/>
    <x v="16"/>
    <x v="50"/>
    <x v="11"/>
    <x v="1"/>
    <x v="18"/>
    <x v="3"/>
    <x v="4"/>
    <x v="5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8"/>
    <x v="0"/>
    <x v="16"/>
    <x v="50"/>
    <x v="11"/>
    <x v="1"/>
    <x v="18"/>
    <x v="3"/>
    <x v="4"/>
    <x v="5"/>
    <x v="0"/>
    <x v="6"/>
    <x v="8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29"/>
    <x v="0"/>
    <x v="16"/>
    <x v="50"/>
    <x v="11"/>
    <x v="1"/>
    <x v="18"/>
    <x v="3"/>
    <x v="4"/>
    <x v="5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0"/>
    <x v="0"/>
    <x v="16"/>
    <x v="50"/>
    <x v="11"/>
    <x v="1"/>
    <x v="18"/>
    <x v="3"/>
    <x v="4"/>
    <x v="5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1"/>
    <x v="0"/>
    <x v="16"/>
    <x v="50"/>
    <x v="11"/>
    <x v="1"/>
    <x v="18"/>
    <x v="3"/>
    <x v="4"/>
    <x v="5"/>
    <x v="0"/>
    <x v="6"/>
    <x v="8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2"/>
    <x v="0"/>
    <x v="16"/>
    <x v="50"/>
    <x v="11"/>
    <x v="1"/>
    <x v="18"/>
    <x v="3"/>
    <x v="4"/>
    <x v="5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3"/>
    <x v="0"/>
    <x v="16"/>
    <x v="50"/>
    <x v="11"/>
    <x v="1"/>
    <x v="18"/>
    <x v="3"/>
    <x v="4"/>
    <x v="5"/>
    <x v="0"/>
    <x v="6"/>
    <x v="8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4"/>
    <x v="0"/>
    <x v="16"/>
    <x v="50"/>
    <x v="11"/>
    <x v="1"/>
    <x v="18"/>
    <x v="3"/>
    <x v="4"/>
    <x v="5"/>
    <x v="0"/>
    <x v="6"/>
    <x v="8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5"/>
    <x v="0"/>
    <x v="16"/>
    <x v="50"/>
    <x v="11"/>
    <x v="1"/>
    <x v="18"/>
    <x v="3"/>
    <x v="4"/>
    <x v="5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6"/>
    <x v="0"/>
    <x v="16"/>
    <x v="50"/>
    <x v="11"/>
    <x v="1"/>
    <x v="18"/>
    <x v="3"/>
    <x v="4"/>
    <x v="5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7"/>
    <x v="0"/>
    <x v="16"/>
    <x v="50"/>
    <x v="11"/>
    <x v="1"/>
    <x v="18"/>
    <x v="3"/>
    <x v="4"/>
    <x v="5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8"/>
    <x v="0"/>
    <x v="16"/>
    <x v="50"/>
    <x v="11"/>
    <x v="1"/>
    <x v="18"/>
    <x v="3"/>
    <x v="4"/>
    <x v="5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39"/>
    <x v="0"/>
    <x v="16"/>
    <x v="50"/>
    <x v="11"/>
    <x v="1"/>
    <x v="18"/>
    <x v="3"/>
    <x v="4"/>
    <x v="5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0"/>
    <x v="0"/>
    <x v="16"/>
    <x v="50"/>
    <x v="11"/>
    <x v="1"/>
    <x v="18"/>
    <x v="3"/>
    <x v="4"/>
    <x v="5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1"/>
    <x v="0"/>
    <x v="16"/>
    <x v="77"/>
    <x v="11"/>
    <x v="1"/>
    <x v="18"/>
    <x v="3"/>
    <x v="4"/>
    <x v="34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2"/>
    <x v="0"/>
    <x v="16"/>
    <x v="77"/>
    <x v="11"/>
    <x v="1"/>
    <x v="18"/>
    <x v="3"/>
    <x v="4"/>
    <x v="34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3"/>
    <x v="0"/>
    <x v="16"/>
    <x v="77"/>
    <x v="11"/>
    <x v="1"/>
    <x v="18"/>
    <x v="3"/>
    <x v="4"/>
    <x v="34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4"/>
    <x v="0"/>
    <x v="16"/>
    <x v="77"/>
    <x v="11"/>
    <x v="1"/>
    <x v="18"/>
    <x v="3"/>
    <x v="4"/>
    <x v="34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5"/>
    <x v="0"/>
    <x v="16"/>
    <x v="77"/>
    <x v="11"/>
    <x v="1"/>
    <x v="18"/>
    <x v="3"/>
    <x v="4"/>
    <x v="34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6"/>
    <x v="0"/>
    <x v="16"/>
    <x v="77"/>
    <x v="11"/>
    <x v="1"/>
    <x v="18"/>
    <x v="3"/>
    <x v="4"/>
    <x v="34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7"/>
    <x v="0"/>
    <x v="16"/>
    <x v="77"/>
    <x v="11"/>
    <x v="1"/>
    <x v="18"/>
    <x v="3"/>
    <x v="4"/>
    <x v="34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8"/>
    <x v="0"/>
    <x v="16"/>
    <x v="77"/>
    <x v="11"/>
    <x v="1"/>
    <x v="18"/>
    <x v="3"/>
    <x v="4"/>
    <x v="34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49"/>
    <x v="0"/>
    <x v="16"/>
    <x v="77"/>
    <x v="11"/>
    <x v="1"/>
    <x v="18"/>
    <x v="3"/>
    <x v="4"/>
    <x v="34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0"/>
    <x v="0"/>
    <x v="16"/>
    <x v="77"/>
    <x v="11"/>
    <x v="1"/>
    <x v="18"/>
    <x v="3"/>
    <x v="4"/>
    <x v="34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1"/>
    <x v="0"/>
    <x v="16"/>
    <x v="77"/>
    <x v="11"/>
    <x v="1"/>
    <x v="18"/>
    <x v="3"/>
    <x v="4"/>
    <x v="34"/>
    <x v="0"/>
    <x v="6"/>
    <x v="8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2"/>
    <x v="0"/>
    <x v="16"/>
    <x v="77"/>
    <x v="11"/>
    <x v="1"/>
    <x v="18"/>
    <x v="3"/>
    <x v="4"/>
    <x v="34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3"/>
    <x v="0"/>
    <x v="16"/>
    <x v="77"/>
    <x v="11"/>
    <x v="1"/>
    <x v="18"/>
    <x v="3"/>
    <x v="4"/>
    <x v="34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4"/>
    <x v="0"/>
    <x v="16"/>
    <x v="77"/>
    <x v="11"/>
    <x v="1"/>
    <x v="18"/>
    <x v="3"/>
    <x v="4"/>
    <x v="34"/>
    <x v="0"/>
    <x v="6"/>
    <x v="8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5"/>
    <x v="0"/>
    <x v="16"/>
    <x v="77"/>
    <x v="11"/>
    <x v="1"/>
    <x v="18"/>
    <x v="3"/>
    <x v="4"/>
    <x v="34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6"/>
    <x v="0"/>
    <x v="16"/>
    <x v="77"/>
    <x v="11"/>
    <x v="1"/>
    <x v="18"/>
    <x v="3"/>
    <x v="4"/>
    <x v="34"/>
    <x v="0"/>
    <x v="6"/>
    <x v="8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7"/>
    <x v="0"/>
    <x v="16"/>
    <x v="77"/>
    <x v="11"/>
    <x v="1"/>
    <x v="18"/>
    <x v="3"/>
    <x v="4"/>
    <x v="34"/>
    <x v="0"/>
    <x v="6"/>
    <x v="8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8"/>
    <x v="0"/>
    <x v="16"/>
    <x v="77"/>
    <x v="11"/>
    <x v="1"/>
    <x v="18"/>
    <x v="3"/>
    <x v="4"/>
    <x v="34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59"/>
    <x v="0"/>
    <x v="16"/>
    <x v="77"/>
    <x v="11"/>
    <x v="1"/>
    <x v="18"/>
    <x v="3"/>
    <x v="4"/>
    <x v="34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0"/>
    <x v="0"/>
    <x v="16"/>
    <x v="77"/>
    <x v="11"/>
    <x v="1"/>
    <x v="18"/>
    <x v="3"/>
    <x v="4"/>
    <x v="34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1"/>
    <x v="0"/>
    <x v="16"/>
    <x v="77"/>
    <x v="11"/>
    <x v="1"/>
    <x v="18"/>
    <x v="3"/>
    <x v="4"/>
    <x v="34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2"/>
    <x v="0"/>
    <x v="16"/>
    <x v="77"/>
    <x v="11"/>
    <x v="1"/>
    <x v="18"/>
    <x v="3"/>
    <x v="4"/>
    <x v="34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3"/>
    <x v="0"/>
    <x v="16"/>
    <x v="77"/>
    <x v="11"/>
    <x v="1"/>
    <x v="18"/>
    <x v="3"/>
    <x v="4"/>
    <x v="34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4"/>
    <x v="0"/>
    <x v="16"/>
    <x v="78"/>
    <x v="11"/>
    <x v="1"/>
    <x v="18"/>
    <x v="3"/>
    <x v="4"/>
    <x v="34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5"/>
    <x v="0"/>
    <x v="16"/>
    <x v="78"/>
    <x v="11"/>
    <x v="1"/>
    <x v="18"/>
    <x v="3"/>
    <x v="4"/>
    <x v="34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6"/>
    <x v="0"/>
    <x v="16"/>
    <x v="78"/>
    <x v="11"/>
    <x v="1"/>
    <x v="18"/>
    <x v="3"/>
    <x v="4"/>
    <x v="34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7"/>
    <x v="0"/>
    <x v="16"/>
    <x v="78"/>
    <x v="11"/>
    <x v="1"/>
    <x v="18"/>
    <x v="3"/>
    <x v="4"/>
    <x v="34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8"/>
    <x v="0"/>
    <x v="16"/>
    <x v="78"/>
    <x v="11"/>
    <x v="1"/>
    <x v="18"/>
    <x v="3"/>
    <x v="4"/>
    <x v="34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69"/>
    <x v="0"/>
    <x v="16"/>
    <x v="78"/>
    <x v="11"/>
    <x v="1"/>
    <x v="18"/>
    <x v="3"/>
    <x v="4"/>
    <x v="34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0"/>
    <x v="0"/>
    <x v="16"/>
    <x v="78"/>
    <x v="11"/>
    <x v="1"/>
    <x v="18"/>
    <x v="3"/>
    <x v="4"/>
    <x v="34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1"/>
    <x v="0"/>
    <x v="16"/>
    <x v="78"/>
    <x v="11"/>
    <x v="1"/>
    <x v="18"/>
    <x v="3"/>
    <x v="4"/>
    <x v="34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2"/>
    <x v="0"/>
    <x v="16"/>
    <x v="78"/>
    <x v="11"/>
    <x v="1"/>
    <x v="18"/>
    <x v="3"/>
    <x v="4"/>
    <x v="34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3"/>
    <x v="0"/>
    <x v="16"/>
    <x v="78"/>
    <x v="11"/>
    <x v="1"/>
    <x v="18"/>
    <x v="3"/>
    <x v="4"/>
    <x v="34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4"/>
    <x v="0"/>
    <x v="16"/>
    <x v="78"/>
    <x v="11"/>
    <x v="1"/>
    <x v="18"/>
    <x v="3"/>
    <x v="4"/>
    <x v="34"/>
    <x v="0"/>
    <x v="6"/>
    <x v="8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5"/>
    <x v="0"/>
    <x v="16"/>
    <x v="78"/>
    <x v="11"/>
    <x v="1"/>
    <x v="18"/>
    <x v="3"/>
    <x v="4"/>
    <x v="34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6"/>
    <x v="0"/>
    <x v="16"/>
    <x v="78"/>
    <x v="11"/>
    <x v="1"/>
    <x v="18"/>
    <x v="3"/>
    <x v="4"/>
    <x v="34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7"/>
    <x v="0"/>
    <x v="16"/>
    <x v="78"/>
    <x v="11"/>
    <x v="1"/>
    <x v="18"/>
    <x v="3"/>
    <x v="4"/>
    <x v="34"/>
    <x v="0"/>
    <x v="6"/>
    <x v="8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8"/>
    <x v="0"/>
    <x v="16"/>
    <x v="78"/>
    <x v="11"/>
    <x v="1"/>
    <x v="18"/>
    <x v="3"/>
    <x v="4"/>
    <x v="34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79"/>
    <x v="0"/>
    <x v="16"/>
    <x v="78"/>
    <x v="11"/>
    <x v="1"/>
    <x v="18"/>
    <x v="3"/>
    <x v="4"/>
    <x v="34"/>
    <x v="0"/>
    <x v="6"/>
    <x v="8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0"/>
    <x v="0"/>
    <x v="16"/>
    <x v="78"/>
    <x v="11"/>
    <x v="1"/>
    <x v="18"/>
    <x v="3"/>
    <x v="4"/>
    <x v="34"/>
    <x v="0"/>
    <x v="6"/>
    <x v="8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1"/>
    <x v="0"/>
    <x v="16"/>
    <x v="78"/>
    <x v="11"/>
    <x v="1"/>
    <x v="18"/>
    <x v="3"/>
    <x v="4"/>
    <x v="34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2"/>
    <x v="0"/>
    <x v="16"/>
    <x v="78"/>
    <x v="11"/>
    <x v="1"/>
    <x v="18"/>
    <x v="3"/>
    <x v="4"/>
    <x v="34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3"/>
    <x v="0"/>
    <x v="16"/>
    <x v="78"/>
    <x v="11"/>
    <x v="1"/>
    <x v="18"/>
    <x v="3"/>
    <x v="4"/>
    <x v="34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4"/>
    <x v="0"/>
    <x v="16"/>
    <x v="78"/>
    <x v="11"/>
    <x v="1"/>
    <x v="18"/>
    <x v="3"/>
    <x v="4"/>
    <x v="34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5"/>
    <x v="0"/>
    <x v="16"/>
    <x v="78"/>
    <x v="11"/>
    <x v="1"/>
    <x v="18"/>
    <x v="3"/>
    <x v="4"/>
    <x v="34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6"/>
    <x v="0"/>
    <x v="16"/>
    <x v="78"/>
    <x v="11"/>
    <x v="1"/>
    <x v="18"/>
    <x v="3"/>
    <x v="4"/>
    <x v="34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7"/>
    <x v="0"/>
    <x v="16"/>
    <x v="79"/>
    <x v="11"/>
    <x v="1"/>
    <x v="18"/>
    <x v="3"/>
    <x v="4"/>
    <x v="34"/>
    <x v="0"/>
    <x v="6"/>
    <x v="8"/>
    <x v="4"/>
    <x v="1"/>
    <x v="11"/>
    <x v="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8"/>
    <x v="0"/>
    <x v="16"/>
    <x v="79"/>
    <x v="11"/>
    <x v="1"/>
    <x v="18"/>
    <x v="3"/>
    <x v="4"/>
    <x v="34"/>
    <x v="0"/>
    <x v="6"/>
    <x v="8"/>
    <x v="4"/>
    <x v="1"/>
    <x v="11"/>
    <x v="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89"/>
    <x v="0"/>
    <x v="16"/>
    <x v="79"/>
    <x v="11"/>
    <x v="1"/>
    <x v="18"/>
    <x v="3"/>
    <x v="4"/>
    <x v="34"/>
    <x v="0"/>
    <x v="6"/>
    <x v="8"/>
    <x v="4"/>
    <x v="1"/>
    <x v="11"/>
    <x v="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0"/>
    <x v="0"/>
    <x v="16"/>
    <x v="79"/>
    <x v="11"/>
    <x v="1"/>
    <x v="18"/>
    <x v="3"/>
    <x v="4"/>
    <x v="34"/>
    <x v="0"/>
    <x v="6"/>
    <x v="8"/>
    <x v="4"/>
    <x v="1"/>
    <x v="11"/>
    <x v="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1"/>
    <x v="0"/>
    <x v="16"/>
    <x v="79"/>
    <x v="11"/>
    <x v="1"/>
    <x v="18"/>
    <x v="3"/>
    <x v="4"/>
    <x v="34"/>
    <x v="0"/>
    <x v="6"/>
    <x v="8"/>
    <x v="4"/>
    <x v="1"/>
    <x v="11"/>
    <x v="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2"/>
    <x v="0"/>
    <x v="16"/>
    <x v="79"/>
    <x v="11"/>
    <x v="1"/>
    <x v="18"/>
    <x v="3"/>
    <x v="4"/>
    <x v="34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3"/>
    <x v="0"/>
    <x v="16"/>
    <x v="79"/>
    <x v="11"/>
    <x v="1"/>
    <x v="18"/>
    <x v="3"/>
    <x v="4"/>
    <x v="34"/>
    <x v="0"/>
    <x v="6"/>
    <x v="8"/>
    <x v="4"/>
    <x v="1"/>
    <x v="11"/>
    <x v="12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4"/>
    <x v="0"/>
    <x v="16"/>
    <x v="79"/>
    <x v="11"/>
    <x v="1"/>
    <x v="18"/>
    <x v="3"/>
    <x v="4"/>
    <x v="34"/>
    <x v="0"/>
    <x v="6"/>
    <x v="8"/>
    <x v="4"/>
    <x v="1"/>
    <x v="11"/>
    <x v="1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5"/>
    <x v="0"/>
    <x v="16"/>
    <x v="79"/>
    <x v="11"/>
    <x v="1"/>
    <x v="18"/>
    <x v="3"/>
    <x v="4"/>
    <x v="34"/>
    <x v="0"/>
    <x v="6"/>
    <x v="8"/>
    <x v="4"/>
    <x v="1"/>
    <x v="11"/>
    <x v="14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6"/>
    <x v="0"/>
    <x v="16"/>
    <x v="79"/>
    <x v="11"/>
    <x v="1"/>
    <x v="18"/>
    <x v="3"/>
    <x v="4"/>
    <x v="34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7"/>
    <x v="0"/>
    <x v="16"/>
    <x v="79"/>
    <x v="11"/>
    <x v="1"/>
    <x v="18"/>
    <x v="3"/>
    <x v="4"/>
    <x v="34"/>
    <x v="0"/>
    <x v="6"/>
    <x v="8"/>
    <x v="4"/>
    <x v="1"/>
    <x v="11"/>
    <x v="1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8"/>
    <x v="0"/>
    <x v="16"/>
    <x v="79"/>
    <x v="11"/>
    <x v="1"/>
    <x v="18"/>
    <x v="3"/>
    <x v="4"/>
    <x v="34"/>
    <x v="0"/>
    <x v="6"/>
    <x v="8"/>
    <x v="4"/>
    <x v="1"/>
    <x v="11"/>
    <x v="1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999"/>
    <x v="0"/>
    <x v="16"/>
    <x v="79"/>
    <x v="11"/>
    <x v="1"/>
    <x v="18"/>
    <x v="3"/>
    <x v="4"/>
    <x v="34"/>
    <x v="0"/>
    <x v="6"/>
    <x v="8"/>
    <x v="4"/>
    <x v="1"/>
    <x v="11"/>
    <x v="1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0"/>
    <x v="0"/>
    <x v="16"/>
    <x v="79"/>
    <x v="11"/>
    <x v="1"/>
    <x v="18"/>
    <x v="3"/>
    <x v="4"/>
    <x v="34"/>
    <x v="0"/>
    <x v="6"/>
    <x v="8"/>
    <x v="4"/>
    <x v="1"/>
    <x v="11"/>
    <x v="1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1"/>
    <x v="0"/>
    <x v="16"/>
    <x v="79"/>
    <x v="11"/>
    <x v="1"/>
    <x v="18"/>
    <x v="3"/>
    <x v="4"/>
    <x v="34"/>
    <x v="0"/>
    <x v="6"/>
    <x v="8"/>
    <x v="4"/>
    <x v="1"/>
    <x v="11"/>
    <x v="2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2"/>
    <x v="0"/>
    <x v="16"/>
    <x v="79"/>
    <x v="11"/>
    <x v="1"/>
    <x v="18"/>
    <x v="3"/>
    <x v="4"/>
    <x v="34"/>
    <x v="0"/>
    <x v="6"/>
    <x v="8"/>
    <x v="4"/>
    <x v="1"/>
    <x v="11"/>
    <x v="2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3"/>
    <x v="0"/>
    <x v="16"/>
    <x v="79"/>
    <x v="11"/>
    <x v="1"/>
    <x v="18"/>
    <x v="3"/>
    <x v="4"/>
    <x v="34"/>
    <x v="0"/>
    <x v="6"/>
    <x v="8"/>
    <x v="4"/>
    <x v="1"/>
    <x v="11"/>
    <x v="2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4"/>
    <x v="0"/>
    <x v="16"/>
    <x v="79"/>
    <x v="11"/>
    <x v="1"/>
    <x v="18"/>
    <x v="3"/>
    <x v="4"/>
    <x v="34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5"/>
    <x v="0"/>
    <x v="16"/>
    <x v="79"/>
    <x v="11"/>
    <x v="1"/>
    <x v="18"/>
    <x v="3"/>
    <x v="4"/>
    <x v="34"/>
    <x v="0"/>
    <x v="6"/>
    <x v="8"/>
    <x v="4"/>
    <x v="1"/>
    <x v="11"/>
    <x v="3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6"/>
    <x v="0"/>
    <x v="16"/>
    <x v="79"/>
    <x v="11"/>
    <x v="1"/>
    <x v="18"/>
    <x v="3"/>
    <x v="4"/>
    <x v="34"/>
    <x v="0"/>
    <x v="6"/>
    <x v="8"/>
    <x v="4"/>
    <x v="1"/>
    <x v="11"/>
    <x v="31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7"/>
    <x v="0"/>
    <x v="16"/>
    <x v="79"/>
    <x v="11"/>
    <x v="1"/>
    <x v="18"/>
    <x v="3"/>
    <x v="4"/>
    <x v="34"/>
    <x v="0"/>
    <x v="6"/>
    <x v="8"/>
    <x v="4"/>
    <x v="1"/>
    <x v="11"/>
    <x v="33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8"/>
    <x v="0"/>
    <x v="16"/>
    <x v="79"/>
    <x v="11"/>
    <x v="1"/>
    <x v="18"/>
    <x v="3"/>
    <x v="4"/>
    <x v="34"/>
    <x v="0"/>
    <x v="6"/>
    <x v="8"/>
    <x v="4"/>
    <x v="1"/>
    <x v="11"/>
    <x v="36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009"/>
    <x v="0"/>
    <x v="16"/>
    <x v="79"/>
    <x v="11"/>
    <x v="1"/>
    <x v="18"/>
    <x v="3"/>
    <x v="4"/>
    <x v="34"/>
    <x v="0"/>
    <x v="6"/>
    <x v="8"/>
    <x v="4"/>
    <x v="1"/>
    <x v="11"/>
    <x v="38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44"/>
    <x v="2452"/>
    <x v="0"/>
    <x v="16"/>
    <x v="10"/>
    <x v="11"/>
    <x v="1"/>
    <x v="18"/>
    <x v="3"/>
    <x v="4"/>
    <x v="34"/>
    <x v="0"/>
    <x v="6"/>
    <x v="8"/>
    <x v="4"/>
    <x v="2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89"/>
    <x v="2453"/>
    <x v="0"/>
    <x v="16"/>
    <x v="11"/>
    <x v="11"/>
    <x v="1"/>
    <x v="18"/>
    <x v="3"/>
    <x v="4"/>
    <x v="34"/>
    <x v="0"/>
    <x v="6"/>
    <x v="8"/>
    <x v="4"/>
    <x v="2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52"/>
    <x v="2454"/>
    <x v="0"/>
    <x v="16"/>
    <x v="12"/>
    <x v="11"/>
    <x v="1"/>
    <x v="18"/>
    <x v="3"/>
    <x v="4"/>
    <x v="34"/>
    <x v="0"/>
    <x v="6"/>
    <x v="8"/>
    <x v="4"/>
    <x v="2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0"/>
    <x v="2455"/>
    <x v="0"/>
    <x v="16"/>
    <x v="50"/>
    <x v="11"/>
    <x v="1"/>
    <x v="18"/>
    <x v="3"/>
    <x v="4"/>
    <x v="5"/>
    <x v="0"/>
    <x v="6"/>
    <x v="8"/>
    <x v="4"/>
    <x v="2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93"/>
    <x v="2456"/>
    <x v="0"/>
    <x v="16"/>
    <x v="77"/>
    <x v="11"/>
    <x v="1"/>
    <x v="18"/>
    <x v="3"/>
    <x v="4"/>
    <x v="34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39"/>
    <x v="2457"/>
    <x v="0"/>
    <x v="16"/>
    <x v="78"/>
    <x v="11"/>
    <x v="1"/>
    <x v="18"/>
    <x v="3"/>
    <x v="4"/>
    <x v="34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110"/>
    <x v="2458"/>
    <x v="0"/>
    <x v="16"/>
    <x v="79"/>
    <x v="11"/>
    <x v="1"/>
    <x v="18"/>
    <x v="3"/>
    <x v="4"/>
    <x v="34"/>
    <x v="0"/>
    <x v="6"/>
    <x v="8"/>
    <x v="4"/>
    <x v="3"/>
    <x v="2"/>
    <x v="40"/>
    <x v="3"/>
    <x v="12"/>
    <x v="4"/>
    <x v="0"/>
    <x v="4"/>
    <x v="2"/>
    <x v="2"/>
    <x v="2"/>
    <x v="206"/>
    <x v="0"/>
    <x v="0"/>
    <x v="0"/>
    <x v="0"/>
    <x v="0"/>
    <x v="1"/>
    <x v="0"/>
    <x v="1"/>
    <x v="0"/>
    <x v="0"/>
    <x v="0"/>
    <x v="0"/>
    <x v="0"/>
    <x v="0"/>
    <x v="0"/>
    <x v="0"/>
  </r>
  <r>
    <x v="22"/>
    <x v="2459"/>
    <x v="0"/>
    <x v="16"/>
    <x v="92"/>
    <x v="11"/>
    <x v="1"/>
    <x v="18"/>
    <x v="3"/>
    <x v="4"/>
    <x v="17"/>
    <x v="0"/>
    <x v="6"/>
    <x v="8"/>
    <x v="0"/>
    <x v="8"/>
    <x v="2"/>
    <x v="40"/>
    <x v="3"/>
    <x v="0"/>
    <x v="4"/>
    <x v="0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0"/>
    <x v="0"/>
    <x v="7"/>
    <x v="39"/>
    <x v="11"/>
    <x v="1"/>
    <x v="18"/>
    <x v="3"/>
    <x v="4"/>
    <x v="9"/>
    <x v="0"/>
    <x v="6"/>
    <x v="8"/>
    <x v="4"/>
    <x v="8"/>
    <x v="7"/>
    <x v="4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1"/>
    <x v="0"/>
    <x v="7"/>
    <x v="39"/>
    <x v="11"/>
    <x v="1"/>
    <x v="18"/>
    <x v="3"/>
    <x v="4"/>
    <x v="6"/>
    <x v="0"/>
    <x v="6"/>
    <x v="8"/>
    <x v="4"/>
    <x v="8"/>
    <x v="7"/>
    <x v="4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1"/>
    <x v="0"/>
    <x v="7"/>
    <x v="39"/>
    <x v="11"/>
    <x v="1"/>
    <x v="18"/>
    <x v="3"/>
    <x v="4"/>
    <x v="6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2"/>
    <x v="0"/>
    <x v="7"/>
    <x v="39"/>
    <x v="11"/>
    <x v="1"/>
    <x v="18"/>
    <x v="3"/>
    <x v="4"/>
    <x v="6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3"/>
    <x v="0"/>
    <x v="7"/>
    <x v="39"/>
    <x v="11"/>
    <x v="1"/>
    <x v="18"/>
    <x v="3"/>
    <x v="4"/>
    <x v="6"/>
    <x v="0"/>
    <x v="6"/>
    <x v="8"/>
    <x v="4"/>
    <x v="1"/>
    <x v="11"/>
    <x v="3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4"/>
    <x v="0"/>
    <x v="7"/>
    <x v="39"/>
    <x v="11"/>
    <x v="1"/>
    <x v="18"/>
    <x v="3"/>
    <x v="4"/>
    <x v="6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7"/>
    <x v="0"/>
    <x v="7"/>
    <x v="39"/>
    <x v="11"/>
    <x v="1"/>
    <x v="18"/>
    <x v="3"/>
    <x v="4"/>
    <x v="9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8"/>
    <x v="0"/>
    <x v="7"/>
    <x v="39"/>
    <x v="11"/>
    <x v="1"/>
    <x v="18"/>
    <x v="3"/>
    <x v="4"/>
    <x v="9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09"/>
    <x v="0"/>
    <x v="7"/>
    <x v="39"/>
    <x v="11"/>
    <x v="1"/>
    <x v="18"/>
    <x v="3"/>
    <x v="4"/>
    <x v="9"/>
    <x v="0"/>
    <x v="6"/>
    <x v="8"/>
    <x v="4"/>
    <x v="1"/>
    <x v="11"/>
    <x v="3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410"/>
    <x v="0"/>
    <x v="7"/>
    <x v="39"/>
    <x v="11"/>
    <x v="1"/>
    <x v="18"/>
    <x v="3"/>
    <x v="4"/>
    <x v="9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3"/>
    <x v="0"/>
    <x v="7"/>
    <x v="72"/>
    <x v="11"/>
    <x v="1"/>
    <x v="18"/>
    <x v="3"/>
    <x v="4"/>
    <x v="10"/>
    <x v="0"/>
    <x v="6"/>
    <x v="8"/>
    <x v="4"/>
    <x v="8"/>
    <x v="7"/>
    <x v="4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2334"/>
    <x v="0"/>
    <x v="7"/>
    <x v="72"/>
    <x v="11"/>
    <x v="1"/>
    <x v="18"/>
    <x v="3"/>
    <x v="4"/>
    <x v="12"/>
    <x v="0"/>
    <x v="6"/>
    <x v="8"/>
    <x v="4"/>
    <x v="8"/>
    <x v="7"/>
    <x v="4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8"/>
    <x v="0"/>
    <x v="7"/>
    <x v="72"/>
    <x v="11"/>
    <x v="1"/>
    <x v="18"/>
    <x v="3"/>
    <x v="4"/>
    <x v="10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9"/>
    <x v="0"/>
    <x v="7"/>
    <x v="72"/>
    <x v="11"/>
    <x v="1"/>
    <x v="18"/>
    <x v="3"/>
    <x v="4"/>
    <x v="10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0"/>
    <x v="0"/>
    <x v="7"/>
    <x v="72"/>
    <x v="11"/>
    <x v="1"/>
    <x v="18"/>
    <x v="3"/>
    <x v="4"/>
    <x v="10"/>
    <x v="0"/>
    <x v="6"/>
    <x v="8"/>
    <x v="4"/>
    <x v="1"/>
    <x v="11"/>
    <x v="3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11"/>
    <x v="0"/>
    <x v="7"/>
    <x v="72"/>
    <x v="11"/>
    <x v="1"/>
    <x v="18"/>
    <x v="3"/>
    <x v="4"/>
    <x v="10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4"/>
    <x v="0"/>
    <x v="7"/>
    <x v="72"/>
    <x v="11"/>
    <x v="1"/>
    <x v="18"/>
    <x v="3"/>
    <x v="4"/>
    <x v="12"/>
    <x v="0"/>
    <x v="6"/>
    <x v="8"/>
    <x v="4"/>
    <x v="1"/>
    <x v="11"/>
    <x v="15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5"/>
    <x v="0"/>
    <x v="7"/>
    <x v="72"/>
    <x v="11"/>
    <x v="1"/>
    <x v="18"/>
    <x v="3"/>
    <x v="4"/>
    <x v="12"/>
    <x v="0"/>
    <x v="6"/>
    <x v="8"/>
    <x v="4"/>
    <x v="1"/>
    <x v="11"/>
    <x v="29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6"/>
    <x v="0"/>
    <x v="7"/>
    <x v="72"/>
    <x v="11"/>
    <x v="1"/>
    <x v="18"/>
    <x v="3"/>
    <x v="4"/>
    <x v="12"/>
    <x v="0"/>
    <x v="6"/>
    <x v="8"/>
    <x v="4"/>
    <x v="1"/>
    <x v="11"/>
    <x v="37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  <r>
    <x v="156"/>
    <x v="1707"/>
    <x v="0"/>
    <x v="7"/>
    <x v="72"/>
    <x v="11"/>
    <x v="1"/>
    <x v="18"/>
    <x v="3"/>
    <x v="4"/>
    <x v="12"/>
    <x v="0"/>
    <x v="6"/>
    <x v="8"/>
    <x v="4"/>
    <x v="1"/>
    <x v="11"/>
    <x v="10"/>
    <x v="3"/>
    <x v="22"/>
    <x v="4"/>
    <x v="1"/>
    <x v="4"/>
    <x v="2"/>
    <x v="2"/>
    <x v="2"/>
    <x v="206"/>
    <x v="0"/>
    <x v="0"/>
    <x v="0"/>
    <x v="0"/>
    <x v="0"/>
    <x v="0"/>
    <x v="0"/>
    <x v="1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 Table 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B3" firstHeaderRow="1" firstDataRow="1" firstDataCol="1"/>
  <pivotFields count="43">
    <pivotField compact="0" showAll="0" outline="0"/>
    <pivotField dataField="1" compact="0" showAll="0" outline="0"/>
    <pivotField axis="axisRow" compact="0" showAll="0" outline="0">
      <items count="2">
        <item x="0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2"/>
  </rowFields>
  <dataFields count="1">
    <dataField name="COUNTA of Code" fld="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3" activeCellId="0" sqref="E1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63"/>
    <col collapsed="false" customWidth="true" hidden="false" outlineLevel="0" max="2" min="2" style="0" width="25.75"/>
    <col collapsed="false" customWidth="true" hidden="false" outlineLevel="0" max="3" min="3" style="0" width="13.88"/>
    <col collapsed="false" customWidth="true" hidden="false" outlineLevel="0" max="4" min="4" style="0" width="22.63"/>
    <col collapsed="false" customWidth="true" hidden="false" outlineLevel="0" max="5" min="5" style="0" width="34.51"/>
    <col collapsed="false" customWidth="true" hidden="false" outlineLevel="0" max="6" min="6" style="0" width="8.5"/>
    <col collapsed="false" customWidth="true" hidden="true" outlineLevel="0" max="7" min="7" style="0" width="21.25"/>
    <col collapsed="false" customWidth="true" hidden="false" outlineLevel="0" max="8" min="8" style="0" width="31.12"/>
    <col collapsed="false" customWidth="true" hidden="false" outlineLevel="0" max="11" min="11" style="0" width="18.75"/>
    <col collapsed="false" customWidth="true" hidden="false" outlineLevel="0" max="13" min="13" style="0" width="9.25"/>
    <col collapsed="false" customWidth="true" hidden="false" outlineLevel="0" max="14" min="14" style="0" width="9.13"/>
    <col collapsed="false" customWidth="true" hidden="false" outlineLevel="0" max="15" min="15" style="0" width="7.38"/>
    <col collapsed="false" customWidth="true" hidden="false" outlineLevel="0" max="16" min="16" style="0" width="8.75"/>
    <col collapsed="false" customWidth="true" hidden="false" outlineLevel="0" max="18" min="18" style="0" width="32.5"/>
    <col collapsed="false" customWidth="true" hidden="false" outlineLevel="0" max="20" min="20" style="0" width="13.25"/>
    <col collapsed="false" customWidth="true" hidden="false" outlineLevel="0" max="23" min="23" style="0" width="17"/>
    <col collapsed="false" customWidth="true" hidden="false" outlineLevel="0" max="26" min="26" style="0" width="85"/>
    <col collapsed="false" customWidth="true" hidden="false" outlineLevel="0" max="27" min="27" style="0" width="99"/>
    <col collapsed="false" customWidth="true" hidden="false" outlineLevel="0" max="28" min="28" style="0" width="30.12"/>
    <col collapsed="false" customWidth="true" hidden="false" outlineLevel="0" max="35" min="34" style="0" width="19.3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1" t="s">
        <v>42</v>
      </c>
    </row>
    <row r="2" customFormat="false" ht="16.5" hidden="false" customHeight="true" outlineLevel="0" collapsed="false">
      <c r="A2" s="6"/>
      <c r="B2" s="7" t="s">
        <v>43</v>
      </c>
      <c r="C2" s="8" t="s">
        <v>44</v>
      </c>
      <c r="D2" s="7" t="s">
        <v>45</v>
      </c>
      <c r="E2" s="7" t="s">
        <v>46</v>
      </c>
      <c r="F2" s="6"/>
      <c r="G2" s="9"/>
      <c r="H2" s="6"/>
      <c r="I2" s="6"/>
      <c r="J2" s="6"/>
      <c r="K2" s="10"/>
      <c r="L2" s="11" t="b">
        <f aca="false">FALSE()</f>
        <v>0</v>
      </c>
      <c r="M2" s="6"/>
      <c r="N2" s="6"/>
      <c r="O2" s="6"/>
      <c r="P2" s="7" t="s">
        <v>47</v>
      </c>
      <c r="Q2" s="6"/>
      <c r="R2" s="12" t="s">
        <v>48</v>
      </c>
      <c r="S2" s="7" t="s">
        <v>49</v>
      </c>
      <c r="T2" s="6"/>
      <c r="U2" s="6"/>
      <c r="V2" s="7" t="s">
        <v>50</v>
      </c>
      <c r="W2" s="7" t="s">
        <v>51</v>
      </c>
      <c r="X2" s="7" t="s">
        <v>52</v>
      </c>
      <c r="Y2" s="6"/>
      <c r="Z2" s="13" t="s">
        <v>53</v>
      </c>
      <c r="AA2" s="13" t="s">
        <v>54</v>
      </c>
      <c r="AB2" s="6"/>
      <c r="AC2" s="6"/>
      <c r="AD2" s="6"/>
      <c r="AE2" s="6"/>
      <c r="AF2" s="14" t="b">
        <f aca="false">FALSE()</f>
        <v>0</v>
      </c>
      <c r="AG2" s="11" t="b">
        <f aca="false">FALSE()</f>
        <v>0</v>
      </c>
      <c r="AH2" s="14" t="b">
        <f aca="false">FALSE()</f>
        <v>0</v>
      </c>
      <c r="AI2" s="14" t="b">
        <f aca="false">TRUE()</f>
        <v>1</v>
      </c>
      <c r="AJ2" s="6"/>
      <c r="AK2" s="6"/>
      <c r="AL2" s="6"/>
      <c r="AM2" s="6"/>
      <c r="AN2" s="6"/>
      <c r="AO2" s="6"/>
      <c r="AP2" s="6"/>
      <c r="AQ2" s="6"/>
    </row>
    <row r="3" customFormat="false" ht="15.75" hidden="false" customHeight="false" outlineLevel="0" collapsed="false">
      <c r="A3" s="6"/>
      <c r="B3" s="7" t="s">
        <v>55</v>
      </c>
      <c r="C3" s="8" t="s">
        <v>44</v>
      </c>
      <c r="D3" s="7" t="s">
        <v>45</v>
      </c>
      <c r="E3" s="7" t="s">
        <v>46</v>
      </c>
      <c r="F3" s="6"/>
      <c r="G3" s="9"/>
      <c r="H3" s="6"/>
      <c r="I3" s="6"/>
      <c r="J3" s="6"/>
      <c r="K3" s="10"/>
      <c r="L3" s="11" t="b">
        <f aca="false">FALSE()</f>
        <v>0</v>
      </c>
      <c r="M3" s="6"/>
      <c r="N3" s="6"/>
      <c r="O3" s="6"/>
      <c r="P3" s="7" t="s">
        <v>47</v>
      </c>
      <c r="Q3" s="6"/>
      <c r="R3" s="12" t="s">
        <v>56</v>
      </c>
      <c r="S3" s="7" t="s">
        <v>49</v>
      </c>
      <c r="T3" s="6"/>
      <c r="U3" s="6"/>
      <c r="V3" s="7" t="s">
        <v>50</v>
      </c>
      <c r="W3" s="7" t="s">
        <v>51</v>
      </c>
      <c r="X3" s="7" t="s">
        <v>52</v>
      </c>
      <c r="Y3" s="6"/>
      <c r="Z3" s="13" t="s">
        <v>57</v>
      </c>
      <c r="AA3" s="13" t="s">
        <v>58</v>
      </c>
      <c r="AB3" s="6"/>
      <c r="AC3" s="6"/>
      <c r="AD3" s="6"/>
      <c r="AE3" s="6"/>
      <c r="AF3" s="14" t="b">
        <f aca="false">FALSE()</f>
        <v>0</v>
      </c>
      <c r="AG3" s="11" t="b">
        <f aca="false">FALSE()</f>
        <v>0</v>
      </c>
      <c r="AH3" s="14" t="b">
        <f aca="false">FALSE()</f>
        <v>0</v>
      </c>
      <c r="AI3" s="14" t="b">
        <f aca="false">TRUE()</f>
        <v>1</v>
      </c>
      <c r="AJ3" s="6"/>
      <c r="AK3" s="6"/>
      <c r="AL3" s="6"/>
      <c r="AM3" s="6"/>
      <c r="AN3" s="6"/>
      <c r="AO3" s="6"/>
      <c r="AP3" s="6"/>
      <c r="AQ3" s="6"/>
    </row>
    <row r="4" customFormat="false" ht="15.75" hidden="false" customHeight="false" outlineLevel="0" collapsed="false">
      <c r="A4" s="6"/>
      <c r="B4" s="7" t="s">
        <v>59</v>
      </c>
      <c r="C4" s="8" t="s">
        <v>44</v>
      </c>
      <c r="D4" s="7" t="s">
        <v>45</v>
      </c>
      <c r="E4" s="7" t="s">
        <v>46</v>
      </c>
      <c r="F4" s="6"/>
      <c r="G4" s="9"/>
      <c r="H4" s="6"/>
      <c r="I4" s="6"/>
      <c r="J4" s="6"/>
      <c r="K4" s="10"/>
      <c r="L4" s="11" t="b">
        <f aca="false">FALSE()</f>
        <v>0</v>
      </c>
      <c r="M4" s="6"/>
      <c r="N4" s="6"/>
      <c r="O4" s="6"/>
      <c r="P4" s="7" t="s">
        <v>47</v>
      </c>
      <c r="Q4" s="6"/>
      <c r="R4" s="12" t="s">
        <v>60</v>
      </c>
      <c r="S4" s="7" t="s">
        <v>49</v>
      </c>
      <c r="T4" s="6"/>
      <c r="U4" s="6"/>
      <c r="V4" s="7" t="s">
        <v>50</v>
      </c>
      <c r="W4" s="7" t="s">
        <v>51</v>
      </c>
      <c r="X4" s="7" t="s">
        <v>52</v>
      </c>
      <c r="Y4" s="6"/>
      <c r="Z4" s="13" t="s">
        <v>61</v>
      </c>
      <c r="AA4" s="13" t="s">
        <v>62</v>
      </c>
      <c r="AB4" s="6"/>
      <c r="AC4" s="6"/>
      <c r="AD4" s="6"/>
      <c r="AE4" s="6"/>
      <c r="AF4" s="14" t="b">
        <f aca="false">FALSE()</f>
        <v>0</v>
      </c>
      <c r="AG4" s="11" t="b">
        <f aca="false">FALSE()</f>
        <v>0</v>
      </c>
      <c r="AH4" s="14" t="b">
        <f aca="false">FALSE()</f>
        <v>0</v>
      </c>
      <c r="AI4" s="14" t="b">
        <f aca="false">TRUE()</f>
        <v>1</v>
      </c>
      <c r="AJ4" s="6"/>
      <c r="AK4" s="6"/>
      <c r="AL4" s="6"/>
      <c r="AM4" s="6"/>
      <c r="AN4" s="6"/>
      <c r="AO4" s="6"/>
      <c r="AP4" s="6"/>
      <c r="AQ4" s="6"/>
    </row>
    <row r="5" customFormat="false" ht="15.75" hidden="false" customHeight="false" outlineLevel="0" collapsed="false">
      <c r="A5" s="6"/>
      <c r="B5" s="7" t="s">
        <v>63</v>
      </c>
      <c r="C5" s="8" t="s">
        <v>44</v>
      </c>
      <c r="D5" s="7" t="s">
        <v>45</v>
      </c>
      <c r="E5" s="7" t="s">
        <v>46</v>
      </c>
      <c r="F5" s="6"/>
      <c r="G5" s="9"/>
      <c r="H5" s="6"/>
      <c r="I5" s="6"/>
      <c r="J5" s="6"/>
      <c r="K5" s="10"/>
      <c r="L5" s="11" t="b">
        <f aca="false">FALSE()</f>
        <v>0</v>
      </c>
      <c r="M5" s="6"/>
      <c r="N5" s="6"/>
      <c r="O5" s="6"/>
      <c r="P5" s="7" t="s">
        <v>47</v>
      </c>
      <c r="Q5" s="6"/>
      <c r="R5" s="12" t="s">
        <v>64</v>
      </c>
      <c r="S5" s="7" t="s">
        <v>49</v>
      </c>
      <c r="T5" s="6"/>
      <c r="U5" s="6"/>
      <c r="V5" s="7" t="s">
        <v>50</v>
      </c>
      <c r="W5" s="7" t="s">
        <v>51</v>
      </c>
      <c r="X5" s="7" t="s">
        <v>52</v>
      </c>
      <c r="Y5" s="6"/>
      <c r="Z5" s="13" t="s">
        <v>65</v>
      </c>
      <c r="AA5" s="13" t="s">
        <v>66</v>
      </c>
      <c r="AB5" s="6"/>
      <c r="AC5" s="6"/>
      <c r="AD5" s="6"/>
      <c r="AE5" s="6"/>
      <c r="AF5" s="14" t="b">
        <f aca="false">FALSE()</f>
        <v>0</v>
      </c>
      <c r="AG5" s="11" t="b">
        <f aca="false">FALSE()</f>
        <v>0</v>
      </c>
      <c r="AH5" s="14" t="b">
        <f aca="false">FALSE()</f>
        <v>0</v>
      </c>
      <c r="AI5" s="14" t="b">
        <f aca="false">TRUE()</f>
        <v>1</v>
      </c>
      <c r="AJ5" s="6"/>
      <c r="AK5" s="6"/>
      <c r="AL5" s="6"/>
      <c r="AM5" s="6"/>
      <c r="AN5" s="6"/>
      <c r="AO5" s="6"/>
      <c r="AP5" s="6"/>
      <c r="AQ5" s="6"/>
    </row>
    <row r="6" customFormat="false" ht="15.75" hidden="false" customHeight="false" outlineLevel="0" collapsed="false">
      <c r="A6" s="6"/>
      <c r="B6" s="7" t="s">
        <v>67</v>
      </c>
      <c r="C6" s="8" t="s">
        <v>44</v>
      </c>
      <c r="D6" s="7" t="s">
        <v>45</v>
      </c>
      <c r="E6" s="7" t="s">
        <v>46</v>
      </c>
      <c r="F6" s="6"/>
      <c r="G6" s="9"/>
      <c r="H6" s="6"/>
      <c r="I6" s="6"/>
      <c r="J6" s="6"/>
      <c r="K6" s="10"/>
      <c r="L6" s="11" t="b">
        <f aca="false">FALSE()</f>
        <v>0</v>
      </c>
      <c r="M6" s="6"/>
      <c r="N6" s="6"/>
      <c r="O6" s="6"/>
      <c r="P6" s="7" t="s">
        <v>47</v>
      </c>
      <c r="Q6" s="6"/>
      <c r="R6" s="12" t="s">
        <v>68</v>
      </c>
      <c r="S6" s="7" t="s">
        <v>49</v>
      </c>
      <c r="T6" s="6"/>
      <c r="U6" s="6"/>
      <c r="V6" s="7" t="s">
        <v>50</v>
      </c>
      <c r="W6" s="7" t="s">
        <v>51</v>
      </c>
      <c r="X6" s="7" t="s">
        <v>52</v>
      </c>
      <c r="Y6" s="6"/>
      <c r="Z6" s="13" t="s">
        <v>69</v>
      </c>
      <c r="AA6" s="13" t="s">
        <v>70</v>
      </c>
      <c r="AB6" s="6"/>
      <c r="AC6" s="6"/>
      <c r="AD6" s="6"/>
      <c r="AE6" s="6"/>
      <c r="AF6" s="14" t="b">
        <f aca="false">FALSE()</f>
        <v>0</v>
      </c>
      <c r="AG6" s="11" t="b">
        <f aca="false">FALSE()</f>
        <v>0</v>
      </c>
      <c r="AH6" s="14" t="b">
        <f aca="false">FALSE()</f>
        <v>0</v>
      </c>
      <c r="AI6" s="14" t="b">
        <f aca="false">TRUE()</f>
        <v>1</v>
      </c>
      <c r="AJ6" s="6"/>
      <c r="AK6" s="6"/>
      <c r="AL6" s="6"/>
      <c r="AM6" s="6"/>
      <c r="AN6" s="6"/>
      <c r="AO6" s="6"/>
      <c r="AP6" s="6"/>
      <c r="AQ6" s="6"/>
    </row>
    <row r="7" customFormat="false" ht="15.75" hidden="false" customHeight="false" outlineLevel="0" collapsed="false">
      <c r="A7" s="6"/>
      <c r="B7" s="7" t="s">
        <v>71</v>
      </c>
      <c r="C7" s="8" t="s">
        <v>44</v>
      </c>
      <c r="D7" s="7" t="s">
        <v>45</v>
      </c>
      <c r="E7" s="7" t="s">
        <v>46</v>
      </c>
      <c r="F7" s="6"/>
      <c r="G7" s="9"/>
      <c r="H7" s="6"/>
      <c r="I7" s="6"/>
      <c r="J7" s="6"/>
      <c r="K7" s="10"/>
      <c r="L7" s="11" t="b">
        <f aca="false">FALSE()</f>
        <v>0</v>
      </c>
      <c r="M7" s="6"/>
      <c r="N7" s="6"/>
      <c r="O7" s="6"/>
      <c r="P7" s="7" t="s">
        <v>47</v>
      </c>
      <c r="Q7" s="6"/>
      <c r="R7" s="12" t="s">
        <v>72</v>
      </c>
      <c r="S7" s="7" t="s">
        <v>49</v>
      </c>
      <c r="T7" s="6"/>
      <c r="U7" s="6"/>
      <c r="V7" s="7" t="s">
        <v>50</v>
      </c>
      <c r="W7" s="7" t="s">
        <v>51</v>
      </c>
      <c r="X7" s="7" t="s">
        <v>52</v>
      </c>
      <c r="Y7" s="6"/>
      <c r="Z7" s="13" t="s">
        <v>73</v>
      </c>
      <c r="AA7" s="13" t="s">
        <v>74</v>
      </c>
      <c r="AB7" s="6"/>
      <c r="AC7" s="6"/>
      <c r="AD7" s="6"/>
      <c r="AE7" s="6"/>
      <c r="AF7" s="14" t="b">
        <f aca="false">FALSE()</f>
        <v>0</v>
      </c>
      <c r="AG7" s="11" t="b">
        <f aca="false">FALSE()</f>
        <v>0</v>
      </c>
      <c r="AH7" s="14" t="b">
        <f aca="false">FALSE()</f>
        <v>0</v>
      </c>
      <c r="AI7" s="14" t="b">
        <f aca="false">TRUE()</f>
        <v>1</v>
      </c>
      <c r="AJ7" s="6"/>
      <c r="AK7" s="6"/>
      <c r="AL7" s="6"/>
      <c r="AM7" s="6"/>
      <c r="AN7" s="6"/>
      <c r="AO7" s="6"/>
      <c r="AP7" s="6"/>
      <c r="AQ7" s="6"/>
    </row>
    <row r="8" customFormat="false" ht="15.75" hidden="false" customHeight="false" outlineLevel="0" collapsed="false">
      <c r="A8" s="6"/>
      <c r="B8" s="7" t="s">
        <v>75</v>
      </c>
      <c r="C8" s="8" t="s">
        <v>44</v>
      </c>
      <c r="D8" s="7" t="s">
        <v>45</v>
      </c>
      <c r="E8" s="7" t="s">
        <v>46</v>
      </c>
      <c r="F8" s="6"/>
      <c r="G8" s="9"/>
      <c r="H8" s="6"/>
      <c r="I8" s="6"/>
      <c r="J8" s="6"/>
      <c r="K8" s="10"/>
      <c r="L8" s="11" t="b">
        <f aca="false">FALSE()</f>
        <v>0</v>
      </c>
      <c r="M8" s="6"/>
      <c r="N8" s="6"/>
      <c r="O8" s="6"/>
      <c r="P8" s="7" t="s">
        <v>47</v>
      </c>
      <c r="Q8" s="6"/>
      <c r="R8" s="12" t="s">
        <v>76</v>
      </c>
      <c r="S8" s="7" t="s">
        <v>49</v>
      </c>
      <c r="T8" s="6"/>
      <c r="U8" s="6"/>
      <c r="V8" s="7" t="s">
        <v>50</v>
      </c>
      <c r="W8" s="7" t="s">
        <v>51</v>
      </c>
      <c r="X8" s="7" t="s">
        <v>52</v>
      </c>
      <c r="Y8" s="6"/>
      <c r="Z8" s="13" t="s">
        <v>77</v>
      </c>
      <c r="AA8" s="13" t="s">
        <v>78</v>
      </c>
      <c r="AB8" s="6"/>
      <c r="AC8" s="6"/>
      <c r="AD8" s="6"/>
      <c r="AE8" s="6"/>
      <c r="AF8" s="14" t="b">
        <f aca="false">FALSE()</f>
        <v>0</v>
      </c>
      <c r="AG8" s="11" t="b">
        <f aca="false">FALSE()</f>
        <v>0</v>
      </c>
      <c r="AH8" s="14" t="b">
        <f aca="false">FALSE()</f>
        <v>0</v>
      </c>
      <c r="AI8" s="14" t="b">
        <f aca="false">TRUE()</f>
        <v>1</v>
      </c>
      <c r="AJ8" s="6"/>
      <c r="AK8" s="6"/>
      <c r="AL8" s="6"/>
      <c r="AM8" s="6"/>
      <c r="AN8" s="6"/>
      <c r="AO8" s="6"/>
      <c r="AP8" s="6"/>
      <c r="AQ8" s="6"/>
    </row>
    <row r="9" customFormat="false" ht="15.75" hidden="false" customHeight="false" outlineLevel="0" collapsed="false">
      <c r="A9" s="6"/>
      <c r="B9" s="7" t="s">
        <v>79</v>
      </c>
      <c r="C9" s="8" t="s">
        <v>44</v>
      </c>
      <c r="D9" s="7" t="s">
        <v>45</v>
      </c>
      <c r="E9" s="7" t="s">
        <v>46</v>
      </c>
      <c r="F9" s="6"/>
      <c r="G9" s="9"/>
      <c r="H9" s="6"/>
      <c r="I9" s="6"/>
      <c r="J9" s="6"/>
      <c r="K9" s="10"/>
      <c r="L9" s="11" t="b">
        <f aca="false">FALSE()</f>
        <v>0</v>
      </c>
      <c r="M9" s="6"/>
      <c r="N9" s="6"/>
      <c r="O9" s="6"/>
      <c r="P9" s="7" t="s">
        <v>47</v>
      </c>
      <c r="Q9" s="6"/>
      <c r="R9" s="12" t="s">
        <v>80</v>
      </c>
      <c r="S9" s="7" t="s">
        <v>49</v>
      </c>
      <c r="T9" s="6"/>
      <c r="U9" s="6"/>
      <c r="V9" s="7" t="s">
        <v>50</v>
      </c>
      <c r="W9" s="7" t="s">
        <v>51</v>
      </c>
      <c r="X9" s="7" t="s">
        <v>52</v>
      </c>
      <c r="Y9" s="6"/>
      <c r="Z9" s="13" t="s">
        <v>81</v>
      </c>
      <c r="AA9" s="13" t="s">
        <v>82</v>
      </c>
      <c r="AB9" s="6"/>
      <c r="AC9" s="6"/>
      <c r="AD9" s="6"/>
      <c r="AE9" s="6"/>
      <c r="AF9" s="14" t="b">
        <f aca="false">FALSE()</f>
        <v>0</v>
      </c>
      <c r="AG9" s="11" t="b">
        <f aca="false">FALSE()</f>
        <v>0</v>
      </c>
      <c r="AH9" s="14" t="b">
        <f aca="false">FALSE()</f>
        <v>0</v>
      </c>
      <c r="AI9" s="14" t="b">
        <f aca="false">TRUE()</f>
        <v>1</v>
      </c>
      <c r="AJ9" s="6"/>
      <c r="AK9" s="6"/>
      <c r="AL9" s="6"/>
      <c r="AM9" s="6"/>
      <c r="AN9" s="6"/>
      <c r="AO9" s="6"/>
      <c r="AP9" s="6"/>
      <c r="AQ9" s="6"/>
    </row>
    <row r="10" customFormat="false" ht="15.75" hidden="false" customHeight="false" outlineLevel="0" collapsed="false">
      <c r="A10" s="6"/>
      <c r="B10" s="7" t="s">
        <v>83</v>
      </c>
      <c r="C10" s="8" t="s">
        <v>44</v>
      </c>
      <c r="D10" s="7" t="s">
        <v>45</v>
      </c>
      <c r="E10" s="7" t="s">
        <v>46</v>
      </c>
      <c r="F10" s="6"/>
      <c r="G10" s="9"/>
      <c r="H10" s="6"/>
      <c r="I10" s="6"/>
      <c r="J10" s="6"/>
      <c r="K10" s="10"/>
      <c r="L10" s="11" t="b">
        <f aca="false">FALSE()</f>
        <v>0</v>
      </c>
      <c r="M10" s="6"/>
      <c r="N10" s="6"/>
      <c r="O10" s="6"/>
      <c r="P10" s="7" t="s">
        <v>47</v>
      </c>
      <c r="Q10" s="6"/>
      <c r="R10" s="12" t="s">
        <v>84</v>
      </c>
      <c r="S10" s="7" t="s">
        <v>49</v>
      </c>
      <c r="T10" s="6"/>
      <c r="U10" s="6"/>
      <c r="V10" s="7" t="s">
        <v>50</v>
      </c>
      <c r="W10" s="7" t="s">
        <v>51</v>
      </c>
      <c r="X10" s="7" t="s">
        <v>52</v>
      </c>
      <c r="Y10" s="6"/>
      <c r="Z10" s="13" t="s">
        <v>85</v>
      </c>
      <c r="AA10" s="13" t="s">
        <v>86</v>
      </c>
      <c r="AB10" s="6"/>
      <c r="AC10" s="6"/>
      <c r="AD10" s="6"/>
      <c r="AE10" s="6"/>
      <c r="AF10" s="14" t="b">
        <f aca="false">FALSE()</f>
        <v>0</v>
      </c>
      <c r="AG10" s="11" t="b">
        <f aca="false">FALSE()</f>
        <v>0</v>
      </c>
      <c r="AH10" s="14" t="b">
        <f aca="false">FALSE()</f>
        <v>0</v>
      </c>
      <c r="AI10" s="14" t="b">
        <f aca="false">TRUE()</f>
        <v>1</v>
      </c>
      <c r="AJ10" s="6"/>
      <c r="AK10" s="6"/>
      <c r="AL10" s="6"/>
      <c r="AM10" s="6"/>
      <c r="AN10" s="6"/>
      <c r="AO10" s="6"/>
      <c r="AP10" s="6"/>
      <c r="AQ10" s="6"/>
    </row>
    <row r="11" customFormat="false" ht="15.75" hidden="false" customHeight="false" outlineLevel="0" collapsed="false">
      <c r="A11" s="6"/>
      <c r="B11" s="7" t="s">
        <v>87</v>
      </c>
      <c r="C11" s="8" t="s">
        <v>44</v>
      </c>
      <c r="D11" s="7" t="s">
        <v>45</v>
      </c>
      <c r="E11" s="7" t="s">
        <v>46</v>
      </c>
      <c r="F11" s="6"/>
      <c r="G11" s="9"/>
      <c r="H11" s="6"/>
      <c r="I11" s="6"/>
      <c r="J11" s="6"/>
      <c r="K11" s="10"/>
      <c r="L11" s="11" t="b">
        <f aca="false">FALSE()</f>
        <v>0</v>
      </c>
      <c r="M11" s="6"/>
      <c r="N11" s="6"/>
      <c r="O11" s="6"/>
      <c r="P11" s="7" t="s">
        <v>47</v>
      </c>
      <c r="Q11" s="6"/>
      <c r="R11" s="12" t="s">
        <v>88</v>
      </c>
      <c r="S11" s="7" t="s">
        <v>49</v>
      </c>
      <c r="T11" s="6"/>
      <c r="U11" s="6"/>
      <c r="V11" s="7" t="s">
        <v>50</v>
      </c>
      <c r="W11" s="7" t="s">
        <v>51</v>
      </c>
      <c r="X11" s="7" t="s">
        <v>52</v>
      </c>
      <c r="Y11" s="6"/>
      <c r="Z11" s="13" t="s">
        <v>89</v>
      </c>
      <c r="AA11" s="13" t="s">
        <v>90</v>
      </c>
      <c r="AB11" s="6"/>
      <c r="AC11" s="6"/>
      <c r="AD11" s="6"/>
      <c r="AE11" s="6"/>
      <c r="AF11" s="14" t="b">
        <f aca="false">FALSE()</f>
        <v>0</v>
      </c>
      <c r="AG11" s="11" t="b">
        <f aca="false">FALSE()</f>
        <v>0</v>
      </c>
      <c r="AH11" s="14" t="b">
        <f aca="false">FALSE()</f>
        <v>0</v>
      </c>
      <c r="AI11" s="14" t="b">
        <f aca="false">TRUE()</f>
        <v>1</v>
      </c>
      <c r="AJ11" s="6"/>
      <c r="AK11" s="6"/>
      <c r="AL11" s="6"/>
      <c r="AM11" s="6"/>
      <c r="AN11" s="6"/>
      <c r="AO11" s="6"/>
      <c r="AP11" s="6"/>
      <c r="AQ11" s="6"/>
    </row>
    <row r="12" customFormat="false" ht="15.75" hidden="false" customHeight="false" outlineLevel="0" collapsed="false">
      <c r="A12" s="6"/>
      <c r="B12" s="7" t="s">
        <v>91</v>
      </c>
      <c r="C12" s="8" t="s">
        <v>44</v>
      </c>
      <c r="D12" s="7" t="s">
        <v>45</v>
      </c>
      <c r="E12" s="7" t="s">
        <v>46</v>
      </c>
      <c r="F12" s="6"/>
      <c r="G12" s="9"/>
      <c r="H12" s="6"/>
      <c r="I12" s="6"/>
      <c r="J12" s="6"/>
      <c r="K12" s="10"/>
      <c r="L12" s="11" t="b">
        <f aca="false">FALSE()</f>
        <v>0</v>
      </c>
      <c r="M12" s="6"/>
      <c r="N12" s="6"/>
      <c r="O12" s="6"/>
      <c r="P12" s="7" t="s">
        <v>47</v>
      </c>
      <c r="Q12" s="6"/>
      <c r="R12" s="12" t="s">
        <v>92</v>
      </c>
      <c r="S12" s="7" t="s">
        <v>49</v>
      </c>
      <c r="T12" s="6"/>
      <c r="U12" s="6"/>
      <c r="V12" s="7" t="s">
        <v>50</v>
      </c>
      <c r="W12" s="7" t="s">
        <v>51</v>
      </c>
      <c r="X12" s="7" t="s">
        <v>52</v>
      </c>
      <c r="Y12" s="6"/>
      <c r="Z12" s="13" t="s">
        <v>93</v>
      </c>
      <c r="AA12" s="13" t="s">
        <v>94</v>
      </c>
      <c r="AB12" s="6"/>
      <c r="AC12" s="6"/>
      <c r="AD12" s="6"/>
      <c r="AE12" s="6"/>
      <c r="AF12" s="14" t="b">
        <f aca="false">FALSE()</f>
        <v>0</v>
      </c>
      <c r="AG12" s="11" t="b">
        <f aca="false">FALSE()</f>
        <v>0</v>
      </c>
      <c r="AH12" s="14" t="b">
        <f aca="false">FALSE()</f>
        <v>0</v>
      </c>
      <c r="AI12" s="14" t="b">
        <f aca="false">TRUE()</f>
        <v>1</v>
      </c>
      <c r="AJ12" s="6"/>
      <c r="AK12" s="6"/>
      <c r="AL12" s="6"/>
      <c r="AM12" s="6"/>
      <c r="AN12" s="6"/>
      <c r="AO12" s="6"/>
      <c r="AP12" s="6"/>
      <c r="AQ12" s="6"/>
    </row>
    <row r="13" customFormat="false" ht="15.75" hidden="false" customHeight="false" outlineLevel="0" collapsed="false">
      <c r="A13" s="6"/>
      <c r="B13" s="7" t="s">
        <v>95</v>
      </c>
      <c r="C13" s="8" t="s">
        <v>44</v>
      </c>
      <c r="D13" s="7" t="s">
        <v>45</v>
      </c>
      <c r="E13" s="7" t="s">
        <v>46</v>
      </c>
      <c r="F13" s="6"/>
      <c r="G13" s="9"/>
      <c r="H13" s="6"/>
      <c r="I13" s="6"/>
      <c r="J13" s="6"/>
      <c r="K13" s="10"/>
      <c r="L13" s="11" t="b">
        <f aca="false">FALSE()</f>
        <v>0</v>
      </c>
      <c r="M13" s="6"/>
      <c r="N13" s="6"/>
      <c r="O13" s="6"/>
      <c r="P13" s="7" t="s">
        <v>47</v>
      </c>
      <c r="Q13" s="6"/>
      <c r="R13" s="12" t="s">
        <v>96</v>
      </c>
      <c r="S13" s="7" t="s">
        <v>49</v>
      </c>
      <c r="T13" s="6"/>
      <c r="U13" s="6"/>
      <c r="V13" s="7" t="s">
        <v>50</v>
      </c>
      <c r="W13" s="7" t="s">
        <v>51</v>
      </c>
      <c r="X13" s="7" t="s">
        <v>52</v>
      </c>
      <c r="Y13" s="6"/>
      <c r="Z13" s="13" t="s">
        <v>97</v>
      </c>
      <c r="AA13" s="13" t="s">
        <v>98</v>
      </c>
      <c r="AB13" s="6"/>
      <c r="AC13" s="6"/>
      <c r="AD13" s="6"/>
      <c r="AE13" s="6"/>
      <c r="AF13" s="14" t="b">
        <f aca="false">FALSE()</f>
        <v>0</v>
      </c>
      <c r="AG13" s="11" t="b">
        <f aca="false">FALSE()</f>
        <v>0</v>
      </c>
      <c r="AH13" s="14" t="b">
        <f aca="false">FALSE()</f>
        <v>0</v>
      </c>
      <c r="AI13" s="14" t="b">
        <f aca="false">TRUE()</f>
        <v>1</v>
      </c>
      <c r="AJ13" s="6"/>
      <c r="AK13" s="6"/>
      <c r="AL13" s="6"/>
      <c r="AM13" s="6"/>
      <c r="AN13" s="6"/>
      <c r="AO13" s="6"/>
      <c r="AP13" s="6"/>
      <c r="AQ13" s="6"/>
    </row>
    <row r="14" customFormat="false" ht="15.75" hidden="false" customHeight="false" outlineLevel="0" collapsed="false">
      <c r="A14" s="6"/>
      <c r="B14" s="7" t="s">
        <v>99</v>
      </c>
      <c r="C14" s="8" t="s">
        <v>44</v>
      </c>
      <c r="D14" s="7" t="s">
        <v>45</v>
      </c>
      <c r="E14" s="7" t="s">
        <v>46</v>
      </c>
      <c r="F14" s="6"/>
      <c r="G14" s="9"/>
      <c r="H14" s="6"/>
      <c r="I14" s="6"/>
      <c r="J14" s="6"/>
      <c r="K14" s="10"/>
      <c r="L14" s="11" t="b">
        <f aca="false">FALSE()</f>
        <v>0</v>
      </c>
      <c r="M14" s="6"/>
      <c r="N14" s="6"/>
      <c r="O14" s="6"/>
      <c r="P14" s="7" t="s">
        <v>47</v>
      </c>
      <c r="Q14" s="6"/>
      <c r="R14" s="12" t="s">
        <v>100</v>
      </c>
      <c r="S14" s="7" t="s">
        <v>49</v>
      </c>
      <c r="T14" s="6"/>
      <c r="U14" s="6"/>
      <c r="V14" s="7" t="s">
        <v>50</v>
      </c>
      <c r="W14" s="7" t="s">
        <v>51</v>
      </c>
      <c r="X14" s="7" t="s">
        <v>52</v>
      </c>
      <c r="Y14" s="6"/>
      <c r="Z14" s="13" t="s">
        <v>101</v>
      </c>
      <c r="AA14" s="13" t="s">
        <v>102</v>
      </c>
      <c r="AB14" s="6"/>
      <c r="AC14" s="6"/>
      <c r="AD14" s="6"/>
      <c r="AE14" s="6"/>
      <c r="AF14" s="14" t="b">
        <f aca="false">FALSE()</f>
        <v>0</v>
      </c>
      <c r="AG14" s="11" t="b">
        <f aca="false">FALSE()</f>
        <v>0</v>
      </c>
      <c r="AH14" s="14" t="b">
        <f aca="false">FALSE()</f>
        <v>0</v>
      </c>
      <c r="AI14" s="14" t="b">
        <f aca="false">TRUE()</f>
        <v>1</v>
      </c>
      <c r="AJ14" s="6"/>
      <c r="AK14" s="6"/>
      <c r="AL14" s="6"/>
      <c r="AM14" s="6"/>
      <c r="AN14" s="6"/>
      <c r="AO14" s="6"/>
      <c r="AP14" s="6"/>
      <c r="AQ14" s="6"/>
    </row>
    <row r="15" customFormat="false" ht="15.75" hidden="false" customHeight="false" outlineLevel="0" collapsed="false">
      <c r="A15" s="6"/>
      <c r="B15" s="7" t="s">
        <v>103</v>
      </c>
      <c r="C15" s="8" t="s">
        <v>44</v>
      </c>
      <c r="D15" s="7" t="s">
        <v>45</v>
      </c>
      <c r="E15" s="7" t="s">
        <v>46</v>
      </c>
      <c r="F15" s="6"/>
      <c r="G15" s="9"/>
      <c r="H15" s="6"/>
      <c r="I15" s="6"/>
      <c r="J15" s="6"/>
      <c r="K15" s="10"/>
      <c r="L15" s="11" t="b">
        <f aca="false">FALSE()</f>
        <v>0</v>
      </c>
      <c r="M15" s="6"/>
      <c r="N15" s="6"/>
      <c r="O15" s="6"/>
      <c r="P15" s="7" t="s">
        <v>47</v>
      </c>
      <c r="Q15" s="6"/>
      <c r="R15" s="12" t="s">
        <v>104</v>
      </c>
      <c r="S15" s="7" t="s">
        <v>49</v>
      </c>
      <c r="T15" s="6"/>
      <c r="U15" s="6"/>
      <c r="V15" s="7" t="s">
        <v>50</v>
      </c>
      <c r="W15" s="7" t="s">
        <v>51</v>
      </c>
      <c r="X15" s="7" t="s">
        <v>52</v>
      </c>
      <c r="Y15" s="6"/>
      <c r="Z15" s="13" t="s">
        <v>105</v>
      </c>
      <c r="AA15" s="13" t="s">
        <v>106</v>
      </c>
      <c r="AB15" s="6"/>
      <c r="AC15" s="6"/>
      <c r="AD15" s="6"/>
      <c r="AE15" s="6"/>
      <c r="AF15" s="14" t="b">
        <f aca="false">FALSE()</f>
        <v>0</v>
      </c>
      <c r="AG15" s="11" t="b">
        <f aca="false">FALSE()</f>
        <v>0</v>
      </c>
      <c r="AH15" s="14" t="b">
        <f aca="false">FALSE()</f>
        <v>0</v>
      </c>
      <c r="AI15" s="14" t="b">
        <f aca="false">TRUE()</f>
        <v>1</v>
      </c>
      <c r="AJ15" s="6"/>
      <c r="AK15" s="6"/>
      <c r="AL15" s="6"/>
      <c r="AM15" s="6"/>
      <c r="AN15" s="6"/>
      <c r="AO15" s="6"/>
      <c r="AP15" s="6"/>
      <c r="AQ15" s="6"/>
    </row>
    <row r="16" customFormat="false" ht="15.75" hidden="false" customHeight="false" outlineLevel="0" collapsed="false">
      <c r="A16" s="6"/>
      <c r="B16" s="7" t="s">
        <v>107</v>
      </c>
      <c r="C16" s="8" t="s">
        <v>44</v>
      </c>
      <c r="D16" s="7" t="s">
        <v>45</v>
      </c>
      <c r="E16" s="7" t="s">
        <v>46</v>
      </c>
      <c r="F16" s="6"/>
      <c r="G16" s="9"/>
      <c r="H16" s="6"/>
      <c r="I16" s="6"/>
      <c r="J16" s="6"/>
      <c r="K16" s="10"/>
      <c r="L16" s="11" t="b">
        <f aca="false">FALSE()</f>
        <v>0</v>
      </c>
      <c r="M16" s="6"/>
      <c r="N16" s="6"/>
      <c r="O16" s="6"/>
      <c r="P16" s="7" t="s">
        <v>47</v>
      </c>
      <c r="Q16" s="6"/>
      <c r="R16" s="12" t="s">
        <v>108</v>
      </c>
      <c r="S16" s="7" t="s">
        <v>49</v>
      </c>
      <c r="T16" s="6"/>
      <c r="U16" s="6"/>
      <c r="V16" s="7" t="s">
        <v>50</v>
      </c>
      <c r="W16" s="7" t="s">
        <v>51</v>
      </c>
      <c r="X16" s="7" t="s">
        <v>52</v>
      </c>
      <c r="Y16" s="6"/>
      <c r="Z16" s="13" t="s">
        <v>109</v>
      </c>
      <c r="AA16" s="13" t="s">
        <v>110</v>
      </c>
      <c r="AB16" s="6"/>
      <c r="AC16" s="6"/>
      <c r="AD16" s="6"/>
      <c r="AE16" s="6"/>
      <c r="AF16" s="14" t="b">
        <f aca="false">FALSE()</f>
        <v>0</v>
      </c>
      <c r="AG16" s="11" t="b">
        <f aca="false">FALSE()</f>
        <v>0</v>
      </c>
      <c r="AH16" s="14" t="b">
        <f aca="false">FALSE()</f>
        <v>0</v>
      </c>
      <c r="AI16" s="14" t="b">
        <f aca="false">TRUE()</f>
        <v>1</v>
      </c>
      <c r="AJ16" s="6"/>
      <c r="AK16" s="6"/>
      <c r="AL16" s="6"/>
      <c r="AM16" s="6"/>
      <c r="AN16" s="6"/>
      <c r="AO16" s="6"/>
      <c r="AP16" s="6"/>
      <c r="AQ16" s="6"/>
    </row>
    <row r="17" customFormat="false" ht="15.75" hidden="false" customHeight="false" outlineLevel="0" collapsed="false">
      <c r="A17" s="6"/>
      <c r="B17" s="7" t="s">
        <v>111</v>
      </c>
      <c r="C17" s="8" t="s">
        <v>44</v>
      </c>
      <c r="D17" s="7" t="s">
        <v>45</v>
      </c>
      <c r="E17" s="7" t="s">
        <v>46</v>
      </c>
      <c r="F17" s="6"/>
      <c r="G17" s="9"/>
      <c r="H17" s="6"/>
      <c r="I17" s="6"/>
      <c r="J17" s="6"/>
      <c r="K17" s="10"/>
      <c r="L17" s="11" t="b">
        <f aca="false">FALSE()</f>
        <v>0</v>
      </c>
      <c r="M17" s="6"/>
      <c r="N17" s="6"/>
      <c r="O17" s="6"/>
      <c r="P17" s="7" t="s">
        <v>47</v>
      </c>
      <c r="Q17" s="6"/>
      <c r="R17" s="12" t="s">
        <v>112</v>
      </c>
      <c r="S17" s="7" t="s">
        <v>49</v>
      </c>
      <c r="T17" s="6"/>
      <c r="U17" s="6"/>
      <c r="V17" s="7" t="s">
        <v>50</v>
      </c>
      <c r="W17" s="7" t="s">
        <v>51</v>
      </c>
      <c r="X17" s="7" t="s">
        <v>52</v>
      </c>
      <c r="Y17" s="6"/>
      <c r="Z17" s="13" t="s">
        <v>113</v>
      </c>
      <c r="AA17" s="13" t="s">
        <v>114</v>
      </c>
      <c r="AB17" s="6"/>
      <c r="AC17" s="6"/>
      <c r="AD17" s="6"/>
      <c r="AE17" s="6"/>
      <c r="AF17" s="14" t="b">
        <f aca="false">FALSE()</f>
        <v>0</v>
      </c>
      <c r="AG17" s="11" t="b">
        <f aca="false">FALSE()</f>
        <v>0</v>
      </c>
      <c r="AH17" s="14" t="b">
        <f aca="false">FALSE()</f>
        <v>0</v>
      </c>
      <c r="AI17" s="14" t="b">
        <f aca="false">TRUE()</f>
        <v>1</v>
      </c>
      <c r="AJ17" s="6"/>
      <c r="AK17" s="6"/>
      <c r="AL17" s="6"/>
      <c r="AM17" s="6"/>
      <c r="AN17" s="6"/>
      <c r="AO17" s="6"/>
      <c r="AP17" s="6"/>
      <c r="AQ17" s="6"/>
    </row>
    <row r="18" customFormat="false" ht="15.75" hidden="false" customHeight="false" outlineLevel="0" collapsed="false">
      <c r="A18" s="6"/>
      <c r="B18" s="7" t="s">
        <v>115</v>
      </c>
      <c r="C18" s="8" t="s">
        <v>44</v>
      </c>
      <c r="D18" s="7" t="s">
        <v>45</v>
      </c>
      <c r="E18" s="7" t="s">
        <v>46</v>
      </c>
      <c r="F18" s="6"/>
      <c r="G18" s="9"/>
      <c r="H18" s="6"/>
      <c r="I18" s="6"/>
      <c r="J18" s="6"/>
      <c r="K18" s="10"/>
      <c r="L18" s="11" t="b">
        <f aca="false">FALSE()</f>
        <v>0</v>
      </c>
      <c r="M18" s="6"/>
      <c r="N18" s="6"/>
      <c r="O18" s="6"/>
      <c r="P18" s="7" t="s">
        <v>47</v>
      </c>
      <c r="Q18" s="6"/>
      <c r="R18" s="12" t="s">
        <v>116</v>
      </c>
      <c r="S18" s="7" t="s">
        <v>49</v>
      </c>
      <c r="T18" s="6"/>
      <c r="U18" s="6"/>
      <c r="V18" s="7" t="s">
        <v>50</v>
      </c>
      <c r="W18" s="7" t="s">
        <v>51</v>
      </c>
      <c r="X18" s="7" t="s">
        <v>52</v>
      </c>
      <c r="Y18" s="6"/>
      <c r="Z18" s="13" t="s">
        <v>117</v>
      </c>
      <c r="AA18" s="13" t="s">
        <v>118</v>
      </c>
      <c r="AB18" s="6"/>
      <c r="AC18" s="6"/>
      <c r="AD18" s="6"/>
      <c r="AE18" s="6"/>
      <c r="AF18" s="14" t="b">
        <f aca="false">FALSE()</f>
        <v>0</v>
      </c>
      <c r="AG18" s="11" t="b">
        <f aca="false">FALSE()</f>
        <v>0</v>
      </c>
      <c r="AH18" s="14" t="b">
        <f aca="false">FALSE()</f>
        <v>0</v>
      </c>
      <c r="AI18" s="14" t="b">
        <f aca="false">TRUE()</f>
        <v>1</v>
      </c>
      <c r="AJ18" s="6"/>
      <c r="AK18" s="6"/>
      <c r="AL18" s="6"/>
      <c r="AM18" s="6"/>
      <c r="AN18" s="6"/>
      <c r="AO18" s="6"/>
      <c r="AP18" s="6"/>
      <c r="AQ18" s="6"/>
    </row>
    <row r="19" customFormat="false" ht="15.75" hidden="false" customHeight="false" outlineLevel="0" collapsed="false">
      <c r="A19" s="6"/>
      <c r="B19" s="7" t="s">
        <v>119</v>
      </c>
      <c r="C19" s="8" t="s">
        <v>44</v>
      </c>
      <c r="D19" s="7" t="s">
        <v>45</v>
      </c>
      <c r="E19" s="7" t="s">
        <v>46</v>
      </c>
      <c r="F19" s="6"/>
      <c r="G19" s="9"/>
      <c r="H19" s="6"/>
      <c r="I19" s="6"/>
      <c r="J19" s="6"/>
      <c r="K19" s="10"/>
      <c r="L19" s="11" t="b">
        <f aca="false">FALSE()</f>
        <v>0</v>
      </c>
      <c r="M19" s="6"/>
      <c r="N19" s="6"/>
      <c r="O19" s="6"/>
      <c r="P19" s="7" t="s">
        <v>47</v>
      </c>
      <c r="Q19" s="6"/>
      <c r="R19" s="12" t="s">
        <v>120</v>
      </c>
      <c r="S19" s="7" t="s">
        <v>49</v>
      </c>
      <c r="T19" s="6"/>
      <c r="U19" s="6"/>
      <c r="V19" s="7" t="s">
        <v>50</v>
      </c>
      <c r="W19" s="7" t="s">
        <v>51</v>
      </c>
      <c r="X19" s="7" t="s">
        <v>52</v>
      </c>
      <c r="Y19" s="6"/>
      <c r="Z19" s="13" t="s">
        <v>121</v>
      </c>
      <c r="AA19" s="13" t="s">
        <v>122</v>
      </c>
      <c r="AB19" s="6"/>
      <c r="AC19" s="6"/>
      <c r="AD19" s="6"/>
      <c r="AE19" s="6"/>
      <c r="AF19" s="14" t="b">
        <f aca="false">FALSE()</f>
        <v>0</v>
      </c>
      <c r="AG19" s="11" t="b">
        <f aca="false">FALSE()</f>
        <v>0</v>
      </c>
      <c r="AH19" s="14" t="b">
        <f aca="false">FALSE()</f>
        <v>0</v>
      </c>
      <c r="AI19" s="14" t="b">
        <f aca="false">TRUE()</f>
        <v>1</v>
      </c>
      <c r="AJ19" s="6"/>
      <c r="AK19" s="6"/>
      <c r="AL19" s="6"/>
      <c r="AM19" s="6"/>
      <c r="AN19" s="6"/>
      <c r="AO19" s="6"/>
      <c r="AP19" s="6"/>
      <c r="AQ19" s="6"/>
    </row>
    <row r="20" customFormat="false" ht="15.75" hidden="false" customHeight="false" outlineLevel="0" collapsed="false">
      <c r="A20" s="6"/>
      <c r="B20" s="7" t="s">
        <v>123</v>
      </c>
      <c r="C20" s="8" t="s">
        <v>44</v>
      </c>
      <c r="D20" s="7" t="s">
        <v>45</v>
      </c>
      <c r="E20" s="7" t="s">
        <v>46</v>
      </c>
      <c r="F20" s="6"/>
      <c r="G20" s="9"/>
      <c r="H20" s="6"/>
      <c r="I20" s="6"/>
      <c r="J20" s="6"/>
      <c r="K20" s="10"/>
      <c r="L20" s="11" t="b">
        <f aca="false">FALSE()</f>
        <v>0</v>
      </c>
      <c r="M20" s="6"/>
      <c r="N20" s="6"/>
      <c r="O20" s="6"/>
      <c r="P20" s="7" t="s">
        <v>47</v>
      </c>
      <c r="Q20" s="6"/>
      <c r="R20" s="12" t="s">
        <v>124</v>
      </c>
      <c r="S20" s="7" t="s">
        <v>49</v>
      </c>
      <c r="T20" s="6"/>
      <c r="U20" s="6"/>
      <c r="V20" s="7" t="s">
        <v>50</v>
      </c>
      <c r="W20" s="7" t="s">
        <v>51</v>
      </c>
      <c r="X20" s="7" t="s">
        <v>52</v>
      </c>
      <c r="Y20" s="6"/>
      <c r="Z20" s="13" t="s">
        <v>125</v>
      </c>
      <c r="AA20" s="13" t="s">
        <v>126</v>
      </c>
      <c r="AB20" s="6"/>
      <c r="AC20" s="6"/>
      <c r="AD20" s="6"/>
      <c r="AE20" s="6"/>
      <c r="AF20" s="14" t="b">
        <f aca="false">FALSE()</f>
        <v>0</v>
      </c>
      <c r="AG20" s="11" t="b">
        <f aca="false">FALSE()</f>
        <v>0</v>
      </c>
      <c r="AH20" s="14" t="b">
        <f aca="false">FALSE()</f>
        <v>0</v>
      </c>
      <c r="AI20" s="14" t="b">
        <f aca="false">TRUE()</f>
        <v>1</v>
      </c>
      <c r="AJ20" s="6"/>
      <c r="AK20" s="6"/>
      <c r="AL20" s="6"/>
      <c r="AM20" s="6"/>
      <c r="AN20" s="6"/>
      <c r="AO20" s="6"/>
      <c r="AP20" s="6"/>
      <c r="AQ20" s="6"/>
    </row>
    <row r="21" customFormat="false" ht="15.75" hidden="false" customHeight="false" outlineLevel="0" collapsed="false">
      <c r="A21" s="6"/>
      <c r="B21" s="7" t="s">
        <v>127</v>
      </c>
      <c r="C21" s="8" t="s">
        <v>44</v>
      </c>
      <c r="D21" s="7" t="s">
        <v>45</v>
      </c>
      <c r="E21" s="7" t="s">
        <v>46</v>
      </c>
      <c r="F21" s="6"/>
      <c r="G21" s="9"/>
      <c r="H21" s="6"/>
      <c r="I21" s="6"/>
      <c r="J21" s="6"/>
      <c r="K21" s="10"/>
      <c r="L21" s="11" t="b">
        <f aca="false">FALSE()</f>
        <v>0</v>
      </c>
      <c r="M21" s="6"/>
      <c r="N21" s="6"/>
      <c r="O21" s="6"/>
      <c r="P21" s="7" t="s">
        <v>47</v>
      </c>
      <c r="Q21" s="6"/>
      <c r="R21" s="12" t="s">
        <v>128</v>
      </c>
      <c r="S21" s="7" t="s">
        <v>49</v>
      </c>
      <c r="T21" s="6"/>
      <c r="U21" s="6"/>
      <c r="V21" s="7" t="s">
        <v>50</v>
      </c>
      <c r="W21" s="7" t="s">
        <v>51</v>
      </c>
      <c r="X21" s="7" t="s">
        <v>52</v>
      </c>
      <c r="Y21" s="6"/>
      <c r="Z21" s="13" t="s">
        <v>129</v>
      </c>
      <c r="AA21" s="13" t="s">
        <v>130</v>
      </c>
      <c r="AB21" s="6"/>
      <c r="AC21" s="6"/>
      <c r="AD21" s="6"/>
      <c r="AE21" s="6"/>
      <c r="AF21" s="14" t="b">
        <f aca="false">FALSE()</f>
        <v>0</v>
      </c>
      <c r="AG21" s="11" t="b">
        <f aca="false">FALSE()</f>
        <v>0</v>
      </c>
      <c r="AH21" s="14" t="b">
        <f aca="false">FALSE()</f>
        <v>0</v>
      </c>
      <c r="AI21" s="14" t="b">
        <f aca="false">TRUE()</f>
        <v>1</v>
      </c>
      <c r="AJ21" s="6"/>
      <c r="AK21" s="6"/>
      <c r="AL21" s="6"/>
      <c r="AM21" s="6"/>
      <c r="AN21" s="6"/>
      <c r="AO21" s="6"/>
      <c r="AP21" s="6"/>
      <c r="AQ21" s="6"/>
    </row>
    <row r="22" customFormat="false" ht="15.75" hidden="false" customHeight="false" outlineLevel="0" collapsed="false">
      <c r="A22" s="6"/>
      <c r="B22" s="7" t="s">
        <v>131</v>
      </c>
      <c r="C22" s="8" t="s">
        <v>44</v>
      </c>
      <c r="D22" s="7" t="s">
        <v>45</v>
      </c>
      <c r="E22" s="7" t="s">
        <v>46</v>
      </c>
      <c r="F22" s="6"/>
      <c r="G22" s="9"/>
      <c r="H22" s="6"/>
      <c r="I22" s="6"/>
      <c r="J22" s="6"/>
      <c r="K22" s="10"/>
      <c r="L22" s="11" t="b">
        <f aca="false">FALSE()</f>
        <v>0</v>
      </c>
      <c r="M22" s="6"/>
      <c r="N22" s="6"/>
      <c r="O22" s="6"/>
      <c r="P22" s="7" t="s">
        <v>47</v>
      </c>
      <c r="Q22" s="6"/>
      <c r="R22" s="12" t="s">
        <v>132</v>
      </c>
      <c r="S22" s="7" t="s">
        <v>49</v>
      </c>
      <c r="T22" s="6"/>
      <c r="U22" s="6"/>
      <c r="V22" s="7" t="s">
        <v>50</v>
      </c>
      <c r="W22" s="7" t="s">
        <v>51</v>
      </c>
      <c r="X22" s="7" t="s">
        <v>52</v>
      </c>
      <c r="Y22" s="6"/>
      <c r="Z22" s="13" t="s">
        <v>133</v>
      </c>
      <c r="AA22" s="13" t="s">
        <v>134</v>
      </c>
      <c r="AB22" s="6"/>
      <c r="AC22" s="6"/>
      <c r="AD22" s="6"/>
      <c r="AE22" s="6"/>
      <c r="AF22" s="14" t="b">
        <f aca="false">FALSE()</f>
        <v>0</v>
      </c>
      <c r="AG22" s="11" t="b">
        <f aca="false">FALSE()</f>
        <v>0</v>
      </c>
      <c r="AH22" s="14" t="b">
        <f aca="false">FALSE()</f>
        <v>0</v>
      </c>
      <c r="AI22" s="14" t="b">
        <f aca="false">TRUE()</f>
        <v>1</v>
      </c>
      <c r="AJ22" s="6"/>
      <c r="AK22" s="6"/>
      <c r="AL22" s="6"/>
      <c r="AM22" s="6"/>
      <c r="AN22" s="6"/>
      <c r="AO22" s="6"/>
      <c r="AP22" s="6"/>
      <c r="AQ22" s="6"/>
    </row>
    <row r="23" customFormat="false" ht="15.75" hidden="false" customHeight="false" outlineLevel="0" collapsed="false">
      <c r="A23" s="6"/>
      <c r="B23" s="7" t="s">
        <v>135</v>
      </c>
      <c r="C23" s="8" t="s">
        <v>44</v>
      </c>
      <c r="D23" s="7" t="s">
        <v>45</v>
      </c>
      <c r="E23" s="7" t="s">
        <v>46</v>
      </c>
      <c r="F23" s="6"/>
      <c r="G23" s="9"/>
      <c r="H23" s="6"/>
      <c r="I23" s="6"/>
      <c r="J23" s="6"/>
      <c r="K23" s="10"/>
      <c r="L23" s="11" t="b">
        <f aca="false">FALSE()</f>
        <v>0</v>
      </c>
      <c r="M23" s="6"/>
      <c r="N23" s="6"/>
      <c r="O23" s="6"/>
      <c r="P23" s="7" t="s">
        <v>47</v>
      </c>
      <c r="Q23" s="6"/>
      <c r="R23" s="12" t="s">
        <v>136</v>
      </c>
      <c r="S23" s="7" t="s">
        <v>49</v>
      </c>
      <c r="T23" s="6"/>
      <c r="U23" s="6"/>
      <c r="V23" s="7" t="s">
        <v>50</v>
      </c>
      <c r="W23" s="7" t="s">
        <v>51</v>
      </c>
      <c r="X23" s="7" t="s">
        <v>52</v>
      </c>
      <c r="Y23" s="6"/>
      <c r="Z23" s="13" t="s">
        <v>137</v>
      </c>
      <c r="AA23" s="13" t="s">
        <v>138</v>
      </c>
      <c r="AB23" s="6"/>
      <c r="AC23" s="6"/>
      <c r="AD23" s="6"/>
      <c r="AE23" s="6"/>
      <c r="AF23" s="14" t="b">
        <f aca="false">FALSE()</f>
        <v>0</v>
      </c>
      <c r="AG23" s="11" t="b">
        <f aca="false">FALSE()</f>
        <v>0</v>
      </c>
      <c r="AH23" s="14" t="b">
        <f aca="false">FALSE()</f>
        <v>0</v>
      </c>
      <c r="AI23" s="14" t="b">
        <f aca="false">TRUE()</f>
        <v>1</v>
      </c>
      <c r="AJ23" s="6"/>
      <c r="AK23" s="6"/>
      <c r="AL23" s="6"/>
      <c r="AM23" s="6"/>
      <c r="AN23" s="6"/>
      <c r="AO23" s="6"/>
      <c r="AP23" s="6"/>
      <c r="AQ23" s="6"/>
    </row>
    <row r="24" customFormat="false" ht="15.75" hidden="false" customHeight="false" outlineLevel="0" collapsed="false">
      <c r="A24" s="6"/>
      <c r="B24" s="7" t="s">
        <v>139</v>
      </c>
      <c r="C24" s="8" t="s">
        <v>44</v>
      </c>
      <c r="D24" s="7" t="s">
        <v>45</v>
      </c>
      <c r="E24" s="7" t="s">
        <v>46</v>
      </c>
      <c r="F24" s="6"/>
      <c r="G24" s="9"/>
      <c r="H24" s="6"/>
      <c r="I24" s="6"/>
      <c r="J24" s="6"/>
      <c r="K24" s="10"/>
      <c r="L24" s="11" t="b">
        <f aca="false">FALSE()</f>
        <v>0</v>
      </c>
      <c r="M24" s="6"/>
      <c r="N24" s="6"/>
      <c r="O24" s="6"/>
      <c r="P24" s="7" t="s">
        <v>47</v>
      </c>
      <c r="Q24" s="6"/>
      <c r="R24" s="12" t="s">
        <v>140</v>
      </c>
      <c r="S24" s="7" t="s">
        <v>49</v>
      </c>
      <c r="T24" s="6"/>
      <c r="U24" s="6"/>
      <c r="V24" s="7" t="s">
        <v>50</v>
      </c>
      <c r="W24" s="7" t="s">
        <v>51</v>
      </c>
      <c r="X24" s="7" t="s">
        <v>52</v>
      </c>
      <c r="Y24" s="6"/>
      <c r="Z24" s="13" t="s">
        <v>141</v>
      </c>
      <c r="AA24" s="13" t="s">
        <v>142</v>
      </c>
      <c r="AB24" s="6"/>
      <c r="AC24" s="6"/>
      <c r="AD24" s="6"/>
      <c r="AE24" s="6"/>
      <c r="AF24" s="14" t="b">
        <f aca="false">FALSE()</f>
        <v>0</v>
      </c>
      <c r="AG24" s="11" t="b">
        <f aca="false">FALSE()</f>
        <v>0</v>
      </c>
      <c r="AH24" s="14" t="b">
        <f aca="false">FALSE()</f>
        <v>0</v>
      </c>
      <c r="AI24" s="14" t="b">
        <f aca="false">TRUE()</f>
        <v>1</v>
      </c>
      <c r="AJ24" s="6"/>
      <c r="AK24" s="6"/>
      <c r="AL24" s="6"/>
      <c r="AM24" s="6"/>
      <c r="AN24" s="6"/>
      <c r="AO24" s="6"/>
      <c r="AP24" s="6"/>
      <c r="AQ24" s="6"/>
    </row>
    <row r="25" customFormat="false" ht="15.75" hidden="false" customHeight="false" outlineLevel="0" collapsed="false">
      <c r="A25" s="6"/>
      <c r="B25" s="15" t="s">
        <v>143</v>
      </c>
      <c r="C25" s="8" t="s">
        <v>144</v>
      </c>
      <c r="D25" s="7" t="s">
        <v>45</v>
      </c>
      <c r="E25" s="7" t="s">
        <v>46</v>
      </c>
      <c r="F25" s="7"/>
      <c r="G25" s="16"/>
      <c r="H25" s="6"/>
      <c r="I25" s="6"/>
      <c r="J25" s="6"/>
      <c r="K25" s="10"/>
      <c r="L25" s="11" t="b">
        <f aca="false">FALSE()</f>
        <v>0</v>
      </c>
      <c r="M25" s="7"/>
      <c r="N25" s="6"/>
      <c r="O25" s="6"/>
      <c r="P25" s="7"/>
      <c r="Q25" s="7" t="s">
        <v>145</v>
      </c>
      <c r="R25" s="6"/>
      <c r="S25" s="7" t="s">
        <v>49</v>
      </c>
      <c r="T25" s="6"/>
      <c r="U25" s="6"/>
      <c r="V25" s="7" t="s">
        <v>50</v>
      </c>
      <c r="W25" s="17" t="s">
        <v>145</v>
      </c>
      <c r="X25" s="17" t="s">
        <v>52</v>
      </c>
      <c r="Y25" s="7"/>
      <c r="Z25" s="13" t="s">
        <v>146</v>
      </c>
      <c r="AA25" s="13" t="s">
        <v>147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customFormat="false" ht="15.75" hidden="false" customHeight="false" outlineLevel="0" collapsed="false">
      <c r="A26" s="6"/>
      <c r="B26" s="7"/>
      <c r="C26" s="8"/>
      <c r="D26" s="7"/>
      <c r="E26" s="7"/>
      <c r="F26" s="6"/>
      <c r="G26" s="9"/>
      <c r="H26" s="6"/>
      <c r="I26" s="6"/>
      <c r="J26" s="6"/>
      <c r="K26" s="10"/>
      <c r="L26" s="17"/>
      <c r="M26" s="6"/>
      <c r="N26" s="6"/>
      <c r="O26" s="6"/>
      <c r="P26" s="7"/>
      <c r="Q26" s="6"/>
      <c r="R26" s="12"/>
      <c r="S26" s="7"/>
      <c r="T26" s="6"/>
      <c r="U26" s="6"/>
      <c r="V26" s="7"/>
      <c r="W26" s="7"/>
      <c r="X26" s="7"/>
      <c r="Y26" s="6"/>
      <c r="Z26" s="6"/>
      <c r="AA26" s="6"/>
      <c r="AB26" s="6"/>
      <c r="AC26" s="6"/>
      <c r="AD26" s="6"/>
      <c r="AE26" s="6"/>
      <c r="AF26" s="7"/>
      <c r="AG26" s="17"/>
      <c r="AH26" s="7"/>
      <c r="AI26" s="7"/>
      <c r="AJ26" s="6"/>
      <c r="AK26" s="6"/>
      <c r="AL26" s="6"/>
      <c r="AM26" s="6"/>
      <c r="AN26" s="6"/>
      <c r="AO26" s="6"/>
      <c r="AP26" s="6"/>
      <c r="AQ26" s="6"/>
    </row>
    <row r="27" customFormat="false" ht="15.75" hidden="false" customHeight="false" outlineLevel="0" collapsed="false">
      <c r="A27" s="6"/>
      <c r="B27" s="6"/>
      <c r="C27" s="6"/>
      <c r="D27" s="6"/>
      <c r="E27" s="6"/>
      <c r="F27" s="6"/>
      <c r="G27" s="9"/>
      <c r="H27" s="6"/>
      <c r="I27" s="6"/>
      <c r="J27" s="6"/>
      <c r="K27" s="10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customFormat="false" ht="15.75" hidden="false" customHeight="false" outlineLevel="0" collapsed="false">
      <c r="A28" s="6"/>
      <c r="B28" s="6"/>
      <c r="C28" s="6"/>
      <c r="D28" s="6"/>
      <c r="E28" s="6"/>
      <c r="F28" s="6"/>
      <c r="G28" s="9"/>
      <c r="H28" s="6"/>
      <c r="I28" s="6"/>
      <c r="J28" s="6"/>
      <c r="K28" s="1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customFormat="false" ht="15.75" hidden="false" customHeight="false" outlineLevel="0" collapsed="false">
      <c r="A29" s="6"/>
      <c r="B29" s="6"/>
      <c r="C29" s="6"/>
      <c r="D29" s="6"/>
      <c r="E29" s="6"/>
      <c r="F29" s="6"/>
      <c r="G29" s="9"/>
      <c r="H29" s="6"/>
      <c r="I29" s="6"/>
      <c r="J29" s="6"/>
      <c r="K29" s="1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customFormat="false" ht="15.75" hidden="false" customHeight="false" outlineLevel="0" collapsed="false">
      <c r="A30" s="6"/>
      <c r="B30" s="6"/>
      <c r="C30" s="6"/>
      <c r="D30" s="6"/>
      <c r="E30" s="6"/>
      <c r="F30" s="6"/>
      <c r="G30" s="9"/>
      <c r="H30" s="6"/>
      <c r="I30" s="6"/>
      <c r="J30" s="6"/>
      <c r="K30" s="1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customFormat="false" ht="15.75" hidden="false" customHeight="false" outlineLevel="0" collapsed="false">
      <c r="A31" s="6"/>
      <c r="B31" s="6"/>
      <c r="C31" s="6"/>
      <c r="D31" s="6"/>
      <c r="E31" s="6"/>
      <c r="F31" s="6"/>
      <c r="G31" s="9"/>
      <c r="H31" s="6"/>
      <c r="I31" s="6"/>
      <c r="J31" s="6"/>
      <c r="K31" s="10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customFormat="false" ht="15.75" hidden="false" customHeight="false" outlineLevel="0" collapsed="false">
      <c r="A32" s="6"/>
      <c r="B32" s="6"/>
      <c r="C32" s="6"/>
      <c r="D32" s="6"/>
      <c r="E32" s="6"/>
      <c r="F32" s="6"/>
      <c r="G32" s="9"/>
      <c r="H32" s="6"/>
      <c r="I32" s="6"/>
      <c r="J32" s="6"/>
      <c r="K32" s="1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customFormat="false" ht="15.75" hidden="false" customHeight="false" outlineLevel="0" collapsed="false">
      <c r="A33" s="6"/>
      <c r="B33" s="6"/>
      <c r="C33" s="6"/>
      <c r="D33" s="6"/>
      <c r="E33" s="6"/>
      <c r="F33" s="6"/>
      <c r="G33" s="9"/>
      <c r="H33" s="6"/>
      <c r="I33" s="6"/>
      <c r="J33" s="6"/>
      <c r="K33" s="10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customFormat="false" ht="15.75" hidden="false" customHeight="false" outlineLevel="0" collapsed="false">
      <c r="A34" s="6"/>
      <c r="B34" s="6"/>
      <c r="C34" s="6"/>
      <c r="D34" s="6"/>
      <c r="E34" s="6"/>
      <c r="F34" s="6"/>
      <c r="G34" s="9"/>
      <c r="H34" s="6"/>
      <c r="I34" s="6"/>
      <c r="J34" s="6"/>
      <c r="K34" s="10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customFormat="false" ht="15.75" hidden="false" customHeight="false" outlineLevel="0" collapsed="false">
      <c r="A35" s="6"/>
      <c r="B35" s="6"/>
      <c r="C35" s="6"/>
      <c r="D35" s="6"/>
      <c r="E35" s="6"/>
      <c r="F35" s="6"/>
      <c r="G35" s="9"/>
      <c r="H35" s="6"/>
      <c r="I35" s="6"/>
      <c r="J35" s="6"/>
      <c r="K35" s="10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customFormat="false" ht="15.75" hidden="false" customHeight="false" outlineLevel="0" collapsed="false">
      <c r="A36" s="6"/>
      <c r="B36" s="6"/>
      <c r="C36" s="6"/>
      <c r="D36" s="6"/>
      <c r="E36" s="6"/>
      <c r="F36" s="6"/>
      <c r="G36" s="9"/>
      <c r="H36" s="6"/>
      <c r="I36" s="6"/>
      <c r="J36" s="6"/>
      <c r="K36" s="10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customFormat="false" ht="15.75" hidden="false" customHeight="false" outlineLevel="0" collapsed="false">
      <c r="A37" s="6"/>
      <c r="B37" s="6"/>
      <c r="C37" s="6"/>
      <c r="D37" s="6"/>
      <c r="E37" s="6"/>
      <c r="F37" s="6"/>
      <c r="G37" s="9"/>
      <c r="H37" s="6"/>
      <c r="I37" s="6"/>
      <c r="J37" s="6"/>
      <c r="K37" s="10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customFormat="false" ht="15.75" hidden="false" customHeight="false" outlineLevel="0" collapsed="false">
      <c r="A38" s="6"/>
      <c r="B38" s="6"/>
      <c r="C38" s="6"/>
      <c r="D38" s="6"/>
      <c r="E38" s="6"/>
      <c r="F38" s="6"/>
      <c r="G38" s="9"/>
      <c r="H38" s="6"/>
      <c r="I38" s="6"/>
      <c r="J38" s="6"/>
      <c r="K38" s="10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customFormat="false" ht="15.75" hidden="false" customHeight="false" outlineLevel="0" collapsed="false">
      <c r="A39" s="6"/>
      <c r="B39" s="6"/>
      <c r="C39" s="6"/>
      <c r="D39" s="6"/>
      <c r="E39" s="6"/>
      <c r="F39" s="6"/>
      <c r="G39" s="9"/>
      <c r="H39" s="6"/>
      <c r="I39" s="6"/>
      <c r="J39" s="6"/>
      <c r="K39" s="10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customFormat="false" ht="15.75" hidden="false" customHeight="false" outlineLevel="0" collapsed="false">
      <c r="A40" s="6"/>
      <c r="B40" s="6"/>
      <c r="C40" s="6"/>
      <c r="D40" s="6"/>
      <c r="E40" s="6"/>
      <c r="F40" s="6"/>
      <c r="G40" s="9"/>
      <c r="H40" s="6"/>
      <c r="I40" s="6"/>
      <c r="J40" s="6"/>
      <c r="K40" s="10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customFormat="false" ht="15.75" hidden="false" customHeight="false" outlineLevel="0" collapsed="false">
      <c r="A41" s="6"/>
      <c r="B41" s="6"/>
      <c r="C41" s="6"/>
      <c r="D41" s="6"/>
      <c r="E41" s="6"/>
      <c r="F41" s="6"/>
      <c r="G41" s="9"/>
      <c r="H41" s="6"/>
      <c r="I41" s="6"/>
      <c r="J41" s="6"/>
      <c r="K41" s="10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customFormat="false" ht="15.75" hidden="false" customHeight="false" outlineLevel="0" collapsed="false">
      <c r="A42" s="6"/>
      <c r="B42" s="6"/>
      <c r="C42" s="6"/>
      <c r="D42" s="6"/>
      <c r="E42" s="6"/>
      <c r="F42" s="6"/>
      <c r="G42" s="9"/>
      <c r="H42" s="6"/>
      <c r="I42" s="6"/>
      <c r="J42" s="6"/>
      <c r="K42" s="10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customFormat="false" ht="15.75" hidden="false" customHeight="false" outlineLevel="0" collapsed="false">
      <c r="A43" s="6"/>
      <c r="B43" s="6"/>
      <c r="C43" s="6"/>
      <c r="D43" s="6"/>
      <c r="E43" s="6"/>
      <c r="F43" s="6"/>
      <c r="G43" s="9"/>
      <c r="H43" s="6"/>
      <c r="I43" s="6"/>
      <c r="J43" s="6"/>
      <c r="K43" s="10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customFormat="false" ht="15.75" hidden="false" customHeight="false" outlineLevel="0" collapsed="false">
      <c r="A44" s="6"/>
      <c r="B44" s="6"/>
      <c r="C44" s="6"/>
      <c r="D44" s="6"/>
      <c r="E44" s="6"/>
      <c r="F44" s="6"/>
      <c r="G44" s="9"/>
      <c r="H44" s="6"/>
      <c r="I44" s="6"/>
      <c r="J44" s="6"/>
      <c r="K44" s="10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customFormat="false" ht="15.75" hidden="false" customHeight="false" outlineLevel="0" collapsed="false">
      <c r="A45" s="6"/>
      <c r="B45" s="6"/>
      <c r="C45" s="6"/>
      <c r="D45" s="6"/>
      <c r="E45" s="6"/>
      <c r="F45" s="6"/>
      <c r="G45" s="9"/>
      <c r="H45" s="6"/>
      <c r="I45" s="6"/>
      <c r="J45" s="6"/>
      <c r="K45" s="10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customFormat="false" ht="15.75" hidden="false" customHeight="false" outlineLevel="0" collapsed="false">
      <c r="A46" s="6"/>
      <c r="B46" s="6"/>
      <c r="C46" s="6"/>
      <c r="D46" s="6"/>
      <c r="E46" s="6"/>
      <c r="F46" s="6"/>
      <c r="G46" s="9"/>
      <c r="H46" s="6"/>
      <c r="I46" s="6"/>
      <c r="J46" s="6"/>
      <c r="K46" s="10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customFormat="false" ht="15.75" hidden="false" customHeight="false" outlineLevel="0" collapsed="false">
      <c r="A47" s="6"/>
      <c r="B47" s="6"/>
      <c r="C47" s="6"/>
      <c r="D47" s="6"/>
      <c r="E47" s="6"/>
      <c r="F47" s="6"/>
      <c r="G47" s="9"/>
      <c r="H47" s="6"/>
      <c r="I47" s="6"/>
      <c r="J47" s="6"/>
      <c r="K47" s="10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customFormat="false" ht="15.75" hidden="false" customHeight="false" outlineLevel="0" collapsed="false">
      <c r="A48" s="6"/>
      <c r="B48" s="6"/>
      <c r="C48" s="6"/>
      <c r="D48" s="6"/>
      <c r="E48" s="6"/>
      <c r="F48" s="6"/>
      <c r="G48" s="9"/>
      <c r="H48" s="6"/>
      <c r="I48" s="6"/>
      <c r="J48" s="6"/>
      <c r="K48" s="10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customFormat="false" ht="15.75" hidden="false" customHeight="false" outlineLevel="0" collapsed="false">
      <c r="A49" s="6"/>
      <c r="B49" s="6"/>
      <c r="C49" s="6"/>
      <c r="D49" s="6"/>
      <c r="E49" s="6"/>
      <c r="F49" s="6"/>
      <c r="G49" s="9"/>
      <c r="H49" s="6"/>
      <c r="I49" s="6"/>
      <c r="J49" s="6"/>
      <c r="K49" s="10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customFormat="false" ht="15.75" hidden="false" customHeight="false" outlineLevel="0" collapsed="false">
      <c r="A50" s="6"/>
      <c r="B50" s="6"/>
      <c r="C50" s="6"/>
      <c r="D50" s="6"/>
      <c r="E50" s="6"/>
      <c r="F50" s="6"/>
      <c r="G50" s="9"/>
      <c r="H50" s="6"/>
      <c r="I50" s="6"/>
      <c r="J50" s="6"/>
      <c r="K50" s="10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customFormat="false" ht="15.75" hidden="false" customHeight="false" outlineLevel="0" collapsed="false">
      <c r="A51" s="6"/>
      <c r="B51" s="6"/>
      <c r="C51" s="6"/>
      <c r="D51" s="6"/>
      <c r="E51" s="6"/>
      <c r="F51" s="6"/>
      <c r="G51" s="9"/>
      <c r="H51" s="6"/>
      <c r="I51" s="6"/>
      <c r="J51" s="6"/>
      <c r="K51" s="10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customFormat="false" ht="15.75" hidden="false" customHeight="false" outlineLevel="0" collapsed="false">
      <c r="A52" s="6"/>
      <c r="B52" s="6"/>
      <c r="C52" s="6"/>
      <c r="D52" s="6"/>
      <c r="E52" s="6"/>
      <c r="F52" s="6"/>
      <c r="G52" s="9"/>
      <c r="H52" s="6"/>
      <c r="I52" s="6"/>
      <c r="J52" s="6"/>
      <c r="K52" s="10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customFormat="false" ht="15.75" hidden="false" customHeight="false" outlineLevel="0" collapsed="false">
      <c r="A53" s="6"/>
      <c r="B53" s="6"/>
      <c r="C53" s="6"/>
      <c r="D53" s="6"/>
      <c r="E53" s="6"/>
      <c r="F53" s="6"/>
      <c r="G53" s="9"/>
      <c r="H53" s="6"/>
      <c r="I53" s="6"/>
      <c r="J53" s="6"/>
      <c r="K53" s="10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customFormat="false" ht="15.75" hidden="false" customHeight="false" outlineLevel="0" collapsed="false">
      <c r="A54" s="6"/>
      <c r="B54" s="6"/>
      <c r="C54" s="6"/>
      <c r="D54" s="6"/>
      <c r="E54" s="6"/>
      <c r="F54" s="6"/>
      <c r="G54" s="9"/>
      <c r="H54" s="6"/>
      <c r="I54" s="6"/>
      <c r="J54" s="6"/>
      <c r="K54" s="10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customFormat="false" ht="15.75" hidden="false" customHeight="false" outlineLevel="0" collapsed="false">
      <c r="A55" s="6"/>
      <c r="B55" s="6"/>
      <c r="C55" s="6"/>
      <c r="D55" s="6"/>
      <c r="E55" s="6"/>
      <c r="F55" s="6"/>
      <c r="G55" s="9"/>
      <c r="H55" s="6"/>
      <c r="I55" s="6"/>
      <c r="J55" s="6"/>
      <c r="K55" s="10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9"/>
      <c r="H56" s="6"/>
      <c r="I56" s="6"/>
      <c r="J56" s="6"/>
      <c r="K56" s="10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9"/>
      <c r="H57" s="6"/>
      <c r="I57" s="6"/>
      <c r="J57" s="6"/>
      <c r="K57" s="10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9"/>
      <c r="H58" s="6"/>
      <c r="I58" s="6"/>
      <c r="J58" s="6"/>
      <c r="K58" s="10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9"/>
      <c r="H59" s="6"/>
      <c r="I59" s="6"/>
      <c r="J59" s="6"/>
      <c r="K59" s="10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9"/>
      <c r="H60" s="6"/>
      <c r="I60" s="6"/>
      <c r="J60" s="6"/>
      <c r="K60" s="10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customFormat="false" ht="15.75" hidden="false" customHeight="false" outlineLevel="0" collapsed="false">
      <c r="A61" s="6"/>
      <c r="B61" s="6"/>
      <c r="C61" s="6"/>
      <c r="D61" s="6"/>
      <c r="E61" s="6"/>
      <c r="F61" s="6"/>
      <c r="G61" s="9"/>
      <c r="H61" s="6"/>
      <c r="I61" s="6"/>
      <c r="J61" s="6"/>
      <c r="K61" s="10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9"/>
      <c r="H62" s="6"/>
      <c r="I62" s="6"/>
      <c r="J62" s="6"/>
      <c r="K62" s="10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9"/>
      <c r="H63" s="6"/>
      <c r="I63" s="6"/>
      <c r="J63" s="6"/>
      <c r="K63" s="10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9"/>
      <c r="H64" s="6"/>
      <c r="I64" s="6"/>
      <c r="J64" s="6"/>
      <c r="K64" s="10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9"/>
      <c r="H65" s="6"/>
      <c r="I65" s="6"/>
      <c r="J65" s="6"/>
      <c r="K65" s="10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9"/>
      <c r="H66" s="6"/>
      <c r="I66" s="6"/>
      <c r="J66" s="6"/>
      <c r="K66" s="10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customFormat="false" ht="15.75" hidden="false" customHeight="false" outlineLevel="0" collapsed="false">
      <c r="A67" s="6"/>
      <c r="B67" s="6"/>
      <c r="C67" s="6"/>
      <c r="D67" s="6"/>
      <c r="E67" s="6"/>
      <c r="F67" s="6"/>
      <c r="G67" s="9"/>
      <c r="H67" s="6"/>
      <c r="I67" s="6"/>
      <c r="J67" s="6"/>
      <c r="K67" s="10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customFormat="false" ht="15.75" hidden="false" customHeight="false" outlineLevel="0" collapsed="false">
      <c r="A68" s="6"/>
      <c r="B68" s="6"/>
      <c r="C68" s="6"/>
      <c r="D68" s="6"/>
      <c r="E68" s="6"/>
      <c r="F68" s="6"/>
      <c r="G68" s="9"/>
      <c r="H68" s="6"/>
      <c r="I68" s="6"/>
      <c r="J68" s="6"/>
      <c r="K68" s="10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customFormat="false" ht="15.75" hidden="false" customHeight="false" outlineLevel="0" collapsed="false">
      <c r="A69" s="6"/>
      <c r="B69" s="6"/>
      <c r="C69" s="6"/>
      <c r="D69" s="6"/>
      <c r="E69" s="6"/>
      <c r="F69" s="6"/>
      <c r="G69" s="9"/>
      <c r="H69" s="6"/>
      <c r="I69" s="6"/>
      <c r="J69" s="6"/>
      <c r="K69" s="10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customFormat="false" ht="15.75" hidden="false" customHeight="false" outlineLevel="0" collapsed="false">
      <c r="A70" s="6"/>
      <c r="B70" s="6"/>
      <c r="C70" s="6"/>
      <c r="D70" s="6"/>
      <c r="E70" s="6"/>
      <c r="F70" s="6"/>
      <c r="G70" s="9"/>
      <c r="H70" s="6"/>
      <c r="I70" s="6"/>
      <c r="J70" s="6"/>
      <c r="K70" s="10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customFormat="false" ht="15.75" hidden="false" customHeight="false" outlineLevel="0" collapsed="false">
      <c r="A71" s="6"/>
      <c r="B71" s="6"/>
      <c r="C71" s="6"/>
      <c r="D71" s="6"/>
      <c r="E71" s="6"/>
      <c r="F71" s="6"/>
      <c r="G71" s="9"/>
      <c r="H71" s="6"/>
      <c r="I71" s="6"/>
      <c r="J71" s="6"/>
      <c r="K71" s="10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customFormat="false" ht="15.75" hidden="false" customHeight="false" outlineLevel="0" collapsed="false">
      <c r="A72" s="6"/>
      <c r="B72" s="6"/>
      <c r="C72" s="6"/>
      <c r="D72" s="6"/>
      <c r="E72" s="6"/>
      <c r="F72" s="6"/>
      <c r="G72" s="9"/>
      <c r="H72" s="6"/>
      <c r="I72" s="6"/>
      <c r="J72" s="6"/>
      <c r="K72" s="10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customFormat="false" ht="15.75" hidden="false" customHeight="false" outlineLevel="0" collapsed="false">
      <c r="A73" s="6"/>
      <c r="B73" s="6"/>
      <c r="C73" s="6"/>
      <c r="D73" s="6"/>
      <c r="E73" s="6"/>
      <c r="F73" s="6"/>
      <c r="G73" s="9"/>
      <c r="H73" s="6"/>
      <c r="I73" s="6"/>
      <c r="J73" s="6"/>
      <c r="K73" s="10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customFormat="false" ht="15.75" hidden="false" customHeight="false" outlineLevel="0" collapsed="false">
      <c r="A74" s="6"/>
      <c r="B74" s="6"/>
      <c r="C74" s="6"/>
      <c r="D74" s="6"/>
      <c r="E74" s="6"/>
      <c r="F74" s="6"/>
      <c r="G74" s="9"/>
      <c r="H74" s="6"/>
      <c r="I74" s="6"/>
      <c r="J74" s="6"/>
      <c r="K74" s="10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customFormat="false" ht="15.75" hidden="false" customHeight="false" outlineLevel="0" collapsed="false">
      <c r="A75" s="6"/>
      <c r="B75" s="6"/>
      <c r="C75" s="6"/>
      <c r="D75" s="6"/>
      <c r="E75" s="6"/>
      <c r="F75" s="6"/>
      <c r="G75" s="9"/>
      <c r="H75" s="6"/>
      <c r="I75" s="6"/>
      <c r="J75" s="6"/>
      <c r="K75" s="10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customFormat="false" ht="15.75" hidden="false" customHeight="false" outlineLevel="0" collapsed="false">
      <c r="A76" s="6"/>
      <c r="B76" s="6"/>
      <c r="C76" s="6"/>
      <c r="D76" s="6"/>
      <c r="E76" s="6"/>
      <c r="F76" s="6"/>
      <c r="G76" s="9"/>
      <c r="H76" s="6"/>
      <c r="I76" s="6"/>
      <c r="J76" s="6"/>
      <c r="K76" s="10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customFormat="false" ht="15.75" hidden="false" customHeight="false" outlineLevel="0" collapsed="false">
      <c r="A77" s="6"/>
      <c r="B77" s="6"/>
      <c r="C77" s="6"/>
      <c r="D77" s="6"/>
      <c r="E77" s="6"/>
      <c r="F77" s="6"/>
      <c r="G77" s="9"/>
      <c r="H77" s="6"/>
      <c r="I77" s="6"/>
      <c r="J77" s="6"/>
      <c r="K77" s="10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customFormat="false" ht="15.75" hidden="false" customHeight="false" outlineLevel="0" collapsed="false">
      <c r="A78" s="6"/>
      <c r="B78" s="6"/>
      <c r="C78" s="6"/>
      <c r="D78" s="6"/>
      <c r="E78" s="6"/>
      <c r="F78" s="6"/>
      <c r="G78" s="9"/>
      <c r="H78" s="6"/>
      <c r="I78" s="6"/>
      <c r="J78" s="6"/>
      <c r="K78" s="10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customFormat="false" ht="15.75" hidden="false" customHeight="false" outlineLevel="0" collapsed="false">
      <c r="A79" s="6"/>
      <c r="B79" s="6"/>
      <c r="C79" s="6"/>
      <c r="D79" s="6"/>
      <c r="E79" s="6"/>
      <c r="F79" s="6"/>
      <c r="G79" s="9"/>
      <c r="H79" s="6"/>
      <c r="I79" s="6"/>
      <c r="J79" s="6"/>
      <c r="K79" s="10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customFormat="false" ht="15.75" hidden="false" customHeight="false" outlineLevel="0" collapsed="false">
      <c r="A80" s="6"/>
      <c r="B80" s="6"/>
      <c r="C80" s="6"/>
      <c r="D80" s="6"/>
      <c r="E80" s="6"/>
      <c r="F80" s="6"/>
      <c r="G80" s="9"/>
      <c r="H80" s="6"/>
      <c r="I80" s="6"/>
      <c r="J80" s="6"/>
      <c r="K80" s="10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customFormat="false" ht="15.75" hidden="false" customHeight="false" outlineLevel="0" collapsed="false">
      <c r="A81" s="6"/>
      <c r="B81" s="6"/>
      <c r="C81" s="6"/>
      <c r="D81" s="6"/>
      <c r="E81" s="6"/>
      <c r="F81" s="6"/>
      <c r="G81" s="9"/>
      <c r="H81" s="6"/>
      <c r="I81" s="6"/>
      <c r="J81" s="6"/>
      <c r="K81" s="10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customFormat="false" ht="15.75" hidden="false" customHeight="false" outlineLevel="0" collapsed="false">
      <c r="A82" s="6"/>
      <c r="B82" s="6"/>
      <c r="C82" s="6"/>
      <c r="D82" s="6"/>
      <c r="E82" s="6"/>
      <c r="F82" s="6"/>
      <c r="G82" s="9"/>
      <c r="H82" s="6"/>
      <c r="I82" s="6"/>
      <c r="J82" s="6"/>
      <c r="K82" s="10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customFormat="false" ht="15.75" hidden="false" customHeight="false" outlineLevel="0" collapsed="false">
      <c r="A83" s="6"/>
      <c r="B83" s="6"/>
      <c r="C83" s="6"/>
      <c r="D83" s="6"/>
      <c r="E83" s="6"/>
      <c r="F83" s="6"/>
      <c r="G83" s="9"/>
      <c r="H83" s="6"/>
      <c r="I83" s="6"/>
      <c r="J83" s="6"/>
      <c r="K83" s="10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customFormat="false" ht="15.75" hidden="false" customHeight="false" outlineLevel="0" collapsed="false">
      <c r="A84" s="6"/>
      <c r="B84" s="6"/>
      <c r="C84" s="6"/>
      <c r="D84" s="6"/>
      <c r="E84" s="6"/>
      <c r="F84" s="6"/>
      <c r="G84" s="9"/>
      <c r="H84" s="6"/>
      <c r="I84" s="6"/>
      <c r="J84" s="6"/>
      <c r="K84" s="10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customFormat="false" ht="15.75" hidden="false" customHeight="false" outlineLevel="0" collapsed="false">
      <c r="A85" s="6"/>
      <c r="B85" s="6"/>
      <c r="C85" s="6"/>
      <c r="D85" s="6"/>
      <c r="E85" s="6"/>
      <c r="F85" s="6"/>
      <c r="G85" s="9"/>
      <c r="H85" s="6"/>
      <c r="I85" s="6"/>
      <c r="J85" s="6"/>
      <c r="K85" s="10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customFormat="false" ht="15.75" hidden="false" customHeight="false" outlineLevel="0" collapsed="false">
      <c r="A86" s="6"/>
      <c r="B86" s="6"/>
      <c r="C86" s="6"/>
      <c r="D86" s="6"/>
      <c r="E86" s="6"/>
      <c r="F86" s="6"/>
      <c r="G86" s="9"/>
      <c r="H86" s="6"/>
      <c r="I86" s="6"/>
      <c r="J86" s="6"/>
      <c r="K86" s="10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customFormat="false" ht="15.75" hidden="false" customHeight="false" outlineLevel="0" collapsed="false">
      <c r="A87" s="6"/>
      <c r="B87" s="6"/>
      <c r="C87" s="6"/>
      <c r="D87" s="6"/>
      <c r="E87" s="6"/>
      <c r="F87" s="6"/>
      <c r="G87" s="9"/>
      <c r="H87" s="6"/>
      <c r="I87" s="6"/>
      <c r="J87" s="6"/>
      <c r="K87" s="10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customFormat="false" ht="15.75" hidden="false" customHeight="false" outlineLevel="0" collapsed="false">
      <c r="A88" s="6"/>
      <c r="B88" s="6"/>
      <c r="C88" s="6"/>
      <c r="D88" s="6"/>
      <c r="E88" s="6"/>
      <c r="F88" s="6"/>
      <c r="G88" s="9"/>
      <c r="H88" s="6"/>
      <c r="I88" s="6"/>
      <c r="J88" s="6"/>
      <c r="K88" s="10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customFormat="false" ht="15.75" hidden="false" customHeight="false" outlineLevel="0" collapsed="false">
      <c r="A89" s="6"/>
      <c r="B89" s="6"/>
      <c r="C89" s="6"/>
      <c r="D89" s="6"/>
      <c r="E89" s="6"/>
      <c r="F89" s="6"/>
      <c r="G89" s="9"/>
      <c r="H89" s="6"/>
      <c r="I89" s="6"/>
      <c r="J89" s="6"/>
      <c r="K89" s="10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customFormat="false" ht="15.75" hidden="false" customHeight="false" outlineLevel="0" collapsed="false">
      <c r="A90" s="6"/>
      <c r="B90" s="6"/>
      <c r="C90" s="6"/>
      <c r="D90" s="6"/>
      <c r="E90" s="6"/>
      <c r="F90" s="6"/>
      <c r="G90" s="9"/>
      <c r="H90" s="6"/>
      <c r="I90" s="6"/>
      <c r="J90" s="6"/>
      <c r="K90" s="10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customFormat="false" ht="15.75" hidden="false" customHeight="false" outlineLevel="0" collapsed="false">
      <c r="A91" s="6"/>
      <c r="B91" s="6"/>
      <c r="C91" s="6"/>
      <c r="D91" s="6"/>
      <c r="E91" s="6"/>
      <c r="F91" s="6"/>
      <c r="G91" s="9"/>
      <c r="H91" s="6"/>
      <c r="I91" s="6"/>
      <c r="J91" s="6"/>
      <c r="K91" s="10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customFormat="false" ht="15.75" hidden="false" customHeight="false" outlineLevel="0" collapsed="false">
      <c r="A92" s="6"/>
      <c r="B92" s="6"/>
      <c r="C92" s="6"/>
      <c r="D92" s="6"/>
      <c r="E92" s="6"/>
      <c r="F92" s="6"/>
      <c r="G92" s="9"/>
      <c r="H92" s="6"/>
      <c r="I92" s="6"/>
      <c r="J92" s="6"/>
      <c r="K92" s="10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customFormat="false" ht="15.75" hidden="false" customHeight="false" outlineLevel="0" collapsed="false">
      <c r="A93" s="6"/>
      <c r="B93" s="6"/>
      <c r="C93" s="6"/>
      <c r="D93" s="6"/>
      <c r="E93" s="6"/>
      <c r="F93" s="6"/>
      <c r="G93" s="9"/>
      <c r="H93" s="6"/>
      <c r="I93" s="6"/>
      <c r="J93" s="6"/>
      <c r="K93" s="10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customFormat="false" ht="15.75" hidden="false" customHeight="false" outlineLevel="0" collapsed="false">
      <c r="A94" s="6"/>
      <c r="B94" s="6"/>
      <c r="C94" s="6"/>
      <c r="D94" s="6"/>
      <c r="E94" s="6"/>
      <c r="F94" s="6"/>
      <c r="G94" s="9"/>
      <c r="H94" s="6"/>
      <c r="I94" s="6"/>
      <c r="J94" s="6"/>
      <c r="K94" s="10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customFormat="false" ht="15.75" hidden="false" customHeight="false" outlineLevel="0" collapsed="false">
      <c r="A95" s="6"/>
      <c r="B95" s="6"/>
      <c r="C95" s="6"/>
      <c r="D95" s="6"/>
      <c r="E95" s="6"/>
      <c r="F95" s="6"/>
      <c r="G95" s="9"/>
      <c r="H95" s="6"/>
      <c r="I95" s="6"/>
      <c r="J95" s="6"/>
      <c r="K95" s="10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customFormat="false" ht="15.75" hidden="false" customHeight="false" outlineLevel="0" collapsed="false">
      <c r="A96" s="6"/>
      <c r="B96" s="6"/>
      <c r="C96" s="6"/>
      <c r="D96" s="6"/>
      <c r="E96" s="6"/>
      <c r="F96" s="6"/>
      <c r="G96" s="9"/>
      <c r="H96" s="6"/>
      <c r="I96" s="6"/>
      <c r="J96" s="6"/>
      <c r="K96" s="10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9"/>
      <c r="H97" s="6"/>
      <c r="I97" s="6"/>
      <c r="J97" s="6"/>
      <c r="K97" s="10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9"/>
      <c r="H98" s="6"/>
      <c r="I98" s="6"/>
      <c r="J98" s="6"/>
      <c r="K98" s="10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9"/>
      <c r="H99" s="6"/>
      <c r="I99" s="6"/>
      <c r="J99" s="6"/>
      <c r="K99" s="10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9"/>
      <c r="H100" s="6"/>
      <c r="I100" s="6"/>
      <c r="J100" s="6"/>
      <c r="K100" s="10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9"/>
      <c r="H101" s="6"/>
      <c r="I101" s="6"/>
      <c r="J101" s="6"/>
      <c r="K101" s="10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9"/>
      <c r="H102" s="6"/>
      <c r="I102" s="6"/>
      <c r="J102" s="6"/>
      <c r="K102" s="10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9"/>
      <c r="H103" s="6"/>
      <c r="I103" s="6"/>
      <c r="J103" s="6"/>
      <c r="K103" s="10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9"/>
      <c r="H104" s="6"/>
      <c r="I104" s="6"/>
      <c r="J104" s="6"/>
      <c r="K104" s="10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9"/>
      <c r="H105" s="6"/>
      <c r="I105" s="6"/>
      <c r="J105" s="6"/>
      <c r="K105" s="10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9"/>
      <c r="H106" s="6"/>
      <c r="I106" s="6"/>
      <c r="J106" s="6"/>
      <c r="K106" s="10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9"/>
      <c r="H107" s="6"/>
      <c r="I107" s="6"/>
      <c r="J107" s="6"/>
      <c r="K107" s="10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9"/>
      <c r="H108" s="6"/>
      <c r="I108" s="6"/>
      <c r="J108" s="6"/>
      <c r="K108" s="10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9"/>
      <c r="H109" s="6"/>
      <c r="I109" s="6"/>
      <c r="J109" s="6"/>
      <c r="K109" s="10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9"/>
      <c r="H110" s="6"/>
      <c r="I110" s="6"/>
      <c r="J110" s="6"/>
      <c r="K110" s="10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9"/>
      <c r="H111" s="6"/>
      <c r="I111" s="6"/>
      <c r="J111" s="6"/>
      <c r="K111" s="10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9"/>
      <c r="H112" s="6"/>
      <c r="I112" s="6"/>
      <c r="J112" s="6"/>
      <c r="K112" s="10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9"/>
      <c r="H113" s="6"/>
      <c r="I113" s="6"/>
      <c r="J113" s="6"/>
      <c r="K113" s="10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9"/>
      <c r="H114" s="6"/>
      <c r="I114" s="6"/>
      <c r="J114" s="6"/>
      <c r="K114" s="10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9"/>
      <c r="H115" s="6"/>
      <c r="I115" s="6"/>
      <c r="J115" s="6"/>
      <c r="K115" s="10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9"/>
      <c r="H116" s="6"/>
      <c r="I116" s="6"/>
      <c r="J116" s="6"/>
      <c r="K116" s="10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9"/>
      <c r="H117" s="6"/>
      <c r="I117" s="6"/>
      <c r="J117" s="6"/>
      <c r="K117" s="10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9"/>
      <c r="H118" s="6"/>
      <c r="I118" s="6"/>
      <c r="J118" s="6"/>
      <c r="K118" s="10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9"/>
      <c r="H119" s="6"/>
      <c r="I119" s="6"/>
      <c r="J119" s="6"/>
      <c r="K119" s="10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9"/>
      <c r="H120" s="6"/>
      <c r="I120" s="6"/>
      <c r="J120" s="6"/>
      <c r="K120" s="10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9"/>
      <c r="H121" s="6"/>
      <c r="I121" s="6"/>
      <c r="J121" s="6"/>
      <c r="K121" s="10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9"/>
      <c r="H122" s="6"/>
      <c r="I122" s="6"/>
      <c r="J122" s="6"/>
      <c r="K122" s="10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9"/>
      <c r="H123" s="6"/>
      <c r="I123" s="6"/>
      <c r="J123" s="6"/>
      <c r="K123" s="10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9"/>
      <c r="H124" s="6"/>
      <c r="I124" s="6"/>
      <c r="J124" s="6"/>
      <c r="K124" s="10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9"/>
      <c r="H125" s="6"/>
      <c r="I125" s="6"/>
      <c r="J125" s="6"/>
      <c r="K125" s="10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9"/>
      <c r="H126" s="6"/>
      <c r="I126" s="6"/>
      <c r="J126" s="6"/>
      <c r="K126" s="10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9"/>
      <c r="H127" s="6"/>
      <c r="I127" s="6"/>
      <c r="J127" s="6"/>
      <c r="K127" s="10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9"/>
      <c r="H128" s="6"/>
      <c r="I128" s="6"/>
      <c r="J128" s="6"/>
      <c r="K128" s="10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9"/>
      <c r="H129" s="6"/>
      <c r="I129" s="6"/>
      <c r="J129" s="6"/>
      <c r="K129" s="10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9"/>
      <c r="H130" s="6"/>
      <c r="I130" s="6"/>
      <c r="J130" s="6"/>
      <c r="K130" s="10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9"/>
      <c r="H131" s="6"/>
      <c r="I131" s="6"/>
      <c r="J131" s="6"/>
      <c r="K131" s="10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9"/>
      <c r="H132" s="6"/>
      <c r="I132" s="6"/>
      <c r="J132" s="6"/>
      <c r="K132" s="10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9"/>
      <c r="H133" s="6"/>
      <c r="I133" s="6"/>
      <c r="J133" s="6"/>
      <c r="K133" s="10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9"/>
      <c r="H134" s="6"/>
      <c r="I134" s="6"/>
      <c r="J134" s="6"/>
      <c r="K134" s="1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9"/>
      <c r="H135" s="6"/>
      <c r="I135" s="6"/>
      <c r="J135" s="6"/>
      <c r="K135" s="10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9"/>
      <c r="H136" s="6"/>
      <c r="I136" s="6"/>
      <c r="J136" s="6"/>
      <c r="K136" s="10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9"/>
      <c r="H137" s="6"/>
      <c r="I137" s="6"/>
      <c r="J137" s="6"/>
      <c r="K137" s="10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9"/>
      <c r="H138" s="6"/>
      <c r="I138" s="6"/>
      <c r="J138" s="6"/>
      <c r="K138" s="10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9"/>
      <c r="H139" s="6"/>
      <c r="I139" s="6"/>
      <c r="J139" s="6"/>
      <c r="K139" s="10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9"/>
      <c r="H140" s="6"/>
      <c r="I140" s="6"/>
      <c r="J140" s="6"/>
      <c r="K140" s="10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9"/>
      <c r="H141" s="6"/>
      <c r="I141" s="6"/>
      <c r="J141" s="6"/>
      <c r="K141" s="10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9"/>
      <c r="H142" s="6"/>
      <c r="I142" s="6"/>
      <c r="J142" s="6"/>
      <c r="K142" s="10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9"/>
      <c r="H143" s="6"/>
      <c r="I143" s="6"/>
      <c r="J143" s="6"/>
      <c r="K143" s="10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9"/>
      <c r="H144" s="6"/>
      <c r="I144" s="6"/>
      <c r="J144" s="6"/>
      <c r="K144" s="10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9"/>
      <c r="H145" s="6"/>
      <c r="I145" s="6"/>
      <c r="J145" s="6"/>
      <c r="K145" s="10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9"/>
      <c r="H146" s="6"/>
      <c r="I146" s="6"/>
      <c r="J146" s="6"/>
      <c r="K146" s="10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9"/>
      <c r="H147" s="6"/>
      <c r="I147" s="6"/>
      <c r="J147" s="6"/>
      <c r="K147" s="10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9"/>
      <c r="H148" s="6"/>
      <c r="I148" s="6"/>
      <c r="J148" s="6"/>
      <c r="K148" s="10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9"/>
      <c r="H149" s="6"/>
      <c r="I149" s="6"/>
      <c r="J149" s="6"/>
      <c r="K149" s="10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9"/>
      <c r="H150" s="6"/>
      <c r="I150" s="6"/>
      <c r="J150" s="6"/>
      <c r="K150" s="10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9"/>
      <c r="H151" s="6"/>
      <c r="I151" s="6"/>
      <c r="J151" s="6"/>
      <c r="K151" s="10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9"/>
      <c r="H152" s="6"/>
      <c r="I152" s="6"/>
      <c r="J152" s="6"/>
      <c r="K152" s="10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9"/>
      <c r="H153" s="6"/>
      <c r="I153" s="6"/>
      <c r="J153" s="6"/>
      <c r="K153" s="10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9"/>
      <c r="H154" s="6"/>
      <c r="I154" s="6"/>
      <c r="J154" s="6"/>
      <c r="K154" s="10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9"/>
      <c r="H155" s="6"/>
      <c r="I155" s="6"/>
      <c r="J155" s="6"/>
      <c r="K155" s="10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9"/>
      <c r="H156" s="6"/>
      <c r="I156" s="6"/>
      <c r="J156" s="6"/>
      <c r="K156" s="10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9"/>
      <c r="H157" s="6"/>
      <c r="I157" s="6"/>
      <c r="J157" s="6"/>
      <c r="K157" s="10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9"/>
      <c r="H158" s="6"/>
      <c r="I158" s="6"/>
      <c r="J158" s="6"/>
      <c r="K158" s="10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9"/>
      <c r="H159" s="6"/>
      <c r="I159" s="6"/>
      <c r="J159" s="6"/>
      <c r="K159" s="10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9"/>
      <c r="H160" s="6"/>
      <c r="I160" s="6"/>
      <c r="J160" s="6"/>
      <c r="K160" s="10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9"/>
      <c r="H161" s="6"/>
      <c r="I161" s="6"/>
      <c r="J161" s="6"/>
      <c r="K161" s="10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9"/>
      <c r="H162" s="6"/>
      <c r="I162" s="6"/>
      <c r="J162" s="6"/>
      <c r="K162" s="10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9"/>
      <c r="H163" s="6"/>
      <c r="I163" s="6"/>
      <c r="J163" s="6"/>
      <c r="K163" s="10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9"/>
      <c r="H164" s="6"/>
      <c r="I164" s="6"/>
      <c r="J164" s="6"/>
      <c r="K164" s="10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9"/>
      <c r="H165" s="6"/>
      <c r="I165" s="6"/>
      <c r="J165" s="6"/>
      <c r="K165" s="10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9"/>
      <c r="H166" s="6"/>
      <c r="I166" s="6"/>
      <c r="J166" s="6"/>
      <c r="K166" s="10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9"/>
      <c r="H167" s="6"/>
      <c r="I167" s="6"/>
      <c r="J167" s="6"/>
      <c r="K167" s="10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9"/>
      <c r="H168" s="6"/>
      <c r="I168" s="6"/>
      <c r="J168" s="6"/>
      <c r="K168" s="10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9"/>
      <c r="H169" s="6"/>
      <c r="I169" s="6"/>
      <c r="J169" s="6"/>
      <c r="K169" s="10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9"/>
      <c r="H170" s="6"/>
      <c r="I170" s="6"/>
      <c r="J170" s="6"/>
      <c r="K170" s="10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9"/>
      <c r="H171" s="6"/>
      <c r="I171" s="6"/>
      <c r="J171" s="6"/>
      <c r="K171" s="10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9"/>
      <c r="H172" s="6"/>
      <c r="I172" s="6"/>
      <c r="J172" s="6"/>
      <c r="K172" s="10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9"/>
      <c r="H173" s="6"/>
      <c r="I173" s="6"/>
      <c r="J173" s="6"/>
      <c r="K173" s="10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9"/>
      <c r="H174" s="6"/>
      <c r="I174" s="6"/>
      <c r="J174" s="6"/>
      <c r="K174" s="10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9"/>
      <c r="H175" s="6"/>
      <c r="I175" s="6"/>
      <c r="J175" s="6"/>
      <c r="K175" s="10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9"/>
      <c r="H176" s="6"/>
      <c r="I176" s="6"/>
      <c r="J176" s="6"/>
      <c r="K176" s="10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9"/>
      <c r="H177" s="6"/>
      <c r="I177" s="6"/>
      <c r="J177" s="6"/>
      <c r="K177" s="10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9"/>
      <c r="H178" s="6"/>
      <c r="I178" s="6"/>
      <c r="J178" s="6"/>
      <c r="K178" s="10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9"/>
      <c r="H179" s="6"/>
      <c r="I179" s="6"/>
      <c r="J179" s="6"/>
      <c r="K179" s="10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9"/>
      <c r="H180" s="6"/>
      <c r="I180" s="6"/>
      <c r="J180" s="6"/>
      <c r="K180" s="10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9"/>
      <c r="H181" s="6"/>
      <c r="I181" s="6"/>
      <c r="J181" s="6"/>
      <c r="K181" s="10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9"/>
      <c r="H182" s="6"/>
      <c r="I182" s="6"/>
      <c r="J182" s="6"/>
      <c r="K182" s="10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9"/>
      <c r="H183" s="6"/>
      <c r="I183" s="6"/>
      <c r="J183" s="6"/>
      <c r="K183" s="10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9"/>
      <c r="H184" s="6"/>
      <c r="I184" s="6"/>
      <c r="J184" s="6"/>
      <c r="K184" s="10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9"/>
      <c r="H185" s="6"/>
      <c r="I185" s="6"/>
      <c r="J185" s="6"/>
      <c r="K185" s="10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9"/>
      <c r="H186" s="6"/>
      <c r="I186" s="6"/>
      <c r="J186" s="6"/>
      <c r="K186" s="10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9"/>
      <c r="H187" s="6"/>
      <c r="I187" s="6"/>
      <c r="J187" s="6"/>
      <c r="K187" s="10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9"/>
      <c r="H188" s="6"/>
      <c r="I188" s="6"/>
      <c r="J188" s="6"/>
      <c r="K188" s="10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9"/>
      <c r="H189" s="6"/>
      <c r="I189" s="6"/>
      <c r="J189" s="6"/>
      <c r="K189" s="10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9"/>
      <c r="H190" s="6"/>
      <c r="I190" s="6"/>
      <c r="J190" s="6"/>
      <c r="K190" s="10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9"/>
      <c r="H191" s="6"/>
      <c r="I191" s="6"/>
      <c r="J191" s="6"/>
      <c r="K191" s="10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9"/>
      <c r="H192" s="6"/>
      <c r="I192" s="6"/>
      <c r="J192" s="6"/>
      <c r="K192" s="10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9"/>
      <c r="H193" s="6"/>
      <c r="I193" s="6"/>
      <c r="J193" s="6"/>
      <c r="K193" s="10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9"/>
      <c r="H194" s="6"/>
      <c r="I194" s="6"/>
      <c r="J194" s="6"/>
      <c r="K194" s="10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9"/>
      <c r="H195" s="6"/>
      <c r="I195" s="6"/>
      <c r="J195" s="6"/>
      <c r="K195" s="10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9"/>
      <c r="H196" s="6"/>
      <c r="I196" s="6"/>
      <c r="J196" s="6"/>
      <c r="K196" s="10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9"/>
      <c r="H197" s="6"/>
      <c r="I197" s="6"/>
      <c r="J197" s="6"/>
      <c r="K197" s="10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9"/>
      <c r="H198" s="6"/>
      <c r="I198" s="6"/>
      <c r="J198" s="6"/>
      <c r="K198" s="10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9"/>
      <c r="H199" s="6"/>
      <c r="I199" s="6"/>
      <c r="J199" s="6"/>
      <c r="K199" s="10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9"/>
      <c r="H200" s="6"/>
      <c r="I200" s="6"/>
      <c r="J200" s="6"/>
      <c r="K200" s="10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9"/>
      <c r="H201" s="6"/>
      <c r="I201" s="6"/>
      <c r="J201" s="6"/>
      <c r="K201" s="10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9"/>
      <c r="H202" s="6"/>
      <c r="I202" s="6"/>
      <c r="J202" s="6"/>
      <c r="K202" s="10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9"/>
      <c r="H203" s="6"/>
      <c r="I203" s="6"/>
      <c r="J203" s="6"/>
      <c r="K203" s="10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9"/>
      <c r="H204" s="6"/>
      <c r="I204" s="6"/>
      <c r="J204" s="6"/>
      <c r="K204" s="10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9"/>
      <c r="H205" s="6"/>
      <c r="I205" s="6"/>
      <c r="J205" s="6"/>
      <c r="K205" s="10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9"/>
      <c r="H206" s="6"/>
      <c r="I206" s="6"/>
      <c r="J206" s="6"/>
      <c r="K206" s="10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9"/>
      <c r="H207" s="6"/>
      <c r="I207" s="6"/>
      <c r="J207" s="6"/>
      <c r="K207" s="10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9"/>
      <c r="H208" s="6"/>
      <c r="I208" s="6"/>
      <c r="J208" s="6"/>
      <c r="K208" s="10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9"/>
      <c r="H209" s="6"/>
      <c r="I209" s="6"/>
      <c r="J209" s="6"/>
      <c r="K209" s="10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9"/>
      <c r="H210" s="6"/>
      <c r="I210" s="6"/>
      <c r="J210" s="6"/>
      <c r="K210" s="10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9"/>
      <c r="H211" s="6"/>
      <c r="I211" s="6"/>
      <c r="J211" s="6"/>
      <c r="K211" s="10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9"/>
      <c r="H212" s="6"/>
      <c r="I212" s="6"/>
      <c r="J212" s="6"/>
      <c r="K212" s="10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9"/>
      <c r="H213" s="6"/>
      <c r="I213" s="6"/>
      <c r="J213" s="6"/>
      <c r="K213" s="10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9"/>
      <c r="H214" s="6"/>
      <c r="I214" s="6"/>
      <c r="J214" s="6"/>
      <c r="K214" s="10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9"/>
      <c r="H215" s="6"/>
      <c r="I215" s="6"/>
      <c r="J215" s="6"/>
      <c r="K215" s="10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9"/>
      <c r="H216" s="6"/>
      <c r="I216" s="6"/>
      <c r="J216" s="6"/>
      <c r="K216" s="10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9"/>
      <c r="H217" s="6"/>
      <c r="I217" s="6"/>
      <c r="J217" s="6"/>
      <c r="K217" s="10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9"/>
      <c r="H218" s="6"/>
      <c r="I218" s="6"/>
      <c r="J218" s="6"/>
      <c r="K218" s="10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9"/>
      <c r="H219" s="6"/>
      <c r="I219" s="6"/>
      <c r="J219" s="6"/>
      <c r="K219" s="10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9"/>
      <c r="H220" s="6"/>
      <c r="I220" s="6"/>
      <c r="J220" s="6"/>
      <c r="K220" s="10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9"/>
      <c r="H221" s="6"/>
      <c r="I221" s="6"/>
      <c r="J221" s="6"/>
      <c r="K221" s="10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9"/>
      <c r="H222" s="6"/>
      <c r="I222" s="6"/>
      <c r="J222" s="6"/>
      <c r="K222" s="10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9"/>
      <c r="H223" s="6"/>
      <c r="I223" s="6"/>
      <c r="J223" s="6"/>
      <c r="K223" s="10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9"/>
      <c r="H224" s="6"/>
      <c r="I224" s="6"/>
      <c r="J224" s="6"/>
      <c r="K224" s="10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9"/>
      <c r="H225" s="6"/>
      <c r="I225" s="6"/>
      <c r="J225" s="6"/>
      <c r="K225" s="10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9"/>
      <c r="H226" s="6"/>
      <c r="I226" s="6"/>
      <c r="J226" s="6"/>
      <c r="K226" s="10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9"/>
      <c r="H227" s="6"/>
      <c r="I227" s="6"/>
      <c r="J227" s="6"/>
      <c r="K227" s="10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9"/>
      <c r="H228" s="6"/>
      <c r="I228" s="6"/>
      <c r="J228" s="6"/>
      <c r="K228" s="10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9"/>
      <c r="H229" s="6"/>
      <c r="I229" s="6"/>
      <c r="J229" s="6"/>
      <c r="K229" s="10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9"/>
      <c r="H230" s="6"/>
      <c r="I230" s="6"/>
      <c r="J230" s="6"/>
      <c r="K230" s="10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9"/>
      <c r="H231" s="6"/>
      <c r="I231" s="6"/>
      <c r="J231" s="6"/>
      <c r="K231" s="10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9"/>
      <c r="H232" s="6"/>
      <c r="I232" s="6"/>
      <c r="J232" s="6"/>
      <c r="K232" s="10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9"/>
      <c r="H233" s="6"/>
      <c r="I233" s="6"/>
      <c r="J233" s="6"/>
      <c r="K233" s="10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9"/>
      <c r="H234" s="6"/>
      <c r="I234" s="6"/>
      <c r="J234" s="6"/>
      <c r="K234" s="10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9"/>
      <c r="H235" s="6"/>
      <c r="I235" s="6"/>
      <c r="J235" s="6"/>
      <c r="K235" s="10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9"/>
      <c r="H236" s="6"/>
      <c r="I236" s="6"/>
      <c r="J236" s="6"/>
      <c r="K236" s="10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9"/>
      <c r="H237" s="6"/>
      <c r="I237" s="6"/>
      <c r="J237" s="6"/>
      <c r="K237" s="10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9"/>
      <c r="H238" s="6"/>
      <c r="I238" s="6"/>
      <c r="J238" s="6"/>
      <c r="K238" s="10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9"/>
      <c r="H239" s="6"/>
      <c r="I239" s="6"/>
      <c r="J239" s="6"/>
      <c r="K239" s="10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9"/>
      <c r="H240" s="6"/>
      <c r="I240" s="6"/>
      <c r="J240" s="6"/>
      <c r="K240" s="10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9"/>
      <c r="H241" s="6"/>
      <c r="I241" s="6"/>
      <c r="J241" s="6"/>
      <c r="K241" s="10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9"/>
      <c r="H242" s="6"/>
      <c r="I242" s="6"/>
      <c r="J242" s="6"/>
      <c r="K242" s="10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9"/>
      <c r="H243" s="6"/>
      <c r="I243" s="6"/>
      <c r="J243" s="6"/>
      <c r="K243" s="10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9"/>
      <c r="H244" s="6"/>
      <c r="I244" s="6"/>
      <c r="J244" s="6"/>
      <c r="K244" s="10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9"/>
      <c r="H245" s="6"/>
      <c r="I245" s="6"/>
      <c r="J245" s="6"/>
      <c r="K245" s="10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9"/>
      <c r="H246" s="6"/>
      <c r="I246" s="6"/>
      <c r="J246" s="6"/>
      <c r="K246" s="10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9"/>
      <c r="H247" s="6"/>
      <c r="I247" s="6"/>
      <c r="J247" s="6"/>
      <c r="K247" s="10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9"/>
      <c r="H248" s="6"/>
      <c r="I248" s="6"/>
      <c r="J248" s="6"/>
      <c r="K248" s="10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9"/>
      <c r="H249" s="6"/>
      <c r="I249" s="6"/>
      <c r="J249" s="6"/>
      <c r="K249" s="10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9"/>
      <c r="H250" s="6"/>
      <c r="I250" s="6"/>
      <c r="J250" s="6"/>
      <c r="K250" s="10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9"/>
      <c r="H251" s="6"/>
      <c r="I251" s="6"/>
      <c r="J251" s="6"/>
      <c r="K251" s="10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9"/>
      <c r="H252" s="6"/>
      <c r="I252" s="6"/>
      <c r="J252" s="6"/>
      <c r="K252" s="10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9"/>
      <c r="H253" s="6"/>
      <c r="I253" s="6"/>
      <c r="J253" s="6"/>
      <c r="K253" s="10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9"/>
      <c r="H254" s="6"/>
      <c r="I254" s="6"/>
      <c r="J254" s="6"/>
      <c r="K254" s="10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9"/>
      <c r="H255" s="6"/>
      <c r="I255" s="6"/>
      <c r="J255" s="6"/>
      <c r="K255" s="10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9"/>
      <c r="H256" s="6"/>
      <c r="I256" s="6"/>
      <c r="J256" s="6"/>
      <c r="K256" s="10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9"/>
      <c r="H257" s="6"/>
      <c r="I257" s="6"/>
      <c r="J257" s="6"/>
      <c r="K257" s="10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9"/>
      <c r="H258" s="6"/>
      <c r="I258" s="6"/>
      <c r="J258" s="6"/>
      <c r="K258" s="10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9"/>
      <c r="H259" s="6"/>
      <c r="I259" s="6"/>
      <c r="J259" s="6"/>
      <c r="K259" s="10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9"/>
      <c r="H260" s="6"/>
      <c r="I260" s="6"/>
      <c r="J260" s="6"/>
      <c r="K260" s="10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9"/>
      <c r="H261" s="6"/>
      <c r="I261" s="6"/>
      <c r="J261" s="6"/>
      <c r="K261" s="10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9"/>
      <c r="H262" s="6"/>
      <c r="I262" s="6"/>
      <c r="J262" s="6"/>
      <c r="K262" s="10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9"/>
      <c r="H263" s="6"/>
      <c r="I263" s="6"/>
      <c r="J263" s="6"/>
      <c r="K263" s="10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9"/>
      <c r="H264" s="6"/>
      <c r="I264" s="6"/>
      <c r="J264" s="6"/>
      <c r="K264" s="10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9"/>
      <c r="H265" s="6"/>
      <c r="I265" s="6"/>
      <c r="J265" s="6"/>
      <c r="K265" s="10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9"/>
      <c r="H266" s="6"/>
      <c r="I266" s="6"/>
      <c r="J266" s="6"/>
      <c r="K266" s="10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9"/>
      <c r="H267" s="6"/>
      <c r="I267" s="6"/>
      <c r="J267" s="6"/>
      <c r="K267" s="10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9"/>
      <c r="H268" s="6"/>
      <c r="I268" s="6"/>
      <c r="J268" s="6"/>
      <c r="K268" s="10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9"/>
      <c r="H269" s="6"/>
      <c r="I269" s="6"/>
      <c r="J269" s="6"/>
      <c r="K269" s="10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9"/>
      <c r="H270" s="6"/>
      <c r="I270" s="6"/>
      <c r="J270" s="6"/>
      <c r="K270" s="10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9"/>
      <c r="H271" s="6"/>
      <c r="I271" s="6"/>
      <c r="J271" s="6"/>
      <c r="K271" s="10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9"/>
      <c r="H272" s="6"/>
      <c r="I272" s="6"/>
      <c r="J272" s="6"/>
      <c r="K272" s="10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9"/>
      <c r="H273" s="6"/>
      <c r="I273" s="6"/>
      <c r="J273" s="6"/>
      <c r="K273" s="10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9"/>
      <c r="H274" s="6"/>
      <c r="I274" s="6"/>
      <c r="J274" s="6"/>
      <c r="K274" s="10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9"/>
      <c r="H275" s="6"/>
      <c r="I275" s="6"/>
      <c r="J275" s="6"/>
      <c r="K275" s="10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9"/>
      <c r="H276" s="6"/>
      <c r="I276" s="6"/>
      <c r="J276" s="6"/>
      <c r="K276" s="10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9"/>
      <c r="H277" s="6"/>
      <c r="I277" s="6"/>
      <c r="J277" s="6"/>
      <c r="K277" s="10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9"/>
      <c r="H278" s="6"/>
      <c r="I278" s="6"/>
      <c r="J278" s="6"/>
      <c r="K278" s="10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9"/>
      <c r="H279" s="6"/>
      <c r="I279" s="6"/>
      <c r="J279" s="6"/>
      <c r="K279" s="10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9"/>
      <c r="H280" s="6"/>
      <c r="I280" s="6"/>
      <c r="J280" s="6"/>
      <c r="K280" s="10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9"/>
      <c r="H281" s="6"/>
      <c r="I281" s="6"/>
      <c r="J281" s="6"/>
      <c r="K281" s="10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9"/>
      <c r="H282" s="6"/>
      <c r="I282" s="6"/>
      <c r="J282" s="6"/>
      <c r="K282" s="10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9"/>
      <c r="H283" s="6"/>
      <c r="I283" s="6"/>
      <c r="J283" s="6"/>
      <c r="K283" s="10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9"/>
      <c r="H284" s="6"/>
      <c r="I284" s="6"/>
      <c r="J284" s="6"/>
      <c r="K284" s="10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9"/>
      <c r="H285" s="6"/>
      <c r="I285" s="6"/>
      <c r="J285" s="6"/>
      <c r="K285" s="10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9"/>
      <c r="H286" s="6"/>
      <c r="I286" s="6"/>
      <c r="J286" s="6"/>
      <c r="K286" s="10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9"/>
      <c r="H287" s="6"/>
      <c r="I287" s="6"/>
      <c r="J287" s="6"/>
      <c r="K287" s="10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9"/>
      <c r="H288" s="6"/>
      <c r="I288" s="6"/>
      <c r="J288" s="6"/>
      <c r="K288" s="10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9"/>
      <c r="H289" s="6"/>
      <c r="I289" s="6"/>
      <c r="J289" s="6"/>
      <c r="K289" s="10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9"/>
      <c r="H290" s="6"/>
      <c r="I290" s="6"/>
      <c r="J290" s="6"/>
      <c r="K290" s="10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9"/>
      <c r="H291" s="6"/>
      <c r="I291" s="6"/>
      <c r="J291" s="6"/>
      <c r="K291" s="10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9"/>
      <c r="H292" s="6"/>
      <c r="I292" s="6"/>
      <c r="J292" s="6"/>
      <c r="K292" s="10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9"/>
      <c r="H293" s="6"/>
      <c r="I293" s="6"/>
      <c r="J293" s="6"/>
      <c r="K293" s="10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9"/>
      <c r="H294" s="6"/>
      <c r="I294" s="6"/>
      <c r="J294" s="6"/>
      <c r="K294" s="10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9"/>
      <c r="H295" s="6"/>
      <c r="I295" s="6"/>
      <c r="J295" s="6"/>
      <c r="K295" s="10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9"/>
      <c r="H296" s="6"/>
      <c r="I296" s="6"/>
      <c r="J296" s="6"/>
      <c r="K296" s="10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9"/>
      <c r="H297" s="6"/>
      <c r="I297" s="6"/>
      <c r="J297" s="6"/>
      <c r="K297" s="10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9"/>
      <c r="H298" s="6"/>
      <c r="I298" s="6"/>
      <c r="J298" s="6"/>
      <c r="K298" s="10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9"/>
      <c r="H299" s="6"/>
      <c r="I299" s="6"/>
      <c r="J299" s="6"/>
      <c r="K299" s="10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9"/>
      <c r="H300" s="6"/>
      <c r="I300" s="6"/>
      <c r="J300" s="6"/>
      <c r="K300" s="10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9"/>
      <c r="H301" s="6"/>
      <c r="I301" s="6"/>
      <c r="J301" s="6"/>
      <c r="K301" s="10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9"/>
      <c r="H302" s="6"/>
      <c r="I302" s="6"/>
      <c r="J302" s="6"/>
      <c r="K302" s="10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9"/>
      <c r="H303" s="6"/>
      <c r="I303" s="6"/>
      <c r="J303" s="6"/>
      <c r="K303" s="10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9"/>
      <c r="H304" s="6"/>
      <c r="I304" s="6"/>
      <c r="J304" s="6"/>
      <c r="K304" s="10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9"/>
      <c r="H305" s="6"/>
      <c r="I305" s="6"/>
      <c r="J305" s="6"/>
      <c r="K305" s="10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9"/>
      <c r="H306" s="6"/>
      <c r="I306" s="6"/>
      <c r="J306" s="6"/>
      <c r="K306" s="10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9"/>
      <c r="H307" s="6"/>
      <c r="I307" s="6"/>
      <c r="J307" s="6"/>
      <c r="K307" s="10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9"/>
      <c r="H308" s="6"/>
      <c r="I308" s="6"/>
      <c r="J308" s="6"/>
      <c r="K308" s="10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9"/>
      <c r="H309" s="6"/>
      <c r="I309" s="6"/>
      <c r="J309" s="6"/>
      <c r="K309" s="10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9"/>
      <c r="H310" s="6"/>
      <c r="I310" s="6"/>
      <c r="J310" s="6"/>
      <c r="K310" s="10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9"/>
      <c r="H311" s="6"/>
      <c r="I311" s="6"/>
      <c r="J311" s="6"/>
      <c r="K311" s="10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9"/>
      <c r="H312" s="6"/>
      <c r="I312" s="6"/>
      <c r="J312" s="6"/>
      <c r="K312" s="10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9"/>
      <c r="H313" s="6"/>
      <c r="I313" s="6"/>
      <c r="J313" s="6"/>
      <c r="K313" s="10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9"/>
      <c r="H314" s="6"/>
      <c r="I314" s="6"/>
      <c r="J314" s="6"/>
      <c r="K314" s="10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9"/>
      <c r="H315" s="6"/>
      <c r="I315" s="6"/>
      <c r="J315" s="6"/>
      <c r="K315" s="10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9"/>
      <c r="H316" s="6"/>
      <c r="I316" s="6"/>
      <c r="J316" s="6"/>
      <c r="K316" s="10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9"/>
      <c r="H317" s="6"/>
      <c r="I317" s="6"/>
      <c r="J317" s="6"/>
      <c r="K317" s="10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9"/>
      <c r="H318" s="6"/>
      <c r="I318" s="6"/>
      <c r="J318" s="6"/>
      <c r="K318" s="10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9"/>
      <c r="H319" s="6"/>
      <c r="I319" s="6"/>
      <c r="J319" s="6"/>
      <c r="K319" s="10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9"/>
      <c r="H320" s="6"/>
      <c r="I320" s="6"/>
      <c r="J320" s="6"/>
      <c r="K320" s="10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9"/>
      <c r="H321" s="6"/>
      <c r="I321" s="6"/>
      <c r="J321" s="6"/>
      <c r="K321" s="10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9"/>
      <c r="H322" s="6"/>
      <c r="I322" s="6"/>
      <c r="J322" s="6"/>
      <c r="K322" s="10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9"/>
      <c r="H323" s="6"/>
      <c r="I323" s="6"/>
      <c r="J323" s="6"/>
      <c r="K323" s="10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9"/>
      <c r="H324" s="6"/>
      <c r="I324" s="6"/>
      <c r="J324" s="6"/>
      <c r="K324" s="10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9"/>
      <c r="H325" s="6"/>
      <c r="I325" s="6"/>
      <c r="J325" s="6"/>
      <c r="K325" s="10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9"/>
      <c r="H326" s="6"/>
      <c r="I326" s="6"/>
      <c r="J326" s="6"/>
      <c r="K326" s="10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9"/>
      <c r="H327" s="6"/>
      <c r="I327" s="6"/>
      <c r="J327" s="6"/>
      <c r="K327" s="10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9"/>
      <c r="H328" s="6"/>
      <c r="I328" s="6"/>
      <c r="J328" s="6"/>
      <c r="K328" s="10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9"/>
      <c r="H329" s="6"/>
      <c r="I329" s="6"/>
      <c r="J329" s="6"/>
      <c r="K329" s="10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9"/>
      <c r="H330" s="6"/>
      <c r="I330" s="6"/>
      <c r="J330" s="6"/>
      <c r="K330" s="10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9"/>
      <c r="H331" s="6"/>
      <c r="I331" s="6"/>
      <c r="J331" s="6"/>
      <c r="K331" s="10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9"/>
      <c r="H332" s="6"/>
      <c r="I332" s="6"/>
      <c r="J332" s="6"/>
      <c r="K332" s="10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9"/>
      <c r="H333" s="6"/>
      <c r="I333" s="6"/>
      <c r="J333" s="6"/>
      <c r="K333" s="10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9"/>
      <c r="H334" s="6"/>
      <c r="I334" s="6"/>
      <c r="J334" s="6"/>
      <c r="K334" s="10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9"/>
      <c r="H335" s="6"/>
      <c r="I335" s="6"/>
      <c r="J335" s="6"/>
      <c r="K335" s="10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9"/>
      <c r="H336" s="6"/>
      <c r="I336" s="6"/>
      <c r="J336" s="6"/>
      <c r="K336" s="10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9"/>
      <c r="H337" s="6"/>
      <c r="I337" s="6"/>
      <c r="J337" s="6"/>
      <c r="K337" s="10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9"/>
      <c r="H338" s="6"/>
      <c r="I338" s="6"/>
      <c r="J338" s="6"/>
      <c r="K338" s="10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9"/>
      <c r="H339" s="6"/>
      <c r="I339" s="6"/>
      <c r="J339" s="6"/>
      <c r="K339" s="10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9"/>
      <c r="H340" s="6"/>
      <c r="I340" s="6"/>
      <c r="J340" s="6"/>
      <c r="K340" s="10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9"/>
      <c r="H341" s="6"/>
      <c r="I341" s="6"/>
      <c r="J341" s="6"/>
      <c r="K341" s="10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9"/>
      <c r="H342" s="6"/>
      <c r="I342" s="6"/>
      <c r="J342" s="6"/>
      <c r="K342" s="10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9"/>
      <c r="H343" s="6"/>
      <c r="I343" s="6"/>
      <c r="J343" s="6"/>
      <c r="K343" s="10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9"/>
      <c r="H344" s="6"/>
      <c r="I344" s="6"/>
      <c r="J344" s="6"/>
      <c r="K344" s="10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9"/>
      <c r="H345" s="6"/>
      <c r="I345" s="6"/>
      <c r="J345" s="6"/>
      <c r="K345" s="10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9"/>
      <c r="H346" s="6"/>
      <c r="I346" s="6"/>
      <c r="J346" s="6"/>
      <c r="K346" s="10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9"/>
      <c r="H347" s="6"/>
      <c r="I347" s="6"/>
      <c r="J347" s="6"/>
      <c r="K347" s="10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9"/>
      <c r="H348" s="6"/>
      <c r="I348" s="6"/>
      <c r="J348" s="6"/>
      <c r="K348" s="10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9"/>
      <c r="H349" s="6"/>
      <c r="I349" s="6"/>
      <c r="J349" s="6"/>
      <c r="K349" s="10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9"/>
      <c r="H350" s="6"/>
      <c r="I350" s="6"/>
      <c r="J350" s="6"/>
      <c r="K350" s="10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9"/>
      <c r="H351" s="6"/>
      <c r="I351" s="6"/>
      <c r="J351" s="6"/>
      <c r="K351" s="10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9"/>
      <c r="H352" s="6"/>
      <c r="I352" s="6"/>
      <c r="J352" s="6"/>
      <c r="K352" s="10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9"/>
      <c r="H353" s="6"/>
      <c r="I353" s="6"/>
      <c r="J353" s="6"/>
      <c r="K353" s="10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9"/>
      <c r="H354" s="6"/>
      <c r="I354" s="6"/>
      <c r="J354" s="6"/>
      <c r="K354" s="10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9"/>
      <c r="H355" s="6"/>
      <c r="I355" s="6"/>
      <c r="J355" s="6"/>
      <c r="K355" s="10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9"/>
      <c r="H356" s="6"/>
      <c r="I356" s="6"/>
      <c r="J356" s="6"/>
      <c r="K356" s="10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9"/>
      <c r="H357" s="6"/>
      <c r="I357" s="6"/>
      <c r="J357" s="6"/>
      <c r="K357" s="10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9"/>
      <c r="H358" s="6"/>
      <c r="I358" s="6"/>
      <c r="J358" s="6"/>
      <c r="K358" s="10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9"/>
      <c r="H359" s="6"/>
      <c r="I359" s="6"/>
      <c r="J359" s="6"/>
      <c r="K359" s="10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9"/>
      <c r="H360" s="6"/>
      <c r="I360" s="6"/>
      <c r="J360" s="6"/>
      <c r="K360" s="10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9"/>
      <c r="H361" s="6"/>
      <c r="I361" s="6"/>
      <c r="J361" s="6"/>
      <c r="K361" s="10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9"/>
      <c r="H362" s="6"/>
      <c r="I362" s="6"/>
      <c r="J362" s="6"/>
      <c r="K362" s="10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9"/>
      <c r="H363" s="6"/>
      <c r="I363" s="6"/>
      <c r="J363" s="6"/>
      <c r="K363" s="10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9"/>
      <c r="H364" s="6"/>
      <c r="I364" s="6"/>
      <c r="J364" s="6"/>
      <c r="K364" s="10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9"/>
      <c r="H365" s="6"/>
      <c r="I365" s="6"/>
      <c r="J365" s="6"/>
      <c r="K365" s="10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9"/>
      <c r="H366" s="6"/>
      <c r="I366" s="6"/>
      <c r="J366" s="6"/>
      <c r="K366" s="10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9"/>
      <c r="H367" s="6"/>
      <c r="I367" s="6"/>
      <c r="J367" s="6"/>
      <c r="K367" s="10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9"/>
      <c r="H368" s="6"/>
      <c r="I368" s="6"/>
      <c r="J368" s="6"/>
      <c r="K368" s="10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9"/>
      <c r="H369" s="6"/>
      <c r="I369" s="6"/>
      <c r="J369" s="6"/>
      <c r="K369" s="10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9"/>
      <c r="H370" s="6"/>
      <c r="I370" s="6"/>
      <c r="J370" s="6"/>
      <c r="K370" s="10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9"/>
      <c r="H371" s="6"/>
      <c r="I371" s="6"/>
      <c r="J371" s="6"/>
      <c r="K371" s="10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9"/>
      <c r="H372" s="6"/>
      <c r="I372" s="6"/>
      <c r="J372" s="6"/>
      <c r="K372" s="10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9"/>
      <c r="H373" s="6"/>
      <c r="I373" s="6"/>
      <c r="J373" s="6"/>
      <c r="K373" s="10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9"/>
      <c r="H374" s="6"/>
      <c r="I374" s="6"/>
      <c r="J374" s="6"/>
      <c r="K374" s="10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9"/>
      <c r="H375" s="6"/>
      <c r="I375" s="6"/>
      <c r="J375" s="6"/>
      <c r="K375" s="10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9"/>
      <c r="H376" s="6"/>
      <c r="I376" s="6"/>
      <c r="J376" s="6"/>
      <c r="K376" s="10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9"/>
      <c r="H377" s="6"/>
      <c r="I377" s="6"/>
      <c r="J377" s="6"/>
      <c r="K377" s="10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9"/>
      <c r="H378" s="6"/>
      <c r="I378" s="6"/>
      <c r="J378" s="6"/>
      <c r="K378" s="10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9"/>
      <c r="H379" s="6"/>
      <c r="I379" s="6"/>
      <c r="J379" s="6"/>
      <c r="K379" s="10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9"/>
      <c r="H380" s="6"/>
      <c r="I380" s="6"/>
      <c r="J380" s="6"/>
      <c r="K380" s="10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9"/>
      <c r="H381" s="6"/>
      <c r="I381" s="6"/>
      <c r="J381" s="6"/>
      <c r="K381" s="10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9"/>
      <c r="H382" s="6"/>
      <c r="I382" s="6"/>
      <c r="J382" s="6"/>
      <c r="K382" s="10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9"/>
      <c r="H383" s="6"/>
      <c r="I383" s="6"/>
      <c r="J383" s="6"/>
      <c r="K383" s="10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9"/>
      <c r="H384" s="6"/>
      <c r="I384" s="6"/>
      <c r="J384" s="6"/>
      <c r="K384" s="10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9"/>
      <c r="H385" s="6"/>
      <c r="I385" s="6"/>
      <c r="J385" s="6"/>
      <c r="K385" s="10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9"/>
      <c r="H386" s="6"/>
      <c r="I386" s="6"/>
      <c r="J386" s="6"/>
      <c r="K386" s="10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9"/>
      <c r="H387" s="6"/>
      <c r="I387" s="6"/>
      <c r="J387" s="6"/>
      <c r="K387" s="10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9"/>
      <c r="H388" s="6"/>
      <c r="I388" s="6"/>
      <c r="J388" s="6"/>
      <c r="K388" s="10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9"/>
      <c r="H389" s="6"/>
      <c r="I389" s="6"/>
      <c r="J389" s="6"/>
      <c r="K389" s="10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9"/>
      <c r="H390" s="6"/>
      <c r="I390" s="6"/>
      <c r="J390" s="6"/>
      <c r="K390" s="10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9"/>
      <c r="H391" s="6"/>
      <c r="I391" s="6"/>
      <c r="J391" s="6"/>
      <c r="K391" s="10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Q25"/>
  <conditionalFormatting sqref="B1 B25">
    <cfRule type="expression" priority="2" aboveAverage="0" equalAverage="0" bottom="0" percent="0" rank="0" text="" dxfId="4">
      <formula>COUNTIF($B:$B,B1)&gt;1</formula>
    </cfRule>
  </conditionalFormatting>
  <conditionalFormatting sqref="Z1">
    <cfRule type="expression" priority="3" aboveAverage="0" equalAverage="0" bottom="0" percent="0" rank="0" text="" dxfId="5">
      <formula>COUNTIF($Z:$Z,Z1)&gt;1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8" t="s">
        <v>2</v>
      </c>
      <c r="B1" s="19" t="s">
        <v>148</v>
      </c>
    </row>
    <row r="2" customFormat="false" ht="15.75" hidden="false" customHeight="false" outlineLevel="0" collapsed="false">
      <c r="A2" s="20" t="s">
        <v>149</v>
      </c>
      <c r="B2" s="21" t="n">
        <v>2518</v>
      </c>
    </row>
    <row r="3" customFormat="false" ht="15.75" hidden="false" customHeight="false" outlineLevel="0" collapsed="false">
      <c r="A3" s="22" t="s">
        <v>150</v>
      </c>
      <c r="B3" s="23" t="n">
        <v>2518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7" min="17" style="0" width="44"/>
    <col collapsed="false" customWidth="true" hidden="false" outlineLevel="0" max="18" min="18" style="0" width="44.63"/>
  </cols>
  <sheetData>
    <row r="1" customFormat="false" ht="15.75" hidden="false" customHeight="false" outlineLevel="0" collapsed="false">
      <c r="A1" s="2" t="s">
        <v>1</v>
      </c>
      <c r="B1" s="1" t="s">
        <v>2</v>
      </c>
      <c r="C1" s="1" t="s">
        <v>3</v>
      </c>
      <c r="D1" s="1" t="s">
        <v>151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13</v>
      </c>
      <c r="J1" s="2" t="s">
        <v>15</v>
      </c>
      <c r="K1" s="1" t="s">
        <v>152</v>
      </c>
      <c r="L1" s="1" t="s">
        <v>153</v>
      </c>
      <c r="M1" s="1" t="s">
        <v>16</v>
      </c>
      <c r="N1" s="1" t="s">
        <v>154</v>
      </c>
      <c r="O1" s="1" t="s">
        <v>22</v>
      </c>
      <c r="P1" s="1" t="s">
        <v>23</v>
      </c>
      <c r="Q1" s="2" t="s">
        <v>24</v>
      </c>
      <c r="R1" s="1" t="s">
        <v>25</v>
      </c>
      <c r="S1" s="1" t="s">
        <v>26</v>
      </c>
      <c r="T1" s="1" t="s">
        <v>27</v>
      </c>
      <c r="U1" s="24"/>
      <c r="V1" s="2" t="s">
        <v>18</v>
      </c>
      <c r="W1" s="2" t="s">
        <v>28</v>
      </c>
      <c r="X1" s="2" t="s">
        <v>29</v>
      </c>
      <c r="Y1" s="1" t="s">
        <v>30</v>
      </c>
      <c r="Z1" s="2" t="s">
        <v>35</v>
      </c>
      <c r="AA1" s="2" t="s">
        <v>36</v>
      </c>
      <c r="AB1" s="2" t="s">
        <v>32</v>
      </c>
      <c r="AC1" s="2" t="s">
        <v>40</v>
      </c>
      <c r="AD1" s="2" t="s">
        <v>41</v>
      </c>
    </row>
    <row r="2" customFormat="false" ht="15.75" hidden="false" customHeight="false" outlineLevel="0" collapsed="false">
      <c r="A2" s="8"/>
      <c r="B2" s="25" t="s">
        <v>155</v>
      </c>
      <c r="C2" s="25" t="s">
        <v>156</v>
      </c>
      <c r="D2" s="25" t="s">
        <v>157</v>
      </c>
      <c r="E2" s="25"/>
      <c r="F2" s="25"/>
      <c r="G2" s="25"/>
      <c r="H2" s="25"/>
      <c r="I2" s="25"/>
      <c r="J2" s="25"/>
      <c r="K2" s="25" t="s">
        <v>158</v>
      </c>
      <c r="L2" s="8"/>
      <c r="M2" s="25" t="s">
        <v>159</v>
      </c>
      <c r="N2" s="25"/>
      <c r="O2" s="25" t="s">
        <v>160</v>
      </c>
      <c r="P2" s="25" t="s">
        <v>161</v>
      </c>
      <c r="Q2" s="26"/>
      <c r="R2" s="8" t="str">
        <f aca="false">B2&amp;" "&amp;C2&amp;" "&amp;D2&amp;" "&amp;E2&amp;" "&amp;G2&amp;" "&amp;H2&amp;" "&amp;J2&amp;" "&amp;N2</f>
        <v>BMI Price Recycling Aluminium Scrap     </v>
      </c>
      <c r="S2" s="25"/>
      <c r="T2" s="8"/>
      <c r="U2" s="8"/>
      <c r="V2" s="25" t="s">
        <v>162</v>
      </c>
      <c r="W2" s="25"/>
      <c r="X2" s="25"/>
      <c r="Y2" s="25"/>
      <c r="Z2" s="25"/>
      <c r="AA2" s="25"/>
      <c r="AB2" s="25" t="s">
        <v>163</v>
      </c>
      <c r="AC2" s="25"/>
      <c r="AD2" s="25"/>
    </row>
    <row r="3" customFormat="false" ht="15.75" hidden="false" customHeight="false" outlineLevel="0" collapsed="false">
      <c r="A3" s="8"/>
      <c r="B3" s="25" t="s">
        <v>155</v>
      </c>
      <c r="C3" s="25" t="s">
        <v>156</v>
      </c>
      <c r="D3" s="25" t="s">
        <v>164</v>
      </c>
      <c r="E3" s="25"/>
      <c r="F3" s="25"/>
      <c r="G3" s="25"/>
      <c r="H3" s="25"/>
      <c r="I3" s="25"/>
      <c r="J3" s="25"/>
      <c r="K3" s="25" t="s">
        <v>158</v>
      </c>
      <c r="L3" s="8"/>
      <c r="M3" s="25" t="s">
        <v>159</v>
      </c>
      <c r="N3" s="25"/>
      <c r="O3" s="25" t="s">
        <v>160</v>
      </c>
      <c r="P3" s="25" t="s">
        <v>161</v>
      </c>
      <c r="Q3" s="26"/>
      <c r="R3" s="8" t="str">
        <f aca="false">B3&amp;" "&amp;C3&amp;" "&amp;D3&amp;" "&amp;E3&amp;" "&amp;G3&amp;" "&amp;H3&amp;" "&amp;J3&amp;" "&amp;N3</f>
        <v>BMI Price Recycling Copper Scrap     </v>
      </c>
      <c r="S3" s="25"/>
      <c r="T3" s="8"/>
      <c r="U3" s="8"/>
      <c r="V3" s="25" t="s">
        <v>49</v>
      </c>
      <c r="W3" s="25"/>
      <c r="X3" s="25"/>
      <c r="Y3" s="25"/>
      <c r="Z3" s="25"/>
      <c r="AA3" s="25"/>
      <c r="AB3" s="25" t="s">
        <v>163</v>
      </c>
      <c r="AC3" s="25"/>
      <c r="AD3" s="25"/>
    </row>
    <row r="4" customFormat="false" ht="15.75" hidden="false" customHeight="false" outlineLevel="0" collapsed="false">
      <c r="A4" s="8"/>
      <c r="B4" s="25"/>
      <c r="C4" s="25" t="s">
        <v>156</v>
      </c>
      <c r="D4" s="25" t="s">
        <v>165</v>
      </c>
      <c r="E4" s="25"/>
      <c r="F4" s="25"/>
      <c r="G4" s="25"/>
      <c r="H4" s="25"/>
      <c r="I4" s="25"/>
      <c r="J4" s="25"/>
      <c r="K4" s="25"/>
      <c r="L4" s="8"/>
      <c r="M4" s="25"/>
      <c r="N4" s="25"/>
      <c r="O4" s="25"/>
      <c r="P4" s="25"/>
      <c r="Q4" s="26"/>
      <c r="R4" s="8"/>
      <c r="S4" s="25"/>
      <c r="T4" s="8"/>
      <c r="U4" s="8"/>
      <c r="V4" s="25"/>
      <c r="W4" s="25"/>
      <c r="X4" s="25"/>
      <c r="Y4" s="25"/>
      <c r="Z4" s="25"/>
      <c r="AA4" s="25"/>
      <c r="AB4" s="25"/>
      <c r="AC4" s="25"/>
      <c r="AD4" s="25"/>
    </row>
    <row r="5" customFormat="false" ht="15.75" hidden="false" customHeight="false" outlineLevel="0" collapsed="false">
      <c r="A5" s="8" t="s">
        <v>166</v>
      </c>
      <c r="B5" s="27" t="s">
        <v>144</v>
      </c>
      <c r="C5" s="25" t="s">
        <v>167</v>
      </c>
      <c r="D5" s="25" t="s">
        <v>168</v>
      </c>
      <c r="E5" s="25"/>
      <c r="F5" s="25"/>
      <c r="G5" s="25"/>
      <c r="H5" s="25" t="s">
        <v>169</v>
      </c>
      <c r="I5" s="25"/>
      <c r="J5" s="27" t="s">
        <v>145</v>
      </c>
      <c r="K5" s="27" t="str">
        <f aca="false">IFERROR(__xludf.dummyfunction("SPLIT(J10,"" "")"),"DDP")</f>
        <v>DDP</v>
      </c>
      <c r="L5" s="8" t="str">
        <f aca="false">IFERROR(__xludf.dummyfunction("""COMPUTED_VALUE"""),"China")</f>
        <v>China</v>
      </c>
      <c r="M5" s="25" t="s">
        <v>145</v>
      </c>
      <c r="N5" s="25"/>
      <c r="O5" s="25"/>
      <c r="P5" s="25"/>
      <c r="Q5" s="26" t="s">
        <v>169</v>
      </c>
      <c r="R5" s="8" t="str">
        <f aca="false">B5&amp;" "&amp;C5&amp;" "&amp;D5&amp;" "&amp;E5&amp;" "&amp;G5&amp;" "&amp;H5&amp;" "&amp;J5&amp;" "&amp;N5</f>
        <v>Global Indicator Foils Aluminium (Battery Grade)   12μm Global </v>
      </c>
      <c r="S5" s="25"/>
      <c r="T5" s="8"/>
      <c r="U5" s="8"/>
      <c r="V5" s="27" t="s">
        <v>49</v>
      </c>
      <c r="W5" s="27" t="s">
        <v>170</v>
      </c>
      <c r="X5" s="27" t="s">
        <v>170</v>
      </c>
      <c r="Y5" s="25"/>
      <c r="Z5" s="27" t="s">
        <v>161</v>
      </c>
      <c r="AA5" s="27" t="s">
        <v>161</v>
      </c>
      <c r="AB5" s="27" t="s">
        <v>171</v>
      </c>
      <c r="AC5" s="25"/>
      <c r="AD5" s="25"/>
    </row>
    <row r="6" customFormat="false" ht="15.75" hidden="false" customHeight="false" outlineLevel="0" collapsed="false">
      <c r="A6" s="8" t="s">
        <v>172</v>
      </c>
      <c r="B6" s="27" t="s">
        <v>144</v>
      </c>
      <c r="C6" s="25" t="s">
        <v>167</v>
      </c>
      <c r="D6" s="25" t="s">
        <v>168</v>
      </c>
      <c r="E6" s="25"/>
      <c r="F6" s="25"/>
      <c r="G6" s="25"/>
      <c r="H6" s="25" t="s">
        <v>173</v>
      </c>
      <c r="I6" s="25"/>
      <c r="J6" s="27" t="s">
        <v>145</v>
      </c>
      <c r="K6" s="27" t="str">
        <f aca="false">IFERROR(__xludf.dummyfunction("SPLIT(J11,"" "")"),"DDP")</f>
        <v>DDP</v>
      </c>
      <c r="L6" s="28" t="str">
        <f aca="false">IFERROR(__xludf.dummyfunction("""COMPUTED_VALUE"""),"China")</f>
        <v>China</v>
      </c>
      <c r="M6" s="25"/>
      <c r="N6" s="25"/>
      <c r="O6" s="25"/>
      <c r="P6" s="25"/>
      <c r="Q6" s="26" t="s">
        <v>173</v>
      </c>
      <c r="R6" s="8" t="str">
        <f aca="false">B6&amp;" "&amp;C6&amp;" "&amp;D6&amp;" "&amp;E6&amp;" "&amp;G6&amp;" "&amp;H6&amp;" "&amp;J6&amp;" "&amp;N6</f>
        <v>Global Indicator Foils Aluminium (Battery Grade)   10μm Global </v>
      </c>
      <c r="S6" s="25"/>
      <c r="T6" s="8"/>
      <c r="U6" s="8"/>
      <c r="V6" s="27" t="s">
        <v>49</v>
      </c>
      <c r="W6" s="25"/>
      <c r="X6" s="25"/>
      <c r="Y6" s="25"/>
      <c r="Z6" s="25"/>
      <c r="AA6" s="25"/>
      <c r="AB6" s="25"/>
      <c r="AC6" s="25"/>
      <c r="AD6" s="25"/>
    </row>
    <row r="7" customFormat="false" ht="15.75" hidden="false" customHeight="false" outlineLevel="0" collapsed="false">
      <c r="A7" s="8" t="s">
        <v>174</v>
      </c>
      <c r="B7" s="27" t="s">
        <v>144</v>
      </c>
      <c r="C7" s="25" t="s">
        <v>167</v>
      </c>
      <c r="D7" s="25" t="s">
        <v>168</v>
      </c>
      <c r="E7" s="25"/>
      <c r="F7" s="25"/>
      <c r="G7" s="25"/>
      <c r="H7" s="25" t="s">
        <v>175</v>
      </c>
      <c r="I7" s="25"/>
      <c r="J7" s="27" t="s">
        <v>145</v>
      </c>
      <c r="K7" s="27" t="str">
        <f aca="false">IFERROR(__xludf.dummyfunction("SPLIT(J12,"" "")"),"DDP")</f>
        <v>DDP</v>
      </c>
      <c r="L7" s="28" t="str">
        <f aca="false">IFERROR(__xludf.dummyfunction("""COMPUTED_VALUE"""),"China")</f>
        <v>China</v>
      </c>
      <c r="M7" s="25"/>
      <c r="N7" s="25"/>
      <c r="O7" s="25"/>
      <c r="P7" s="25"/>
      <c r="Q7" s="29" t="s">
        <v>175</v>
      </c>
      <c r="R7" s="8" t="str">
        <f aca="false">B7&amp;" "&amp;C7&amp;" "&amp;D7&amp;" "&amp;E7&amp;" "&amp;G7&amp;" "&amp;H7&amp;" "&amp;J7&amp;" "&amp;N7</f>
        <v>Global Indicator Foils Aluminium (Battery Grade)   8μm Global </v>
      </c>
      <c r="S7" s="25"/>
      <c r="T7" s="8"/>
      <c r="U7" s="8"/>
      <c r="V7" s="27" t="s">
        <v>49</v>
      </c>
      <c r="W7" s="25"/>
      <c r="X7" s="25"/>
      <c r="Y7" s="25"/>
      <c r="Z7" s="25"/>
      <c r="AA7" s="25"/>
      <c r="AB7" s="25"/>
      <c r="AC7" s="25"/>
      <c r="AD7" s="25"/>
    </row>
    <row r="8" customFormat="false" ht="15.75" hidden="false" customHeight="false" outlineLevel="0" collapsed="false">
      <c r="A8" s="8" t="s">
        <v>176</v>
      </c>
      <c r="B8" s="27" t="s">
        <v>155</v>
      </c>
      <c r="C8" s="27" t="s">
        <v>177</v>
      </c>
      <c r="D8" s="25" t="s">
        <v>178</v>
      </c>
      <c r="E8" s="25"/>
      <c r="F8" s="25"/>
      <c r="G8" s="25"/>
      <c r="H8" s="25" t="s">
        <v>179</v>
      </c>
      <c r="I8" s="25"/>
      <c r="J8" s="27" t="s">
        <v>145</v>
      </c>
      <c r="K8" s="27" t="str">
        <f aca="false">IFERROR(__xludf.dummyfunction("SPLIT(J13,"" "")"),"DDP")</f>
        <v>DDP</v>
      </c>
      <c r="L8" s="28" t="str">
        <f aca="false">IFERROR(__xludf.dummyfunction("""COMPUTED_VALUE"""),"China")</f>
        <v>China</v>
      </c>
      <c r="M8" s="25"/>
      <c r="N8" s="25"/>
      <c r="O8" s="25"/>
      <c r="P8" s="25"/>
      <c r="Q8" s="29" t="s">
        <v>180</v>
      </c>
      <c r="R8" s="8" t="str">
        <f aca="false">B8&amp;" "&amp;C8&amp;" "&amp;D8&amp;" "&amp;E8&amp;" "&amp;G8&amp;" "&amp;H8&amp;" "&amp;J8&amp;" "&amp;N8</f>
        <v>BMI Price Anode Silicon Oxide Anode   5-10um Global </v>
      </c>
      <c r="S8" s="25"/>
      <c r="T8" s="8"/>
      <c r="U8" s="8"/>
      <c r="V8" s="27" t="s">
        <v>49</v>
      </c>
      <c r="W8" s="25"/>
      <c r="X8" s="25"/>
      <c r="Y8" s="25"/>
      <c r="Z8" s="25"/>
      <c r="AA8" s="25"/>
      <c r="AB8" s="25"/>
      <c r="AC8" s="25"/>
      <c r="AD8" s="25"/>
    </row>
    <row r="9" customFormat="false" ht="15.75" hidden="false" customHeight="false" outlineLevel="0" collapsed="false">
      <c r="A9" s="30" t="s">
        <v>181</v>
      </c>
      <c r="B9" s="31" t="s">
        <v>155</v>
      </c>
      <c r="C9" s="32" t="s">
        <v>177</v>
      </c>
      <c r="D9" s="32" t="s">
        <v>182</v>
      </c>
      <c r="E9" s="32" t="s">
        <v>183</v>
      </c>
      <c r="F9" s="25"/>
      <c r="G9" s="32" t="s">
        <v>184</v>
      </c>
      <c r="H9" s="25"/>
      <c r="I9" s="25"/>
      <c r="J9" s="32" t="s">
        <v>185</v>
      </c>
      <c r="K9" s="32" t="str">
        <f aca="false">IFERROR(__xludf.dummyfunction("SPLIT(J10,"" "")"),"DDP")</f>
        <v>DDP</v>
      </c>
      <c r="L9" s="8" t="str">
        <f aca="false">IFERROR(__xludf.dummyfunction("""COMPUTED_VALUE"""),"China")</f>
        <v>China</v>
      </c>
      <c r="M9" s="25" t="s">
        <v>64</v>
      </c>
      <c r="N9" s="32" t="s">
        <v>186</v>
      </c>
      <c r="O9" s="25"/>
      <c r="P9" s="32" t="s">
        <v>187</v>
      </c>
      <c r="Q9" s="33" t="s">
        <v>188</v>
      </c>
      <c r="R9" s="30" t="str">
        <f aca="false">B9&amp;" "&amp;C9&amp;" "&amp;D9&amp;" "&amp;E9&amp;" "&amp;G9&amp;" "&amp;H9&amp;" "&amp;J9&amp;" "&amp;N9</f>
        <v>BMI Price Anode Natural Graphite Anode High (360-370 mAh/g) Min 99.7% C  DDP China RMB</v>
      </c>
      <c r="S9" s="25"/>
      <c r="T9" s="8"/>
      <c r="U9" s="8"/>
      <c r="V9" s="31" t="s">
        <v>49</v>
      </c>
      <c r="W9" s="25"/>
      <c r="X9" s="25"/>
      <c r="Y9" s="25"/>
      <c r="Z9" s="25"/>
      <c r="AA9" s="25"/>
      <c r="AB9" s="25"/>
      <c r="AC9" s="25"/>
      <c r="AD9" s="25"/>
    </row>
    <row r="10" customFormat="false" ht="15.75" hidden="false" customHeight="false" outlineLevel="0" collapsed="false">
      <c r="A10" s="8"/>
      <c r="B10" s="27" t="s">
        <v>155</v>
      </c>
      <c r="C10" s="27" t="s">
        <v>177</v>
      </c>
      <c r="D10" s="25" t="s">
        <v>182</v>
      </c>
      <c r="E10" s="25" t="s">
        <v>189</v>
      </c>
      <c r="F10" s="25"/>
      <c r="G10" s="25" t="s">
        <v>184</v>
      </c>
      <c r="H10" s="25"/>
      <c r="I10" s="25"/>
      <c r="J10" s="25" t="s">
        <v>185</v>
      </c>
      <c r="K10" s="25" t="str">
        <f aca="false">IFERROR(__xludf.dummyfunction("SPLIT(J10,"" "")"),"DDP")</f>
        <v>DDP</v>
      </c>
      <c r="L10" s="28" t="str">
        <f aca="false">IFERROR(__xludf.dummyfunction("""COMPUTED_VALUE"""),"China")</f>
        <v>China</v>
      </c>
      <c r="M10" s="25"/>
      <c r="N10" s="32" t="s">
        <v>186</v>
      </c>
      <c r="O10" s="25"/>
      <c r="P10" s="32" t="s">
        <v>187</v>
      </c>
      <c r="Q10" s="26"/>
      <c r="R10" s="8" t="str">
        <f aca="false">B10&amp;" "&amp;C10&amp;" "&amp;D10&amp;" "&amp;E10&amp;" "&amp;G10&amp;" "&amp;H10&amp;" "&amp;J10&amp;" "&amp;N10</f>
        <v>BMI Price Anode Natural Graphite Anode High (360-370 mAh/g) (&gt;2.5 C for EV) Min 99.7% C  DDP China RMB</v>
      </c>
      <c r="S10" s="25"/>
      <c r="T10" s="8"/>
      <c r="U10" s="8"/>
      <c r="V10" s="25"/>
      <c r="W10" s="25"/>
      <c r="X10" s="25"/>
      <c r="Y10" s="25"/>
      <c r="Z10" s="25"/>
      <c r="AA10" s="25"/>
      <c r="AB10" s="25"/>
      <c r="AC10" s="25"/>
      <c r="AD10" s="25"/>
    </row>
    <row r="11" customFormat="false" ht="15.75" hidden="false" customHeight="false" outlineLevel="0" collapsed="false">
      <c r="A11" s="8" t="s">
        <v>190</v>
      </c>
      <c r="B11" s="27" t="s">
        <v>155</v>
      </c>
      <c r="C11" s="25" t="s">
        <v>177</v>
      </c>
      <c r="D11" s="25" t="s">
        <v>182</v>
      </c>
      <c r="E11" s="25" t="s">
        <v>191</v>
      </c>
      <c r="F11" s="25"/>
      <c r="G11" s="25" t="s">
        <v>192</v>
      </c>
      <c r="H11" s="25"/>
      <c r="I11" s="25"/>
      <c r="J11" s="25" t="s">
        <v>185</v>
      </c>
      <c r="K11" s="25" t="str">
        <f aca="false">IFERROR(__xludf.dummyfunction("SPLIT(J11,"" "")"),"DDP")</f>
        <v>DDP</v>
      </c>
      <c r="L11" s="28" t="str">
        <f aca="false">IFERROR(__xludf.dummyfunction("""COMPUTED_VALUE"""),"China")</f>
        <v>China</v>
      </c>
      <c r="M11" s="25"/>
      <c r="N11" s="32" t="s">
        <v>186</v>
      </c>
      <c r="O11" s="25"/>
      <c r="P11" s="32" t="s">
        <v>187</v>
      </c>
      <c r="Q11" s="29" t="s">
        <v>193</v>
      </c>
      <c r="R11" s="8" t="str">
        <f aca="false">B11&amp;" "&amp;C11&amp;" "&amp;D11&amp;" "&amp;E11&amp;" "&amp;G11&amp;" "&amp;H11&amp;" "&amp;J11&amp;" "&amp;N11</f>
        <v>BMI Price Anode Natural Graphite Anode Medium (360-370 mAh/g) Min 99.95% C  DDP China RMB</v>
      </c>
      <c r="S11" s="25"/>
      <c r="T11" s="8"/>
      <c r="U11" s="8"/>
      <c r="V11" s="27" t="s">
        <v>49</v>
      </c>
      <c r="W11" s="25"/>
      <c r="X11" s="25"/>
      <c r="Y11" s="25"/>
      <c r="Z11" s="25"/>
      <c r="AA11" s="25"/>
      <c r="AB11" s="25"/>
      <c r="AC11" s="25"/>
      <c r="AD11" s="25"/>
    </row>
    <row r="12" customFormat="false" ht="15.75" hidden="false" customHeight="false" outlineLevel="0" collapsed="false">
      <c r="A12" s="8" t="s">
        <v>194</v>
      </c>
      <c r="B12" s="27" t="s">
        <v>155</v>
      </c>
      <c r="C12" s="27" t="s">
        <v>177</v>
      </c>
      <c r="D12" s="25" t="s">
        <v>182</v>
      </c>
      <c r="E12" s="25" t="s">
        <v>195</v>
      </c>
      <c r="F12" s="25"/>
      <c r="G12" s="25" t="s">
        <v>196</v>
      </c>
      <c r="H12" s="25"/>
      <c r="I12" s="25"/>
      <c r="J12" s="25" t="s">
        <v>185</v>
      </c>
      <c r="K12" s="25" t="str">
        <f aca="false">IFERROR(__xludf.dummyfunction("SPLIT(J12,"" "")"),"DDP")</f>
        <v>DDP</v>
      </c>
      <c r="L12" s="28" t="str">
        <f aca="false">IFERROR(__xludf.dummyfunction("""COMPUTED_VALUE"""),"China")</f>
        <v>China</v>
      </c>
      <c r="M12" s="25"/>
      <c r="N12" s="32" t="s">
        <v>186</v>
      </c>
      <c r="O12" s="25"/>
      <c r="P12" s="32" t="s">
        <v>187</v>
      </c>
      <c r="Q12" s="29" t="s">
        <v>197</v>
      </c>
      <c r="R12" s="8" t="str">
        <f aca="false">B12&amp;" "&amp;C12&amp;" "&amp;D12&amp;" "&amp;E12&amp;" "&amp;G12&amp;" "&amp;H12&amp;" "&amp;J12&amp;" "&amp;N12</f>
        <v>BMI Price Anode Natural Graphite Anode Low (345-360 mAh/g) Min 99.90% C  DDP China RMB</v>
      </c>
      <c r="S12" s="25"/>
      <c r="T12" s="8"/>
      <c r="U12" s="8"/>
      <c r="V12" s="27" t="s">
        <v>49</v>
      </c>
      <c r="W12" s="25"/>
      <c r="X12" s="25"/>
      <c r="Y12" s="25"/>
      <c r="Z12" s="25"/>
      <c r="AA12" s="25"/>
      <c r="AB12" s="25"/>
      <c r="AC12" s="25"/>
      <c r="AD12" s="25"/>
    </row>
    <row r="13" customFormat="false" ht="15.75" hidden="false" customHeight="false" outlineLevel="0" collapsed="false">
      <c r="A13" s="8"/>
      <c r="B13" s="27" t="s">
        <v>155</v>
      </c>
      <c r="C13" s="27" t="s">
        <v>177</v>
      </c>
      <c r="D13" s="25" t="s">
        <v>198</v>
      </c>
      <c r="E13" s="25" t="s">
        <v>199</v>
      </c>
      <c r="F13" s="25"/>
      <c r="G13" s="25" t="s">
        <v>184</v>
      </c>
      <c r="H13" s="25"/>
      <c r="I13" s="25"/>
      <c r="J13" s="25" t="s">
        <v>185</v>
      </c>
      <c r="K13" s="25" t="str">
        <f aca="false">IFERROR(__xludf.dummyfunction("SPLIT(J13,"" "")"),"DDP")</f>
        <v>DDP</v>
      </c>
      <c r="L13" s="28" t="str">
        <f aca="false">IFERROR(__xludf.dummyfunction("""COMPUTED_VALUE"""),"China")</f>
        <v>China</v>
      </c>
      <c r="M13" s="25"/>
      <c r="N13" s="32" t="s">
        <v>186</v>
      </c>
      <c r="O13" s="25"/>
      <c r="P13" s="32" t="s">
        <v>187</v>
      </c>
      <c r="Q13" s="26"/>
      <c r="R13" s="8" t="str">
        <f aca="false">B13&amp;" "&amp;C13&amp;" "&amp;D13&amp;" "&amp;E13&amp;" "&amp;G13&amp;" "&amp;H13&amp;" "&amp;J13&amp;" "&amp;N13</f>
        <v>BMI Price Anode Synthetic Graphite Anode High (350-370 mAh/g) Min 99.7% C  DDP China RMB</v>
      </c>
      <c r="S13" s="25"/>
      <c r="T13" s="8"/>
      <c r="U13" s="8"/>
      <c r="V13" s="25"/>
      <c r="W13" s="25"/>
      <c r="X13" s="25"/>
      <c r="Y13" s="25"/>
      <c r="Z13" s="25"/>
      <c r="AA13" s="25"/>
      <c r="AB13" s="25"/>
      <c r="AC13" s="25"/>
      <c r="AD13" s="25"/>
    </row>
    <row r="14" customFormat="false" ht="15.75" hidden="false" customHeight="false" outlineLevel="0" collapsed="false">
      <c r="A14" s="8" t="s">
        <v>200</v>
      </c>
      <c r="B14" s="27" t="s">
        <v>155</v>
      </c>
      <c r="C14" s="27" t="s">
        <v>177</v>
      </c>
      <c r="D14" s="25" t="s">
        <v>198</v>
      </c>
      <c r="E14" s="25" t="s">
        <v>201</v>
      </c>
      <c r="F14" s="25"/>
      <c r="G14" s="25" t="s">
        <v>184</v>
      </c>
      <c r="H14" s="25"/>
      <c r="I14" s="25"/>
      <c r="J14" s="25" t="s">
        <v>185</v>
      </c>
      <c r="K14" s="25" t="str">
        <f aca="false">IFERROR(__xludf.dummyfunction("SPLIT(J14,"" "")"),"DDP")</f>
        <v>DDP</v>
      </c>
      <c r="L14" s="28" t="str">
        <f aca="false">IFERROR(__xludf.dummyfunction("""COMPUTED_VALUE"""),"China")</f>
        <v>China</v>
      </c>
      <c r="M14" s="25"/>
      <c r="N14" s="32" t="s">
        <v>186</v>
      </c>
      <c r="O14" s="25"/>
      <c r="P14" s="32" t="s">
        <v>187</v>
      </c>
      <c r="Q14" s="29" t="s">
        <v>202</v>
      </c>
      <c r="R14" s="8" t="str">
        <f aca="false">B14&amp;" "&amp;C14&amp;" "&amp;D14&amp;" "&amp;E14&amp;" "&amp;G14&amp;" "&amp;H14&amp;" "&amp;J14&amp;" "&amp;N14</f>
        <v>BMI Price Anode Synthetic Graphite Anode High (350-370 mAh/g) (&gt;2.5C for EV) Min 99.7% C  DDP China RMB</v>
      </c>
      <c r="S14" s="25"/>
      <c r="T14" s="8"/>
      <c r="U14" s="8"/>
      <c r="V14" s="27" t="s">
        <v>49</v>
      </c>
      <c r="W14" s="25"/>
      <c r="X14" s="25"/>
      <c r="Y14" s="25"/>
      <c r="Z14" s="25"/>
      <c r="AA14" s="25"/>
      <c r="AB14" s="25"/>
      <c r="AC14" s="25"/>
      <c r="AD14" s="25"/>
    </row>
    <row r="15" customFormat="false" ht="15.75" hidden="false" customHeight="false" outlineLevel="0" collapsed="false">
      <c r="A15" s="8" t="s">
        <v>203</v>
      </c>
      <c r="B15" s="27" t="s">
        <v>155</v>
      </c>
      <c r="C15" s="27" t="s">
        <v>177</v>
      </c>
      <c r="D15" s="25" t="s">
        <v>198</v>
      </c>
      <c r="E15" s="25" t="s">
        <v>204</v>
      </c>
      <c r="F15" s="25"/>
      <c r="G15" s="25" t="s">
        <v>192</v>
      </c>
      <c r="H15" s="25"/>
      <c r="I15" s="25"/>
      <c r="J15" s="25" t="s">
        <v>185</v>
      </c>
      <c r="K15" s="25" t="str">
        <f aca="false">IFERROR(__xludf.dummyfunction("SPLIT(J15,"" "")"),"DDP")</f>
        <v>DDP</v>
      </c>
      <c r="L15" s="28" t="str">
        <f aca="false">IFERROR(__xludf.dummyfunction("""COMPUTED_VALUE"""),"China")</f>
        <v>China</v>
      </c>
      <c r="M15" s="25"/>
      <c r="N15" s="32" t="s">
        <v>186</v>
      </c>
      <c r="O15" s="25"/>
      <c r="P15" s="32" t="s">
        <v>187</v>
      </c>
      <c r="Q15" s="29" t="s">
        <v>205</v>
      </c>
      <c r="R15" s="8" t="str">
        <f aca="false">B15&amp;" "&amp;C15&amp;" "&amp;D15&amp;" "&amp;E15&amp;" "&amp;G15&amp;" "&amp;H15&amp;" "&amp;J15&amp;" "&amp;N15</f>
        <v>BMI Price Anode Synthetic Graphite Anode Medium (330-350 mAh/g) Min 99.95% C  DDP China RMB</v>
      </c>
      <c r="S15" s="25"/>
      <c r="T15" s="8"/>
      <c r="U15" s="8"/>
      <c r="V15" s="27" t="s">
        <v>49</v>
      </c>
      <c r="W15" s="25"/>
      <c r="X15" s="25"/>
      <c r="Y15" s="25"/>
      <c r="Z15" s="25"/>
      <c r="AA15" s="25"/>
      <c r="AB15" s="25"/>
      <c r="AC15" s="25"/>
      <c r="AD15" s="25"/>
    </row>
    <row r="16" customFormat="false" ht="15.75" hidden="false" customHeight="false" outlineLevel="0" collapsed="false">
      <c r="A16" s="8" t="s">
        <v>206</v>
      </c>
      <c r="B16" s="27" t="s">
        <v>155</v>
      </c>
      <c r="C16" s="27" t="s">
        <v>177</v>
      </c>
      <c r="D16" s="25" t="s">
        <v>198</v>
      </c>
      <c r="E16" s="25" t="s">
        <v>207</v>
      </c>
      <c r="F16" s="25"/>
      <c r="G16" s="25" t="s">
        <v>208</v>
      </c>
      <c r="H16" s="25"/>
      <c r="I16" s="25"/>
      <c r="J16" s="25" t="s">
        <v>185</v>
      </c>
      <c r="K16" s="25" t="str">
        <f aca="false">IFERROR(__xludf.dummyfunction("SPLIT(J16,"" "")"),"DDP")</f>
        <v>DDP</v>
      </c>
      <c r="L16" s="28" t="str">
        <f aca="false">IFERROR(__xludf.dummyfunction("""COMPUTED_VALUE"""),"China")</f>
        <v>China</v>
      </c>
      <c r="M16" s="25"/>
      <c r="N16" s="32" t="s">
        <v>186</v>
      </c>
      <c r="O16" s="25"/>
      <c r="P16" s="32" t="s">
        <v>187</v>
      </c>
      <c r="Q16" s="29" t="s">
        <v>209</v>
      </c>
      <c r="R16" s="8" t="str">
        <f aca="false">B16&amp;" "&amp;C16&amp;" "&amp;D16&amp;" "&amp;E16&amp;" "&amp;G16&amp;" "&amp;H16&amp;" "&amp;J16&amp;" "&amp;N16</f>
        <v>BMI Price Anode Synthetic Graphite Anode Low (310-330 mAh/g) Min 99.70% C  DDP China RMB</v>
      </c>
      <c r="S16" s="25"/>
      <c r="T16" s="8"/>
      <c r="U16" s="8"/>
      <c r="V16" s="27" t="s">
        <v>49</v>
      </c>
      <c r="W16" s="25"/>
      <c r="X16" s="25"/>
      <c r="Y16" s="25"/>
      <c r="Z16" s="25"/>
      <c r="AA16" s="25"/>
      <c r="AB16" s="25"/>
      <c r="AC16" s="25"/>
      <c r="AD16" s="25"/>
    </row>
    <row r="17" customFormat="false" ht="15.75" hidden="false" customHeight="false" outlineLevel="0" collapsed="false">
      <c r="A17" s="8" t="s">
        <v>210</v>
      </c>
      <c r="B17" s="27" t="s">
        <v>144</v>
      </c>
      <c r="C17" s="27" t="s">
        <v>211</v>
      </c>
      <c r="D17" s="25" t="s">
        <v>212</v>
      </c>
      <c r="E17" s="25"/>
      <c r="F17" s="25"/>
      <c r="G17" s="25"/>
      <c r="H17" s="25"/>
      <c r="I17" s="25"/>
      <c r="J17" s="27" t="s">
        <v>145</v>
      </c>
      <c r="K17" s="25"/>
      <c r="L17" s="28" t="s">
        <v>145</v>
      </c>
      <c r="M17" s="25"/>
      <c r="N17" s="25" t="s">
        <v>50</v>
      </c>
      <c r="O17" s="25"/>
      <c r="P17" s="25" t="s">
        <v>187</v>
      </c>
      <c r="Q17" s="29" t="s">
        <v>213</v>
      </c>
      <c r="R17" s="8" t="str">
        <f aca="false">B17&amp;" "&amp;C17&amp;" "&amp;D17&amp;" "&amp;E17&amp;" "&amp;G17&amp;" "&amp;H17&amp;" "&amp;J17&amp;" "&amp;N17</f>
        <v>Global Indicator Binders &amp; Additives Additive    Global USD</v>
      </c>
      <c r="S17" s="25"/>
      <c r="T17" s="8"/>
      <c r="U17" s="8"/>
      <c r="V17" s="27" t="s">
        <v>49</v>
      </c>
      <c r="W17" s="25"/>
      <c r="X17" s="25"/>
      <c r="Y17" s="25"/>
      <c r="Z17" s="25"/>
      <c r="AA17" s="25"/>
      <c r="AB17" s="25"/>
      <c r="AC17" s="25"/>
      <c r="AD17" s="25"/>
    </row>
    <row r="18" customFormat="false" ht="15.75" hidden="false" customHeight="false" outlineLevel="0" collapsed="false">
      <c r="A18" s="8" t="s">
        <v>214</v>
      </c>
      <c r="B18" s="27" t="s">
        <v>144</v>
      </c>
      <c r="C18" s="27" t="s">
        <v>211</v>
      </c>
      <c r="D18" s="25" t="s">
        <v>212</v>
      </c>
      <c r="E18" s="25"/>
      <c r="F18" s="25"/>
      <c r="G18" s="25"/>
      <c r="H18" s="25"/>
      <c r="I18" s="25"/>
      <c r="J18" s="27" t="s">
        <v>145</v>
      </c>
      <c r="K18" s="25"/>
      <c r="L18" s="28" t="s">
        <v>145</v>
      </c>
      <c r="M18" s="25"/>
      <c r="N18" s="25" t="s">
        <v>50</v>
      </c>
      <c r="O18" s="25"/>
      <c r="P18" s="25" t="s">
        <v>187</v>
      </c>
      <c r="Q18" s="29" t="s">
        <v>215</v>
      </c>
      <c r="R18" s="8" t="str">
        <f aca="false">B18&amp;" "&amp;C18&amp;" "&amp;D18&amp;" "&amp;E18&amp;" "&amp;G18&amp;" "&amp;H18&amp;" "&amp;J18&amp;" "&amp;N18</f>
        <v>Global Indicator Binders &amp; Additives Additive    Global USD</v>
      </c>
      <c r="S18" s="25"/>
      <c r="T18" s="8"/>
      <c r="U18" s="8"/>
      <c r="V18" s="27" t="s">
        <v>49</v>
      </c>
      <c r="W18" s="25"/>
      <c r="X18" s="25"/>
      <c r="Y18" s="25"/>
      <c r="Z18" s="25"/>
      <c r="AA18" s="25"/>
      <c r="AB18" s="25"/>
      <c r="AC18" s="25"/>
      <c r="AD18" s="25"/>
    </row>
    <row r="19" customFormat="false" ht="15.75" hidden="false" customHeight="false" outlineLevel="0" collapsed="false">
      <c r="A19" s="8" t="s">
        <v>216</v>
      </c>
      <c r="B19" s="27" t="s">
        <v>144</v>
      </c>
      <c r="C19" s="27" t="s">
        <v>211</v>
      </c>
      <c r="D19" s="25" t="s">
        <v>217</v>
      </c>
      <c r="E19" s="25"/>
      <c r="F19" s="25"/>
      <c r="G19" s="25"/>
      <c r="H19" s="25"/>
      <c r="I19" s="25"/>
      <c r="J19" s="27" t="s">
        <v>145</v>
      </c>
      <c r="K19" s="25"/>
      <c r="L19" s="28" t="s">
        <v>145</v>
      </c>
      <c r="M19" s="25"/>
      <c r="N19" s="25" t="s">
        <v>50</v>
      </c>
      <c r="O19" s="25"/>
      <c r="P19" s="25" t="s">
        <v>187</v>
      </c>
      <c r="Q19" s="29" t="s">
        <v>218</v>
      </c>
      <c r="R19" s="8" t="str">
        <f aca="false">B19&amp;" "&amp;C19&amp;" "&amp;D19&amp;" "&amp;E19&amp;" "&amp;G19&amp;" "&amp;H19&amp;" "&amp;J19&amp;" "&amp;N19</f>
        <v>Global Indicator Binders &amp; Additives Binder    Global USD</v>
      </c>
      <c r="S19" s="25"/>
      <c r="T19" s="8"/>
      <c r="U19" s="8"/>
      <c r="V19" s="27" t="s">
        <v>49</v>
      </c>
      <c r="W19" s="25"/>
      <c r="X19" s="25"/>
      <c r="Y19" s="25"/>
      <c r="Z19" s="25"/>
      <c r="AA19" s="25"/>
      <c r="AB19" s="25"/>
      <c r="AC19" s="25"/>
      <c r="AD19" s="25"/>
    </row>
    <row r="20" customFormat="false" ht="15.75" hidden="false" customHeight="false" outlineLevel="0" collapsed="false">
      <c r="A20" s="8" t="s">
        <v>219</v>
      </c>
      <c r="B20" s="27" t="s">
        <v>144</v>
      </c>
      <c r="C20" s="27" t="s">
        <v>211</v>
      </c>
      <c r="D20" s="25" t="s">
        <v>212</v>
      </c>
      <c r="E20" s="25"/>
      <c r="F20" s="25"/>
      <c r="G20" s="25"/>
      <c r="H20" s="25"/>
      <c r="I20" s="25"/>
      <c r="J20" s="27" t="s">
        <v>145</v>
      </c>
      <c r="K20" s="25"/>
      <c r="L20" s="28" t="s">
        <v>145</v>
      </c>
      <c r="M20" s="25"/>
      <c r="N20" s="25" t="s">
        <v>50</v>
      </c>
      <c r="O20" s="25"/>
      <c r="P20" s="25" t="s">
        <v>187</v>
      </c>
      <c r="Q20" s="29" t="s">
        <v>220</v>
      </c>
      <c r="R20" s="8" t="str">
        <f aca="false">B20&amp;" "&amp;C20&amp;" "&amp;D20&amp;" "&amp;E20&amp;" "&amp;G20&amp;" "&amp;H20&amp;" "&amp;J20&amp;" "&amp;N20</f>
        <v>Global Indicator Binders &amp; Additives Additive    Global USD</v>
      </c>
      <c r="S20" s="25"/>
      <c r="T20" s="8"/>
      <c r="U20" s="8"/>
      <c r="V20" s="27" t="s">
        <v>49</v>
      </c>
      <c r="W20" s="25"/>
      <c r="X20" s="25"/>
      <c r="Y20" s="25"/>
      <c r="Z20" s="25"/>
      <c r="AA20" s="25"/>
      <c r="AB20" s="25"/>
      <c r="AC20" s="25"/>
      <c r="AD20" s="25"/>
    </row>
    <row r="21" customFormat="false" ht="15.75" hidden="false" customHeight="false" outlineLevel="0" collapsed="false">
      <c r="A21" s="8" t="s">
        <v>221</v>
      </c>
      <c r="B21" s="27" t="s">
        <v>144</v>
      </c>
      <c r="C21" s="27" t="s">
        <v>211</v>
      </c>
      <c r="D21" s="25" t="s">
        <v>217</v>
      </c>
      <c r="E21" s="25"/>
      <c r="F21" s="25"/>
      <c r="G21" s="25"/>
      <c r="H21" s="25"/>
      <c r="I21" s="25"/>
      <c r="J21" s="27" t="s">
        <v>145</v>
      </c>
      <c r="K21" s="25"/>
      <c r="L21" s="28" t="s">
        <v>145</v>
      </c>
      <c r="M21" s="25"/>
      <c r="N21" s="25" t="s">
        <v>50</v>
      </c>
      <c r="O21" s="25"/>
      <c r="P21" s="25" t="s">
        <v>187</v>
      </c>
      <c r="Q21" s="29" t="s">
        <v>222</v>
      </c>
      <c r="R21" s="8" t="str">
        <f aca="false">B21&amp;" "&amp;C21&amp;" "&amp;D21&amp;" "&amp;E21&amp;" "&amp;G21&amp;" "&amp;H21&amp;" "&amp;J21&amp;" "&amp;N21</f>
        <v>Global Indicator Binders &amp; Additives Binder    Global USD</v>
      </c>
      <c r="S21" s="25"/>
      <c r="T21" s="8"/>
      <c r="U21" s="8"/>
      <c r="V21" s="27" t="s">
        <v>49</v>
      </c>
      <c r="W21" s="25"/>
      <c r="X21" s="25"/>
      <c r="Y21" s="25"/>
      <c r="Z21" s="25"/>
      <c r="AA21" s="25"/>
      <c r="AB21" s="25"/>
      <c r="AC21" s="25"/>
      <c r="AD21" s="25"/>
    </row>
    <row r="22" customFormat="false" ht="15.75" hidden="false" customHeight="false" outlineLevel="0" collapsed="false">
      <c r="A22" s="8" t="s">
        <v>223</v>
      </c>
      <c r="B22" s="27" t="s">
        <v>144</v>
      </c>
      <c r="C22" s="27" t="s">
        <v>211</v>
      </c>
      <c r="D22" s="25" t="s">
        <v>217</v>
      </c>
      <c r="E22" s="25"/>
      <c r="F22" s="25"/>
      <c r="G22" s="25"/>
      <c r="H22" s="25"/>
      <c r="I22" s="25"/>
      <c r="J22" s="27" t="s">
        <v>145</v>
      </c>
      <c r="K22" s="25"/>
      <c r="L22" s="28" t="s">
        <v>145</v>
      </c>
      <c r="M22" s="25"/>
      <c r="N22" s="25" t="s">
        <v>50</v>
      </c>
      <c r="O22" s="25"/>
      <c r="P22" s="25" t="s">
        <v>187</v>
      </c>
      <c r="Q22" s="29" t="s">
        <v>224</v>
      </c>
      <c r="R22" s="8" t="str">
        <f aca="false">B22&amp;" "&amp;C22&amp;" "&amp;D22&amp;" "&amp;E22&amp;" "&amp;G22&amp;" "&amp;H22&amp;" "&amp;J22&amp;" "&amp;N22</f>
        <v>Global Indicator Binders &amp; Additives Binder    Global USD</v>
      </c>
      <c r="S22" s="25"/>
      <c r="T22" s="8"/>
      <c r="U22" s="8"/>
      <c r="V22" s="27" t="s">
        <v>49</v>
      </c>
      <c r="W22" s="25"/>
      <c r="X22" s="25"/>
      <c r="Y22" s="25"/>
      <c r="Z22" s="25"/>
      <c r="AA22" s="25"/>
      <c r="AB22" s="25"/>
      <c r="AC22" s="25"/>
      <c r="AD22" s="25"/>
    </row>
    <row r="23" customFormat="false" ht="15.75" hidden="false" customHeight="false" outlineLevel="0" collapsed="false">
      <c r="A23" s="28" t="s">
        <v>225</v>
      </c>
      <c r="B23" s="27" t="s">
        <v>144</v>
      </c>
      <c r="C23" s="27" t="s">
        <v>211</v>
      </c>
      <c r="D23" s="25" t="s">
        <v>212</v>
      </c>
      <c r="E23" s="25"/>
      <c r="F23" s="25"/>
      <c r="G23" s="25"/>
      <c r="H23" s="25"/>
      <c r="I23" s="25"/>
      <c r="J23" s="27" t="s">
        <v>145</v>
      </c>
      <c r="K23" s="25"/>
      <c r="L23" s="28" t="s">
        <v>145</v>
      </c>
      <c r="M23" s="25"/>
      <c r="N23" s="25" t="s">
        <v>50</v>
      </c>
      <c r="O23" s="25"/>
      <c r="P23" s="25" t="s">
        <v>187</v>
      </c>
      <c r="Q23" s="29" t="s">
        <v>226</v>
      </c>
      <c r="R23" s="8" t="str">
        <f aca="false">B23&amp;" "&amp;C23&amp;" "&amp;D23&amp;" "&amp;E23&amp;" "&amp;G23&amp;" "&amp;H23&amp;" "&amp;J23&amp;" "&amp;N23</f>
        <v>Global Indicator Binders &amp; Additives Additive    Global USD</v>
      </c>
      <c r="S23" s="25"/>
      <c r="T23" s="8"/>
      <c r="U23" s="8"/>
      <c r="V23" s="27" t="s">
        <v>49</v>
      </c>
      <c r="W23" s="25"/>
      <c r="X23" s="25"/>
      <c r="Y23" s="25"/>
      <c r="Z23" s="25"/>
      <c r="AA23" s="25"/>
      <c r="AB23" s="25"/>
      <c r="AC23" s="25"/>
      <c r="AD23" s="25"/>
    </row>
    <row r="24" customFormat="false" ht="15.75" hidden="false" customHeight="false" outlineLevel="0" collapsed="false">
      <c r="A24" s="28" t="s">
        <v>227</v>
      </c>
      <c r="B24" s="27" t="s">
        <v>144</v>
      </c>
      <c r="C24" s="27" t="s">
        <v>211</v>
      </c>
      <c r="D24" s="25" t="s">
        <v>212</v>
      </c>
      <c r="E24" s="25"/>
      <c r="F24" s="25"/>
      <c r="G24" s="25"/>
      <c r="H24" s="25"/>
      <c r="I24" s="25"/>
      <c r="J24" s="27" t="s">
        <v>145</v>
      </c>
      <c r="K24" s="25"/>
      <c r="L24" s="28" t="s">
        <v>145</v>
      </c>
      <c r="M24" s="25"/>
      <c r="N24" s="25" t="s">
        <v>50</v>
      </c>
      <c r="O24" s="25"/>
      <c r="P24" s="25" t="s">
        <v>187</v>
      </c>
      <c r="Q24" s="29" t="s">
        <v>228</v>
      </c>
      <c r="R24" s="8" t="str">
        <f aca="false">B24&amp;" "&amp;C24&amp;" "&amp;D24&amp;" "&amp;E24&amp;" "&amp;G24&amp;" "&amp;H24&amp;" "&amp;J24&amp;" "&amp;N24</f>
        <v>Global Indicator Binders &amp; Additives Additive    Global USD</v>
      </c>
      <c r="S24" s="25"/>
      <c r="T24" s="8"/>
      <c r="U24" s="8"/>
      <c r="V24" s="27" t="s">
        <v>49</v>
      </c>
      <c r="W24" s="25"/>
      <c r="X24" s="25"/>
      <c r="Y24" s="25"/>
      <c r="Z24" s="25"/>
      <c r="AA24" s="25"/>
      <c r="AB24" s="25"/>
      <c r="AC24" s="25"/>
      <c r="AD24" s="25"/>
    </row>
    <row r="25" customFormat="false" ht="15.75" hidden="false" customHeight="false" outlineLevel="0" collapsed="false">
      <c r="A25" s="28" t="s">
        <v>229</v>
      </c>
      <c r="B25" s="27" t="s">
        <v>144</v>
      </c>
      <c r="C25" s="27" t="s">
        <v>211</v>
      </c>
      <c r="D25" s="25" t="s">
        <v>217</v>
      </c>
      <c r="E25" s="25"/>
      <c r="F25" s="25"/>
      <c r="G25" s="25"/>
      <c r="H25" s="25"/>
      <c r="I25" s="25"/>
      <c r="J25" s="27" t="s">
        <v>145</v>
      </c>
      <c r="K25" s="25"/>
      <c r="L25" s="28" t="s">
        <v>145</v>
      </c>
      <c r="M25" s="25"/>
      <c r="N25" s="25" t="s">
        <v>50</v>
      </c>
      <c r="O25" s="25"/>
      <c r="P25" s="25" t="s">
        <v>187</v>
      </c>
      <c r="Q25" s="29" t="s">
        <v>230</v>
      </c>
      <c r="R25" s="8" t="str">
        <f aca="false">B25&amp;" "&amp;C25&amp;" "&amp;D25&amp;" "&amp;E25&amp;" "&amp;G25&amp;" "&amp;H25&amp;" "&amp;J25&amp;" "&amp;N25</f>
        <v>Global Indicator Binders &amp; Additives Binder    Global USD</v>
      </c>
      <c r="S25" s="25"/>
      <c r="T25" s="8"/>
      <c r="U25" s="8"/>
      <c r="V25" s="27" t="s">
        <v>49</v>
      </c>
      <c r="W25" s="25"/>
      <c r="X25" s="25"/>
      <c r="Y25" s="25"/>
      <c r="Z25" s="25"/>
      <c r="AA25" s="25"/>
      <c r="AB25" s="25"/>
      <c r="AC25" s="25"/>
      <c r="AD25" s="25"/>
    </row>
    <row r="26" customFormat="false" ht="15.75" hidden="false" customHeight="false" outlineLevel="0" collapsed="false">
      <c r="A26" s="28" t="s">
        <v>231</v>
      </c>
      <c r="B26" s="27" t="s">
        <v>144</v>
      </c>
      <c r="C26" s="27" t="s">
        <v>211</v>
      </c>
      <c r="D26" s="25" t="s">
        <v>212</v>
      </c>
      <c r="E26" s="25"/>
      <c r="F26" s="25"/>
      <c r="G26" s="25"/>
      <c r="H26" s="25"/>
      <c r="I26" s="25"/>
      <c r="J26" s="27" t="s">
        <v>145</v>
      </c>
      <c r="K26" s="25"/>
      <c r="L26" s="28" t="s">
        <v>145</v>
      </c>
      <c r="M26" s="25"/>
      <c r="N26" s="25"/>
      <c r="O26" s="25"/>
      <c r="P26" s="25"/>
      <c r="Q26" s="29" t="s">
        <v>232</v>
      </c>
      <c r="R26" s="8" t="str">
        <f aca="false">B26&amp;" "&amp;C26&amp;" "&amp;D26&amp;" "&amp;E26&amp;" "&amp;G26&amp;" "&amp;H26&amp;" "&amp;J26&amp;" "&amp;N26</f>
        <v>Global Indicator Binders &amp; Additives Additive    Global </v>
      </c>
      <c r="S26" s="25"/>
      <c r="T26" s="8"/>
      <c r="U26" s="8"/>
      <c r="V26" s="27" t="s">
        <v>49</v>
      </c>
      <c r="W26" s="25"/>
      <c r="X26" s="25"/>
      <c r="Y26" s="25"/>
      <c r="Z26" s="25"/>
      <c r="AA26" s="25"/>
      <c r="AB26" s="25"/>
      <c r="AC26" s="25"/>
      <c r="AD26" s="25"/>
    </row>
    <row r="27" customFormat="false" ht="15.75" hidden="false" customHeight="false" outlineLevel="0" collapsed="false">
      <c r="A27" s="28" t="s">
        <v>233</v>
      </c>
      <c r="B27" s="27" t="s">
        <v>144</v>
      </c>
      <c r="C27" s="27" t="s">
        <v>211</v>
      </c>
      <c r="D27" s="25" t="s">
        <v>217</v>
      </c>
      <c r="E27" s="25"/>
      <c r="F27" s="25"/>
      <c r="G27" s="25"/>
      <c r="H27" s="25"/>
      <c r="I27" s="25"/>
      <c r="J27" s="27" t="s">
        <v>145</v>
      </c>
      <c r="K27" s="25"/>
      <c r="L27" s="28" t="s">
        <v>145</v>
      </c>
      <c r="M27" s="25"/>
      <c r="N27" s="25"/>
      <c r="O27" s="25"/>
      <c r="P27" s="25"/>
      <c r="Q27" s="29" t="s">
        <v>234</v>
      </c>
      <c r="R27" s="8" t="str">
        <f aca="false">B27&amp;" "&amp;C27&amp;" "&amp;D27&amp;" "&amp;E27&amp;" "&amp;G27&amp;" "&amp;H27&amp;" "&amp;J27&amp;" "&amp;N27</f>
        <v>Global Indicator Binders &amp; Additives Binder    Global </v>
      </c>
      <c r="S27" s="25"/>
      <c r="T27" s="8"/>
      <c r="U27" s="8"/>
      <c r="V27" s="27" t="s">
        <v>49</v>
      </c>
      <c r="W27" s="25"/>
      <c r="X27" s="25"/>
      <c r="Y27" s="25"/>
      <c r="Z27" s="25"/>
      <c r="AA27" s="25"/>
      <c r="AB27" s="25"/>
      <c r="AC27" s="25"/>
      <c r="AD27" s="25"/>
    </row>
    <row r="28" customFormat="false" ht="15.75" hidden="false" customHeight="false" outlineLevel="0" collapsed="false">
      <c r="A28" s="28" t="s">
        <v>235</v>
      </c>
      <c r="B28" s="27" t="s">
        <v>155</v>
      </c>
      <c r="C28" s="25" t="s">
        <v>236</v>
      </c>
      <c r="D28" s="25" t="s">
        <v>237</v>
      </c>
      <c r="E28" s="25" t="s">
        <v>238</v>
      </c>
      <c r="F28" s="25"/>
      <c r="G28" s="25"/>
      <c r="H28" s="25"/>
      <c r="I28" s="25"/>
      <c r="J28" s="25" t="s">
        <v>185</v>
      </c>
      <c r="K28" s="25" t="str">
        <f aca="false">IFERROR(__xludf.dummyfunction("SPLIT(J28,"" "")"),"DDP")</f>
        <v>DDP</v>
      </c>
      <c r="L28" s="28" t="str">
        <f aca="false">IFERROR(__xludf.dummyfunction("""COMPUTED_VALUE"""),"China")</f>
        <v>China</v>
      </c>
      <c r="M28" s="25"/>
      <c r="N28" s="25"/>
      <c r="O28" s="25"/>
      <c r="P28" s="25"/>
      <c r="Q28" s="29" t="s">
        <v>239</v>
      </c>
      <c r="R28" s="8" t="str">
        <f aca="false">B28&amp;" "&amp;C28&amp;" "&amp;D28&amp;" "&amp;E28&amp;" "&amp;G28&amp;" "&amp;H28&amp;" "&amp;J28&amp;" "&amp;N28</f>
        <v>BMI Price Cathode NCM613 170-200 mAh/g   DDP China </v>
      </c>
      <c r="S28" s="25"/>
      <c r="T28" s="8"/>
      <c r="U28" s="8"/>
      <c r="V28" s="27" t="s">
        <v>49</v>
      </c>
      <c r="W28" s="25"/>
      <c r="X28" s="25"/>
      <c r="Y28" s="25"/>
      <c r="Z28" s="25"/>
      <c r="AA28" s="25"/>
      <c r="AB28" s="25"/>
      <c r="AC28" s="25"/>
      <c r="AD28" s="25"/>
    </row>
    <row r="29" customFormat="false" ht="15.75" hidden="false" customHeight="false" outlineLevel="0" collapsed="false">
      <c r="A29" s="28" t="s">
        <v>240</v>
      </c>
      <c r="B29" s="27" t="s">
        <v>155</v>
      </c>
      <c r="C29" s="27" t="s">
        <v>236</v>
      </c>
      <c r="D29" s="25" t="s">
        <v>241</v>
      </c>
      <c r="E29" s="25" t="s">
        <v>242</v>
      </c>
      <c r="F29" s="25"/>
      <c r="G29" s="25"/>
      <c r="H29" s="25"/>
      <c r="I29" s="25"/>
      <c r="J29" s="25" t="s">
        <v>185</v>
      </c>
      <c r="K29" s="25" t="str">
        <f aca="false">IFERROR(__xludf.dummyfunction("SPLIT(J29,"" "")"),"DDP")</f>
        <v>DDP</v>
      </c>
      <c r="L29" s="28" t="str">
        <f aca="false">IFERROR(__xludf.dummyfunction("""COMPUTED_VALUE"""),"China")</f>
        <v>China</v>
      </c>
      <c r="M29" s="25"/>
      <c r="N29" s="25"/>
      <c r="O29" s="25"/>
      <c r="P29" s="25"/>
      <c r="Q29" s="29" t="s">
        <v>243</v>
      </c>
      <c r="R29" s="8" t="str">
        <f aca="false">B29&amp;" "&amp;C29&amp;" "&amp;D29&amp;" "&amp;E29&amp;" "&amp;G29&amp;" "&amp;H29&amp;" "&amp;J29&amp;" "&amp;N29</f>
        <v>BMI Price Cathode NCM111 140-160 mAh/g   DDP China </v>
      </c>
      <c r="S29" s="25"/>
      <c r="T29" s="8"/>
      <c r="U29" s="8"/>
      <c r="V29" s="27" t="s">
        <v>49</v>
      </c>
      <c r="W29" s="25"/>
      <c r="X29" s="25"/>
      <c r="Y29" s="25"/>
      <c r="Z29" s="25"/>
      <c r="AA29" s="25"/>
      <c r="AB29" s="25"/>
      <c r="AC29" s="25"/>
      <c r="AD29" s="25"/>
    </row>
    <row r="30" customFormat="false" ht="15.75" hidden="false" customHeight="false" outlineLevel="0" collapsed="false">
      <c r="A30" s="28" t="s">
        <v>244</v>
      </c>
      <c r="B30" s="27" t="s">
        <v>155</v>
      </c>
      <c r="C30" s="27" t="s">
        <v>236</v>
      </c>
      <c r="D30" s="25" t="s">
        <v>245</v>
      </c>
      <c r="E30" s="25" t="s">
        <v>246</v>
      </c>
      <c r="F30" s="25"/>
      <c r="G30" s="25"/>
      <c r="H30" s="25"/>
      <c r="I30" s="25"/>
      <c r="J30" s="25" t="s">
        <v>185</v>
      </c>
      <c r="K30" s="25" t="str">
        <f aca="false">IFERROR(__xludf.dummyfunction("SPLIT(J30,"" "")"),"DDP")</f>
        <v>DDP</v>
      </c>
      <c r="L30" s="28" t="str">
        <f aca="false">IFERROR(__xludf.dummyfunction("""COMPUTED_VALUE"""),"China")</f>
        <v>China</v>
      </c>
      <c r="M30" s="25"/>
      <c r="N30" s="25"/>
      <c r="O30" s="25"/>
      <c r="P30" s="25"/>
      <c r="Q30" s="29" t="s">
        <v>247</v>
      </c>
      <c r="R30" s="8" t="str">
        <f aca="false">B30&amp;" "&amp;C30&amp;" "&amp;D30&amp;" "&amp;E30&amp;" "&amp;G30&amp;" "&amp;H30&amp;" "&amp;J30&amp;" "&amp;N30</f>
        <v>BMI Price Cathode NCM523 150-170 mAh/g   DDP China </v>
      </c>
      <c r="S30" s="25"/>
      <c r="T30" s="8"/>
      <c r="U30" s="8"/>
      <c r="V30" s="27" t="s">
        <v>49</v>
      </c>
      <c r="W30" s="25"/>
      <c r="X30" s="25"/>
      <c r="Y30" s="25"/>
      <c r="Z30" s="25"/>
      <c r="AA30" s="25"/>
      <c r="AB30" s="25"/>
      <c r="AC30" s="25"/>
      <c r="AD30" s="25"/>
    </row>
    <row r="31" customFormat="false" ht="15.75" hidden="false" customHeight="false" outlineLevel="0" collapsed="false">
      <c r="A31" s="28" t="s">
        <v>248</v>
      </c>
      <c r="B31" s="27" t="s">
        <v>155</v>
      </c>
      <c r="C31" s="27" t="s">
        <v>236</v>
      </c>
      <c r="D31" s="25" t="s">
        <v>249</v>
      </c>
      <c r="E31" s="25" t="s">
        <v>250</v>
      </c>
      <c r="F31" s="25"/>
      <c r="G31" s="25"/>
      <c r="H31" s="25"/>
      <c r="I31" s="25"/>
      <c r="J31" s="25" t="s">
        <v>185</v>
      </c>
      <c r="K31" s="25" t="str">
        <f aca="false">IFERROR(__xludf.dummyfunction("SPLIT(J31,"" "")"),"DDP")</f>
        <v>DDP</v>
      </c>
      <c r="L31" s="28" t="str">
        <f aca="false">IFERROR(__xludf.dummyfunction("""COMPUTED_VALUE"""),"China")</f>
        <v>China</v>
      </c>
      <c r="M31" s="25"/>
      <c r="N31" s="25"/>
      <c r="O31" s="25"/>
      <c r="P31" s="25"/>
      <c r="Q31" s="29" t="s">
        <v>251</v>
      </c>
      <c r="R31" s="8" t="str">
        <f aca="false">B31&amp;" "&amp;C31&amp;" "&amp;D31&amp;" "&amp;E31&amp;" "&amp;G31&amp;" "&amp;H31&amp;" "&amp;J31&amp;" "&amp;N31</f>
        <v>BMI Price Cathode NCM622 155-180 mAh/g   DDP China </v>
      </c>
      <c r="S31" s="25"/>
      <c r="T31" s="8"/>
      <c r="U31" s="28" t="s">
        <v>252</v>
      </c>
      <c r="V31" s="27" t="s">
        <v>49</v>
      </c>
      <c r="W31" s="25"/>
      <c r="X31" s="25"/>
      <c r="Y31" s="25"/>
      <c r="Z31" s="25"/>
      <c r="AA31" s="25"/>
      <c r="AB31" s="25"/>
      <c r="AC31" s="25"/>
      <c r="AD31" s="25"/>
    </row>
    <row r="32" customFormat="false" ht="15.75" hidden="false" customHeight="false" outlineLevel="0" collapsed="false">
      <c r="A32" s="28" t="s">
        <v>253</v>
      </c>
      <c r="B32" s="27" t="s">
        <v>155</v>
      </c>
      <c r="C32" s="27" t="s">
        <v>236</v>
      </c>
      <c r="D32" s="25" t="s">
        <v>254</v>
      </c>
      <c r="E32" s="25" t="s">
        <v>255</v>
      </c>
      <c r="F32" s="25"/>
      <c r="G32" s="25"/>
      <c r="H32" s="25"/>
      <c r="I32" s="25"/>
      <c r="J32" s="25" t="s">
        <v>185</v>
      </c>
      <c r="K32" s="25" t="str">
        <f aca="false">IFERROR(__xludf.dummyfunction("SPLIT(J32,"" "")"),"DDP")</f>
        <v>DDP</v>
      </c>
      <c r="L32" s="28" t="str">
        <f aca="false">IFERROR(__xludf.dummyfunction("""COMPUTED_VALUE"""),"China")</f>
        <v>China</v>
      </c>
      <c r="M32" s="25"/>
      <c r="N32" s="25"/>
      <c r="O32" s="25"/>
      <c r="P32" s="25"/>
      <c r="Q32" s="26" t="s">
        <v>256</v>
      </c>
      <c r="R32" s="8" t="str">
        <f aca="false">B32&amp;" "&amp;C32&amp;" "&amp;D32&amp;" "&amp;E32&amp;" "&amp;G32&amp;" "&amp;H32&amp;" "&amp;J32&amp;" "&amp;N32</f>
        <v>BMI Price Cathode NCM811  ≥200 mAh/g   DDP China </v>
      </c>
      <c r="S32" s="25"/>
      <c r="T32" s="8"/>
      <c r="U32" s="28" t="s">
        <v>257</v>
      </c>
      <c r="V32" s="27" t="s">
        <v>49</v>
      </c>
      <c r="W32" s="25"/>
      <c r="X32" s="25"/>
      <c r="Y32" s="25"/>
      <c r="Z32" s="25"/>
      <c r="AA32" s="25"/>
      <c r="AB32" s="25"/>
      <c r="AC32" s="25"/>
      <c r="AD32" s="25"/>
    </row>
    <row r="33" customFormat="false" ht="15.75" hidden="false" customHeight="false" outlineLevel="0" collapsed="false">
      <c r="A33" s="28" t="s">
        <v>258</v>
      </c>
      <c r="B33" s="27" t="s">
        <v>155</v>
      </c>
      <c r="C33" s="27" t="s">
        <v>236</v>
      </c>
      <c r="D33" s="25" t="s">
        <v>259</v>
      </c>
      <c r="E33" s="25" t="s">
        <v>260</v>
      </c>
      <c r="F33" s="25"/>
      <c r="G33" s="25"/>
      <c r="H33" s="25"/>
      <c r="I33" s="25"/>
      <c r="J33" s="25" t="s">
        <v>185</v>
      </c>
      <c r="K33" s="25" t="str">
        <f aca="false">IFERROR(__xludf.dummyfunction("SPLIT(J33,"" "")"),"DDP")</f>
        <v>DDP</v>
      </c>
      <c r="L33" s="28" t="str">
        <f aca="false">IFERROR(__xludf.dummyfunction("""COMPUTED_VALUE"""),"China")</f>
        <v>China</v>
      </c>
      <c r="M33" s="25"/>
      <c r="N33" s="25"/>
      <c r="O33" s="25"/>
      <c r="P33" s="25"/>
      <c r="Q33" s="29" t="s">
        <v>261</v>
      </c>
      <c r="R33" s="8" t="str">
        <f aca="false">B33&amp;" "&amp;C33&amp;" "&amp;D33&amp;" "&amp;E33&amp;" "&amp;G33&amp;" "&amp;H33&amp;" "&amp;J33&amp;" "&amp;N33</f>
        <v>BMI Price Cathode NCA  ≥175 mAh/g   DDP China </v>
      </c>
      <c r="S33" s="25"/>
      <c r="T33" s="8"/>
      <c r="U33" s="28" t="s">
        <v>262</v>
      </c>
      <c r="V33" s="27" t="s">
        <v>49</v>
      </c>
      <c r="W33" s="25"/>
      <c r="X33" s="25"/>
      <c r="Y33" s="25"/>
      <c r="Z33" s="25"/>
      <c r="AA33" s="25"/>
      <c r="AB33" s="25"/>
      <c r="AC33" s="25"/>
      <c r="AD33" s="25"/>
    </row>
    <row r="34" customFormat="false" ht="15.75" hidden="false" customHeight="false" outlineLevel="0" collapsed="false">
      <c r="A34" s="28" t="s">
        <v>263</v>
      </c>
      <c r="B34" s="27" t="s">
        <v>155</v>
      </c>
      <c r="C34" s="27" t="s">
        <v>236</v>
      </c>
      <c r="D34" s="25" t="s">
        <v>264</v>
      </c>
      <c r="E34" s="25" t="s">
        <v>265</v>
      </c>
      <c r="F34" s="25"/>
      <c r="G34" s="25"/>
      <c r="H34" s="25"/>
      <c r="I34" s="25"/>
      <c r="J34" s="25" t="s">
        <v>185</v>
      </c>
      <c r="K34" s="25" t="str">
        <f aca="false">IFERROR(__xludf.dummyfunction("SPLIT(J34,"" "")"),"DDP")</f>
        <v>DDP</v>
      </c>
      <c r="L34" s="28" t="str">
        <f aca="false">IFERROR(__xludf.dummyfunction("""COMPUTED_VALUE"""),"China")</f>
        <v>China</v>
      </c>
      <c r="M34" s="25"/>
      <c r="N34" s="25"/>
      <c r="O34" s="25"/>
      <c r="P34" s="25"/>
      <c r="Q34" s="26" t="s">
        <v>266</v>
      </c>
      <c r="R34" s="8" t="str">
        <f aca="false">B34&amp;" "&amp;C34&amp;" "&amp;D34&amp;" "&amp;E34&amp;" "&amp;G34&amp;" "&amp;H34&amp;" "&amp;J34&amp;" "&amp;N34</f>
        <v>BMI Price Cathode LFP ≥160 mAh/g   DDP China </v>
      </c>
      <c r="S34" s="25"/>
      <c r="T34" s="8"/>
      <c r="U34" s="28" t="s">
        <v>267</v>
      </c>
      <c r="V34" s="27" t="s">
        <v>49</v>
      </c>
      <c r="W34" s="25"/>
      <c r="X34" s="25"/>
      <c r="Y34" s="25"/>
      <c r="Z34" s="25"/>
      <c r="AA34" s="25"/>
      <c r="AB34" s="25"/>
      <c r="AC34" s="25"/>
      <c r="AD34" s="25"/>
    </row>
    <row r="35" customFormat="false" ht="15.75" hidden="false" customHeight="false" outlineLevel="0" collapsed="false">
      <c r="A35" s="28" t="s">
        <v>268</v>
      </c>
      <c r="B35" s="27" t="s">
        <v>155</v>
      </c>
      <c r="C35" s="27" t="s">
        <v>236</v>
      </c>
      <c r="D35" s="25" t="s">
        <v>269</v>
      </c>
      <c r="E35" s="25" t="s">
        <v>270</v>
      </c>
      <c r="F35" s="25"/>
      <c r="G35" s="25"/>
      <c r="H35" s="25"/>
      <c r="I35" s="25"/>
      <c r="J35" s="25" t="s">
        <v>185</v>
      </c>
      <c r="K35" s="25" t="str">
        <f aca="false">IFERROR(__xludf.dummyfunction("SPLIT(J35,"" "")"),"DDP")</f>
        <v>DDP</v>
      </c>
      <c r="L35" s="28" t="str">
        <f aca="false">IFERROR(__xludf.dummyfunction("""COMPUTED_VALUE"""),"China")</f>
        <v>China</v>
      </c>
      <c r="M35" s="25"/>
      <c r="N35" s="25"/>
      <c r="O35" s="25"/>
      <c r="P35" s="25"/>
      <c r="Q35" s="26" t="s">
        <v>271</v>
      </c>
      <c r="R35" s="8" t="str">
        <f aca="false">B35&amp;" "&amp;C35&amp;" "&amp;D35&amp;" "&amp;E35&amp;" "&amp;G35&amp;" "&amp;H35&amp;" "&amp;J35&amp;" "&amp;N35</f>
        <v>BMI Price Cathode LCO ≥155 mAh/g   DDP China </v>
      </c>
      <c r="S35" s="25"/>
      <c r="T35" s="8"/>
      <c r="U35" s="8"/>
      <c r="V35" s="27" t="s">
        <v>49</v>
      </c>
      <c r="W35" s="25"/>
      <c r="X35" s="25"/>
      <c r="Y35" s="25"/>
      <c r="Z35" s="25"/>
      <c r="AA35" s="25"/>
      <c r="AB35" s="25"/>
      <c r="AC35" s="25"/>
      <c r="AD35" s="25"/>
    </row>
    <row r="36" customFormat="false" ht="15.75" hidden="false" customHeight="false" outlineLevel="0" collapsed="false">
      <c r="A36" s="28" t="s">
        <v>272</v>
      </c>
      <c r="B36" s="27" t="s">
        <v>144</v>
      </c>
      <c r="C36" s="27" t="s">
        <v>273</v>
      </c>
      <c r="D36" s="27" t="s">
        <v>274</v>
      </c>
      <c r="E36" s="25"/>
      <c r="F36" s="25"/>
      <c r="G36" s="25"/>
      <c r="H36" s="25"/>
      <c r="I36" s="25"/>
      <c r="J36" s="27" t="s">
        <v>145</v>
      </c>
      <c r="K36" s="25" t="str">
        <f aca="false">IFERROR(__xludf.dummyfunction("SPLIT(J36,"" "")"),"Global")</f>
        <v>Global</v>
      </c>
      <c r="L36" s="8"/>
      <c r="M36" s="25"/>
      <c r="N36" s="25"/>
      <c r="O36" s="25"/>
      <c r="P36" s="25"/>
      <c r="Q36" s="29" t="s">
        <v>274</v>
      </c>
      <c r="R36" s="8" t="str">
        <f aca="false">B36&amp;" "&amp;C36&amp;" "&amp;D36&amp;" "&amp;E36&amp;" "&amp;G36&amp;" "&amp;H36&amp;" "&amp;J36&amp;" "&amp;N36</f>
        <v>Global Indicator Cobalt Cobalt Sulphate    Global </v>
      </c>
      <c r="S36" s="25"/>
      <c r="T36" s="8"/>
      <c r="U36" s="8"/>
      <c r="V36" s="27" t="s">
        <v>49</v>
      </c>
      <c r="W36" s="25"/>
      <c r="X36" s="25"/>
      <c r="Y36" s="25"/>
      <c r="Z36" s="25"/>
      <c r="AA36" s="25"/>
      <c r="AB36" s="25"/>
      <c r="AC36" s="25"/>
      <c r="AD36" s="25"/>
    </row>
    <row r="37" customFormat="false" ht="15.75" hidden="false" customHeight="false" outlineLevel="0" collapsed="false">
      <c r="A37" s="28" t="s">
        <v>275</v>
      </c>
      <c r="B37" s="27" t="s">
        <v>144</v>
      </c>
      <c r="C37" s="27" t="s">
        <v>273</v>
      </c>
      <c r="D37" s="27" t="s">
        <v>276</v>
      </c>
      <c r="E37" s="25"/>
      <c r="F37" s="25"/>
      <c r="G37" s="25"/>
      <c r="H37" s="25"/>
      <c r="I37" s="25"/>
      <c r="J37" s="27" t="s">
        <v>145</v>
      </c>
      <c r="K37" s="25" t="str">
        <f aca="false">IFERROR(__xludf.dummyfunction("SPLIT(J37,"" "")"),"Global")</f>
        <v>Global</v>
      </c>
      <c r="L37" s="8"/>
      <c r="M37" s="25"/>
      <c r="N37" s="25"/>
      <c r="O37" s="25"/>
      <c r="P37" s="25"/>
      <c r="Q37" s="29" t="s">
        <v>276</v>
      </c>
      <c r="R37" s="8" t="str">
        <f aca="false">B37&amp;" "&amp;C37&amp;" "&amp;D37&amp;" "&amp;E37&amp;" "&amp;G37&amp;" "&amp;H37&amp;" "&amp;J37&amp;" "&amp;N37</f>
        <v>Global Indicator Cobalt Cobalt Hydroxide    Global </v>
      </c>
      <c r="S37" s="25"/>
      <c r="T37" s="8"/>
      <c r="U37" s="8"/>
      <c r="V37" s="27" t="s">
        <v>49</v>
      </c>
      <c r="W37" s="25"/>
      <c r="X37" s="25"/>
      <c r="Y37" s="25"/>
      <c r="Z37" s="25"/>
      <c r="AA37" s="25"/>
      <c r="AB37" s="25"/>
      <c r="AC37" s="25"/>
      <c r="AD37" s="25"/>
    </row>
    <row r="38" customFormat="false" ht="15.75" hidden="false" customHeight="false" outlineLevel="0" collapsed="false">
      <c r="A38" s="28" t="s">
        <v>277</v>
      </c>
      <c r="B38" s="27" t="s">
        <v>144</v>
      </c>
      <c r="C38" s="27" t="s">
        <v>273</v>
      </c>
      <c r="D38" s="27" t="s">
        <v>278</v>
      </c>
      <c r="E38" s="25"/>
      <c r="F38" s="25"/>
      <c r="G38" s="25"/>
      <c r="H38" s="25"/>
      <c r="I38" s="25"/>
      <c r="J38" s="27" t="s">
        <v>145</v>
      </c>
      <c r="K38" s="25" t="str">
        <f aca="false">IFERROR(__xludf.dummyfunction("SPLIT(J38,"" "")"),"Global")</f>
        <v>Global</v>
      </c>
      <c r="L38" s="8"/>
      <c r="M38" s="25"/>
      <c r="N38" s="25"/>
      <c r="O38" s="25"/>
      <c r="P38" s="25"/>
      <c r="Q38" s="29" t="s">
        <v>278</v>
      </c>
      <c r="R38" s="8" t="str">
        <f aca="false">B38&amp;" "&amp;C38&amp;" "&amp;D38&amp;" "&amp;E38&amp;" "&amp;G38&amp;" "&amp;H38&amp;" "&amp;J38&amp;" "&amp;N38</f>
        <v>Global Indicator Cobalt Cobalt Mixed Hydroxide Precipitate    Global </v>
      </c>
      <c r="S38" s="25"/>
      <c r="T38" s="8"/>
      <c r="U38" s="8"/>
      <c r="V38" s="27" t="s">
        <v>49</v>
      </c>
      <c r="W38" s="25"/>
      <c r="X38" s="25"/>
      <c r="Y38" s="25"/>
      <c r="Z38" s="25"/>
      <c r="AA38" s="25"/>
      <c r="AB38" s="25"/>
      <c r="AC38" s="25"/>
      <c r="AD38" s="25"/>
    </row>
    <row r="39" customFormat="false" ht="15.75" hidden="false" customHeight="false" outlineLevel="0" collapsed="false">
      <c r="A39" s="28" t="s">
        <v>279</v>
      </c>
      <c r="B39" s="27" t="s">
        <v>144</v>
      </c>
      <c r="C39" s="27" t="s">
        <v>273</v>
      </c>
      <c r="D39" s="27" t="s">
        <v>280</v>
      </c>
      <c r="E39" s="25"/>
      <c r="F39" s="25"/>
      <c r="G39" s="25"/>
      <c r="H39" s="25"/>
      <c r="I39" s="25"/>
      <c r="J39" s="27" t="s">
        <v>145</v>
      </c>
      <c r="K39" s="25" t="str">
        <f aca="false">IFERROR(__xludf.dummyfunction("SPLIT(J39,"" "")"),"Global")</f>
        <v>Global</v>
      </c>
      <c r="L39" s="8"/>
      <c r="M39" s="25"/>
      <c r="N39" s="25"/>
      <c r="O39" s="25"/>
      <c r="P39" s="25"/>
      <c r="Q39" s="29" t="s">
        <v>280</v>
      </c>
      <c r="R39" s="8" t="str">
        <f aca="false">B39&amp;" "&amp;C39&amp;" "&amp;D39&amp;" "&amp;E39&amp;" "&amp;G39&amp;" "&amp;H39&amp;" "&amp;J39&amp;" "&amp;N39</f>
        <v>Global Indicator Cobalt Cobalt Oxide    Global </v>
      </c>
      <c r="S39" s="25"/>
      <c r="T39" s="8"/>
      <c r="U39" s="8"/>
      <c r="V39" s="27" t="s">
        <v>49</v>
      </c>
      <c r="W39" s="25"/>
      <c r="X39" s="25"/>
      <c r="Y39" s="25"/>
      <c r="Z39" s="25"/>
      <c r="AA39" s="25"/>
      <c r="AB39" s="25"/>
      <c r="AC39" s="25"/>
      <c r="AD39" s="25"/>
    </row>
    <row r="40" customFormat="false" ht="15.75" hidden="false" customHeight="false" outlineLevel="0" collapsed="false">
      <c r="A40" s="28" t="s">
        <v>281</v>
      </c>
      <c r="B40" s="27" t="s">
        <v>144</v>
      </c>
      <c r="C40" s="27" t="s">
        <v>273</v>
      </c>
      <c r="D40" s="27" t="s">
        <v>282</v>
      </c>
      <c r="E40" s="25"/>
      <c r="F40" s="25"/>
      <c r="G40" s="25"/>
      <c r="H40" s="25"/>
      <c r="I40" s="25"/>
      <c r="J40" s="27" t="s">
        <v>145</v>
      </c>
      <c r="K40" s="25" t="str">
        <f aca="false">IFERROR(__xludf.dummyfunction("SPLIT(J40,"" "")"),"Global")</f>
        <v>Global</v>
      </c>
      <c r="L40" s="8"/>
      <c r="M40" s="25"/>
      <c r="N40" s="25"/>
      <c r="O40" s="25"/>
      <c r="P40" s="25"/>
      <c r="Q40" s="29" t="s">
        <v>282</v>
      </c>
      <c r="R40" s="8" t="str">
        <f aca="false">B40&amp;" "&amp;C40&amp;" "&amp;D40&amp;" "&amp;E40&amp;" "&amp;G40&amp;" "&amp;H40&amp;" "&amp;J40&amp;" "&amp;N40</f>
        <v>Global Indicator Cobalt Cobalt Metal    Global </v>
      </c>
      <c r="S40" s="25"/>
      <c r="T40" s="8"/>
      <c r="U40" s="8"/>
      <c r="V40" s="27" t="s">
        <v>49</v>
      </c>
      <c r="W40" s="25"/>
      <c r="X40" s="25"/>
      <c r="Y40" s="25"/>
      <c r="Z40" s="25"/>
      <c r="AA40" s="25"/>
      <c r="AB40" s="25"/>
      <c r="AC40" s="25"/>
      <c r="AD40" s="25"/>
    </row>
    <row r="41" customFormat="false" ht="15.75" hidden="false" customHeight="false" outlineLevel="0" collapsed="false">
      <c r="A41" s="28" t="s">
        <v>283</v>
      </c>
      <c r="B41" s="27" t="s">
        <v>144</v>
      </c>
      <c r="C41" s="25" t="s">
        <v>167</v>
      </c>
      <c r="D41" s="27" t="s">
        <v>284</v>
      </c>
      <c r="E41" s="25"/>
      <c r="F41" s="25"/>
      <c r="G41" s="25"/>
      <c r="H41" s="27" t="s">
        <v>285</v>
      </c>
      <c r="I41" s="25"/>
      <c r="J41" s="27" t="s">
        <v>145</v>
      </c>
      <c r="K41" s="25" t="str">
        <f aca="false">IFERROR(__xludf.dummyfunction("SPLIT(J41,"" "")"),"Global")</f>
        <v>Global</v>
      </c>
      <c r="L41" s="8"/>
      <c r="M41" s="25"/>
      <c r="N41" s="25"/>
      <c r="O41" s="25"/>
      <c r="P41" s="25"/>
      <c r="Q41" s="29" t="s">
        <v>285</v>
      </c>
      <c r="R41" s="8" t="str">
        <f aca="false">B41&amp;" "&amp;C41&amp;" "&amp;D41&amp;" "&amp;E41&amp;" "&amp;G41&amp;" "&amp;H41&amp;" "&amp;J41&amp;" "&amp;N41</f>
        <v>Global Indicator Foils Copper (Battery Grade)   5μm Global </v>
      </c>
      <c r="S41" s="25"/>
      <c r="T41" s="8"/>
      <c r="U41" s="8"/>
      <c r="V41" s="27" t="s">
        <v>49</v>
      </c>
      <c r="W41" s="25"/>
      <c r="X41" s="25"/>
      <c r="Y41" s="25"/>
      <c r="Z41" s="25"/>
      <c r="AA41" s="25"/>
      <c r="AB41" s="25"/>
      <c r="AC41" s="25"/>
      <c r="AD41" s="25"/>
    </row>
    <row r="42" customFormat="false" ht="15.75" hidden="false" customHeight="false" outlineLevel="0" collapsed="false">
      <c r="A42" s="28" t="s">
        <v>286</v>
      </c>
      <c r="B42" s="27" t="s">
        <v>144</v>
      </c>
      <c r="C42" s="25" t="s">
        <v>167</v>
      </c>
      <c r="D42" s="27" t="s">
        <v>284</v>
      </c>
      <c r="E42" s="25"/>
      <c r="F42" s="25"/>
      <c r="G42" s="25"/>
      <c r="H42" s="27" t="s">
        <v>287</v>
      </c>
      <c r="I42" s="25"/>
      <c r="J42" s="27" t="s">
        <v>145</v>
      </c>
      <c r="K42" s="25" t="str">
        <f aca="false">IFERROR(__xludf.dummyfunction("SPLIT(J42,"" "")"),"Global")</f>
        <v>Global</v>
      </c>
      <c r="L42" s="8"/>
      <c r="M42" s="25"/>
      <c r="N42" s="25"/>
      <c r="O42" s="25"/>
      <c r="P42" s="25"/>
      <c r="Q42" s="29" t="s">
        <v>287</v>
      </c>
      <c r="R42" s="8" t="str">
        <f aca="false">B42&amp;" "&amp;C42&amp;" "&amp;D42&amp;" "&amp;E42&amp;" "&amp;G42&amp;" "&amp;H42&amp;" "&amp;J42&amp;" "&amp;N42</f>
        <v>Global Indicator Foils Copper (Battery Grade)   6μm Global </v>
      </c>
      <c r="S42" s="25"/>
      <c r="T42" s="8"/>
      <c r="U42" s="8"/>
      <c r="V42" s="27" t="s">
        <v>49</v>
      </c>
      <c r="W42" s="25"/>
      <c r="X42" s="25"/>
      <c r="Y42" s="25"/>
      <c r="Z42" s="25"/>
      <c r="AA42" s="25"/>
      <c r="AB42" s="25"/>
      <c r="AC42" s="25"/>
      <c r="AD42" s="25"/>
    </row>
    <row r="43" customFormat="false" ht="15.75" hidden="false" customHeight="false" outlineLevel="0" collapsed="false">
      <c r="A43" s="28" t="s">
        <v>288</v>
      </c>
      <c r="B43" s="27" t="s">
        <v>144</v>
      </c>
      <c r="C43" s="27" t="s">
        <v>289</v>
      </c>
      <c r="D43" s="25" t="s">
        <v>290</v>
      </c>
      <c r="E43" s="25"/>
      <c r="F43" s="25"/>
      <c r="G43" s="34" t="n">
        <v>0.9995</v>
      </c>
      <c r="H43" s="25"/>
      <c r="I43" s="25"/>
      <c r="J43" s="27" t="s">
        <v>145</v>
      </c>
      <c r="K43" s="25" t="str">
        <f aca="false">IFERROR(__xludf.dummyfunction("SPLIT(J43,"" "")"),"Global")</f>
        <v>Global</v>
      </c>
      <c r="L43" s="8"/>
      <c r="M43" s="25"/>
      <c r="N43" s="25"/>
      <c r="O43" s="25"/>
      <c r="P43" s="25"/>
      <c r="Q43" s="29" t="s">
        <v>291</v>
      </c>
      <c r="R43" s="8" t="str">
        <f aca="false">B43&amp;" "&amp;C43&amp;" "&amp;D43&amp;" "&amp;E43&amp;" "&amp;G43&amp;" "&amp;H43&amp;" "&amp;J43&amp;" "&amp;N43</f>
        <v>Global Indicator Electrolyte LiPF6  0.9995  Global </v>
      </c>
      <c r="S43" s="25"/>
      <c r="T43" s="8"/>
      <c r="U43" s="8"/>
      <c r="V43" s="27" t="s">
        <v>49</v>
      </c>
      <c r="W43" s="25"/>
      <c r="X43" s="25"/>
      <c r="Y43" s="25"/>
      <c r="Z43" s="25"/>
      <c r="AA43" s="25"/>
      <c r="AB43" s="25"/>
      <c r="AC43" s="25"/>
      <c r="AD43" s="25"/>
    </row>
    <row r="44" customFormat="false" ht="15.75" hidden="false" customHeight="false" outlineLevel="0" collapsed="false">
      <c r="A44" s="28" t="s">
        <v>292</v>
      </c>
      <c r="B44" s="27" t="s">
        <v>144</v>
      </c>
      <c r="C44" s="27" t="s">
        <v>289</v>
      </c>
      <c r="D44" s="25" t="s">
        <v>293</v>
      </c>
      <c r="E44" s="25"/>
      <c r="F44" s="25"/>
      <c r="G44" s="25"/>
      <c r="H44" s="25"/>
      <c r="I44" s="25"/>
      <c r="J44" s="27" t="s">
        <v>145</v>
      </c>
      <c r="K44" s="25" t="str">
        <f aca="false">IFERROR(__xludf.dummyfunction("SPLIT(J44,"" "")"),"Global")</f>
        <v>Global</v>
      </c>
      <c r="L44" s="8"/>
      <c r="M44" s="25"/>
      <c r="N44" s="25"/>
      <c r="O44" s="25"/>
      <c r="P44" s="25"/>
      <c r="Q44" s="29" t="s">
        <v>294</v>
      </c>
      <c r="R44" s="8" t="str">
        <f aca="false">B44&amp;" "&amp;C44&amp;" "&amp;D44&amp;" "&amp;E44&amp;" "&amp;G44&amp;" "&amp;H44&amp;" "&amp;J44&amp;" "&amp;N44</f>
        <v>Global Indicator Electrolyte Additives    Global </v>
      </c>
      <c r="S44" s="25"/>
      <c r="T44" s="8"/>
      <c r="U44" s="8"/>
      <c r="V44" s="27" t="s">
        <v>49</v>
      </c>
      <c r="W44" s="25"/>
      <c r="X44" s="25"/>
      <c r="Y44" s="25"/>
      <c r="Z44" s="25"/>
      <c r="AA44" s="25"/>
      <c r="AB44" s="25"/>
      <c r="AC44" s="25"/>
      <c r="AD44" s="25"/>
    </row>
    <row r="45" customFormat="false" ht="15.75" hidden="false" customHeight="false" outlineLevel="0" collapsed="false">
      <c r="A45" s="28" t="s">
        <v>295</v>
      </c>
      <c r="B45" s="27" t="s">
        <v>144</v>
      </c>
      <c r="C45" s="27" t="s">
        <v>289</v>
      </c>
      <c r="D45" s="25" t="s">
        <v>293</v>
      </c>
      <c r="E45" s="25"/>
      <c r="F45" s="25"/>
      <c r="G45" s="25"/>
      <c r="H45" s="25"/>
      <c r="I45" s="25"/>
      <c r="J45" s="27" t="s">
        <v>145</v>
      </c>
      <c r="K45" s="25" t="str">
        <f aca="false">IFERROR(__xludf.dummyfunction("SPLIT(J45,"" "")"),"Global")</f>
        <v>Global</v>
      </c>
      <c r="L45" s="8"/>
      <c r="M45" s="25"/>
      <c r="N45" s="25"/>
      <c r="O45" s="25"/>
      <c r="P45" s="25"/>
      <c r="Q45" s="29" t="s">
        <v>296</v>
      </c>
      <c r="R45" s="8" t="str">
        <f aca="false">B45&amp;" "&amp;C45&amp;" "&amp;D45&amp;" "&amp;E45&amp;" "&amp;G45&amp;" "&amp;H45&amp;" "&amp;J45&amp;" "&amp;N45</f>
        <v>Global Indicator Electrolyte Additives    Global </v>
      </c>
      <c r="S45" s="25"/>
      <c r="T45" s="8"/>
      <c r="U45" s="8"/>
      <c r="V45" s="27" t="s">
        <v>49</v>
      </c>
      <c r="W45" s="25"/>
      <c r="X45" s="25"/>
      <c r="Y45" s="25"/>
      <c r="Z45" s="25"/>
      <c r="AA45" s="25"/>
      <c r="AB45" s="25"/>
      <c r="AC45" s="25"/>
      <c r="AD45" s="25"/>
    </row>
    <row r="46" customFormat="false" ht="15.75" hidden="false" customHeight="false" outlineLevel="0" collapsed="false">
      <c r="A46" s="28" t="s">
        <v>297</v>
      </c>
      <c r="B46" s="27" t="s">
        <v>144</v>
      </c>
      <c r="C46" s="27" t="s">
        <v>289</v>
      </c>
      <c r="D46" s="25" t="s">
        <v>293</v>
      </c>
      <c r="E46" s="25"/>
      <c r="F46" s="25"/>
      <c r="G46" s="25"/>
      <c r="H46" s="25"/>
      <c r="I46" s="25"/>
      <c r="J46" s="27" t="s">
        <v>145</v>
      </c>
      <c r="K46" s="25" t="str">
        <f aca="false">IFERROR(__xludf.dummyfunction("SPLIT(J46,"" "")"),"Global")</f>
        <v>Global</v>
      </c>
      <c r="L46" s="8"/>
      <c r="M46" s="25"/>
      <c r="N46" s="25"/>
      <c r="O46" s="25"/>
      <c r="P46" s="25"/>
      <c r="Q46" s="29" t="s">
        <v>298</v>
      </c>
      <c r="R46" s="8" t="str">
        <f aca="false">B46&amp;" "&amp;C46&amp;" "&amp;D46&amp;" "&amp;E46&amp;" "&amp;G46&amp;" "&amp;H46&amp;" "&amp;J46&amp;" "&amp;N46</f>
        <v>Global Indicator Electrolyte Additives    Global </v>
      </c>
      <c r="S46" s="25"/>
      <c r="T46" s="8"/>
      <c r="U46" s="8"/>
      <c r="V46" s="27" t="s">
        <v>49</v>
      </c>
      <c r="W46" s="25"/>
      <c r="X46" s="25"/>
      <c r="Y46" s="25"/>
      <c r="Z46" s="25"/>
      <c r="AA46" s="25"/>
      <c r="AB46" s="25"/>
      <c r="AC46" s="25"/>
      <c r="AD46" s="25"/>
    </row>
    <row r="47" customFormat="false" ht="15.75" hidden="false" customHeight="false" outlineLevel="0" collapsed="false">
      <c r="A47" s="28" t="s">
        <v>299</v>
      </c>
      <c r="B47" s="27" t="s">
        <v>144</v>
      </c>
      <c r="C47" s="27" t="s">
        <v>289</v>
      </c>
      <c r="D47" s="25" t="s">
        <v>293</v>
      </c>
      <c r="E47" s="25"/>
      <c r="F47" s="25"/>
      <c r="G47" s="25"/>
      <c r="H47" s="25"/>
      <c r="I47" s="25"/>
      <c r="J47" s="27" t="s">
        <v>145</v>
      </c>
      <c r="K47" s="25" t="str">
        <f aca="false">IFERROR(__xludf.dummyfunction("SPLIT(J47,"" "")"),"Global")</f>
        <v>Global</v>
      </c>
      <c r="L47" s="8"/>
      <c r="M47" s="25"/>
      <c r="N47" s="25"/>
      <c r="O47" s="25"/>
      <c r="P47" s="25"/>
      <c r="Q47" s="29" t="s">
        <v>300</v>
      </c>
      <c r="R47" s="8" t="str">
        <f aca="false">B47&amp;" "&amp;C47&amp;" "&amp;D47&amp;" "&amp;E47&amp;" "&amp;G47&amp;" "&amp;H47&amp;" "&amp;J47&amp;" "&amp;N47</f>
        <v>Global Indicator Electrolyte Additives    Global </v>
      </c>
      <c r="S47" s="25"/>
      <c r="T47" s="8"/>
      <c r="U47" s="8"/>
      <c r="V47" s="27" t="s">
        <v>49</v>
      </c>
      <c r="W47" s="25"/>
      <c r="X47" s="25"/>
      <c r="Y47" s="25"/>
      <c r="Z47" s="25"/>
      <c r="AA47" s="25"/>
      <c r="AB47" s="25"/>
      <c r="AC47" s="25"/>
      <c r="AD47" s="25"/>
    </row>
    <row r="48" customFormat="false" ht="15.75" hidden="false" customHeight="false" outlineLevel="0" collapsed="false">
      <c r="A48" s="28" t="s">
        <v>301</v>
      </c>
      <c r="B48" s="27" t="s">
        <v>144</v>
      </c>
      <c r="C48" s="27" t="s">
        <v>289</v>
      </c>
      <c r="D48" s="25" t="s">
        <v>293</v>
      </c>
      <c r="E48" s="25"/>
      <c r="F48" s="25"/>
      <c r="G48" s="25"/>
      <c r="H48" s="25"/>
      <c r="I48" s="25"/>
      <c r="J48" s="27" t="s">
        <v>145</v>
      </c>
      <c r="K48" s="25" t="str">
        <f aca="false">IFERROR(__xludf.dummyfunction("SPLIT(J48,"" "")"),"Global")</f>
        <v>Global</v>
      </c>
      <c r="L48" s="8"/>
      <c r="M48" s="25"/>
      <c r="N48" s="25"/>
      <c r="O48" s="25"/>
      <c r="P48" s="25"/>
      <c r="Q48" s="26" t="s">
        <v>302</v>
      </c>
      <c r="R48" s="8" t="str">
        <f aca="false">B48&amp;" "&amp;C48&amp;" "&amp;D48&amp;" "&amp;E48&amp;" "&amp;G48&amp;" "&amp;H48&amp;" "&amp;J48&amp;" "&amp;N48</f>
        <v>Global Indicator Electrolyte Additives    Global </v>
      </c>
      <c r="S48" s="25"/>
      <c r="T48" s="8"/>
      <c r="U48" s="8"/>
      <c r="V48" s="27" t="s">
        <v>49</v>
      </c>
      <c r="W48" s="25"/>
      <c r="X48" s="25"/>
      <c r="Y48" s="25"/>
      <c r="Z48" s="25"/>
      <c r="AA48" s="25"/>
      <c r="AB48" s="25"/>
      <c r="AC48" s="25"/>
      <c r="AD48" s="25"/>
    </row>
    <row r="49" customFormat="false" ht="15.75" hidden="false" customHeight="false" outlineLevel="0" collapsed="false">
      <c r="A49" s="28" t="s">
        <v>303</v>
      </c>
      <c r="B49" s="27" t="s">
        <v>144</v>
      </c>
      <c r="C49" s="27" t="s">
        <v>289</v>
      </c>
      <c r="D49" s="25" t="s">
        <v>293</v>
      </c>
      <c r="E49" s="25"/>
      <c r="F49" s="25"/>
      <c r="G49" s="25"/>
      <c r="H49" s="25"/>
      <c r="I49" s="25"/>
      <c r="J49" s="27" t="s">
        <v>145</v>
      </c>
      <c r="K49" s="25" t="str">
        <f aca="false">IFERROR(__xludf.dummyfunction("SPLIT(J49,"" "")"),"Global")</f>
        <v>Global</v>
      </c>
      <c r="L49" s="8"/>
      <c r="M49" s="25"/>
      <c r="N49" s="25"/>
      <c r="O49" s="25"/>
      <c r="P49" s="25"/>
      <c r="Q49" s="29" t="s">
        <v>304</v>
      </c>
      <c r="R49" s="8" t="str">
        <f aca="false">B49&amp;" "&amp;C49&amp;" "&amp;D49&amp;" "&amp;E49&amp;" "&amp;G49&amp;" "&amp;H49&amp;" "&amp;J49&amp;" "&amp;N49</f>
        <v>Global Indicator Electrolyte Additives    Global </v>
      </c>
      <c r="S49" s="25"/>
      <c r="T49" s="8"/>
      <c r="U49" s="8"/>
      <c r="V49" s="27" t="s">
        <v>49</v>
      </c>
      <c r="W49" s="25"/>
      <c r="X49" s="25"/>
      <c r="Y49" s="25"/>
      <c r="Z49" s="25"/>
      <c r="AA49" s="25"/>
      <c r="AB49" s="25"/>
      <c r="AC49" s="25"/>
      <c r="AD49" s="25"/>
    </row>
    <row r="50" customFormat="false" ht="15.75" hidden="false" customHeight="false" outlineLevel="0" collapsed="false">
      <c r="A50" s="28" t="s">
        <v>305</v>
      </c>
      <c r="B50" s="27" t="s">
        <v>144</v>
      </c>
      <c r="C50" s="27" t="s">
        <v>289</v>
      </c>
      <c r="D50" s="25" t="s">
        <v>293</v>
      </c>
      <c r="E50" s="25"/>
      <c r="F50" s="25"/>
      <c r="G50" s="25"/>
      <c r="H50" s="25"/>
      <c r="I50" s="25"/>
      <c r="J50" s="27" t="s">
        <v>145</v>
      </c>
      <c r="K50" s="25" t="str">
        <f aca="false">IFERROR(__xludf.dummyfunction("SPLIT(J50,"" "")"),"Global")</f>
        <v>Global</v>
      </c>
      <c r="L50" s="8"/>
      <c r="M50" s="25"/>
      <c r="N50" s="25"/>
      <c r="O50" s="25"/>
      <c r="P50" s="25"/>
      <c r="Q50" s="29" t="s">
        <v>306</v>
      </c>
      <c r="R50" s="8" t="str">
        <f aca="false">B50&amp;" "&amp;C50&amp;" "&amp;D50&amp;" "&amp;E50&amp;" "&amp;G50&amp;" "&amp;H50&amp;" "&amp;J50&amp;" "&amp;N50</f>
        <v>Global Indicator Electrolyte Additives    Global </v>
      </c>
      <c r="S50" s="25"/>
      <c r="T50" s="8"/>
      <c r="U50" s="8"/>
      <c r="V50" s="27" t="s">
        <v>49</v>
      </c>
      <c r="W50" s="25"/>
      <c r="X50" s="25"/>
      <c r="Y50" s="25"/>
      <c r="Z50" s="25"/>
      <c r="AA50" s="25"/>
      <c r="AB50" s="25"/>
      <c r="AC50" s="25"/>
      <c r="AD50" s="25"/>
    </row>
    <row r="51" customFormat="false" ht="15.75" hidden="false" customHeight="false" outlineLevel="0" collapsed="false">
      <c r="A51" s="28" t="s">
        <v>307</v>
      </c>
      <c r="B51" s="27" t="s">
        <v>155</v>
      </c>
      <c r="C51" s="27" t="s">
        <v>308</v>
      </c>
      <c r="D51" s="25" t="s">
        <v>309</v>
      </c>
      <c r="E51" s="25"/>
      <c r="F51" s="25"/>
      <c r="G51" s="25" t="s">
        <v>310</v>
      </c>
      <c r="H51" s="25"/>
      <c r="I51" s="25"/>
      <c r="J51" s="27" t="s">
        <v>145</v>
      </c>
      <c r="K51" s="25" t="str">
        <f aca="false">IFERROR(__xludf.dummyfunction("SPLIT(J51,"" "")"),"Global")</f>
        <v>Global</v>
      </c>
      <c r="L51" s="8"/>
      <c r="M51" s="25"/>
      <c r="N51" s="25"/>
      <c r="O51" s="25"/>
      <c r="P51" s="25"/>
      <c r="Q51" s="29" t="s">
        <v>311</v>
      </c>
      <c r="R51" s="8" t="str">
        <f aca="false">B51&amp;" "&amp;C51&amp;" "&amp;D51&amp;" "&amp;E51&amp;" "&amp;G51&amp;" "&amp;H51&amp;" "&amp;J51&amp;" "&amp;N51</f>
        <v>BMI Price Graphite Flake Graphite  94-95% C  Global </v>
      </c>
      <c r="S51" s="25"/>
      <c r="T51" s="8"/>
      <c r="U51" s="8"/>
      <c r="V51" s="27" t="s">
        <v>49</v>
      </c>
      <c r="W51" s="25"/>
      <c r="X51" s="25"/>
      <c r="Y51" s="25"/>
      <c r="Z51" s="25"/>
      <c r="AA51" s="25"/>
      <c r="AB51" s="25"/>
      <c r="AC51" s="25"/>
      <c r="AD51" s="25"/>
    </row>
    <row r="52" customFormat="false" ht="15.75" hidden="false" customHeight="false" outlineLevel="0" collapsed="false">
      <c r="A52" s="28" t="s">
        <v>312</v>
      </c>
      <c r="B52" s="27" t="s">
        <v>155</v>
      </c>
      <c r="C52" s="27" t="s">
        <v>308</v>
      </c>
      <c r="D52" s="25" t="s">
        <v>313</v>
      </c>
      <c r="E52" s="25"/>
      <c r="F52" s="25"/>
      <c r="G52" s="25" t="s">
        <v>314</v>
      </c>
      <c r="H52" s="25"/>
      <c r="I52" s="25"/>
      <c r="J52" s="27" t="s">
        <v>145</v>
      </c>
      <c r="K52" s="25" t="str">
        <f aca="false">IFERROR(__xludf.dummyfunction("SPLIT(J52,"" "")"),"Global")</f>
        <v>Global</v>
      </c>
      <c r="L52" s="8"/>
      <c r="M52" s="25"/>
      <c r="N52" s="25"/>
      <c r="O52" s="25"/>
      <c r="P52" s="25"/>
      <c r="Q52" s="29" t="s">
        <v>315</v>
      </c>
      <c r="R52" s="8" t="str">
        <f aca="false">B52&amp;" "&amp;C52&amp;" "&amp;D52&amp;" "&amp;E52&amp;" "&amp;G52&amp;" "&amp;H52&amp;" "&amp;J52&amp;" "&amp;N52</f>
        <v>BMI Price Graphite Graphitisation Tolling Fees  C≥90%  Global </v>
      </c>
      <c r="S52" s="25"/>
      <c r="T52" s="8"/>
      <c r="U52" s="8"/>
      <c r="V52" s="27" t="s">
        <v>49</v>
      </c>
      <c r="W52" s="25"/>
      <c r="X52" s="25"/>
      <c r="Y52" s="25"/>
      <c r="Z52" s="25"/>
      <c r="AA52" s="25"/>
      <c r="AB52" s="25"/>
      <c r="AC52" s="25"/>
      <c r="AD52" s="25"/>
    </row>
    <row r="53" customFormat="false" ht="15.75" hidden="false" customHeight="false" outlineLevel="0" collapsed="false">
      <c r="A53" s="28" t="s">
        <v>316</v>
      </c>
      <c r="B53" s="27" t="s">
        <v>155</v>
      </c>
      <c r="C53" s="27" t="s">
        <v>308</v>
      </c>
      <c r="D53" s="25" t="s">
        <v>317</v>
      </c>
      <c r="E53" s="25"/>
      <c r="F53" s="25"/>
      <c r="G53" s="25" t="s">
        <v>318</v>
      </c>
      <c r="H53" s="25"/>
      <c r="I53" s="25"/>
      <c r="J53" s="27" t="s">
        <v>145</v>
      </c>
      <c r="K53" s="25" t="str">
        <f aca="false">IFERROR(__xludf.dummyfunction("SPLIT(J53,"" "")"),"Global")</f>
        <v>Global</v>
      </c>
      <c r="L53" s="8"/>
      <c r="M53" s="25"/>
      <c r="N53" s="25"/>
      <c r="O53" s="25"/>
      <c r="P53" s="25"/>
      <c r="Q53" s="29" t="s">
        <v>319</v>
      </c>
      <c r="R53" s="8" t="str">
        <f aca="false">B53&amp;" "&amp;C53&amp;" "&amp;D53&amp;" "&amp;E53&amp;" "&amp;G53&amp;" "&amp;H53&amp;" "&amp;J53&amp;" "&amp;N53</f>
        <v>BMI Price Graphite Medium Sulphur Pre-calcined Pet Coke  0.5%&lt;S&lt;3.0%  Global </v>
      </c>
      <c r="S53" s="25"/>
      <c r="T53" s="8"/>
      <c r="U53" s="8"/>
      <c r="V53" s="27" t="s">
        <v>49</v>
      </c>
      <c r="W53" s="25"/>
      <c r="X53" s="25"/>
      <c r="Y53" s="25"/>
      <c r="Z53" s="25"/>
      <c r="AA53" s="25"/>
      <c r="AB53" s="25"/>
      <c r="AC53" s="25"/>
      <c r="AD53" s="25"/>
    </row>
    <row r="54" customFormat="false" ht="15.75" hidden="false" customHeight="false" outlineLevel="0" collapsed="false">
      <c r="A54" s="28" t="s">
        <v>320</v>
      </c>
      <c r="B54" s="27" t="s">
        <v>155</v>
      </c>
      <c r="C54" s="27" t="s">
        <v>308</v>
      </c>
      <c r="D54" s="25" t="s">
        <v>321</v>
      </c>
      <c r="E54" s="25"/>
      <c r="F54" s="25"/>
      <c r="G54" s="25" t="s">
        <v>322</v>
      </c>
      <c r="H54" s="25"/>
      <c r="I54" s="25"/>
      <c r="J54" s="27" t="s">
        <v>145</v>
      </c>
      <c r="K54" s="25" t="str">
        <f aca="false">IFERROR(__xludf.dummyfunction("SPLIT(J54,"" "")"),"Global")</f>
        <v>Global</v>
      </c>
      <c r="L54" s="8"/>
      <c r="M54" s="25"/>
      <c r="N54" s="25"/>
      <c r="O54" s="25"/>
      <c r="P54" s="25"/>
      <c r="Q54" s="29" t="s">
        <v>323</v>
      </c>
      <c r="R54" s="8" t="str">
        <f aca="false">B54&amp;" "&amp;C54&amp;" "&amp;D54&amp;" "&amp;E54&amp;" "&amp;G54&amp;" "&amp;H54&amp;" "&amp;J54&amp;" "&amp;N54</f>
        <v>BMI Price Graphite Calcined Pet Coke  S&lt;0.5%  Global </v>
      </c>
      <c r="S54" s="25"/>
      <c r="T54" s="8"/>
      <c r="U54" s="8"/>
      <c r="V54" s="27" t="s">
        <v>49</v>
      </c>
      <c r="W54" s="25"/>
      <c r="X54" s="25"/>
      <c r="Y54" s="25"/>
      <c r="Z54" s="25"/>
      <c r="AA54" s="25"/>
      <c r="AB54" s="25"/>
      <c r="AC54" s="25"/>
      <c r="AD54" s="25"/>
    </row>
    <row r="55" customFormat="false" ht="15.75" hidden="false" customHeight="false" outlineLevel="0" collapsed="false">
      <c r="A55" s="28" t="s">
        <v>324</v>
      </c>
      <c r="B55" s="27" t="s">
        <v>155</v>
      </c>
      <c r="C55" s="27" t="s">
        <v>308</v>
      </c>
      <c r="D55" s="25" t="s">
        <v>325</v>
      </c>
      <c r="E55" s="25"/>
      <c r="F55" s="25"/>
      <c r="G55" s="25" t="s">
        <v>322</v>
      </c>
      <c r="H55" s="25"/>
      <c r="I55" s="25"/>
      <c r="J55" s="27" t="s">
        <v>145</v>
      </c>
      <c r="K55" s="25" t="str">
        <f aca="false">IFERROR(__xludf.dummyfunction("SPLIT(J55,"" "")"),"Global")</f>
        <v>Global</v>
      </c>
      <c r="L55" s="8"/>
      <c r="M55" s="25"/>
      <c r="N55" s="25"/>
      <c r="O55" s="25"/>
      <c r="P55" s="25"/>
      <c r="Q55" s="29" t="s">
        <v>326</v>
      </c>
      <c r="R55" s="8" t="str">
        <f aca="false">B55&amp;" "&amp;C55&amp;" "&amp;D55&amp;" "&amp;E55&amp;" "&amp;G55&amp;" "&amp;H55&amp;" "&amp;J55&amp;" "&amp;N55</f>
        <v>BMI Price Graphite Calcined Pet Needle Coke  S&lt;0.5%  Global </v>
      </c>
      <c r="S55" s="25"/>
      <c r="T55" s="8"/>
      <c r="U55" s="8"/>
      <c r="V55" s="27" t="s">
        <v>49</v>
      </c>
      <c r="W55" s="25"/>
      <c r="X55" s="25"/>
      <c r="Y55" s="25"/>
      <c r="Z55" s="25"/>
      <c r="AA55" s="25"/>
      <c r="AB55" s="25"/>
      <c r="AC55" s="25"/>
      <c r="AD55" s="25"/>
    </row>
    <row r="56" customFormat="false" ht="15.75" hidden="false" customHeight="false" outlineLevel="0" collapsed="false">
      <c r="A56" s="28" t="s">
        <v>327</v>
      </c>
      <c r="B56" s="27" t="s">
        <v>155</v>
      </c>
      <c r="C56" s="27" t="s">
        <v>308</v>
      </c>
      <c r="D56" s="25" t="s">
        <v>328</v>
      </c>
      <c r="E56" s="25"/>
      <c r="F56" s="25"/>
      <c r="G56" s="25" t="s">
        <v>322</v>
      </c>
      <c r="H56" s="25"/>
      <c r="I56" s="25"/>
      <c r="J56" s="27" t="s">
        <v>145</v>
      </c>
      <c r="K56" s="25" t="str">
        <f aca="false">IFERROR(__xludf.dummyfunction("SPLIT(J56,"" "")"),"Global")</f>
        <v>Global</v>
      </c>
      <c r="L56" s="8"/>
      <c r="M56" s="25"/>
      <c r="N56" s="25"/>
      <c r="O56" s="25"/>
      <c r="P56" s="25"/>
      <c r="Q56" s="29" t="s">
        <v>329</v>
      </c>
      <c r="R56" s="8" t="str">
        <f aca="false">B56&amp;" "&amp;C56&amp;" "&amp;D56&amp;" "&amp;E56&amp;" "&amp;G56&amp;" "&amp;H56&amp;" "&amp;J56&amp;" "&amp;N56</f>
        <v>BMI Price Graphite Calcined Pitch Needle Coke  S&lt;0.5%  Global </v>
      </c>
      <c r="S56" s="25"/>
      <c r="T56" s="8"/>
      <c r="U56" s="8"/>
      <c r="V56" s="27" t="s">
        <v>49</v>
      </c>
      <c r="W56" s="25"/>
      <c r="X56" s="25"/>
      <c r="Y56" s="25"/>
      <c r="Z56" s="25"/>
      <c r="AA56" s="25"/>
      <c r="AB56" s="25"/>
      <c r="AC56" s="25"/>
      <c r="AD56" s="25"/>
    </row>
    <row r="57" customFormat="false" ht="15.75" hidden="false" customHeight="false" outlineLevel="0" collapsed="false">
      <c r="A57" s="28" t="s">
        <v>330</v>
      </c>
      <c r="B57" s="27" t="s">
        <v>155</v>
      </c>
      <c r="C57" s="27" t="s">
        <v>308</v>
      </c>
      <c r="D57" s="25" t="s">
        <v>331</v>
      </c>
      <c r="E57" s="25"/>
      <c r="F57" s="25"/>
      <c r="G57" s="25" t="s">
        <v>322</v>
      </c>
      <c r="H57" s="25"/>
      <c r="I57" s="25"/>
      <c r="J57" s="27" t="s">
        <v>145</v>
      </c>
      <c r="K57" s="25" t="str">
        <f aca="false">IFERROR(__xludf.dummyfunction("SPLIT(J57,"" "")"),"Global")</f>
        <v>Global</v>
      </c>
      <c r="L57" s="8"/>
      <c r="M57" s="25"/>
      <c r="N57" s="25"/>
      <c r="O57" s="25"/>
      <c r="P57" s="25"/>
      <c r="Q57" s="29" t="s">
        <v>332</v>
      </c>
      <c r="R57" s="8" t="str">
        <f aca="false">B57&amp;" "&amp;C57&amp;" "&amp;D57&amp;" "&amp;E57&amp;" "&amp;G57&amp;" "&amp;H57&amp;" "&amp;J57&amp;" "&amp;N57</f>
        <v>BMI Price Graphite Pre-calcined Pet Coke  S&lt;0.5%  Global </v>
      </c>
      <c r="S57" s="25"/>
      <c r="T57" s="8"/>
      <c r="U57" s="8"/>
      <c r="V57" s="27" t="s">
        <v>49</v>
      </c>
      <c r="W57" s="25"/>
      <c r="X57" s="25"/>
      <c r="Y57" s="25"/>
      <c r="Z57" s="25"/>
      <c r="AA57" s="25"/>
      <c r="AB57" s="25"/>
      <c r="AC57" s="25"/>
      <c r="AD57" s="25"/>
    </row>
    <row r="58" customFormat="false" ht="15.75" hidden="false" customHeight="false" outlineLevel="0" collapsed="false">
      <c r="A58" s="28" t="s">
        <v>333</v>
      </c>
      <c r="B58" s="27" t="s">
        <v>155</v>
      </c>
      <c r="C58" s="27" t="s">
        <v>308</v>
      </c>
      <c r="D58" s="25" t="s">
        <v>334</v>
      </c>
      <c r="E58" s="25"/>
      <c r="F58" s="25"/>
      <c r="G58" s="25" t="s">
        <v>322</v>
      </c>
      <c r="H58" s="25"/>
      <c r="I58" s="25"/>
      <c r="J58" s="27" t="s">
        <v>145</v>
      </c>
      <c r="K58" s="25" t="str">
        <f aca="false">IFERROR(__xludf.dummyfunction("SPLIT(J58,"" "")"),"Global")</f>
        <v>Global</v>
      </c>
      <c r="L58" s="8"/>
      <c r="M58" s="25"/>
      <c r="N58" s="25"/>
      <c r="O58" s="25"/>
      <c r="P58" s="25"/>
      <c r="Q58" s="29" t="s">
        <v>335</v>
      </c>
      <c r="R58" s="8" t="str">
        <f aca="false">B58&amp;" "&amp;C58&amp;" "&amp;D58&amp;" "&amp;E58&amp;" "&amp;G58&amp;" "&amp;H58&amp;" "&amp;J58&amp;" "&amp;N58</f>
        <v>BMI Price Graphite Pre-calcined Pet Needle Coke  S&lt;0.5%  Global </v>
      </c>
      <c r="S58" s="25"/>
      <c r="T58" s="8"/>
      <c r="U58" s="8"/>
      <c r="V58" s="27" t="s">
        <v>49</v>
      </c>
      <c r="W58" s="25"/>
      <c r="X58" s="25"/>
      <c r="Y58" s="25"/>
      <c r="Z58" s="25"/>
      <c r="AA58" s="25"/>
      <c r="AB58" s="25"/>
      <c r="AC58" s="25"/>
      <c r="AD58" s="25"/>
    </row>
    <row r="59" customFormat="false" ht="15.75" hidden="false" customHeight="false" outlineLevel="0" collapsed="false">
      <c r="A59" s="28" t="s">
        <v>336</v>
      </c>
      <c r="B59" s="27" t="s">
        <v>155</v>
      </c>
      <c r="C59" s="27" t="s">
        <v>308</v>
      </c>
      <c r="D59" s="25" t="s">
        <v>337</v>
      </c>
      <c r="E59" s="25"/>
      <c r="F59" s="25"/>
      <c r="G59" s="25" t="s">
        <v>322</v>
      </c>
      <c r="H59" s="25"/>
      <c r="I59" s="25"/>
      <c r="J59" s="27" t="s">
        <v>145</v>
      </c>
      <c r="K59" s="25" t="str">
        <f aca="false">IFERROR(__xludf.dummyfunction("SPLIT(J59,"" "")"),"Global")</f>
        <v>Global</v>
      </c>
      <c r="L59" s="8"/>
      <c r="M59" s="25"/>
      <c r="N59" s="25"/>
      <c r="O59" s="25"/>
      <c r="P59" s="25"/>
      <c r="Q59" s="29" t="s">
        <v>338</v>
      </c>
      <c r="R59" s="8" t="str">
        <f aca="false">B59&amp;" "&amp;C59&amp;" "&amp;D59&amp;" "&amp;E59&amp;" "&amp;G59&amp;" "&amp;H59&amp;" "&amp;J59&amp;" "&amp;N59</f>
        <v>BMI Price Graphite Pre-calcined Pitch Needle Coke  S&lt;0.5%  Global </v>
      </c>
      <c r="S59" s="25"/>
      <c r="T59" s="8"/>
      <c r="U59" s="8"/>
      <c r="V59" s="27" t="s">
        <v>49</v>
      </c>
      <c r="W59" s="25"/>
      <c r="X59" s="25"/>
      <c r="Y59" s="25"/>
      <c r="Z59" s="25"/>
      <c r="AA59" s="25"/>
      <c r="AB59" s="25"/>
      <c r="AC59" s="25"/>
      <c r="AD59" s="25"/>
    </row>
    <row r="60" customFormat="false" ht="15.75" hidden="false" customHeight="false" outlineLevel="0" collapsed="false">
      <c r="A60" s="28" t="s">
        <v>339</v>
      </c>
      <c r="B60" s="27" t="s">
        <v>155</v>
      </c>
      <c r="C60" s="27" t="s">
        <v>308</v>
      </c>
      <c r="D60" s="25" t="s">
        <v>309</v>
      </c>
      <c r="E60" s="25"/>
      <c r="F60" s="25"/>
      <c r="G60" s="25" t="s">
        <v>310</v>
      </c>
      <c r="H60" s="25"/>
      <c r="I60" s="25"/>
      <c r="J60" s="27" t="s">
        <v>145</v>
      </c>
      <c r="K60" s="25" t="str">
        <f aca="false">IFERROR(__xludf.dummyfunction("SPLIT(J60,"" "")"),"Global")</f>
        <v>Global</v>
      </c>
      <c r="L60" s="8"/>
      <c r="M60" s="25"/>
      <c r="N60" s="25"/>
      <c r="O60" s="25"/>
      <c r="P60" s="25"/>
      <c r="Q60" s="29" t="s">
        <v>340</v>
      </c>
      <c r="R60" s="8" t="str">
        <f aca="false">B60&amp;" "&amp;C60&amp;" "&amp;D60&amp;" "&amp;E60&amp;" "&amp;G60&amp;" "&amp;H60&amp;" "&amp;J60&amp;" "&amp;N60</f>
        <v>BMI Price Graphite Flake Graphite  94-95% C  Global </v>
      </c>
      <c r="S60" s="25"/>
      <c r="T60" s="8"/>
      <c r="U60" s="8"/>
      <c r="V60" s="27" t="s">
        <v>49</v>
      </c>
      <c r="W60" s="25"/>
      <c r="X60" s="25"/>
      <c r="Y60" s="25"/>
      <c r="Z60" s="25"/>
      <c r="AA60" s="25"/>
      <c r="AB60" s="25"/>
      <c r="AC60" s="25"/>
      <c r="AD60" s="25"/>
    </row>
    <row r="61" customFormat="false" ht="15.75" hidden="false" customHeight="false" outlineLevel="0" collapsed="false">
      <c r="A61" s="28" t="s">
        <v>341</v>
      </c>
      <c r="B61" s="27" t="s">
        <v>155</v>
      </c>
      <c r="C61" s="27" t="s">
        <v>308</v>
      </c>
      <c r="D61" s="25" t="s">
        <v>342</v>
      </c>
      <c r="E61" s="25"/>
      <c r="F61" s="25"/>
      <c r="G61" s="34" t="n">
        <v>0.9995</v>
      </c>
      <c r="H61" s="25" t="s">
        <v>343</v>
      </c>
      <c r="I61" s="25"/>
      <c r="J61" s="27" t="s">
        <v>145</v>
      </c>
      <c r="K61" s="25" t="str">
        <f aca="false">IFERROR(__xludf.dummyfunction("SPLIT(J61,"" "")"),"Global")</f>
        <v>Global</v>
      </c>
      <c r="L61" s="8"/>
      <c r="M61" s="25"/>
      <c r="N61" s="25"/>
      <c r="O61" s="25"/>
      <c r="P61" s="25"/>
      <c r="Q61" s="29" t="s">
        <v>344</v>
      </c>
      <c r="R61" s="8" t="str">
        <f aca="false">B61&amp;" "&amp;C61&amp;" "&amp;D61&amp;" "&amp;E61&amp;" "&amp;G61&amp;" "&amp;H61&amp;" "&amp;J61&amp;" "&amp;N61</f>
        <v>BMI Price Graphite Spherical Uncoated Graphite  0.9995 10 microns Global </v>
      </c>
      <c r="S61" s="25"/>
      <c r="T61" s="8"/>
      <c r="U61" s="8"/>
      <c r="V61" s="27" t="s">
        <v>49</v>
      </c>
      <c r="W61" s="25"/>
      <c r="X61" s="25"/>
      <c r="Y61" s="25"/>
      <c r="Z61" s="25"/>
      <c r="AA61" s="25"/>
      <c r="AB61" s="25"/>
      <c r="AC61" s="25"/>
      <c r="AD61" s="25"/>
    </row>
    <row r="62" customFormat="false" ht="15.75" hidden="false" customHeight="false" outlineLevel="0" collapsed="false">
      <c r="A62" s="28" t="s">
        <v>345</v>
      </c>
      <c r="B62" s="27" t="s">
        <v>155</v>
      </c>
      <c r="C62" s="27" t="s">
        <v>308</v>
      </c>
      <c r="D62" s="25" t="s">
        <v>342</v>
      </c>
      <c r="E62" s="25"/>
      <c r="F62" s="25"/>
      <c r="G62" s="34" t="n">
        <v>0.9995</v>
      </c>
      <c r="H62" s="25" t="s">
        <v>346</v>
      </c>
      <c r="I62" s="25"/>
      <c r="J62" s="27" t="s">
        <v>145</v>
      </c>
      <c r="K62" s="25" t="str">
        <f aca="false">IFERROR(__xludf.dummyfunction("SPLIT(J62,"" "")"),"Global")</f>
        <v>Global</v>
      </c>
      <c r="L62" s="8"/>
      <c r="M62" s="25"/>
      <c r="N62" s="25"/>
      <c r="O62" s="25"/>
      <c r="P62" s="25"/>
      <c r="Q62" s="29" t="s">
        <v>347</v>
      </c>
      <c r="R62" s="8" t="str">
        <f aca="false">B62&amp;" "&amp;C62&amp;" "&amp;D62&amp;" "&amp;E62&amp;" "&amp;G62&amp;" "&amp;H62&amp;" "&amp;J62&amp;" "&amp;N62</f>
        <v>BMI Price Graphite Spherical Uncoated Graphite  0.9995 25 microns Global </v>
      </c>
      <c r="S62" s="25"/>
      <c r="T62" s="8"/>
      <c r="U62" s="8"/>
      <c r="V62" s="27" t="s">
        <v>49</v>
      </c>
      <c r="W62" s="25"/>
      <c r="X62" s="25"/>
      <c r="Y62" s="25"/>
      <c r="Z62" s="25"/>
      <c r="AA62" s="25"/>
      <c r="AB62" s="25"/>
      <c r="AC62" s="25"/>
      <c r="AD62" s="25"/>
    </row>
    <row r="63" customFormat="false" ht="15.75" hidden="false" customHeight="false" outlineLevel="0" collapsed="false">
      <c r="A63" s="28" t="s">
        <v>348</v>
      </c>
      <c r="B63" s="27" t="s">
        <v>155</v>
      </c>
      <c r="C63" s="27" t="s">
        <v>308</v>
      </c>
      <c r="D63" s="25" t="s">
        <v>309</v>
      </c>
      <c r="E63" s="25"/>
      <c r="F63" s="25"/>
      <c r="G63" s="25" t="s">
        <v>349</v>
      </c>
      <c r="H63" s="25"/>
      <c r="I63" s="25"/>
      <c r="J63" s="27" t="s">
        <v>145</v>
      </c>
      <c r="K63" s="25" t="str">
        <f aca="false">IFERROR(__xludf.dummyfunction("SPLIT(J63,"" "")"),"Global")</f>
        <v>Global</v>
      </c>
      <c r="L63" s="8"/>
      <c r="M63" s="25"/>
      <c r="N63" s="25"/>
      <c r="O63" s="25"/>
      <c r="P63" s="25"/>
      <c r="Q63" s="29" t="s">
        <v>350</v>
      </c>
      <c r="R63" s="8" t="str">
        <f aca="false">B63&amp;" "&amp;C63&amp;" "&amp;D63&amp;" "&amp;E63&amp;" "&amp;G63&amp;" "&amp;H63&amp;" "&amp;J63&amp;" "&amp;N63</f>
        <v>BMI Price Graphite Flake Graphite  90-93% C  Global </v>
      </c>
      <c r="S63" s="25"/>
      <c r="T63" s="8"/>
      <c r="U63" s="8"/>
      <c r="V63" s="27" t="s">
        <v>49</v>
      </c>
      <c r="W63" s="25"/>
      <c r="X63" s="25"/>
      <c r="Y63" s="25"/>
      <c r="Z63" s="25"/>
      <c r="AA63" s="25"/>
      <c r="AB63" s="25"/>
      <c r="AC63" s="25"/>
      <c r="AD63" s="25"/>
    </row>
    <row r="64" customFormat="false" ht="15.75" hidden="false" customHeight="false" outlineLevel="0" collapsed="false">
      <c r="A64" s="28" t="s">
        <v>351</v>
      </c>
      <c r="B64" s="27" t="s">
        <v>155</v>
      </c>
      <c r="C64" s="27" t="s">
        <v>308</v>
      </c>
      <c r="D64" s="25" t="s">
        <v>309</v>
      </c>
      <c r="E64" s="25"/>
      <c r="F64" s="25"/>
      <c r="G64" s="25" t="s">
        <v>349</v>
      </c>
      <c r="H64" s="25"/>
      <c r="I64" s="25"/>
      <c r="J64" s="27" t="s">
        <v>145</v>
      </c>
      <c r="K64" s="25" t="str">
        <f aca="false">IFERROR(__xludf.dummyfunction("SPLIT(J64,"" "")"),"Global")</f>
        <v>Global</v>
      </c>
      <c r="L64" s="8"/>
      <c r="M64" s="25"/>
      <c r="N64" s="25"/>
      <c r="O64" s="25"/>
      <c r="P64" s="25"/>
      <c r="Q64" s="29" t="s">
        <v>352</v>
      </c>
      <c r="R64" s="8" t="str">
        <f aca="false">B64&amp;" "&amp;C64&amp;" "&amp;D64&amp;" "&amp;E64&amp;" "&amp;G64&amp;" "&amp;H64&amp;" "&amp;J64&amp;" "&amp;N64</f>
        <v>BMI Price Graphite Flake Graphite  90-93% C  Global </v>
      </c>
      <c r="S64" s="25"/>
      <c r="T64" s="8"/>
      <c r="U64" s="8"/>
      <c r="V64" s="27" t="s">
        <v>49</v>
      </c>
      <c r="W64" s="25"/>
      <c r="X64" s="25"/>
      <c r="Y64" s="25"/>
      <c r="Z64" s="25"/>
      <c r="AA64" s="25"/>
      <c r="AB64" s="25"/>
      <c r="AC64" s="25"/>
      <c r="AD64" s="25"/>
    </row>
    <row r="65" customFormat="false" ht="15.75" hidden="false" customHeight="false" outlineLevel="0" collapsed="false">
      <c r="A65" s="28" t="s">
        <v>353</v>
      </c>
      <c r="B65" s="27" t="s">
        <v>155</v>
      </c>
      <c r="C65" s="27" t="s">
        <v>308</v>
      </c>
      <c r="D65" s="25" t="s">
        <v>309</v>
      </c>
      <c r="E65" s="25"/>
      <c r="F65" s="25"/>
      <c r="G65" s="25" t="s">
        <v>310</v>
      </c>
      <c r="H65" s="25"/>
      <c r="I65" s="25"/>
      <c r="J65" s="27" t="s">
        <v>145</v>
      </c>
      <c r="K65" s="25" t="str">
        <f aca="false">IFERROR(__xludf.dummyfunction("SPLIT(J65,"" "")"),"Global")</f>
        <v>Global</v>
      </c>
      <c r="L65" s="8"/>
      <c r="M65" s="25"/>
      <c r="N65" s="25"/>
      <c r="O65" s="25"/>
      <c r="P65" s="25"/>
      <c r="Q65" s="29" t="s">
        <v>354</v>
      </c>
      <c r="R65" s="8" t="str">
        <f aca="false">B65&amp;" "&amp;C65&amp;" "&amp;D65&amp;" "&amp;E65&amp;" "&amp;G65&amp;" "&amp;H65&amp;" "&amp;J65&amp;" "&amp;N65</f>
        <v>BMI Price Graphite Flake Graphite  94-95% C  Global </v>
      </c>
      <c r="S65" s="25"/>
      <c r="T65" s="8"/>
      <c r="U65" s="8"/>
      <c r="V65" s="27" t="s">
        <v>49</v>
      </c>
      <c r="W65" s="25"/>
      <c r="X65" s="25"/>
      <c r="Y65" s="25"/>
      <c r="Z65" s="25"/>
      <c r="AA65" s="25"/>
      <c r="AB65" s="25"/>
      <c r="AC65" s="25"/>
      <c r="AD65" s="25"/>
    </row>
    <row r="66" customFormat="false" ht="15.75" hidden="false" customHeight="false" outlineLevel="0" collapsed="false">
      <c r="A66" s="28" t="s">
        <v>355</v>
      </c>
      <c r="B66" s="27" t="s">
        <v>155</v>
      </c>
      <c r="C66" s="27" t="s">
        <v>308</v>
      </c>
      <c r="D66" s="25" t="s">
        <v>309</v>
      </c>
      <c r="E66" s="25"/>
      <c r="F66" s="25"/>
      <c r="G66" s="25" t="s">
        <v>310</v>
      </c>
      <c r="H66" s="25"/>
      <c r="I66" s="25"/>
      <c r="J66" s="27" t="s">
        <v>145</v>
      </c>
      <c r="K66" s="25" t="str">
        <f aca="false">IFERROR(__xludf.dummyfunction("SPLIT(J66,"" "")"),"Global")</f>
        <v>Global</v>
      </c>
      <c r="L66" s="8"/>
      <c r="M66" s="25"/>
      <c r="N66" s="25"/>
      <c r="O66" s="25"/>
      <c r="P66" s="25"/>
      <c r="Q66" s="29" t="s">
        <v>356</v>
      </c>
      <c r="R66" s="8" t="str">
        <f aca="false">B66&amp;" "&amp;C66&amp;" "&amp;D66&amp;" "&amp;E66&amp;" "&amp;G66&amp;" "&amp;H66&amp;" "&amp;J66&amp;" "&amp;N66</f>
        <v>BMI Price Graphite Flake Graphite  94-95% C  Global </v>
      </c>
      <c r="S66" s="25"/>
      <c r="T66" s="8"/>
      <c r="U66" s="8"/>
      <c r="V66" s="27" t="s">
        <v>49</v>
      </c>
      <c r="W66" s="25"/>
      <c r="X66" s="25"/>
      <c r="Y66" s="25"/>
      <c r="Z66" s="25"/>
      <c r="AA66" s="25"/>
      <c r="AB66" s="25"/>
      <c r="AC66" s="25"/>
      <c r="AD66" s="25"/>
    </row>
    <row r="67" customFormat="false" ht="15.75" hidden="false" customHeight="false" outlineLevel="0" collapsed="false">
      <c r="A67" s="28" t="s">
        <v>357</v>
      </c>
      <c r="B67" s="27" t="s">
        <v>155</v>
      </c>
      <c r="C67" s="27" t="s">
        <v>308</v>
      </c>
      <c r="D67" s="25" t="s">
        <v>342</v>
      </c>
      <c r="E67" s="25"/>
      <c r="F67" s="25"/>
      <c r="G67" s="25"/>
      <c r="H67" s="25"/>
      <c r="I67" s="25"/>
      <c r="J67" s="27" t="s">
        <v>145</v>
      </c>
      <c r="K67" s="25" t="str">
        <f aca="false">IFERROR(__xludf.dummyfunction("SPLIT(J67,"" "")"),"Global")</f>
        <v>Global</v>
      </c>
      <c r="L67" s="8"/>
      <c r="M67" s="25"/>
      <c r="N67" s="25"/>
      <c r="O67" s="25"/>
      <c r="P67" s="25"/>
      <c r="Q67" s="29" t="s">
        <v>358</v>
      </c>
      <c r="R67" s="8" t="str">
        <f aca="false">B67&amp;" "&amp;C67&amp;" "&amp;D67&amp;" "&amp;E67&amp;" "&amp;G67&amp;" "&amp;H67&amp;" "&amp;J67&amp;" "&amp;N67</f>
        <v>BMI Price Graphite Spherical Uncoated Graphite    Global </v>
      </c>
      <c r="S67" s="25"/>
      <c r="T67" s="8"/>
      <c r="U67" s="8"/>
      <c r="V67" s="27" t="s">
        <v>49</v>
      </c>
      <c r="W67" s="25"/>
      <c r="X67" s="25"/>
      <c r="Y67" s="25"/>
      <c r="Z67" s="25"/>
      <c r="AA67" s="25"/>
      <c r="AB67" s="25"/>
      <c r="AC67" s="25"/>
      <c r="AD67" s="25"/>
    </row>
    <row r="68" customFormat="false" ht="15.75" hidden="false" customHeight="false" outlineLevel="0" collapsed="false">
      <c r="A68" s="28" t="s">
        <v>359</v>
      </c>
      <c r="B68" s="27" t="s">
        <v>155</v>
      </c>
      <c r="C68" s="27" t="s">
        <v>360</v>
      </c>
      <c r="D68" s="25"/>
      <c r="E68" s="25"/>
      <c r="F68" s="25"/>
      <c r="G68" s="25"/>
      <c r="H68" s="25"/>
      <c r="I68" s="25"/>
      <c r="J68" s="27" t="s">
        <v>145</v>
      </c>
      <c r="K68" s="25" t="str">
        <f aca="false">IFERROR(__xludf.dummyfunction("SPLIT(J68,"" "")"),"Global")</f>
        <v>Global</v>
      </c>
      <c r="L68" s="8"/>
      <c r="M68" s="25"/>
      <c r="N68" s="25"/>
      <c r="O68" s="25"/>
      <c r="P68" s="25"/>
      <c r="Q68" s="29" t="s">
        <v>361</v>
      </c>
      <c r="R68" s="8" t="str">
        <f aca="false">B68&amp;" "&amp;C68&amp;" "&amp;D68&amp;" "&amp;E68&amp;" "&amp;G68&amp;" "&amp;H68&amp;" "&amp;J68&amp;" "&amp;N68</f>
        <v>BMI Price Lithium     Global </v>
      </c>
      <c r="S68" s="25"/>
      <c r="T68" s="8"/>
      <c r="U68" s="8"/>
      <c r="V68" s="27" t="s">
        <v>49</v>
      </c>
      <c r="W68" s="25"/>
      <c r="X68" s="25"/>
      <c r="Y68" s="25"/>
      <c r="Z68" s="25"/>
      <c r="AA68" s="25"/>
      <c r="AB68" s="25"/>
      <c r="AC68" s="25"/>
      <c r="AD68" s="25"/>
    </row>
    <row r="69" customFormat="false" ht="15.75" hidden="false" customHeight="false" outlineLevel="0" collapsed="false">
      <c r="A69" s="28" t="s">
        <v>362</v>
      </c>
      <c r="B69" s="27" t="s">
        <v>155</v>
      </c>
      <c r="C69" s="27" t="s">
        <v>360</v>
      </c>
      <c r="D69" s="25"/>
      <c r="E69" s="25"/>
      <c r="F69" s="25"/>
      <c r="G69" s="25"/>
      <c r="H69" s="25"/>
      <c r="I69" s="25"/>
      <c r="J69" s="27" t="s">
        <v>145</v>
      </c>
      <c r="K69" s="25" t="str">
        <f aca="false">IFERROR(__xludf.dummyfunction("SPLIT(J69,"" "")"),"Global")</f>
        <v>Global</v>
      </c>
      <c r="L69" s="8"/>
      <c r="M69" s="25"/>
      <c r="N69" s="25"/>
      <c r="O69" s="25"/>
      <c r="P69" s="25"/>
      <c r="Q69" s="29" t="s">
        <v>363</v>
      </c>
      <c r="R69" s="8" t="str">
        <f aca="false">B69&amp;" "&amp;C69&amp;" "&amp;D69&amp;" "&amp;E69&amp;" "&amp;G69&amp;" "&amp;H69&amp;" "&amp;J69&amp;" "&amp;N69</f>
        <v>BMI Price Lithium     Global </v>
      </c>
      <c r="S69" s="25"/>
      <c r="T69" s="8"/>
      <c r="U69" s="8"/>
      <c r="V69" s="27" t="s">
        <v>49</v>
      </c>
      <c r="W69" s="25"/>
      <c r="X69" s="25"/>
      <c r="Y69" s="25"/>
      <c r="Z69" s="25"/>
      <c r="AA69" s="25"/>
      <c r="AB69" s="25"/>
      <c r="AC69" s="25"/>
      <c r="AD69" s="25"/>
    </row>
    <row r="70" customFormat="false" ht="15.75" hidden="false" customHeight="false" outlineLevel="0" collapsed="false">
      <c r="A70" s="28" t="s">
        <v>364</v>
      </c>
      <c r="B70" s="27" t="s">
        <v>155</v>
      </c>
      <c r="C70" s="27" t="s">
        <v>360</v>
      </c>
      <c r="D70" s="25"/>
      <c r="E70" s="25"/>
      <c r="F70" s="25"/>
      <c r="G70" s="25"/>
      <c r="H70" s="25"/>
      <c r="I70" s="25"/>
      <c r="J70" s="27" t="s">
        <v>145</v>
      </c>
      <c r="K70" s="25" t="str">
        <f aca="false">IFERROR(__xludf.dummyfunction("SPLIT(J70,"" "")"),"Global")</f>
        <v>Global</v>
      </c>
      <c r="L70" s="8"/>
      <c r="M70" s="25"/>
      <c r="N70" s="25"/>
      <c r="O70" s="25"/>
      <c r="P70" s="25"/>
      <c r="Q70" s="29" t="s">
        <v>361</v>
      </c>
      <c r="R70" s="8" t="str">
        <f aca="false">B70&amp;" "&amp;C70&amp;" "&amp;D70&amp;" "&amp;E70&amp;" "&amp;G70&amp;" "&amp;H70&amp;" "&amp;J70&amp;" "&amp;N70</f>
        <v>BMI Price Lithium     Global </v>
      </c>
      <c r="S70" s="25"/>
      <c r="T70" s="8"/>
      <c r="U70" s="8"/>
      <c r="V70" s="27" t="s">
        <v>49</v>
      </c>
      <c r="W70" s="25"/>
      <c r="X70" s="25"/>
      <c r="Y70" s="25"/>
      <c r="Z70" s="25"/>
      <c r="AA70" s="25"/>
      <c r="AB70" s="25"/>
      <c r="AC70" s="25"/>
      <c r="AD70" s="25"/>
    </row>
    <row r="71" customFormat="false" ht="15.75" hidden="false" customHeight="false" outlineLevel="0" collapsed="false">
      <c r="A71" s="28" t="s">
        <v>365</v>
      </c>
      <c r="B71" s="27" t="s">
        <v>155</v>
      </c>
      <c r="C71" s="27" t="s">
        <v>360</v>
      </c>
      <c r="D71" s="25"/>
      <c r="E71" s="25"/>
      <c r="F71" s="25"/>
      <c r="G71" s="25"/>
      <c r="H71" s="25"/>
      <c r="I71" s="25"/>
      <c r="J71" s="27" t="s">
        <v>145</v>
      </c>
      <c r="K71" s="25" t="str">
        <f aca="false">IFERROR(__xludf.dummyfunction("SPLIT(J71,"" "")"),"Global")</f>
        <v>Global</v>
      </c>
      <c r="L71" s="8"/>
      <c r="M71" s="25"/>
      <c r="N71" s="25"/>
      <c r="O71" s="25"/>
      <c r="P71" s="25"/>
      <c r="Q71" s="29" t="s">
        <v>366</v>
      </c>
      <c r="R71" s="8" t="str">
        <f aca="false">B71&amp;" "&amp;C71&amp;" "&amp;D71&amp;" "&amp;E71&amp;" "&amp;G71&amp;" "&amp;H71&amp;" "&amp;J71&amp;" "&amp;N71</f>
        <v>BMI Price Lithium     Global </v>
      </c>
      <c r="S71" s="25"/>
      <c r="T71" s="8"/>
      <c r="U71" s="8"/>
      <c r="V71" s="27" t="s">
        <v>49</v>
      </c>
      <c r="W71" s="25"/>
      <c r="X71" s="25"/>
      <c r="Y71" s="25"/>
      <c r="Z71" s="25"/>
      <c r="AA71" s="25"/>
      <c r="AB71" s="25"/>
      <c r="AC71" s="25"/>
      <c r="AD71" s="25"/>
    </row>
    <row r="72" customFormat="false" ht="15.75" hidden="false" customHeight="false" outlineLevel="0" collapsed="false">
      <c r="A72" s="28" t="s">
        <v>367</v>
      </c>
      <c r="B72" s="27" t="s">
        <v>155</v>
      </c>
      <c r="C72" s="27" t="s">
        <v>360</v>
      </c>
      <c r="D72" s="25"/>
      <c r="E72" s="25"/>
      <c r="F72" s="25"/>
      <c r="G72" s="25"/>
      <c r="H72" s="25"/>
      <c r="I72" s="25"/>
      <c r="J72" s="27" t="s">
        <v>145</v>
      </c>
      <c r="K72" s="25" t="str">
        <f aca="false">IFERROR(__xludf.dummyfunction("SPLIT(J72,"" "")"),"Global")</f>
        <v>Global</v>
      </c>
      <c r="L72" s="8"/>
      <c r="M72" s="25"/>
      <c r="N72" s="25"/>
      <c r="O72" s="25"/>
      <c r="P72" s="25"/>
      <c r="Q72" s="29" t="s">
        <v>368</v>
      </c>
      <c r="R72" s="8" t="str">
        <f aca="false">B72&amp;" "&amp;C72&amp;" "&amp;D72&amp;" "&amp;E72&amp;" "&amp;G72&amp;" "&amp;H72&amp;" "&amp;J72&amp;" "&amp;N72</f>
        <v>BMI Price Lithium     Global </v>
      </c>
      <c r="S72" s="25"/>
      <c r="T72" s="8"/>
      <c r="U72" s="8"/>
      <c r="V72" s="27" t="s">
        <v>49</v>
      </c>
      <c r="W72" s="25"/>
      <c r="X72" s="25"/>
      <c r="Y72" s="25"/>
      <c r="Z72" s="25"/>
      <c r="AA72" s="25"/>
      <c r="AB72" s="25"/>
      <c r="AC72" s="25"/>
      <c r="AD72" s="25"/>
    </row>
    <row r="73" customFormat="false" ht="15.75" hidden="false" customHeight="false" outlineLevel="0" collapsed="false">
      <c r="A73" s="28" t="s">
        <v>369</v>
      </c>
      <c r="B73" s="27" t="s">
        <v>144</v>
      </c>
      <c r="C73" s="27" t="s">
        <v>370</v>
      </c>
      <c r="D73" s="25" t="s">
        <v>371</v>
      </c>
      <c r="E73" s="25"/>
      <c r="F73" s="25"/>
      <c r="G73" s="25"/>
      <c r="H73" s="25"/>
      <c r="I73" s="25"/>
      <c r="J73" s="27" t="s">
        <v>145</v>
      </c>
      <c r="K73" s="25" t="str">
        <f aca="false">IFERROR(__xludf.dummyfunction("SPLIT(J73,"" "")"),"Global")</f>
        <v>Global</v>
      </c>
      <c r="L73" s="8"/>
      <c r="M73" s="25"/>
      <c r="N73" s="25"/>
      <c r="O73" s="25"/>
      <c r="P73" s="25"/>
      <c r="Q73" s="29" t="s">
        <v>371</v>
      </c>
      <c r="R73" s="8" t="str">
        <f aca="false">B73&amp;" "&amp;C73&amp;" "&amp;D73&amp;" "&amp;E73&amp;" "&amp;G73&amp;" "&amp;H73&amp;" "&amp;J73&amp;" "&amp;N73</f>
        <v>Global Indicator Manganese Manganese Sulphate    Global </v>
      </c>
      <c r="S73" s="25"/>
      <c r="T73" s="8"/>
      <c r="U73" s="8"/>
      <c r="V73" s="27" t="s">
        <v>49</v>
      </c>
      <c r="W73" s="25"/>
      <c r="X73" s="25"/>
      <c r="Y73" s="25"/>
      <c r="Z73" s="25"/>
      <c r="AA73" s="25"/>
      <c r="AB73" s="25"/>
      <c r="AC73" s="25"/>
      <c r="AD73" s="25"/>
    </row>
    <row r="74" customFormat="false" ht="15.75" hidden="false" customHeight="false" outlineLevel="0" collapsed="false">
      <c r="A74" s="28" t="s">
        <v>372</v>
      </c>
      <c r="B74" s="27" t="s">
        <v>144</v>
      </c>
      <c r="C74" s="27" t="s">
        <v>370</v>
      </c>
      <c r="D74" s="25" t="s">
        <v>373</v>
      </c>
      <c r="E74" s="25"/>
      <c r="F74" s="25"/>
      <c r="G74" s="25"/>
      <c r="H74" s="25"/>
      <c r="I74" s="25"/>
      <c r="J74" s="27" t="s">
        <v>145</v>
      </c>
      <c r="K74" s="25" t="str">
        <f aca="false">IFERROR(__xludf.dummyfunction("SPLIT(J74,"" "")"),"Global")</f>
        <v>Global</v>
      </c>
      <c r="L74" s="8"/>
      <c r="M74" s="25"/>
      <c r="N74" s="25"/>
      <c r="O74" s="25"/>
      <c r="P74" s="25"/>
      <c r="Q74" s="29" t="s">
        <v>374</v>
      </c>
      <c r="R74" s="8" t="str">
        <f aca="false">B74&amp;" "&amp;C74&amp;" "&amp;D74&amp;" "&amp;E74&amp;" "&amp;G74&amp;" "&amp;H74&amp;" "&amp;J74&amp;" "&amp;N74</f>
        <v>Global Indicator Manganese Electrolytic Manganese    Global </v>
      </c>
      <c r="S74" s="25"/>
      <c r="T74" s="8"/>
      <c r="U74" s="8"/>
      <c r="V74" s="27" t="s">
        <v>49</v>
      </c>
      <c r="W74" s="25"/>
      <c r="X74" s="25"/>
      <c r="Y74" s="25"/>
      <c r="Z74" s="25"/>
      <c r="AA74" s="25"/>
      <c r="AB74" s="25"/>
      <c r="AC74" s="25"/>
      <c r="AD74" s="25"/>
    </row>
    <row r="75" customFormat="false" ht="15.75" hidden="false" customHeight="false" outlineLevel="0" collapsed="false">
      <c r="A75" s="28" t="s">
        <v>375</v>
      </c>
      <c r="B75" s="27" t="s">
        <v>144</v>
      </c>
      <c r="C75" s="27" t="s">
        <v>376</v>
      </c>
      <c r="D75" s="25"/>
      <c r="E75" s="25"/>
      <c r="F75" s="25"/>
      <c r="G75" s="25"/>
      <c r="H75" s="25"/>
      <c r="I75" s="25"/>
      <c r="J75" s="27" t="s">
        <v>145</v>
      </c>
      <c r="K75" s="25" t="str">
        <f aca="false">IFERROR(__xludf.dummyfunction("SPLIT(J75,"" "")"),"Global")</f>
        <v>Global</v>
      </c>
      <c r="L75" s="8"/>
      <c r="M75" s="25"/>
      <c r="N75" s="25"/>
      <c r="O75" s="25"/>
      <c r="P75" s="25"/>
      <c r="Q75" s="29" t="s">
        <v>377</v>
      </c>
      <c r="R75" s="8" t="str">
        <f aca="false">B75&amp;" "&amp;C75&amp;" "&amp;D75&amp;" "&amp;E75&amp;" "&amp;G75&amp;" "&amp;H75&amp;" "&amp;J75&amp;" "&amp;N75</f>
        <v>Global Indicator Nickel     Global </v>
      </c>
      <c r="S75" s="25"/>
      <c r="T75" s="8"/>
      <c r="U75" s="8"/>
      <c r="V75" s="27" t="s">
        <v>49</v>
      </c>
      <c r="W75" s="25"/>
      <c r="X75" s="25"/>
      <c r="Y75" s="25"/>
      <c r="Z75" s="25"/>
      <c r="AA75" s="25"/>
      <c r="AB75" s="25"/>
      <c r="AC75" s="25"/>
      <c r="AD75" s="25"/>
    </row>
    <row r="76" customFormat="false" ht="15.75" hidden="false" customHeight="false" outlineLevel="0" collapsed="false">
      <c r="A76" s="28" t="s">
        <v>378</v>
      </c>
      <c r="B76" s="27" t="s">
        <v>144</v>
      </c>
      <c r="C76" s="27" t="s">
        <v>376</v>
      </c>
      <c r="D76" s="25"/>
      <c r="E76" s="25"/>
      <c r="F76" s="25"/>
      <c r="G76" s="25"/>
      <c r="H76" s="25"/>
      <c r="I76" s="25"/>
      <c r="J76" s="27" t="s">
        <v>145</v>
      </c>
      <c r="K76" s="25" t="str">
        <f aca="false">IFERROR(__xludf.dummyfunction("SPLIT(J76,"" "")"),"Global")</f>
        <v>Global</v>
      </c>
      <c r="L76" s="8"/>
      <c r="M76" s="25"/>
      <c r="N76" s="25"/>
      <c r="O76" s="25"/>
      <c r="P76" s="25"/>
      <c r="Q76" s="29" t="s">
        <v>379</v>
      </c>
      <c r="R76" s="8" t="str">
        <f aca="false">B76&amp;" "&amp;C76&amp;" "&amp;D76&amp;" "&amp;E76&amp;" "&amp;G76&amp;" "&amp;H76&amp;" "&amp;J76&amp;" "&amp;N76</f>
        <v>Global Indicator Nickel     Global </v>
      </c>
      <c r="S76" s="25"/>
      <c r="T76" s="8"/>
      <c r="U76" s="8"/>
      <c r="V76" s="27" t="s">
        <v>49</v>
      </c>
      <c r="W76" s="25"/>
      <c r="X76" s="25"/>
      <c r="Y76" s="25"/>
      <c r="Z76" s="25"/>
      <c r="AA76" s="25"/>
      <c r="AB76" s="25"/>
      <c r="AC76" s="25"/>
      <c r="AD76" s="25"/>
    </row>
    <row r="77" customFormat="false" ht="15.75" hidden="false" customHeight="false" outlineLevel="0" collapsed="false">
      <c r="A77" s="28" t="s">
        <v>380</v>
      </c>
      <c r="B77" s="27" t="s">
        <v>144</v>
      </c>
      <c r="C77" s="27" t="s">
        <v>376</v>
      </c>
      <c r="D77" s="25"/>
      <c r="E77" s="25"/>
      <c r="F77" s="25"/>
      <c r="G77" s="25"/>
      <c r="H77" s="25"/>
      <c r="I77" s="25"/>
      <c r="J77" s="27" t="s">
        <v>145</v>
      </c>
      <c r="K77" s="25" t="str">
        <f aca="false">IFERROR(__xludf.dummyfunction("SPLIT(J77,"" "")"),"Global")</f>
        <v>Global</v>
      </c>
      <c r="L77" s="8"/>
      <c r="M77" s="25"/>
      <c r="N77" s="25"/>
      <c r="O77" s="25"/>
      <c r="P77" s="25"/>
      <c r="Q77" s="29" t="s">
        <v>381</v>
      </c>
      <c r="R77" s="8" t="str">
        <f aca="false">B77&amp;" "&amp;C77&amp;" "&amp;D77&amp;" "&amp;E77&amp;" "&amp;G77&amp;" "&amp;H77&amp;" "&amp;J77&amp;" "&amp;N77</f>
        <v>Global Indicator Nickel     Global </v>
      </c>
      <c r="S77" s="25"/>
      <c r="T77" s="8"/>
      <c r="U77" s="8"/>
      <c r="V77" s="27" t="s">
        <v>49</v>
      </c>
      <c r="W77" s="25"/>
      <c r="X77" s="25"/>
      <c r="Y77" s="25"/>
      <c r="Z77" s="25"/>
      <c r="AA77" s="25"/>
      <c r="AB77" s="25"/>
      <c r="AC77" s="25"/>
      <c r="AD77" s="25"/>
    </row>
    <row r="78" customFormat="false" ht="15.75" hidden="false" customHeight="false" outlineLevel="0" collapsed="false">
      <c r="A78" s="28" t="s">
        <v>382</v>
      </c>
      <c r="B78" s="27" t="s">
        <v>144</v>
      </c>
      <c r="C78" s="27" t="s">
        <v>383</v>
      </c>
      <c r="D78" s="25" t="s">
        <v>384</v>
      </c>
      <c r="E78" s="25"/>
      <c r="F78" s="25"/>
      <c r="G78" s="25"/>
      <c r="H78" s="25"/>
      <c r="I78" s="25"/>
      <c r="J78" s="27" t="s">
        <v>145</v>
      </c>
      <c r="K78" s="25" t="str">
        <f aca="false">IFERROR(__xludf.dummyfunction("SPLIT(J78,"" "")"),"Global")</f>
        <v>Global</v>
      </c>
      <c r="L78" s="8"/>
      <c r="M78" s="25"/>
      <c r="N78" s="25"/>
      <c r="O78" s="25"/>
      <c r="P78" s="25"/>
      <c r="Q78" s="29" t="s">
        <v>385</v>
      </c>
      <c r="R78" s="8" t="str">
        <f aca="false">B78&amp;" "&amp;C78&amp;" "&amp;D78&amp;" "&amp;E78&amp;" "&amp;G78&amp;" "&amp;H78&amp;" "&amp;J78&amp;" "&amp;N78</f>
        <v>Global Indicator Precursor Ferric Phosphate    Global </v>
      </c>
      <c r="S78" s="25"/>
      <c r="T78" s="8"/>
      <c r="U78" s="8"/>
      <c r="V78" s="27" t="s">
        <v>49</v>
      </c>
      <c r="W78" s="25"/>
      <c r="X78" s="25"/>
      <c r="Y78" s="25"/>
      <c r="Z78" s="25"/>
      <c r="AA78" s="25"/>
      <c r="AB78" s="25"/>
      <c r="AC78" s="25"/>
      <c r="AD78" s="25"/>
    </row>
    <row r="79" customFormat="false" ht="15.75" hidden="false" customHeight="false" outlineLevel="0" collapsed="false">
      <c r="A79" s="28" t="s">
        <v>386</v>
      </c>
      <c r="B79" s="27" t="s">
        <v>144</v>
      </c>
      <c r="C79" s="27" t="s">
        <v>383</v>
      </c>
      <c r="D79" s="25" t="s">
        <v>384</v>
      </c>
      <c r="E79" s="25"/>
      <c r="F79" s="25"/>
      <c r="G79" s="25"/>
      <c r="H79" s="25"/>
      <c r="I79" s="25"/>
      <c r="J79" s="27" t="s">
        <v>145</v>
      </c>
      <c r="K79" s="25" t="str">
        <f aca="false">IFERROR(__xludf.dummyfunction("SPLIT(J79,"" "")"),"Global")</f>
        <v>Global</v>
      </c>
      <c r="L79" s="8"/>
      <c r="M79" s="25"/>
      <c r="N79" s="25"/>
      <c r="O79" s="25"/>
      <c r="P79" s="25"/>
      <c r="Q79" s="29" t="s">
        <v>387</v>
      </c>
      <c r="R79" s="8" t="str">
        <f aca="false">B79&amp;" "&amp;C79&amp;" "&amp;D79&amp;" "&amp;E79&amp;" "&amp;G79&amp;" "&amp;H79&amp;" "&amp;J79&amp;" "&amp;N79</f>
        <v>Global Indicator Precursor Ferric Phosphate    Global </v>
      </c>
      <c r="S79" s="25"/>
      <c r="T79" s="8"/>
      <c r="U79" s="8"/>
      <c r="V79" s="27" t="s">
        <v>49</v>
      </c>
      <c r="W79" s="25"/>
      <c r="X79" s="25"/>
      <c r="Y79" s="25"/>
      <c r="Z79" s="25"/>
      <c r="AA79" s="25"/>
      <c r="AB79" s="25"/>
      <c r="AC79" s="25"/>
      <c r="AD79" s="25"/>
    </row>
    <row r="80" customFormat="false" ht="15.75" hidden="false" customHeight="false" outlineLevel="0" collapsed="false">
      <c r="A80" s="28" t="s">
        <v>388</v>
      </c>
      <c r="B80" s="27" t="s">
        <v>144</v>
      </c>
      <c r="C80" s="27" t="s">
        <v>383</v>
      </c>
      <c r="D80" s="25"/>
      <c r="E80" s="25"/>
      <c r="F80" s="25"/>
      <c r="G80" s="25"/>
      <c r="H80" s="25"/>
      <c r="I80" s="25"/>
      <c r="J80" s="27" t="s">
        <v>145</v>
      </c>
      <c r="K80" s="25" t="str">
        <f aca="false">IFERROR(__xludf.dummyfunction("SPLIT(J80,"" "")"),"Global")</f>
        <v>Global</v>
      </c>
      <c r="L80" s="8"/>
      <c r="M80" s="25"/>
      <c r="N80" s="25"/>
      <c r="O80" s="25"/>
      <c r="P80" s="25"/>
      <c r="Q80" s="29" t="s">
        <v>389</v>
      </c>
      <c r="R80" s="8" t="str">
        <f aca="false">B80&amp;" "&amp;C80&amp;" "&amp;D80&amp;" "&amp;E80&amp;" "&amp;G80&amp;" "&amp;H80&amp;" "&amp;J80&amp;" "&amp;N80</f>
        <v>Global Indicator Precursor     Global </v>
      </c>
      <c r="S80" s="25"/>
      <c r="T80" s="8"/>
      <c r="U80" s="8"/>
      <c r="V80" s="27" t="s">
        <v>49</v>
      </c>
      <c r="W80" s="25"/>
      <c r="X80" s="25"/>
      <c r="Y80" s="25"/>
      <c r="Z80" s="25"/>
      <c r="AA80" s="25"/>
      <c r="AB80" s="25"/>
      <c r="AC80" s="25"/>
      <c r="AD80" s="25"/>
    </row>
    <row r="81" customFormat="false" ht="15.75" hidden="false" customHeight="false" outlineLevel="0" collapsed="false">
      <c r="A81" s="28" t="s">
        <v>390</v>
      </c>
      <c r="B81" s="27" t="s">
        <v>144</v>
      </c>
      <c r="C81" s="27" t="s">
        <v>383</v>
      </c>
      <c r="D81" s="25"/>
      <c r="E81" s="25"/>
      <c r="F81" s="25"/>
      <c r="G81" s="25"/>
      <c r="H81" s="25"/>
      <c r="I81" s="25"/>
      <c r="J81" s="27" t="s">
        <v>145</v>
      </c>
      <c r="K81" s="25" t="str">
        <f aca="false">IFERROR(__xludf.dummyfunction("SPLIT(J81,"" "")"),"Global")</f>
        <v>Global</v>
      </c>
      <c r="L81" s="8"/>
      <c r="M81" s="25"/>
      <c r="N81" s="25"/>
      <c r="O81" s="25"/>
      <c r="P81" s="25"/>
      <c r="Q81" s="29" t="s">
        <v>391</v>
      </c>
      <c r="R81" s="8" t="str">
        <f aca="false">B81&amp;" "&amp;C81&amp;" "&amp;D81&amp;" "&amp;E81&amp;" "&amp;G81&amp;" "&amp;H81&amp;" "&amp;J81&amp;" "&amp;N81</f>
        <v>Global Indicator Precursor     Global </v>
      </c>
      <c r="S81" s="25"/>
      <c r="T81" s="8"/>
      <c r="U81" s="8"/>
      <c r="V81" s="27" t="s">
        <v>49</v>
      </c>
      <c r="W81" s="25"/>
      <c r="X81" s="25"/>
      <c r="Y81" s="25"/>
      <c r="Z81" s="25"/>
      <c r="AA81" s="25"/>
      <c r="AB81" s="25"/>
      <c r="AC81" s="25"/>
      <c r="AD81" s="25"/>
    </row>
    <row r="82" customFormat="false" ht="15.75" hidden="false" customHeight="false" outlineLevel="0" collapsed="false">
      <c r="A82" s="28" t="s">
        <v>392</v>
      </c>
      <c r="B82" s="27" t="s">
        <v>144</v>
      </c>
      <c r="C82" s="27" t="s">
        <v>383</v>
      </c>
      <c r="D82" s="25"/>
      <c r="E82" s="25"/>
      <c r="F82" s="25"/>
      <c r="G82" s="25"/>
      <c r="H82" s="25"/>
      <c r="I82" s="25"/>
      <c r="J82" s="27" t="s">
        <v>145</v>
      </c>
      <c r="K82" s="25" t="str">
        <f aca="false">IFERROR(__xludf.dummyfunction("SPLIT(J82,"" "")"),"Global")</f>
        <v>Global</v>
      </c>
      <c r="L82" s="8"/>
      <c r="M82" s="25"/>
      <c r="N82" s="25"/>
      <c r="O82" s="25"/>
      <c r="P82" s="25"/>
      <c r="Q82" s="29" t="s">
        <v>393</v>
      </c>
      <c r="R82" s="8" t="str">
        <f aca="false">B82&amp;" "&amp;C82&amp;" "&amp;D82&amp;" "&amp;E82&amp;" "&amp;G82&amp;" "&amp;H82&amp;" "&amp;J82&amp;" "&amp;N82</f>
        <v>Global Indicator Precursor     Global </v>
      </c>
      <c r="S82" s="25"/>
      <c r="T82" s="8"/>
      <c r="U82" s="8"/>
      <c r="V82" s="27" t="s">
        <v>49</v>
      </c>
      <c r="W82" s="25"/>
      <c r="X82" s="25"/>
      <c r="Y82" s="25"/>
      <c r="Z82" s="25"/>
      <c r="AA82" s="25"/>
      <c r="AB82" s="25"/>
      <c r="AC82" s="25"/>
      <c r="AD82" s="25"/>
    </row>
    <row r="83" customFormat="false" ht="15.75" hidden="false" customHeight="false" outlineLevel="0" collapsed="false">
      <c r="A83" s="28" t="s">
        <v>394</v>
      </c>
      <c r="B83" s="27" t="s">
        <v>144</v>
      </c>
      <c r="C83" s="27" t="s">
        <v>383</v>
      </c>
      <c r="D83" s="25"/>
      <c r="E83" s="25"/>
      <c r="F83" s="25"/>
      <c r="G83" s="25"/>
      <c r="H83" s="25"/>
      <c r="I83" s="25"/>
      <c r="J83" s="27" t="s">
        <v>145</v>
      </c>
      <c r="K83" s="25" t="str">
        <f aca="false">IFERROR(__xludf.dummyfunction("SPLIT(J83,"" "")"),"Global")</f>
        <v>Global</v>
      </c>
      <c r="L83" s="8"/>
      <c r="M83" s="25"/>
      <c r="N83" s="25"/>
      <c r="O83" s="25"/>
      <c r="P83" s="25"/>
      <c r="Q83" s="29" t="s">
        <v>395</v>
      </c>
      <c r="R83" s="8" t="str">
        <f aca="false">B83&amp;" "&amp;C83&amp;" "&amp;D83&amp;" "&amp;E83&amp;" "&amp;G83&amp;" "&amp;H83&amp;" "&amp;J83&amp;" "&amp;N83</f>
        <v>Global Indicator Precursor     Global </v>
      </c>
      <c r="S83" s="25"/>
      <c r="T83" s="8"/>
      <c r="U83" s="8"/>
      <c r="V83" s="27" t="s">
        <v>49</v>
      </c>
      <c r="W83" s="25"/>
      <c r="X83" s="25"/>
      <c r="Y83" s="25"/>
      <c r="Z83" s="25"/>
      <c r="AA83" s="25"/>
      <c r="AB83" s="25"/>
      <c r="AC83" s="25"/>
      <c r="AD83" s="25"/>
    </row>
    <row r="84" customFormat="false" ht="15.75" hidden="false" customHeight="false" outlineLevel="0" collapsed="false">
      <c r="A84" s="28" t="s">
        <v>396</v>
      </c>
      <c r="B84" s="27" t="s">
        <v>144</v>
      </c>
      <c r="C84" s="27" t="s">
        <v>383</v>
      </c>
      <c r="D84" s="25"/>
      <c r="E84" s="25"/>
      <c r="F84" s="25"/>
      <c r="G84" s="25"/>
      <c r="H84" s="25"/>
      <c r="I84" s="25"/>
      <c r="J84" s="27" t="s">
        <v>145</v>
      </c>
      <c r="K84" s="25" t="str">
        <f aca="false">IFERROR(__xludf.dummyfunction("SPLIT(J84,"" "")"),"Global")</f>
        <v>Global</v>
      </c>
      <c r="L84" s="8"/>
      <c r="M84" s="25"/>
      <c r="N84" s="25"/>
      <c r="O84" s="25"/>
      <c r="P84" s="25"/>
      <c r="Q84" s="29" t="s">
        <v>259</v>
      </c>
      <c r="R84" s="8" t="str">
        <f aca="false">B84&amp;" "&amp;C84&amp;" "&amp;D84&amp;" "&amp;E84&amp;" "&amp;G84&amp;" "&amp;H84&amp;" "&amp;J84&amp;" "&amp;N84</f>
        <v>Global Indicator Precursor     Global </v>
      </c>
      <c r="S84" s="25"/>
      <c r="T84" s="8"/>
      <c r="U84" s="8"/>
      <c r="V84" s="27" t="s">
        <v>49</v>
      </c>
      <c r="W84" s="25"/>
      <c r="X84" s="25"/>
      <c r="Y84" s="25"/>
      <c r="Z84" s="25"/>
      <c r="AA84" s="25"/>
      <c r="AB84" s="25"/>
      <c r="AC84" s="25"/>
      <c r="AD84" s="25"/>
    </row>
    <row r="85" customFormat="false" ht="15.75" hidden="false" customHeight="false" outlineLevel="0" collapsed="false">
      <c r="A85" s="28" t="s">
        <v>397</v>
      </c>
      <c r="B85" s="27" t="s">
        <v>144</v>
      </c>
      <c r="C85" s="27" t="s">
        <v>383</v>
      </c>
      <c r="D85" s="25"/>
      <c r="E85" s="25"/>
      <c r="F85" s="25"/>
      <c r="G85" s="25"/>
      <c r="H85" s="25"/>
      <c r="I85" s="25"/>
      <c r="J85" s="27" t="s">
        <v>145</v>
      </c>
      <c r="K85" s="25" t="str">
        <f aca="false">IFERROR(__xludf.dummyfunction("SPLIT(J85,"" "")"),"Global")</f>
        <v>Global</v>
      </c>
      <c r="L85" s="8"/>
      <c r="M85" s="25"/>
      <c r="N85" s="25"/>
      <c r="O85" s="25"/>
      <c r="P85" s="25"/>
      <c r="Q85" s="29" t="s">
        <v>398</v>
      </c>
      <c r="R85" s="8" t="str">
        <f aca="false">B85&amp;" "&amp;C85&amp;" "&amp;D85&amp;" "&amp;E85&amp;" "&amp;G85&amp;" "&amp;H85&amp;" "&amp;J85&amp;" "&amp;N85</f>
        <v>Global Indicator Precursor     Global </v>
      </c>
      <c r="S85" s="25"/>
      <c r="T85" s="8"/>
      <c r="U85" s="8"/>
      <c r="V85" s="27" t="s">
        <v>49</v>
      </c>
      <c r="W85" s="25"/>
      <c r="X85" s="25"/>
      <c r="Y85" s="25"/>
      <c r="Z85" s="25"/>
      <c r="AA85" s="25"/>
      <c r="AB85" s="25"/>
      <c r="AC85" s="25"/>
      <c r="AD85" s="25"/>
    </row>
    <row r="86" customFormat="false" ht="15.75" hidden="false" customHeight="false" outlineLevel="0" collapsed="false">
      <c r="A86" s="28" t="s">
        <v>399</v>
      </c>
      <c r="B86" s="27" t="s">
        <v>144</v>
      </c>
      <c r="C86" s="27" t="s">
        <v>383</v>
      </c>
      <c r="D86" s="25"/>
      <c r="E86" s="25"/>
      <c r="F86" s="25"/>
      <c r="G86" s="25"/>
      <c r="H86" s="25"/>
      <c r="I86" s="25"/>
      <c r="J86" s="27" t="s">
        <v>145</v>
      </c>
      <c r="K86" s="25" t="str">
        <f aca="false">IFERROR(__xludf.dummyfunction("SPLIT(J86,"" "")"),"Global")</f>
        <v>Global</v>
      </c>
      <c r="L86" s="8"/>
      <c r="M86" s="25"/>
      <c r="N86" s="25"/>
      <c r="O86" s="25"/>
      <c r="P86" s="25"/>
      <c r="Q86" s="29" t="s">
        <v>400</v>
      </c>
      <c r="R86" s="8" t="str">
        <f aca="false">B86&amp;" "&amp;C86&amp;" "&amp;D86&amp;" "&amp;E86&amp;" "&amp;G86&amp;" "&amp;H86&amp;" "&amp;J86&amp;" "&amp;N86</f>
        <v>Global Indicator Precursor     Global </v>
      </c>
      <c r="S86" s="25"/>
      <c r="T86" s="8"/>
      <c r="U86" s="8"/>
      <c r="V86" s="27" t="s">
        <v>49</v>
      </c>
      <c r="W86" s="25"/>
      <c r="X86" s="25"/>
      <c r="Y86" s="25"/>
      <c r="Z86" s="25"/>
      <c r="AA86" s="25"/>
      <c r="AB86" s="25"/>
      <c r="AC86" s="25"/>
      <c r="AD86" s="25"/>
    </row>
    <row r="87" customFormat="false" ht="15.75" hidden="false" customHeight="false" outlineLevel="0" collapsed="false">
      <c r="A87" s="28" t="s">
        <v>401</v>
      </c>
      <c r="B87" s="27" t="s">
        <v>144</v>
      </c>
      <c r="C87" s="27" t="s">
        <v>383</v>
      </c>
      <c r="D87" s="25"/>
      <c r="E87" s="25"/>
      <c r="F87" s="25"/>
      <c r="G87" s="25"/>
      <c r="H87" s="25"/>
      <c r="I87" s="25"/>
      <c r="J87" s="27" t="s">
        <v>145</v>
      </c>
      <c r="K87" s="25" t="str">
        <f aca="false">IFERROR(__xludf.dummyfunction("SPLIT(J87,"" "")"),"Global")</f>
        <v>Global</v>
      </c>
      <c r="L87" s="8"/>
      <c r="M87" s="25"/>
      <c r="N87" s="25"/>
      <c r="O87" s="25"/>
      <c r="P87" s="25"/>
      <c r="Q87" s="29" t="s">
        <v>402</v>
      </c>
      <c r="R87" s="8" t="str">
        <f aca="false">B87&amp;" "&amp;C87&amp;" "&amp;D87&amp;" "&amp;E87&amp;" "&amp;G87&amp;" "&amp;H87&amp;" "&amp;J87&amp;" "&amp;N87</f>
        <v>Global Indicator Precursor     Global </v>
      </c>
      <c r="S87" s="25"/>
      <c r="T87" s="8"/>
      <c r="U87" s="8"/>
      <c r="V87" s="27" t="s">
        <v>49</v>
      </c>
      <c r="W87" s="25"/>
      <c r="X87" s="25"/>
      <c r="Y87" s="25"/>
      <c r="Z87" s="25"/>
      <c r="AA87" s="25"/>
      <c r="AB87" s="25"/>
      <c r="AC87" s="25"/>
      <c r="AD87" s="25"/>
    </row>
    <row r="88" customFormat="false" ht="15.75" hidden="false" customHeight="false" outlineLevel="0" collapsed="false">
      <c r="A88" s="28" t="s">
        <v>403</v>
      </c>
      <c r="B88" s="27" t="s">
        <v>144</v>
      </c>
      <c r="C88" s="27" t="s">
        <v>383</v>
      </c>
      <c r="D88" s="25"/>
      <c r="E88" s="25"/>
      <c r="F88" s="25"/>
      <c r="G88" s="25"/>
      <c r="H88" s="25"/>
      <c r="I88" s="25"/>
      <c r="J88" s="27" t="s">
        <v>145</v>
      </c>
      <c r="K88" s="25" t="str">
        <f aca="false">IFERROR(__xludf.dummyfunction("SPLIT(J88,"" "")"),"Global")</f>
        <v>Global</v>
      </c>
      <c r="L88" s="8"/>
      <c r="M88" s="25"/>
      <c r="N88" s="25"/>
      <c r="O88" s="25"/>
      <c r="P88" s="25"/>
      <c r="Q88" s="29" t="s">
        <v>404</v>
      </c>
      <c r="R88" s="8" t="str">
        <f aca="false">B88&amp;" "&amp;C88&amp;" "&amp;D88&amp;" "&amp;E88&amp;" "&amp;G88&amp;" "&amp;H88&amp;" "&amp;J88&amp;" "&amp;N88</f>
        <v>Global Indicator Precursor     Global </v>
      </c>
      <c r="S88" s="25"/>
      <c r="T88" s="8"/>
      <c r="U88" s="8"/>
      <c r="V88" s="27" t="s">
        <v>49</v>
      </c>
      <c r="W88" s="25"/>
      <c r="X88" s="25"/>
      <c r="Y88" s="25"/>
      <c r="Z88" s="25"/>
      <c r="AA88" s="25"/>
      <c r="AB88" s="25"/>
      <c r="AC88" s="25"/>
      <c r="AD88" s="25"/>
    </row>
    <row r="89" customFormat="false" ht="15.75" hidden="false" customHeight="false" outlineLevel="0" collapsed="false">
      <c r="A89" s="28" t="s">
        <v>405</v>
      </c>
      <c r="B89" s="27" t="s">
        <v>144</v>
      </c>
      <c r="C89" s="27" t="s">
        <v>383</v>
      </c>
      <c r="D89" s="25"/>
      <c r="E89" s="25"/>
      <c r="F89" s="25"/>
      <c r="G89" s="25"/>
      <c r="H89" s="25"/>
      <c r="I89" s="25"/>
      <c r="J89" s="27" t="s">
        <v>145</v>
      </c>
      <c r="K89" s="25" t="str">
        <f aca="false">IFERROR(__xludf.dummyfunction("SPLIT(J89,"" "")"),"Global")</f>
        <v>Global</v>
      </c>
      <c r="L89" s="8"/>
      <c r="M89" s="25"/>
      <c r="N89" s="25"/>
      <c r="O89" s="25"/>
      <c r="P89" s="25"/>
      <c r="Q89" s="29" t="s">
        <v>406</v>
      </c>
      <c r="R89" s="8" t="str">
        <f aca="false">B89&amp;" "&amp;C89&amp;" "&amp;D89&amp;" "&amp;E89&amp;" "&amp;G89&amp;" "&amp;H89&amp;" "&amp;J89&amp;" "&amp;N89</f>
        <v>Global Indicator Precursor     Global </v>
      </c>
      <c r="S89" s="25"/>
      <c r="T89" s="8"/>
      <c r="U89" s="8"/>
      <c r="V89" s="27" t="s">
        <v>49</v>
      </c>
      <c r="W89" s="25"/>
      <c r="X89" s="25"/>
      <c r="Y89" s="25"/>
      <c r="Z89" s="25"/>
      <c r="AA89" s="25"/>
      <c r="AB89" s="25"/>
      <c r="AC89" s="25"/>
      <c r="AD89" s="25"/>
    </row>
    <row r="90" customFormat="false" ht="15.75" hidden="false" customHeight="false" outlineLevel="0" collapsed="false">
      <c r="A90" s="28" t="s">
        <v>407</v>
      </c>
      <c r="B90" s="27" t="s">
        <v>144</v>
      </c>
      <c r="C90" s="27" t="s">
        <v>408</v>
      </c>
      <c r="D90" s="25"/>
      <c r="E90" s="25"/>
      <c r="F90" s="25"/>
      <c r="G90" s="25"/>
      <c r="H90" s="25"/>
      <c r="I90" s="25"/>
      <c r="J90" s="27" t="s">
        <v>145</v>
      </c>
      <c r="K90" s="25" t="str">
        <f aca="false">IFERROR(__xludf.dummyfunction("SPLIT(J90,"" "")"),"Global")</f>
        <v>Global</v>
      </c>
      <c r="L90" s="8"/>
      <c r="M90" s="25"/>
      <c r="N90" s="25"/>
      <c r="O90" s="25"/>
      <c r="P90" s="25"/>
      <c r="Q90" s="29" t="s">
        <v>409</v>
      </c>
      <c r="R90" s="8" t="str">
        <f aca="false">B90&amp;" "&amp;C90&amp;" "&amp;D90&amp;" "&amp;E90&amp;" "&amp;G90&amp;" "&amp;H90&amp;" "&amp;J90&amp;" "&amp;N90</f>
        <v>Global Indicator Rare Earths     Global </v>
      </c>
      <c r="S90" s="25"/>
      <c r="T90" s="8"/>
      <c r="U90" s="8"/>
      <c r="V90" s="27" t="s">
        <v>49</v>
      </c>
      <c r="W90" s="25"/>
      <c r="X90" s="25"/>
      <c r="Y90" s="25"/>
      <c r="Z90" s="25"/>
      <c r="AA90" s="25"/>
      <c r="AB90" s="25"/>
      <c r="AC90" s="25"/>
      <c r="AD90" s="25"/>
    </row>
    <row r="91" customFormat="false" ht="15.75" hidden="false" customHeight="false" outlineLevel="0" collapsed="false">
      <c r="A91" s="28" t="s">
        <v>410</v>
      </c>
      <c r="B91" s="27" t="s">
        <v>144</v>
      </c>
      <c r="C91" s="27" t="s">
        <v>408</v>
      </c>
      <c r="D91" s="25"/>
      <c r="E91" s="25"/>
      <c r="F91" s="25"/>
      <c r="G91" s="25"/>
      <c r="H91" s="25"/>
      <c r="I91" s="25"/>
      <c r="J91" s="27" t="s">
        <v>145</v>
      </c>
      <c r="K91" s="25" t="str">
        <f aca="false">IFERROR(__xludf.dummyfunction("SPLIT(J91,"" "")"),"Global")</f>
        <v>Global</v>
      </c>
      <c r="L91" s="8"/>
      <c r="M91" s="25"/>
      <c r="N91" s="25"/>
      <c r="O91" s="25"/>
      <c r="P91" s="25"/>
      <c r="Q91" s="29" t="s">
        <v>411</v>
      </c>
      <c r="R91" s="8" t="str">
        <f aca="false">B91&amp;" "&amp;C91&amp;" "&amp;D91&amp;" "&amp;E91&amp;" "&amp;G91&amp;" "&amp;H91&amp;" "&amp;J91&amp;" "&amp;N91</f>
        <v>Global Indicator Rare Earths     Global </v>
      </c>
      <c r="S91" s="25"/>
      <c r="T91" s="8"/>
      <c r="U91" s="8"/>
      <c r="V91" s="27" t="s">
        <v>49</v>
      </c>
      <c r="W91" s="25"/>
      <c r="X91" s="25"/>
      <c r="Y91" s="25"/>
      <c r="Z91" s="25"/>
      <c r="AA91" s="25"/>
      <c r="AB91" s="25"/>
      <c r="AC91" s="25"/>
      <c r="AD91" s="25"/>
    </row>
    <row r="92" customFormat="false" ht="15.75" hidden="false" customHeight="false" outlineLevel="0" collapsed="false">
      <c r="A92" s="28" t="s">
        <v>412</v>
      </c>
      <c r="B92" s="27" t="s">
        <v>144</v>
      </c>
      <c r="C92" s="27" t="s">
        <v>408</v>
      </c>
      <c r="D92" s="25"/>
      <c r="E92" s="25"/>
      <c r="F92" s="25"/>
      <c r="G92" s="25"/>
      <c r="H92" s="25"/>
      <c r="I92" s="25"/>
      <c r="J92" s="27" t="s">
        <v>145</v>
      </c>
      <c r="K92" s="25" t="str">
        <f aca="false">IFERROR(__xludf.dummyfunction("SPLIT(J92,"" "")"),"Global")</f>
        <v>Global</v>
      </c>
      <c r="L92" s="8"/>
      <c r="M92" s="25"/>
      <c r="N92" s="25"/>
      <c r="O92" s="25"/>
      <c r="P92" s="25"/>
      <c r="Q92" s="29" t="s">
        <v>413</v>
      </c>
      <c r="R92" s="8" t="str">
        <f aca="false">B92&amp;" "&amp;C92&amp;" "&amp;D92&amp;" "&amp;E92&amp;" "&amp;G92&amp;" "&amp;H92&amp;" "&amp;J92&amp;" "&amp;N92</f>
        <v>Global Indicator Rare Earths     Global </v>
      </c>
      <c r="S92" s="25"/>
      <c r="T92" s="8"/>
      <c r="U92" s="8"/>
      <c r="V92" s="27" t="s">
        <v>49</v>
      </c>
      <c r="W92" s="25"/>
      <c r="X92" s="25"/>
      <c r="Y92" s="25"/>
      <c r="Z92" s="25"/>
      <c r="AA92" s="25"/>
      <c r="AB92" s="25"/>
      <c r="AC92" s="25"/>
      <c r="AD92" s="25"/>
    </row>
    <row r="93" customFormat="false" ht="15.75" hidden="false" customHeight="false" outlineLevel="0" collapsed="false">
      <c r="A93" s="28" t="s">
        <v>414</v>
      </c>
      <c r="B93" s="27" t="s">
        <v>144</v>
      </c>
      <c r="C93" s="27" t="s">
        <v>408</v>
      </c>
      <c r="D93" s="25"/>
      <c r="E93" s="25"/>
      <c r="F93" s="25"/>
      <c r="G93" s="25"/>
      <c r="H93" s="25"/>
      <c r="I93" s="25"/>
      <c r="J93" s="27" t="s">
        <v>145</v>
      </c>
      <c r="K93" s="25" t="str">
        <f aca="false">IFERROR(__xludf.dummyfunction("SPLIT(J93,"" "")"),"Global")</f>
        <v>Global</v>
      </c>
      <c r="L93" s="8"/>
      <c r="M93" s="25"/>
      <c r="N93" s="25"/>
      <c r="O93" s="25"/>
      <c r="P93" s="25"/>
      <c r="Q93" s="29" t="s">
        <v>415</v>
      </c>
      <c r="R93" s="8" t="str">
        <f aca="false">B93&amp;" "&amp;C93&amp;" "&amp;D93&amp;" "&amp;E93&amp;" "&amp;G93&amp;" "&amp;H93&amp;" "&amp;J93&amp;" "&amp;N93</f>
        <v>Global Indicator Rare Earths     Global </v>
      </c>
      <c r="S93" s="25"/>
      <c r="T93" s="8"/>
      <c r="U93" s="8"/>
      <c r="V93" s="27" t="s">
        <v>49</v>
      </c>
      <c r="W93" s="25"/>
      <c r="X93" s="25"/>
      <c r="Y93" s="25"/>
      <c r="Z93" s="25"/>
      <c r="AA93" s="25"/>
      <c r="AB93" s="25"/>
      <c r="AC93" s="25"/>
      <c r="AD93" s="25"/>
    </row>
    <row r="94" customFormat="false" ht="15.75" hidden="false" customHeight="false" outlineLevel="0" collapsed="false">
      <c r="A94" s="28" t="s">
        <v>416</v>
      </c>
      <c r="B94" s="27" t="s">
        <v>144</v>
      </c>
      <c r="C94" s="27" t="s">
        <v>417</v>
      </c>
      <c r="D94" s="25"/>
      <c r="E94" s="25"/>
      <c r="F94" s="25"/>
      <c r="G94" s="25"/>
      <c r="H94" s="25"/>
      <c r="I94" s="25"/>
      <c r="J94" s="27" t="s">
        <v>145</v>
      </c>
      <c r="K94" s="25" t="str">
        <f aca="false">IFERROR(__xludf.dummyfunction("SPLIT(J94,"" "")"),"Global")</f>
        <v>Global</v>
      </c>
      <c r="L94" s="8"/>
      <c r="M94" s="25"/>
      <c r="N94" s="25"/>
      <c r="O94" s="25"/>
      <c r="P94" s="25"/>
      <c r="Q94" s="29" t="s">
        <v>418</v>
      </c>
      <c r="R94" s="8" t="str">
        <f aca="false">B94&amp;" "&amp;C94&amp;" "&amp;D94&amp;" "&amp;E94&amp;" "&amp;G94&amp;" "&amp;H94&amp;" "&amp;J94&amp;" "&amp;N94</f>
        <v>Global Indicator Solvent     Global </v>
      </c>
      <c r="S94" s="25"/>
      <c r="T94" s="8"/>
      <c r="U94" s="8"/>
      <c r="V94" s="27" t="s">
        <v>49</v>
      </c>
      <c r="W94" s="25"/>
      <c r="X94" s="25"/>
      <c r="Y94" s="25"/>
      <c r="Z94" s="25"/>
      <c r="AA94" s="25"/>
      <c r="AB94" s="25"/>
      <c r="AC94" s="25"/>
      <c r="AD94" s="25"/>
    </row>
    <row r="95" customFormat="false" ht="15.75" hidden="false" customHeight="false" outlineLevel="0" collapsed="false">
      <c r="A95" s="28" t="s">
        <v>419</v>
      </c>
      <c r="B95" s="27" t="s">
        <v>144</v>
      </c>
      <c r="C95" s="27" t="s">
        <v>417</v>
      </c>
      <c r="D95" s="25"/>
      <c r="E95" s="25"/>
      <c r="F95" s="25"/>
      <c r="G95" s="25"/>
      <c r="H95" s="25"/>
      <c r="I95" s="25"/>
      <c r="J95" s="27" t="s">
        <v>145</v>
      </c>
      <c r="K95" s="25" t="str">
        <f aca="false">IFERROR(__xludf.dummyfunction("SPLIT(J95,"" "")"),"Global")</f>
        <v>Global</v>
      </c>
      <c r="L95" s="8"/>
      <c r="M95" s="25"/>
      <c r="N95" s="25"/>
      <c r="O95" s="25"/>
      <c r="P95" s="25"/>
      <c r="Q95" s="29" t="s">
        <v>420</v>
      </c>
      <c r="R95" s="8" t="str">
        <f aca="false">B95&amp;" "&amp;C95&amp;" "&amp;D95&amp;" "&amp;E95&amp;" "&amp;G95&amp;" "&amp;H95&amp;" "&amp;J95&amp;" "&amp;N95</f>
        <v>Global Indicator Solvent     Global </v>
      </c>
      <c r="S95" s="25"/>
      <c r="T95" s="8"/>
      <c r="U95" s="8"/>
      <c r="V95" s="27" t="s">
        <v>49</v>
      </c>
      <c r="W95" s="25"/>
      <c r="X95" s="25"/>
      <c r="Y95" s="25"/>
      <c r="Z95" s="25"/>
      <c r="AA95" s="25"/>
      <c r="AB95" s="25"/>
      <c r="AC95" s="25"/>
      <c r="AD95" s="25"/>
    </row>
    <row r="96" customFormat="false" ht="15.75" hidden="false" customHeight="false" outlineLevel="0" collapsed="false">
      <c r="A96" s="28" t="s">
        <v>421</v>
      </c>
      <c r="B96" s="27" t="s">
        <v>144</v>
      </c>
      <c r="C96" s="27" t="s">
        <v>417</v>
      </c>
      <c r="D96" s="25"/>
      <c r="E96" s="25"/>
      <c r="F96" s="25"/>
      <c r="G96" s="25"/>
      <c r="H96" s="25"/>
      <c r="I96" s="25"/>
      <c r="J96" s="27" t="s">
        <v>145</v>
      </c>
      <c r="K96" s="25" t="str">
        <f aca="false">IFERROR(__xludf.dummyfunction("SPLIT(J96,"" "")"),"Global")</f>
        <v>Global</v>
      </c>
      <c r="L96" s="8"/>
      <c r="M96" s="25"/>
      <c r="N96" s="25"/>
      <c r="O96" s="25"/>
      <c r="P96" s="25"/>
      <c r="Q96" s="29" t="s">
        <v>422</v>
      </c>
      <c r="R96" s="8" t="str">
        <f aca="false">B96&amp;" "&amp;C96&amp;" "&amp;D96&amp;" "&amp;E96&amp;" "&amp;G96&amp;" "&amp;H96&amp;" "&amp;J96&amp;" "&amp;N96</f>
        <v>Global Indicator Solvent     Global </v>
      </c>
      <c r="S96" s="25"/>
      <c r="T96" s="8"/>
      <c r="U96" s="8"/>
      <c r="V96" s="27" t="s">
        <v>49</v>
      </c>
      <c r="W96" s="25"/>
      <c r="X96" s="25"/>
      <c r="Y96" s="25"/>
      <c r="Z96" s="25"/>
      <c r="AA96" s="25"/>
      <c r="AB96" s="25"/>
      <c r="AC96" s="25"/>
      <c r="AD96" s="25"/>
    </row>
    <row r="97" customFormat="false" ht="15.75" hidden="false" customHeight="false" outlineLevel="0" collapsed="false">
      <c r="A97" s="28" t="s">
        <v>423</v>
      </c>
      <c r="B97" s="27" t="s">
        <v>144</v>
      </c>
      <c r="C97" s="27" t="s">
        <v>417</v>
      </c>
      <c r="D97" s="25"/>
      <c r="E97" s="25"/>
      <c r="F97" s="25"/>
      <c r="G97" s="25"/>
      <c r="H97" s="25"/>
      <c r="I97" s="25"/>
      <c r="J97" s="25" t="s">
        <v>145</v>
      </c>
      <c r="K97" s="25" t="str">
        <f aca="false">IFERROR(__xludf.dummyfunction("SPLIT(J97,"" "")"),"Global")</f>
        <v>Global</v>
      </c>
      <c r="L97" s="8"/>
      <c r="M97" s="25"/>
      <c r="N97" s="25"/>
      <c r="O97" s="25"/>
      <c r="P97" s="25"/>
      <c r="Q97" s="29" t="s">
        <v>424</v>
      </c>
      <c r="R97" s="8" t="str">
        <f aca="false">B97&amp;" "&amp;C97&amp;" "&amp;D97&amp;" "&amp;E97&amp;" "&amp;G97&amp;" "&amp;H97&amp;" "&amp;J97&amp;" "&amp;N97</f>
        <v>Global Indicator Solvent     Global </v>
      </c>
      <c r="S97" s="25"/>
      <c r="T97" s="8"/>
      <c r="U97" s="8"/>
      <c r="V97" s="27" t="s">
        <v>49</v>
      </c>
      <c r="W97" s="25"/>
      <c r="X97" s="25"/>
      <c r="Y97" s="25"/>
      <c r="Z97" s="25"/>
      <c r="AA97" s="25"/>
      <c r="AB97" s="25"/>
      <c r="AC97" s="25"/>
      <c r="AD97" s="25"/>
    </row>
    <row r="98" customFormat="false" ht="15.75" hidden="false" customHeight="false" outlineLevel="0" collapsed="false">
      <c r="A98" s="28" t="s">
        <v>425</v>
      </c>
      <c r="B98" s="27" t="s">
        <v>144</v>
      </c>
      <c r="C98" s="27" t="s">
        <v>417</v>
      </c>
      <c r="D98" s="25"/>
      <c r="E98" s="25"/>
      <c r="F98" s="25"/>
      <c r="G98" s="25"/>
      <c r="H98" s="25"/>
      <c r="I98" s="25"/>
      <c r="J98" s="27" t="s">
        <v>145</v>
      </c>
      <c r="K98" s="25" t="str">
        <f aca="false">IFERROR(__xludf.dummyfunction("SPLIT(J98,"" "")"),"Global")</f>
        <v>Global</v>
      </c>
      <c r="L98" s="8"/>
      <c r="M98" s="25"/>
      <c r="N98" s="25"/>
      <c r="O98" s="25"/>
      <c r="P98" s="25"/>
      <c r="Q98" s="29" t="s">
        <v>426</v>
      </c>
      <c r="R98" s="8" t="str">
        <f aca="false">B98&amp;" "&amp;C98&amp;" "&amp;D98&amp;" "&amp;E98&amp;" "&amp;G98&amp;" "&amp;H98&amp;" "&amp;J98&amp;" "&amp;N98</f>
        <v>Global Indicator Solvent     Global </v>
      </c>
      <c r="S98" s="25"/>
      <c r="T98" s="8"/>
      <c r="U98" s="8"/>
      <c r="V98" s="27" t="s">
        <v>49</v>
      </c>
      <c r="W98" s="25"/>
      <c r="X98" s="25"/>
      <c r="Y98" s="25"/>
      <c r="Z98" s="25"/>
      <c r="AA98" s="25"/>
      <c r="AB98" s="25"/>
      <c r="AC98" s="25"/>
      <c r="AD98" s="25"/>
    </row>
    <row r="99" customFormat="false" ht="15.75" hidden="false" customHeight="false" outlineLevel="0" collapsed="false">
      <c r="A99" s="28" t="s">
        <v>427</v>
      </c>
      <c r="B99" s="27" t="s">
        <v>144</v>
      </c>
      <c r="C99" s="27" t="s">
        <v>417</v>
      </c>
      <c r="D99" s="25"/>
      <c r="E99" s="25"/>
      <c r="F99" s="25"/>
      <c r="G99" s="25"/>
      <c r="H99" s="25"/>
      <c r="I99" s="25"/>
      <c r="J99" s="27" t="s">
        <v>145</v>
      </c>
      <c r="K99" s="25" t="str">
        <f aca="false">IFERROR(__xludf.dummyfunction("SPLIT(J99,"" "")"),"Global")</f>
        <v>Global</v>
      </c>
      <c r="L99" s="8"/>
      <c r="M99" s="25"/>
      <c r="N99" s="25"/>
      <c r="O99" s="25"/>
      <c r="P99" s="25"/>
      <c r="Q99" s="29" t="s">
        <v>428</v>
      </c>
      <c r="R99" s="8" t="str">
        <f aca="false">B99&amp;" "&amp;C99&amp;" "&amp;D99&amp;" "&amp;E99&amp;" "&amp;G99&amp;" "&amp;H99&amp;" "&amp;J99&amp;" "&amp;N99</f>
        <v>Global Indicator Solvent     Global </v>
      </c>
      <c r="S99" s="25"/>
      <c r="T99" s="8"/>
      <c r="U99" s="8"/>
      <c r="V99" s="27" t="s">
        <v>49</v>
      </c>
      <c r="W99" s="25"/>
      <c r="X99" s="25"/>
      <c r="Y99" s="25"/>
      <c r="Z99" s="25"/>
      <c r="AA99" s="25"/>
      <c r="AB99" s="25"/>
      <c r="AC99" s="25"/>
      <c r="AD99" s="25"/>
    </row>
    <row r="100" customFormat="false" ht="15.75" hidden="false" customHeight="false" outlineLevel="0" collapsed="false">
      <c r="A100" s="28" t="s">
        <v>429</v>
      </c>
      <c r="B100" s="27" t="s">
        <v>144</v>
      </c>
      <c r="C100" s="27" t="s">
        <v>417</v>
      </c>
      <c r="D100" s="25"/>
      <c r="E100" s="25"/>
      <c r="F100" s="25"/>
      <c r="G100" s="25"/>
      <c r="H100" s="25"/>
      <c r="I100" s="25"/>
      <c r="J100" s="27" t="s">
        <v>145</v>
      </c>
      <c r="K100" s="25" t="str">
        <f aca="false">IFERROR(__xludf.dummyfunction("SPLIT(J100,"" "")"),"Global")</f>
        <v>Global</v>
      </c>
      <c r="L100" s="8"/>
      <c r="M100" s="25"/>
      <c r="N100" s="25"/>
      <c r="O100" s="25"/>
      <c r="P100" s="25"/>
      <c r="Q100" s="29" t="s">
        <v>430</v>
      </c>
      <c r="R100" s="8" t="str">
        <f aca="false">B100&amp;" "&amp;C100&amp;" "&amp;D100&amp;" "&amp;E100&amp;" "&amp;G100&amp;" "&amp;H100&amp;" "&amp;J100&amp;" "&amp;N100</f>
        <v>Global Indicator Solvent     Global </v>
      </c>
      <c r="S100" s="25"/>
      <c r="T100" s="8"/>
      <c r="U100" s="8"/>
      <c r="V100" s="27" t="s">
        <v>49</v>
      </c>
      <c r="W100" s="25"/>
      <c r="X100" s="25"/>
      <c r="Y100" s="25"/>
      <c r="Z100" s="25"/>
      <c r="AA100" s="25"/>
      <c r="AB100" s="25"/>
      <c r="AC100" s="25"/>
      <c r="AD100" s="25"/>
    </row>
    <row r="101" customFormat="false" ht="15.75" hidden="false" customHeight="false" outlineLevel="0" collapsed="false">
      <c r="A101" s="28" t="s">
        <v>431</v>
      </c>
      <c r="B101" s="27" t="s">
        <v>144</v>
      </c>
      <c r="C101" s="27" t="s">
        <v>417</v>
      </c>
      <c r="D101" s="25"/>
      <c r="E101" s="25"/>
      <c r="F101" s="25"/>
      <c r="G101" s="25"/>
      <c r="H101" s="25"/>
      <c r="I101" s="25"/>
      <c r="J101" s="27" t="s">
        <v>145</v>
      </c>
      <c r="K101" s="25" t="str">
        <f aca="false">IFERROR(__xludf.dummyfunction("SPLIT(J101,"" "")"),"Global")</f>
        <v>Global</v>
      </c>
      <c r="L101" s="8"/>
      <c r="M101" s="25"/>
      <c r="N101" s="25"/>
      <c r="O101" s="25"/>
      <c r="P101" s="25"/>
      <c r="Q101" s="29" t="s">
        <v>432</v>
      </c>
      <c r="R101" s="8" t="str">
        <f aca="false">B101&amp;" "&amp;C101&amp;" "&amp;D101&amp;" "&amp;E101&amp;" "&amp;G101&amp;" "&amp;H101&amp;" "&amp;J101&amp;" "&amp;N101</f>
        <v>Global Indicator Solvent     Global </v>
      </c>
      <c r="S101" s="25"/>
      <c r="T101" s="8"/>
      <c r="U101" s="8"/>
      <c r="V101" s="27" t="s">
        <v>49</v>
      </c>
      <c r="W101" s="25"/>
      <c r="X101" s="25"/>
      <c r="Y101" s="25"/>
      <c r="Z101" s="25"/>
      <c r="AA101" s="25"/>
      <c r="AB101" s="25"/>
      <c r="AC101" s="25"/>
      <c r="AD101" s="25"/>
    </row>
    <row r="102" customFormat="false" ht="15.75" hidden="false" customHeight="false" outlineLevel="0" collapsed="false">
      <c r="A102" s="28" t="s">
        <v>433</v>
      </c>
      <c r="B102" s="27" t="s">
        <v>144</v>
      </c>
      <c r="C102" s="27" t="s">
        <v>417</v>
      </c>
      <c r="D102" s="25"/>
      <c r="E102" s="25"/>
      <c r="F102" s="25"/>
      <c r="G102" s="25"/>
      <c r="H102" s="25"/>
      <c r="I102" s="25"/>
      <c r="J102" s="27" t="s">
        <v>145</v>
      </c>
      <c r="K102" s="25" t="str">
        <f aca="false">IFERROR(__xludf.dummyfunction("SPLIT(J102,"" "")"),"Global")</f>
        <v>Global</v>
      </c>
      <c r="L102" s="8"/>
      <c r="M102" s="25"/>
      <c r="N102" s="25"/>
      <c r="O102" s="25"/>
      <c r="P102" s="25"/>
      <c r="Q102" s="29" t="s">
        <v>434</v>
      </c>
      <c r="R102" s="8" t="str">
        <f aca="false">B102&amp;" "&amp;C102&amp;" "&amp;D102&amp;" "&amp;E102&amp;" "&amp;G102&amp;" "&amp;H102&amp;" "&amp;J102&amp;" "&amp;N102</f>
        <v>Global Indicator Solvent     Global </v>
      </c>
      <c r="S102" s="25"/>
      <c r="T102" s="8"/>
      <c r="U102" s="8"/>
      <c r="V102" s="27" t="s">
        <v>49</v>
      </c>
      <c r="W102" s="25"/>
      <c r="X102" s="25"/>
      <c r="Y102" s="25"/>
      <c r="Z102" s="25"/>
      <c r="AA102" s="25"/>
      <c r="AB102" s="25"/>
      <c r="AC102" s="25"/>
      <c r="AD102" s="25"/>
    </row>
    <row r="103" customFormat="false" ht="15.75" hidden="false" customHeight="false" outlineLevel="0" collapsed="false">
      <c r="A103" s="28" t="s">
        <v>435</v>
      </c>
      <c r="B103" s="27" t="s">
        <v>144</v>
      </c>
      <c r="C103" s="27" t="s">
        <v>417</v>
      </c>
      <c r="D103" s="25"/>
      <c r="E103" s="25"/>
      <c r="F103" s="25"/>
      <c r="G103" s="25"/>
      <c r="H103" s="25"/>
      <c r="I103" s="25"/>
      <c r="J103" s="27" t="s">
        <v>145</v>
      </c>
      <c r="K103" s="25" t="str">
        <f aca="false">IFERROR(__xludf.dummyfunction("SPLIT(J103,"" "")"),"Global")</f>
        <v>Global</v>
      </c>
      <c r="L103" s="8"/>
      <c r="M103" s="25"/>
      <c r="N103" s="25"/>
      <c r="O103" s="25"/>
      <c r="P103" s="25"/>
      <c r="Q103" s="29" t="s">
        <v>436</v>
      </c>
      <c r="R103" s="8" t="str">
        <f aca="false">B103&amp;" "&amp;C103&amp;" "&amp;D103&amp;" "&amp;E103&amp;" "&amp;G103&amp;" "&amp;H103&amp;" "&amp;J103&amp;" "&amp;N103</f>
        <v>Global Indicator Solvent     Global </v>
      </c>
      <c r="S103" s="25"/>
      <c r="T103" s="8"/>
      <c r="U103" s="8"/>
      <c r="V103" s="27" t="s">
        <v>49</v>
      </c>
      <c r="W103" s="25"/>
      <c r="X103" s="25"/>
      <c r="Y103" s="25"/>
      <c r="Z103" s="25"/>
      <c r="AA103" s="25"/>
      <c r="AB103" s="25"/>
      <c r="AC103" s="25"/>
      <c r="AD103" s="25"/>
    </row>
    <row r="104" customFormat="false" ht="15.75" hidden="false" customHeight="false" outlineLevel="0" collapsed="false">
      <c r="A104" s="28" t="s">
        <v>437</v>
      </c>
      <c r="B104" s="25" t="s">
        <v>438</v>
      </c>
      <c r="C104" s="25" t="s">
        <v>167</v>
      </c>
      <c r="D104" s="25" t="s">
        <v>168</v>
      </c>
      <c r="E104" s="25"/>
      <c r="F104" s="25"/>
      <c r="G104" s="25"/>
      <c r="H104" s="25"/>
      <c r="I104" s="25"/>
      <c r="J104" s="25" t="s">
        <v>439</v>
      </c>
      <c r="K104" s="35" t="str">
        <f aca="false">IFERROR(__xludf.dummyfunction("SPLIT(J104,"" "")"),"#REF!")</f>
        <v>#REF!</v>
      </c>
      <c r="L104" s="8" t="s">
        <v>440</v>
      </c>
      <c r="M104" s="25" t="s">
        <v>441</v>
      </c>
      <c r="N104" s="25" t="s">
        <v>50</v>
      </c>
      <c r="O104" s="25"/>
      <c r="P104" s="25" t="s">
        <v>187</v>
      </c>
      <c r="Q104" s="29" t="s">
        <v>175</v>
      </c>
      <c r="R104" s="8" t="str">
        <f aca="false">B104&amp;" "&amp;C104&amp;" "&amp;D104&amp;" "&amp;E104&amp;" "&amp;G104&amp;" "&amp;H104&amp;" "&amp;J104&amp;" "&amp;N104</f>
        <v>Differentials Foils Aluminium (Battery Grade)    CIF Argentina USD</v>
      </c>
      <c r="S104" s="25"/>
      <c r="T104" s="8"/>
      <c r="U104" s="8"/>
      <c r="V104" s="27" t="s">
        <v>49</v>
      </c>
      <c r="W104" s="25"/>
      <c r="X104" s="25"/>
      <c r="Y104" s="25"/>
      <c r="Z104" s="25"/>
      <c r="AA104" s="25"/>
      <c r="AB104" s="25"/>
      <c r="AC104" s="25"/>
      <c r="AD104" s="25"/>
    </row>
    <row r="105" customFormat="false" ht="15.75" hidden="false" customHeight="false" outlineLevel="0" collapsed="false">
      <c r="A105" s="28" t="s">
        <v>442</v>
      </c>
      <c r="B105" s="27" t="s">
        <v>438</v>
      </c>
      <c r="C105" s="25" t="s">
        <v>167</v>
      </c>
      <c r="D105" s="27" t="s">
        <v>168</v>
      </c>
      <c r="E105" s="25"/>
      <c r="F105" s="25"/>
      <c r="G105" s="25"/>
      <c r="H105" s="25"/>
      <c r="I105" s="25"/>
      <c r="J105" s="25" t="s">
        <v>439</v>
      </c>
      <c r="K105" s="25" t="str">
        <f aca="false">IFERROR(__xludf.dummyfunction("SPLIT(J105,"" "")"),"CIF")</f>
        <v>CIF</v>
      </c>
      <c r="L105" s="8" t="str">
        <f aca="false">IFERROR(__xludf.dummyfunction("""COMPUTED_VALUE"""),"Argentina")</f>
        <v>Argentina</v>
      </c>
      <c r="M105" s="25" t="s">
        <v>441</v>
      </c>
      <c r="N105" s="25"/>
      <c r="O105" s="25"/>
      <c r="P105" s="25"/>
      <c r="Q105" s="29" t="s">
        <v>173</v>
      </c>
      <c r="R105" s="8" t="str">
        <f aca="false">B105&amp;" "&amp;C105&amp;" "&amp;D105&amp;" "&amp;E105&amp;" "&amp;G105&amp;" "&amp;H105&amp;" "&amp;J105&amp;" "&amp;N105</f>
        <v>Differentials Foils Aluminium (Battery Grade)    CIF Argentina </v>
      </c>
      <c r="S105" s="25"/>
      <c r="T105" s="8"/>
      <c r="U105" s="8"/>
      <c r="V105" s="27" t="s">
        <v>49</v>
      </c>
      <c r="W105" s="25"/>
      <c r="X105" s="25"/>
      <c r="Y105" s="25"/>
      <c r="Z105" s="25"/>
      <c r="AA105" s="25"/>
      <c r="AB105" s="25"/>
      <c r="AC105" s="25"/>
      <c r="AD105" s="25"/>
    </row>
    <row r="106" customFormat="false" ht="15.75" hidden="false" customHeight="false" outlineLevel="0" collapsed="false">
      <c r="A106" s="28" t="s">
        <v>443</v>
      </c>
      <c r="B106" s="27" t="s">
        <v>438</v>
      </c>
      <c r="C106" s="25" t="s">
        <v>167</v>
      </c>
      <c r="D106" s="27" t="s">
        <v>168</v>
      </c>
      <c r="E106" s="25"/>
      <c r="F106" s="25"/>
      <c r="G106" s="25"/>
      <c r="H106" s="25"/>
      <c r="I106" s="25"/>
      <c r="J106" s="25" t="s">
        <v>439</v>
      </c>
      <c r="K106" s="25" t="str">
        <f aca="false">IFERROR(__xludf.dummyfunction("SPLIT(J106,"" "")"),"CIF")</f>
        <v>CIF</v>
      </c>
      <c r="L106" s="8" t="str">
        <f aca="false">IFERROR(__xludf.dummyfunction("""COMPUTED_VALUE"""),"Argentina")</f>
        <v>Argentina</v>
      </c>
      <c r="M106" s="25" t="s">
        <v>441</v>
      </c>
      <c r="N106" s="25"/>
      <c r="O106" s="25"/>
      <c r="P106" s="25"/>
      <c r="Q106" s="29" t="s">
        <v>169</v>
      </c>
      <c r="R106" s="8" t="str">
        <f aca="false">B106&amp;" "&amp;C106&amp;" "&amp;D106&amp;" "&amp;E106&amp;" "&amp;G106&amp;" "&amp;H106&amp;" "&amp;J106&amp;" "&amp;N106</f>
        <v>Differentials Foils Aluminium (Battery Grade)    CIF Argentina </v>
      </c>
      <c r="S106" s="25"/>
      <c r="T106" s="8"/>
      <c r="U106" s="8"/>
      <c r="V106" s="27" t="s">
        <v>49</v>
      </c>
      <c r="W106" s="25"/>
      <c r="X106" s="25"/>
      <c r="Y106" s="25"/>
      <c r="Z106" s="25"/>
      <c r="AA106" s="25"/>
      <c r="AB106" s="25"/>
      <c r="AC106" s="25"/>
      <c r="AD106" s="25"/>
    </row>
    <row r="107" customFormat="false" ht="15.75" hidden="false" customHeight="false" outlineLevel="0" collapsed="false">
      <c r="A107" s="28" t="s">
        <v>444</v>
      </c>
      <c r="B107" s="27" t="s">
        <v>438</v>
      </c>
      <c r="C107" s="25" t="s">
        <v>167</v>
      </c>
      <c r="D107" s="25" t="s">
        <v>284</v>
      </c>
      <c r="E107" s="25"/>
      <c r="F107" s="25"/>
      <c r="G107" s="25"/>
      <c r="H107" s="25"/>
      <c r="I107" s="25"/>
      <c r="J107" s="25" t="s">
        <v>439</v>
      </c>
      <c r="K107" s="25" t="str">
        <f aca="false">IFERROR(__xludf.dummyfunction("SPLIT(J107,"" "")"),"CIF")</f>
        <v>CIF</v>
      </c>
      <c r="L107" s="8" t="str">
        <f aca="false">IFERROR(__xludf.dummyfunction("""COMPUTED_VALUE"""),"Argentina")</f>
        <v>Argentina</v>
      </c>
      <c r="M107" s="25" t="s">
        <v>441</v>
      </c>
      <c r="N107" s="25"/>
      <c r="O107" s="25"/>
      <c r="P107" s="25"/>
      <c r="Q107" s="29" t="s">
        <v>287</v>
      </c>
      <c r="R107" s="8" t="str">
        <f aca="false">B107&amp;" "&amp;C107&amp;" "&amp;D107&amp;" "&amp;E107&amp;" "&amp;G107&amp;" "&amp;H107&amp;" "&amp;J107&amp;" "&amp;N107</f>
        <v>Differentials Foils Copper (Battery Grade)    CIF Argentina </v>
      </c>
      <c r="S107" s="25"/>
      <c r="T107" s="8"/>
      <c r="U107" s="8"/>
      <c r="V107" s="27" t="s">
        <v>49</v>
      </c>
      <c r="W107" s="25"/>
      <c r="X107" s="25"/>
      <c r="Y107" s="25"/>
      <c r="Z107" s="25"/>
      <c r="AA107" s="25"/>
      <c r="AB107" s="25"/>
      <c r="AC107" s="25"/>
      <c r="AD107" s="25"/>
    </row>
    <row r="108" customFormat="false" ht="15.75" hidden="false" customHeight="false" outlineLevel="0" collapsed="false">
      <c r="A108" s="28" t="s">
        <v>445</v>
      </c>
      <c r="B108" s="27" t="s">
        <v>438</v>
      </c>
      <c r="C108" s="25" t="s">
        <v>167</v>
      </c>
      <c r="D108" s="27" t="s">
        <v>284</v>
      </c>
      <c r="E108" s="25"/>
      <c r="F108" s="25"/>
      <c r="G108" s="25"/>
      <c r="H108" s="25"/>
      <c r="I108" s="25"/>
      <c r="J108" s="25" t="s">
        <v>439</v>
      </c>
      <c r="K108" s="25" t="str">
        <f aca="false">IFERROR(__xludf.dummyfunction("SPLIT(J108,"" "")"),"CIF")</f>
        <v>CIF</v>
      </c>
      <c r="L108" s="8" t="str">
        <f aca="false">IFERROR(__xludf.dummyfunction("""COMPUTED_VALUE"""),"Argentina")</f>
        <v>Argentina</v>
      </c>
      <c r="M108" s="25" t="s">
        <v>441</v>
      </c>
      <c r="N108" s="25"/>
      <c r="O108" s="25"/>
      <c r="P108" s="25"/>
      <c r="Q108" s="29" t="s">
        <v>285</v>
      </c>
      <c r="R108" s="8" t="str">
        <f aca="false">B108&amp;" "&amp;C108&amp;" "&amp;D108&amp;" "&amp;E108&amp;" "&amp;G108&amp;" "&amp;H108&amp;" "&amp;J108&amp;" "&amp;N108</f>
        <v>Differentials Foils Copper (Battery Grade)    CIF Argentina </v>
      </c>
      <c r="S108" s="25"/>
      <c r="T108" s="8"/>
      <c r="U108" s="8"/>
      <c r="V108" s="27" t="s">
        <v>49</v>
      </c>
      <c r="W108" s="25"/>
      <c r="X108" s="25"/>
      <c r="Y108" s="25"/>
      <c r="Z108" s="25"/>
      <c r="AA108" s="25"/>
      <c r="AB108" s="25"/>
      <c r="AC108" s="25"/>
      <c r="AD108" s="25"/>
    </row>
    <row r="109" customFormat="false" ht="15.75" hidden="false" customHeight="false" outlineLevel="0" collapsed="false">
      <c r="A109" s="28" t="s">
        <v>446</v>
      </c>
      <c r="B109" s="27" t="s">
        <v>438</v>
      </c>
      <c r="C109" s="27" t="s">
        <v>360</v>
      </c>
      <c r="D109" s="25"/>
      <c r="E109" s="25"/>
      <c r="F109" s="25"/>
      <c r="G109" s="25"/>
      <c r="H109" s="25"/>
      <c r="I109" s="25"/>
      <c r="J109" s="25" t="s">
        <v>439</v>
      </c>
      <c r="K109" s="25" t="str">
        <f aca="false">IFERROR(__xludf.dummyfunction("SPLIT(J109,"" "")"),"CIF")</f>
        <v>CIF</v>
      </c>
      <c r="L109" s="8" t="str">
        <f aca="false">IFERROR(__xludf.dummyfunction("""COMPUTED_VALUE"""),"Argentina")</f>
        <v>Argentina</v>
      </c>
      <c r="M109" s="25" t="s">
        <v>441</v>
      </c>
      <c r="N109" s="25"/>
      <c r="O109" s="25"/>
      <c r="P109" s="25"/>
      <c r="Q109" s="29" t="s">
        <v>368</v>
      </c>
      <c r="R109" s="8" t="str">
        <f aca="false">B109&amp;" "&amp;C109&amp;" "&amp;D109&amp;" "&amp;E109&amp;" "&amp;G109&amp;" "&amp;H109&amp;" "&amp;J109&amp;" "&amp;N109</f>
        <v>Differentials Lithium     CIF Argentina </v>
      </c>
      <c r="S109" s="25"/>
      <c r="T109" s="8"/>
      <c r="U109" s="8"/>
      <c r="V109" s="27" t="s">
        <v>49</v>
      </c>
      <c r="W109" s="25"/>
      <c r="X109" s="25"/>
      <c r="Y109" s="25"/>
      <c r="Z109" s="25"/>
      <c r="AA109" s="25"/>
      <c r="AB109" s="25"/>
      <c r="AC109" s="25"/>
      <c r="AD109" s="25"/>
    </row>
    <row r="110" customFormat="false" ht="15.75" hidden="false" customHeight="false" outlineLevel="0" collapsed="false">
      <c r="A110" s="28" t="s">
        <v>447</v>
      </c>
      <c r="B110" s="27" t="s">
        <v>438</v>
      </c>
      <c r="C110" s="27" t="s">
        <v>360</v>
      </c>
      <c r="D110" s="25"/>
      <c r="E110" s="25"/>
      <c r="F110" s="25"/>
      <c r="G110" s="25"/>
      <c r="H110" s="25"/>
      <c r="I110" s="25"/>
      <c r="J110" s="25" t="s">
        <v>439</v>
      </c>
      <c r="K110" s="25" t="str">
        <f aca="false">IFERROR(__xludf.dummyfunction("SPLIT(J110,"" "")"),"CIF")</f>
        <v>CIF</v>
      </c>
      <c r="L110" s="8" t="str">
        <f aca="false">IFERROR(__xludf.dummyfunction("""COMPUTED_VALUE"""),"Argentina")</f>
        <v>Argentina</v>
      </c>
      <c r="M110" s="25" t="s">
        <v>441</v>
      </c>
      <c r="N110" s="25"/>
      <c r="O110" s="25"/>
      <c r="P110" s="25"/>
      <c r="Q110" s="29" t="s">
        <v>366</v>
      </c>
      <c r="R110" s="8" t="str">
        <f aca="false">B110&amp;" "&amp;C110&amp;" "&amp;D110&amp;" "&amp;E110&amp;" "&amp;G110&amp;" "&amp;H110&amp;" "&amp;J110&amp;" "&amp;N110</f>
        <v>Differentials Lithium     CIF Argentina </v>
      </c>
      <c r="S110" s="25"/>
      <c r="T110" s="8"/>
      <c r="U110" s="8"/>
      <c r="V110" s="27" t="s">
        <v>49</v>
      </c>
      <c r="W110" s="25"/>
      <c r="X110" s="25"/>
      <c r="Y110" s="25"/>
      <c r="Z110" s="25"/>
      <c r="AA110" s="25"/>
      <c r="AB110" s="25"/>
      <c r="AC110" s="25"/>
      <c r="AD110" s="25"/>
    </row>
    <row r="111" customFormat="false" ht="15.75" hidden="false" customHeight="false" outlineLevel="0" collapsed="false">
      <c r="A111" s="28" t="s">
        <v>448</v>
      </c>
      <c r="B111" s="27" t="s">
        <v>438</v>
      </c>
      <c r="C111" s="27" t="s">
        <v>360</v>
      </c>
      <c r="D111" s="25"/>
      <c r="E111" s="25"/>
      <c r="F111" s="25"/>
      <c r="G111" s="25"/>
      <c r="H111" s="25"/>
      <c r="I111" s="25"/>
      <c r="J111" s="25" t="s">
        <v>439</v>
      </c>
      <c r="K111" s="25" t="str">
        <f aca="false">IFERROR(__xludf.dummyfunction("SPLIT(J111,"" "")"),"CIF")</f>
        <v>CIF</v>
      </c>
      <c r="L111" s="8" t="str">
        <f aca="false">IFERROR(__xludf.dummyfunction("""COMPUTED_VALUE"""),"Argentina")</f>
        <v>Argentina</v>
      </c>
      <c r="M111" s="25" t="s">
        <v>441</v>
      </c>
      <c r="N111" s="25"/>
      <c r="O111" s="25"/>
      <c r="P111" s="25"/>
      <c r="Q111" s="29" t="s">
        <v>361</v>
      </c>
      <c r="R111" s="8" t="str">
        <f aca="false">B111&amp;" "&amp;C111&amp;" "&amp;D111&amp;" "&amp;E111&amp;" "&amp;G111&amp;" "&amp;H111&amp;" "&amp;J111&amp;" "&amp;N111</f>
        <v>Differentials Lithium     CIF Argentina </v>
      </c>
      <c r="S111" s="25"/>
      <c r="T111" s="8"/>
      <c r="U111" s="8"/>
      <c r="V111" s="27" t="s">
        <v>49</v>
      </c>
      <c r="W111" s="25"/>
      <c r="X111" s="25"/>
      <c r="Y111" s="25"/>
      <c r="Z111" s="25"/>
      <c r="AA111" s="25"/>
      <c r="AB111" s="25"/>
      <c r="AC111" s="25"/>
      <c r="AD111" s="25"/>
    </row>
    <row r="112" customFormat="false" ht="15.75" hidden="false" customHeight="false" outlineLevel="0" collapsed="false">
      <c r="A112" s="28" t="s">
        <v>449</v>
      </c>
      <c r="B112" s="27" t="s">
        <v>438</v>
      </c>
      <c r="C112" s="27" t="s">
        <v>360</v>
      </c>
      <c r="D112" s="25"/>
      <c r="E112" s="25"/>
      <c r="F112" s="25"/>
      <c r="G112" s="25"/>
      <c r="H112" s="25"/>
      <c r="I112" s="25"/>
      <c r="J112" s="25" t="s">
        <v>439</v>
      </c>
      <c r="K112" s="25" t="str">
        <f aca="false">IFERROR(__xludf.dummyfunction("SPLIT(J112,"" "")"),"CIF")</f>
        <v>CIF</v>
      </c>
      <c r="L112" s="8" t="str">
        <f aca="false">IFERROR(__xludf.dummyfunction("""COMPUTED_VALUE"""),"Argentina")</f>
        <v>Argentina</v>
      </c>
      <c r="M112" s="25" t="s">
        <v>441</v>
      </c>
      <c r="N112" s="25"/>
      <c r="O112" s="25"/>
      <c r="P112" s="25"/>
      <c r="Q112" s="29" t="s">
        <v>363</v>
      </c>
      <c r="R112" s="8" t="str">
        <f aca="false">B112&amp;" "&amp;C112&amp;" "&amp;D112&amp;" "&amp;E112&amp;" "&amp;G112&amp;" "&amp;H112&amp;" "&amp;J112&amp;" "&amp;N112</f>
        <v>Differentials Lithium     CIF Argentina </v>
      </c>
      <c r="S112" s="25"/>
      <c r="T112" s="8"/>
      <c r="U112" s="8"/>
      <c r="V112" s="27" t="s">
        <v>49</v>
      </c>
      <c r="W112" s="25"/>
      <c r="X112" s="25"/>
      <c r="Y112" s="25"/>
      <c r="Z112" s="25"/>
      <c r="AA112" s="25"/>
      <c r="AB112" s="25"/>
      <c r="AC112" s="25"/>
      <c r="AD112" s="25"/>
    </row>
    <row r="113" customFormat="false" ht="15.75" hidden="false" customHeight="false" outlineLevel="0" collapsed="false">
      <c r="A113" s="28" t="s">
        <v>450</v>
      </c>
      <c r="B113" s="27" t="s">
        <v>438</v>
      </c>
      <c r="C113" s="27" t="s">
        <v>360</v>
      </c>
      <c r="D113" s="25"/>
      <c r="E113" s="25"/>
      <c r="F113" s="25"/>
      <c r="G113" s="25"/>
      <c r="H113" s="25"/>
      <c r="I113" s="25"/>
      <c r="J113" s="25" t="s">
        <v>439</v>
      </c>
      <c r="K113" s="25" t="str">
        <f aca="false">IFERROR(__xludf.dummyfunction("SPLIT(J113,"" "")"),"CIF")</f>
        <v>CIF</v>
      </c>
      <c r="L113" s="8" t="str">
        <f aca="false">IFERROR(__xludf.dummyfunction("""COMPUTED_VALUE"""),"Argentina")</f>
        <v>Argentina</v>
      </c>
      <c r="M113" s="25" t="s">
        <v>441</v>
      </c>
      <c r="N113" s="25"/>
      <c r="O113" s="25"/>
      <c r="P113" s="25"/>
      <c r="Q113" s="29" t="s">
        <v>361</v>
      </c>
      <c r="R113" s="8" t="str">
        <f aca="false">B113&amp;" "&amp;C113&amp;" "&amp;D113&amp;" "&amp;E113&amp;" "&amp;G113&amp;" "&amp;H113&amp;" "&amp;J113&amp;" "&amp;N113</f>
        <v>Differentials Lithium     CIF Argentina </v>
      </c>
      <c r="S113" s="25"/>
      <c r="T113" s="8"/>
      <c r="U113" s="8"/>
      <c r="V113" s="27" t="s">
        <v>49</v>
      </c>
      <c r="W113" s="25"/>
      <c r="X113" s="25"/>
      <c r="Y113" s="25"/>
      <c r="Z113" s="25"/>
      <c r="AA113" s="25"/>
      <c r="AB113" s="25"/>
      <c r="AC113" s="25"/>
      <c r="AD113" s="25"/>
    </row>
    <row r="114" customFormat="false" ht="15.75" hidden="false" customHeight="false" outlineLevel="0" collapsed="false">
      <c r="A114" s="28" t="s">
        <v>451</v>
      </c>
      <c r="B114" s="27" t="s">
        <v>438</v>
      </c>
      <c r="C114" s="27" t="s">
        <v>383</v>
      </c>
      <c r="D114" s="25"/>
      <c r="E114" s="25"/>
      <c r="F114" s="25"/>
      <c r="G114" s="25"/>
      <c r="H114" s="25"/>
      <c r="I114" s="25"/>
      <c r="J114" s="25" t="s">
        <v>439</v>
      </c>
      <c r="K114" s="25" t="str">
        <f aca="false">IFERROR(__xludf.dummyfunction("SPLIT(J114,"" "")"),"CIF")</f>
        <v>CIF</v>
      </c>
      <c r="L114" s="8" t="str">
        <f aca="false">IFERROR(__xludf.dummyfunction("""COMPUTED_VALUE"""),"Argentina")</f>
        <v>Argentina</v>
      </c>
      <c r="M114" s="25" t="s">
        <v>441</v>
      </c>
      <c r="N114" s="25"/>
      <c r="O114" s="25"/>
      <c r="P114" s="25"/>
      <c r="Q114" s="29" t="s">
        <v>406</v>
      </c>
      <c r="R114" s="8" t="str">
        <f aca="false">B114&amp;" "&amp;C114&amp;" "&amp;D114&amp;" "&amp;E114&amp;" "&amp;G114&amp;" "&amp;H114&amp;" "&amp;J114&amp;" "&amp;N114</f>
        <v>Differentials Precursor     CIF Argentina </v>
      </c>
      <c r="S114" s="25"/>
      <c r="T114" s="8"/>
      <c r="U114" s="8"/>
      <c r="V114" s="27" t="s">
        <v>49</v>
      </c>
      <c r="W114" s="25"/>
      <c r="X114" s="25"/>
      <c r="Y114" s="25"/>
      <c r="Z114" s="25"/>
      <c r="AA114" s="25"/>
      <c r="AB114" s="25"/>
      <c r="AC114" s="25"/>
      <c r="AD114" s="25"/>
    </row>
    <row r="115" customFormat="false" ht="15.75" hidden="false" customHeight="false" outlineLevel="0" collapsed="false">
      <c r="A115" s="28" t="s">
        <v>452</v>
      </c>
      <c r="B115" s="27" t="s">
        <v>438</v>
      </c>
      <c r="C115" s="27" t="s">
        <v>383</v>
      </c>
      <c r="D115" s="25"/>
      <c r="E115" s="25"/>
      <c r="F115" s="25"/>
      <c r="G115" s="25"/>
      <c r="H115" s="25"/>
      <c r="I115" s="25"/>
      <c r="J115" s="25" t="s">
        <v>439</v>
      </c>
      <c r="K115" s="25" t="str">
        <f aca="false">IFERROR(__xludf.dummyfunction("SPLIT(J115,"" "")"),"CIF")</f>
        <v>CIF</v>
      </c>
      <c r="L115" s="8" t="str">
        <f aca="false">IFERROR(__xludf.dummyfunction("""COMPUTED_VALUE"""),"Argentina")</f>
        <v>Argentina</v>
      </c>
      <c r="M115" s="25" t="s">
        <v>441</v>
      </c>
      <c r="N115" s="25"/>
      <c r="O115" s="25"/>
      <c r="P115" s="25"/>
      <c r="Q115" s="29" t="s">
        <v>404</v>
      </c>
      <c r="R115" s="8" t="str">
        <f aca="false">B115&amp;" "&amp;C115&amp;" "&amp;D115&amp;" "&amp;E115&amp;" "&amp;G115&amp;" "&amp;H115&amp;" "&amp;J115&amp;" "&amp;N115</f>
        <v>Differentials Precursor     CIF Argentina </v>
      </c>
      <c r="S115" s="25"/>
      <c r="T115" s="8"/>
      <c r="U115" s="8"/>
      <c r="V115" s="27" t="s">
        <v>49</v>
      </c>
      <c r="W115" s="25"/>
      <c r="X115" s="25"/>
      <c r="Y115" s="25"/>
      <c r="Z115" s="25"/>
      <c r="AA115" s="25"/>
      <c r="AB115" s="25"/>
      <c r="AC115" s="25"/>
      <c r="AD115" s="25"/>
    </row>
    <row r="116" customFormat="false" ht="15.75" hidden="false" customHeight="false" outlineLevel="0" collapsed="false">
      <c r="A116" s="28" t="s">
        <v>453</v>
      </c>
      <c r="B116" s="27" t="s">
        <v>438</v>
      </c>
      <c r="C116" s="27" t="s">
        <v>383</v>
      </c>
      <c r="D116" s="25"/>
      <c r="E116" s="25"/>
      <c r="F116" s="25"/>
      <c r="G116" s="25"/>
      <c r="H116" s="25"/>
      <c r="I116" s="25"/>
      <c r="J116" s="25" t="s">
        <v>439</v>
      </c>
      <c r="K116" s="25" t="str">
        <f aca="false">IFERROR(__xludf.dummyfunction("SPLIT(J116,"" "")"),"CIF")</f>
        <v>CIF</v>
      </c>
      <c r="L116" s="8" t="str">
        <f aca="false">IFERROR(__xludf.dummyfunction("""COMPUTED_VALUE"""),"Argentina")</f>
        <v>Argentina</v>
      </c>
      <c r="M116" s="25" t="s">
        <v>441</v>
      </c>
      <c r="N116" s="25"/>
      <c r="O116" s="25"/>
      <c r="P116" s="25"/>
      <c r="Q116" s="29" t="s">
        <v>402</v>
      </c>
      <c r="R116" s="8" t="str">
        <f aca="false">B116&amp;" "&amp;C116&amp;" "&amp;D116&amp;" "&amp;E116&amp;" "&amp;G116&amp;" "&amp;H116&amp;" "&amp;J116&amp;" "&amp;N116</f>
        <v>Differentials Precursor     CIF Argentina </v>
      </c>
      <c r="S116" s="25"/>
      <c r="T116" s="8"/>
      <c r="U116" s="8"/>
      <c r="V116" s="27" t="s">
        <v>49</v>
      </c>
      <c r="W116" s="25"/>
      <c r="X116" s="25"/>
      <c r="Y116" s="25"/>
      <c r="Z116" s="25"/>
      <c r="AA116" s="25"/>
      <c r="AB116" s="25"/>
      <c r="AC116" s="25"/>
      <c r="AD116" s="25"/>
    </row>
    <row r="117" customFormat="false" ht="15.75" hidden="false" customHeight="false" outlineLevel="0" collapsed="false">
      <c r="A117" s="28" t="s">
        <v>454</v>
      </c>
      <c r="B117" s="27" t="s">
        <v>438</v>
      </c>
      <c r="C117" s="27" t="s">
        <v>383</v>
      </c>
      <c r="D117" s="25"/>
      <c r="E117" s="25"/>
      <c r="F117" s="25"/>
      <c r="G117" s="25"/>
      <c r="H117" s="25"/>
      <c r="I117" s="25"/>
      <c r="J117" s="25" t="s">
        <v>439</v>
      </c>
      <c r="K117" s="25" t="str">
        <f aca="false">IFERROR(__xludf.dummyfunction("SPLIT(J117,"" "")"),"CIF")</f>
        <v>CIF</v>
      </c>
      <c r="L117" s="8" t="str">
        <f aca="false">IFERROR(__xludf.dummyfunction("""COMPUTED_VALUE"""),"Argentina")</f>
        <v>Argentina</v>
      </c>
      <c r="M117" s="25" t="s">
        <v>441</v>
      </c>
      <c r="N117" s="25"/>
      <c r="O117" s="25"/>
      <c r="P117" s="25"/>
      <c r="Q117" s="29" t="s">
        <v>400</v>
      </c>
      <c r="R117" s="8" t="str">
        <f aca="false">B117&amp;" "&amp;C117&amp;" "&amp;D117&amp;" "&amp;E117&amp;" "&amp;G117&amp;" "&amp;H117&amp;" "&amp;J117&amp;" "&amp;N117</f>
        <v>Differentials Precursor     CIF Argentina </v>
      </c>
      <c r="S117" s="25"/>
      <c r="T117" s="8"/>
      <c r="U117" s="8"/>
      <c r="V117" s="27" t="s">
        <v>49</v>
      </c>
      <c r="W117" s="25"/>
      <c r="X117" s="25"/>
      <c r="Y117" s="25"/>
      <c r="Z117" s="25"/>
      <c r="AA117" s="25"/>
      <c r="AB117" s="25"/>
      <c r="AC117" s="25"/>
      <c r="AD117" s="25"/>
    </row>
    <row r="118" customFormat="false" ht="15.75" hidden="false" customHeight="false" outlineLevel="0" collapsed="false">
      <c r="A118" s="28" t="s">
        <v>455</v>
      </c>
      <c r="B118" s="27" t="s">
        <v>438</v>
      </c>
      <c r="C118" s="27" t="s">
        <v>383</v>
      </c>
      <c r="D118" s="25"/>
      <c r="E118" s="25"/>
      <c r="F118" s="25"/>
      <c r="G118" s="25"/>
      <c r="H118" s="25"/>
      <c r="I118" s="25"/>
      <c r="J118" s="25" t="s">
        <v>439</v>
      </c>
      <c r="K118" s="25" t="str">
        <f aca="false">IFERROR(__xludf.dummyfunction("SPLIT(J118,"" "")"),"CIF")</f>
        <v>CIF</v>
      </c>
      <c r="L118" s="8" t="str">
        <f aca="false">IFERROR(__xludf.dummyfunction("""COMPUTED_VALUE"""),"Argentina")</f>
        <v>Argentina</v>
      </c>
      <c r="M118" s="25" t="s">
        <v>441</v>
      </c>
      <c r="N118" s="25"/>
      <c r="O118" s="25"/>
      <c r="P118" s="25"/>
      <c r="Q118" s="29" t="s">
        <v>398</v>
      </c>
      <c r="R118" s="8" t="str">
        <f aca="false">B118&amp;" "&amp;C118&amp;" "&amp;D118&amp;" "&amp;E118&amp;" "&amp;G118&amp;" "&amp;H118&amp;" "&amp;J118&amp;" "&amp;N118</f>
        <v>Differentials Precursor     CIF Argentina </v>
      </c>
      <c r="S118" s="25"/>
      <c r="T118" s="8"/>
      <c r="U118" s="8"/>
      <c r="V118" s="27" t="s">
        <v>49</v>
      </c>
      <c r="W118" s="25"/>
      <c r="X118" s="25"/>
      <c r="Y118" s="25"/>
      <c r="Z118" s="25"/>
      <c r="AA118" s="25"/>
      <c r="AB118" s="25"/>
      <c r="AC118" s="25"/>
      <c r="AD118" s="25"/>
    </row>
    <row r="119" customFormat="false" ht="15.75" hidden="false" customHeight="false" outlineLevel="0" collapsed="false">
      <c r="A119" s="28" t="s">
        <v>456</v>
      </c>
      <c r="B119" s="27" t="s">
        <v>438</v>
      </c>
      <c r="C119" s="27" t="s">
        <v>383</v>
      </c>
      <c r="D119" s="25"/>
      <c r="E119" s="25"/>
      <c r="F119" s="25"/>
      <c r="G119" s="25"/>
      <c r="H119" s="25"/>
      <c r="I119" s="25"/>
      <c r="J119" s="25" t="s">
        <v>439</v>
      </c>
      <c r="K119" s="25" t="str">
        <f aca="false">IFERROR(__xludf.dummyfunction("SPLIT(J119,"" "")"),"CIF")</f>
        <v>CIF</v>
      </c>
      <c r="L119" s="8" t="str">
        <f aca="false">IFERROR(__xludf.dummyfunction("""COMPUTED_VALUE"""),"Argentina")</f>
        <v>Argentina</v>
      </c>
      <c r="M119" s="25" t="s">
        <v>441</v>
      </c>
      <c r="N119" s="25"/>
      <c r="O119" s="25"/>
      <c r="P119" s="25"/>
      <c r="Q119" s="29" t="s">
        <v>259</v>
      </c>
      <c r="R119" s="8" t="str">
        <f aca="false">B119&amp;" "&amp;C119&amp;" "&amp;D119&amp;" "&amp;E119&amp;" "&amp;G119&amp;" "&amp;H119&amp;" "&amp;J119&amp;" "&amp;N119</f>
        <v>Differentials Precursor     CIF Argentina </v>
      </c>
      <c r="S119" s="25"/>
      <c r="T119" s="8"/>
      <c r="U119" s="8"/>
      <c r="V119" s="27" t="s">
        <v>49</v>
      </c>
      <c r="W119" s="25"/>
      <c r="X119" s="25"/>
      <c r="Y119" s="25"/>
      <c r="Z119" s="25"/>
      <c r="AA119" s="25"/>
      <c r="AB119" s="25"/>
      <c r="AC119" s="25"/>
      <c r="AD119" s="25"/>
    </row>
    <row r="120" customFormat="false" ht="15.75" hidden="false" customHeight="false" outlineLevel="0" collapsed="false">
      <c r="A120" s="28" t="s">
        <v>457</v>
      </c>
      <c r="B120" s="27" t="s">
        <v>438</v>
      </c>
      <c r="C120" s="27" t="s">
        <v>383</v>
      </c>
      <c r="D120" s="25"/>
      <c r="E120" s="25"/>
      <c r="F120" s="25"/>
      <c r="G120" s="25"/>
      <c r="H120" s="25"/>
      <c r="I120" s="25"/>
      <c r="J120" s="25" t="s">
        <v>439</v>
      </c>
      <c r="K120" s="25" t="str">
        <f aca="false">IFERROR(__xludf.dummyfunction("SPLIT(J120,"" "")"),"CIF")</f>
        <v>CIF</v>
      </c>
      <c r="L120" s="8" t="str">
        <f aca="false">IFERROR(__xludf.dummyfunction("""COMPUTED_VALUE"""),"Argentina")</f>
        <v>Argentina</v>
      </c>
      <c r="M120" s="25" t="s">
        <v>441</v>
      </c>
      <c r="N120" s="25"/>
      <c r="O120" s="25"/>
      <c r="P120" s="25"/>
      <c r="Q120" s="29" t="s">
        <v>395</v>
      </c>
      <c r="R120" s="8" t="str">
        <f aca="false">B120&amp;" "&amp;C120&amp;" "&amp;D120&amp;" "&amp;E120&amp;" "&amp;G120&amp;" "&amp;H120&amp;" "&amp;J120&amp;" "&amp;N120</f>
        <v>Differentials Precursor     CIF Argentina </v>
      </c>
      <c r="S120" s="25"/>
      <c r="T120" s="8"/>
      <c r="U120" s="8"/>
      <c r="V120" s="27" t="s">
        <v>49</v>
      </c>
      <c r="W120" s="25"/>
      <c r="X120" s="25"/>
      <c r="Y120" s="25"/>
      <c r="Z120" s="25"/>
      <c r="AA120" s="25"/>
      <c r="AB120" s="25"/>
      <c r="AC120" s="25"/>
      <c r="AD120" s="25"/>
    </row>
    <row r="121" customFormat="false" ht="15.75" hidden="false" customHeight="false" outlineLevel="0" collapsed="false">
      <c r="A121" s="28" t="s">
        <v>458</v>
      </c>
      <c r="B121" s="27" t="s">
        <v>438</v>
      </c>
      <c r="C121" s="27" t="s">
        <v>383</v>
      </c>
      <c r="D121" s="25"/>
      <c r="E121" s="25"/>
      <c r="F121" s="25"/>
      <c r="G121" s="25"/>
      <c r="H121" s="25"/>
      <c r="I121" s="25"/>
      <c r="J121" s="25" t="s">
        <v>439</v>
      </c>
      <c r="K121" s="25" t="str">
        <f aca="false">IFERROR(__xludf.dummyfunction("SPLIT(J121,"" "")"),"CIF")</f>
        <v>CIF</v>
      </c>
      <c r="L121" s="8" t="str">
        <f aca="false">IFERROR(__xludf.dummyfunction("""COMPUTED_VALUE"""),"Argentina")</f>
        <v>Argentina</v>
      </c>
      <c r="M121" s="25" t="s">
        <v>441</v>
      </c>
      <c r="N121" s="25"/>
      <c r="O121" s="25"/>
      <c r="P121" s="25"/>
      <c r="Q121" s="29" t="s">
        <v>393</v>
      </c>
      <c r="R121" s="8" t="str">
        <f aca="false">B121&amp;" "&amp;C121&amp;" "&amp;D121&amp;" "&amp;E121&amp;" "&amp;G121&amp;" "&amp;H121&amp;" "&amp;J121&amp;" "&amp;N121</f>
        <v>Differentials Precursor     CIF Argentina </v>
      </c>
      <c r="S121" s="25"/>
      <c r="T121" s="8"/>
      <c r="U121" s="8"/>
      <c r="V121" s="27" t="s">
        <v>49</v>
      </c>
      <c r="W121" s="25"/>
      <c r="X121" s="25"/>
      <c r="Y121" s="25"/>
      <c r="Z121" s="25"/>
      <c r="AA121" s="25"/>
      <c r="AB121" s="25"/>
      <c r="AC121" s="25"/>
      <c r="AD121" s="25"/>
    </row>
    <row r="122" customFormat="false" ht="15.75" hidden="false" customHeight="false" outlineLevel="0" collapsed="false">
      <c r="A122" s="28" t="s">
        <v>459</v>
      </c>
      <c r="B122" s="27" t="s">
        <v>438</v>
      </c>
      <c r="C122" s="27" t="s">
        <v>383</v>
      </c>
      <c r="D122" s="25"/>
      <c r="E122" s="25"/>
      <c r="F122" s="25"/>
      <c r="G122" s="25"/>
      <c r="H122" s="25"/>
      <c r="I122" s="25"/>
      <c r="J122" s="25" t="s">
        <v>439</v>
      </c>
      <c r="K122" s="25" t="str">
        <f aca="false">IFERROR(__xludf.dummyfunction("SPLIT(J122,"" "")"),"CIF")</f>
        <v>CIF</v>
      </c>
      <c r="L122" s="8" t="str">
        <f aca="false">IFERROR(__xludf.dummyfunction("""COMPUTED_VALUE"""),"Argentina")</f>
        <v>Argentina</v>
      </c>
      <c r="M122" s="25" t="s">
        <v>441</v>
      </c>
      <c r="N122" s="25"/>
      <c r="O122" s="25"/>
      <c r="P122" s="25"/>
      <c r="Q122" s="29" t="s">
        <v>391</v>
      </c>
      <c r="R122" s="8" t="str">
        <f aca="false">B122&amp;" "&amp;C122&amp;" "&amp;D122&amp;" "&amp;E122&amp;" "&amp;G122&amp;" "&amp;H122&amp;" "&amp;J122&amp;" "&amp;N122</f>
        <v>Differentials Precursor     CIF Argentina </v>
      </c>
      <c r="S122" s="25"/>
      <c r="T122" s="8"/>
      <c r="U122" s="8"/>
      <c r="V122" s="27" t="s">
        <v>49</v>
      </c>
      <c r="W122" s="25"/>
      <c r="X122" s="25"/>
      <c r="Y122" s="25"/>
      <c r="Z122" s="25"/>
      <c r="AA122" s="25"/>
      <c r="AB122" s="25"/>
      <c r="AC122" s="25"/>
      <c r="AD122" s="25"/>
    </row>
    <row r="123" customFormat="false" ht="15.75" hidden="false" customHeight="false" outlineLevel="0" collapsed="false">
      <c r="A123" s="28" t="s">
        <v>460</v>
      </c>
      <c r="B123" s="27" t="s">
        <v>438</v>
      </c>
      <c r="C123" s="27" t="s">
        <v>383</v>
      </c>
      <c r="D123" s="25"/>
      <c r="E123" s="25"/>
      <c r="F123" s="25"/>
      <c r="G123" s="25"/>
      <c r="H123" s="25"/>
      <c r="I123" s="25"/>
      <c r="J123" s="25" t="s">
        <v>439</v>
      </c>
      <c r="K123" s="25" t="str">
        <f aca="false">IFERROR(__xludf.dummyfunction("SPLIT(J123,"" "")"),"CIF")</f>
        <v>CIF</v>
      </c>
      <c r="L123" s="8" t="str">
        <f aca="false">IFERROR(__xludf.dummyfunction("""COMPUTED_VALUE"""),"Argentina")</f>
        <v>Argentina</v>
      </c>
      <c r="M123" s="25" t="s">
        <v>441</v>
      </c>
      <c r="N123" s="25"/>
      <c r="O123" s="25"/>
      <c r="P123" s="25"/>
      <c r="Q123" s="29" t="s">
        <v>389</v>
      </c>
      <c r="R123" s="8" t="str">
        <f aca="false">B123&amp;" "&amp;C123&amp;" "&amp;D123&amp;" "&amp;E123&amp;" "&amp;G123&amp;" "&amp;H123&amp;" "&amp;J123&amp;" "&amp;N123</f>
        <v>Differentials Precursor     CIF Argentina </v>
      </c>
      <c r="S123" s="25"/>
      <c r="T123" s="8"/>
      <c r="U123" s="8"/>
      <c r="V123" s="27" t="s">
        <v>49</v>
      </c>
      <c r="W123" s="25"/>
      <c r="X123" s="25"/>
      <c r="Y123" s="25"/>
      <c r="Z123" s="25"/>
      <c r="AA123" s="25"/>
      <c r="AB123" s="25"/>
      <c r="AC123" s="25"/>
      <c r="AD123" s="25"/>
    </row>
    <row r="124" customFormat="false" ht="15.75" hidden="false" customHeight="false" outlineLevel="0" collapsed="false">
      <c r="A124" s="28" t="s">
        <v>461</v>
      </c>
      <c r="B124" s="27" t="s">
        <v>438</v>
      </c>
      <c r="C124" s="27" t="s">
        <v>383</v>
      </c>
      <c r="D124" s="25"/>
      <c r="E124" s="25"/>
      <c r="F124" s="25"/>
      <c r="G124" s="25"/>
      <c r="H124" s="25"/>
      <c r="I124" s="25"/>
      <c r="J124" s="25" t="s">
        <v>439</v>
      </c>
      <c r="K124" s="25" t="str">
        <f aca="false">IFERROR(__xludf.dummyfunction("SPLIT(J124,"" "")"),"CIF")</f>
        <v>CIF</v>
      </c>
      <c r="L124" s="8" t="str">
        <f aca="false">IFERROR(__xludf.dummyfunction("""COMPUTED_VALUE"""),"Argentina")</f>
        <v>Argentina</v>
      </c>
      <c r="M124" s="25" t="s">
        <v>441</v>
      </c>
      <c r="N124" s="25"/>
      <c r="O124" s="25"/>
      <c r="P124" s="25"/>
      <c r="Q124" s="29" t="s">
        <v>387</v>
      </c>
      <c r="R124" s="8" t="str">
        <f aca="false">B124&amp;" "&amp;C124&amp;" "&amp;D124&amp;" "&amp;E124&amp;" "&amp;G124&amp;" "&amp;H124&amp;" "&amp;J124&amp;" "&amp;N124</f>
        <v>Differentials Precursor     CIF Argentina </v>
      </c>
      <c r="S124" s="25"/>
      <c r="T124" s="8"/>
      <c r="U124" s="8"/>
      <c r="V124" s="27" t="s">
        <v>49</v>
      </c>
      <c r="W124" s="25"/>
      <c r="X124" s="25"/>
      <c r="Y124" s="25"/>
      <c r="Z124" s="25"/>
      <c r="AA124" s="25"/>
      <c r="AB124" s="25"/>
      <c r="AC124" s="25"/>
      <c r="AD124" s="25"/>
    </row>
    <row r="125" customFormat="false" ht="15.75" hidden="false" customHeight="false" outlineLevel="0" collapsed="false">
      <c r="A125" s="28" t="s">
        <v>462</v>
      </c>
      <c r="B125" s="27" t="s">
        <v>438</v>
      </c>
      <c r="C125" s="27" t="s">
        <v>383</v>
      </c>
      <c r="D125" s="25"/>
      <c r="E125" s="25"/>
      <c r="F125" s="25"/>
      <c r="G125" s="25"/>
      <c r="H125" s="25"/>
      <c r="I125" s="25"/>
      <c r="J125" s="25" t="s">
        <v>439</v>
      </c>
      <c r="K125" s="25" t="str">
        <f aca="false">IFERROR(__xludf.dummyfunction("SPLIT(J125,"" "")"),"CIF")</f>
        <v>CIF</v>
      </c>
      <c r="L125" s="8" t="str">
        <f aca="false">IFERROR(__xludf.dummyfunction("""COMPUTED_VALUE"""),"Argentina")</f>
        <v>Argentina</v>
      </c>
      <c r="M125" s="25" t="s">
        <v>441</v>
      </c>
      <c r="N125" s="25"/>
      <c r="O125" s="25"/>
      <c r="P125" s="25"/>
      <c r="Q125" s="29" t="s">
        <v>385</v>
      </c>
      <c r="R125" s="8" t="str">
        <f aca="false">B125&amp;" "&amp;C125&amp;" "&amp;D125&amp;" "&amp;E125&amp;" "&amp;G125&amp;" "&amp;H125&amp;" "&amp;J125&amp;" "&amp;N125</f>
        <v>Differentials Precursor     CIF Argentina </v>
      </c>
      <c r="S125" s="25"/>
      <c r="T125" s="8"/>
      <c r="U125" s="8"/>
      <c r="V125" s="27" t="s">
        <v>49</v>
      </c>
      <c r="W125" s="25"/>
      <c r="X125" s="25"/>
      <c r="Y125" s="25"/>
      <c r="Z125" s="25"/>
      <c r="AA125" s="25"/>
      <c r="AB125" s="25"/>
      <c r="AC125" s="25"/>
      <c r="AD125" s="25"/>
    </row>
    <row r="126" customFormat="false" ht="15.75" hidden="false" customHeight="false" outlineLevel="0" collapsed="false">
      <c r="A126" s="28" t="s">
        <v>463</v>
      </c>
      <c r="B126" s="27" t="s">
        <v>438</v>
      </c>
      <c r="C126" s="25" t="s">
        <v>167</v>
      </c>
      <c r="D126" s="27" t="s">
        <v>168</v>
      </c>
      <c r="E126" s="25"/>
      <c r="F126" s="25"/>
      <c r="G126" s="25"/>
      <c r="H126" s="25"/>
      <c r="I126" s="25"/>
      <c r="J126" s="25" t="s">
        <v>464</v>
      </c>
      <c r="K126" s="25" t="str">
        <f aca="false">IFERROR(__xludf.dummyfunction("SPLIT(J126,"" "")"),"CIF")</f>
        <v>CIF</v>
      </c>
      <c r="L126" s="8" t="str">
        <f aca="false">IFERROR(__xludf.dummyfunction("""COMPUTED_VALUE"""),"Australia")</f>
        <v>Australia</v>
      </c>
      <c r="M126" s="25" t="s">
        <v>465</v>
      </c>
      <c r="N126" s="25" t="s">
        <v>466</v>
      </c>
      <c r="O126" s="25"/>
      <c r="P126" s="25" t="s">
        <v>187</v>
      </c>
      <c r="Q126" s="29" t="s">
        <v>175</v>
      </c>
      <c r="R126" s="8" t="str">
        <f aca="false">B126&amp;" "&amp;C126&amp;" "&amp;D126&amp;" "&amp;E126&amp;" "&amp;G126&amp;" "&amp;H126&amp;" "&amp;J126&amp;" "&amp;N126</f>
        <v>Differentials Foils Aluminium (Battery Grade)    CIF Australia AUD</v>
      </c>
      <c r="S126" s="25"/>
      <c r="T126" s="8"/>
      <c r="U126" s="8"/>
      <c r="V126" s="27" t="s">
        <v>49</v>
      </c>
      <c r="W126" s="25"/>
      <c r="X126" s="25"/>
      <c r="Y126" s="25"/>
      <c r="Z126" s="25"/>
      <c r="AA126" s="25"/>
      <c r="AB126" s="25"/>
      <c r="AC126" s="25"/>
      <c r="AD126" s="25"/>
    </row>
    <row r="127" customFormat="false" ht="15.75" hidden="false" customHeight="false" outlineLevel="0" collapsed="false">
      <c r="A127" s="28" t="s">
        <v>467</v>
      </c>
      <c r="B127" s="27" t="s">
        <v>438</v>
      </c>
      <c r="C127" s="25" t="s">
        <v>167</v>
      </c>
      <c r="D127" s="27" t="s">
        <v>168</v>
      </c>
      <c r="E127" s="25"/>
      <c r="F127" s="25"/>
      <c r="G127" s="25"/>
      <c r="H127" s="25"/>
      <c r="I127" s="25"/>
      <c r="J127" s="25" t="s">
        <v>464</v>
      </c>
      <c r="K127" s="25" t="str">
        <f aca="false">IFERROR(__xludf.dummyfunction("SPLIT(J127,"" "")"),"CIF")</f>
        <v>CIF</v>
      </c>
      <c r="L127" s="8" t="str">
        <f aca="false">IFERROR(__xludf.dummyfunction("""COMPUTED_VALUE"""),"Australia")</f>
        <v>Australia</v>
      </c>
      <c r="M127" s="25" t="s">
        <v>465</v>
      </c>
      <c r="N127" s="25" t="s">
        <v>466</v>
      </c>
      <c r="O127" s="25"/>
      <c r="P127" s="25" t="s">
        <v>187</v>
      </c>
      <c r="Q127" s="29" t="s">
        <v>173</v>
      </c>
      <c r="R127" s="8" t="str">
        <f aca="false">B127&amp;" "&amp;C127&amp;" "&amp;D127&amp;" "&amp;E127&amp;" "&amp;G127&amp;" "&amp;H127&amp;" "&amp;J127&amp;" "&amp;N127</f>
        <v>Differentials Foils Aluminium (Battery Grade)    CIF Australia AUD</v>
      </c>
      <c r="S127" s="25"/>
      <c r="T127" s="8"/>
      <c r="U127" s="8"/>
      <c r="V127" s="27" t="s">
        <v>49</v>
      </c>
      <c r="W127" s="25"/>
      <c r="X127" s="25"/>
      <c r="Y127" s="25"/>
      <c r="Z127" s="25"/>
      <c r="AA127" s="25"/>
      <c r="AB127" s="25"/>
      <c r="AC127" s="25"/>
      <c r="AD127" s="25"/>
    </row>
    <row r="128" customFormat="false" ht="15.75" hidden="false" customHeight="false" outlineLevel="0" collapsed="false">
      <c r="A128" s="28" t="s">
        <v>468</v>
      </c>
      <c r="B128" s="27" t="s">
        <v>438</v>
      </c>
      <c r="C128" s="25" t="s">
        <v>167</v>
      </c>
      <c r="D128" s="27" t="s">
        <v>168</v>
      </c>
      <c r="E128" s="25"/>
      <c r="F128" s="25"/>
      <c r="G128" s="25"/>
      <c r="H128" s="25"/>
      <c r="I128" s="25"/>
      <c r="J128" s="25" t="s">
        <v>464</v>
      </c>
      <c r="K128" s="25" t="str">
        <f aca="false">IFERROR(__xludf.dummyfunction("SPLIT(J128,"" "")"),"CIF")</f>
        <v>CIF</v>
      </c>
      <c r="L128" s="8" t="str">
        <f aca="false">IFERROR(__xludf.dummyfunction("""COMPUTED_VALUE"""),"Australia")</f>
        <v>Australia</v>
      </c>
      <c r="M128" s="25" t="s">
        <v>465</v>
      </c>
      <c r="N128" s="25" t="s">
        <v>466</v>
      </c>
      <c r="O128" s="25"/>
      <c r="P128" s="25" t="s">
        <v>187</v>
      </c>
      <c r="Q128" s="29" t="s">
        <v>169</v>
      </c>
      <c r="R128" s="8" t="str">
        <f aca="false">B128&amp;" "&amp;C128&amp;" "&amp;D128&amp;" "&amp;E128&amp;" "&amp;G128&amp;" "&amp;H128&amp;" "&amp;J128&amp;" "&amp;N128</f>
        <v>Differentials Foils Aluminium (Battery Grade)    CIF Australia AUD</v>
      </c>
      <c r="S128" s="25"/>
      <c r="T128" s="8"/>
      <c r="U128" s="8"/>
      <c r="V128" s="27" t="s">
        <v>49</v>
      </c>
      <c r="W128" s="25"/>
      <c r="X128" s="25"/>
      <c r="Y128" s="25"/>
      <c r="Z128" s="25"/>
      <c r="AA128" s="25"/>
      <c r="AB128" s="25"/>
      <c r="AC128" s="25"/>
      <c r="AD128" s="25"/>
    </row>
    <row r="129" customFormat="false" ht="15.75" hidden="false" customHeight="false" outlineLevel="0" collapsed="false">
      <c r="A129" s="28" t="s">
        <v>469</v>
      </c>
      <c r="B129" s="27" t="s">
        <v>438</v>
      </c>
      <c r="C129" s="25" t="s">
        <v>167</v>
      </c>
      <c r="D129" s="27" t="s">
        <v>284</v>
      </c>
      <c r="E129" s="25"/>
      <c r="F129" s="25"/>
      <c r="G129" s="25"/>
      <c r="H129" s="25"/>
      <c r="I129" s="25"/>
      <c r="J129" s="25" t="s">
        <v>464</v>
      </c>
      <c r="K129" s="25" t="str">
        <f aca="false">IFERROR(__xludf.dummyfunction("SPLIT(J129,"" "")"),"CIF")</f>
        <v>CIF</v>
      </c>
      <c r="L129" s="8" t="str">
        <f aca="false">IFERROR(__xludf.dummyfunction("""COMPUTED_VALUE"""),"Australia")</f>
        <v>Australia</v>
      </c>
      <c r="M129" s="25" t="s">
        <v>465</v>
      </c>
      <c r="N129" s="25" t="s">
        <v>466</v>
      </c>
      <c r="O129" s="25"/>
      <c r="P129" s="25" t="s">
        <v>187</v>
      </c>
      <c r="Q129" s="29" t="s">
        <v>287</v>
      </c>
      <c r="R129" s="8" t="str">
        <f aca="false">B129&amp;" "&amp;C129&amp;" "&amp;D129&amp;" "&amp;E129&amp;" "&amp;G129&amp;" "&amp;H129&amp;" "&amp;J129&amp;" "&amp;N129</f>
        <v>Differentials Foils Copper (Battery Grade)    CIF Australia AUD</v>
      </c>
      <c r="S129" s="25"/>
      <c r="T129" s="8"/>
      <c r="U129" s="8"/>
      <c r="V129" s="27" t="s">
        <v>49</v>
      </c>
      <c r="W129" s="25"/>
      <c r="X129" s="25"/>
      <c r="Y129" s="25"/>
      <c r="Z129" s="25"/>
      <c r="AA129" s="25"/>
      <c r="AB129" s="25"/>
      <c r="AC129" s="25"/>
      <c r="AD129" s="25"/>
    </row>
    <row r="130" customFormat="false" ht="15.75" hidden="false" customHeight="false" outlineLevel="0" collapsed="false">
      <c r="A130" s="28" t="s">
        <v>470</v>
      </c>
      <c r="B130" s="27" t="s">
        <v>438</v>
      </c>
      <c r="C130" s="25" t="s">
        <v>167</v>
      </c>
      <c r="D130" s="27" t="s">
        <v>284</v>
      </c>
      <c r="E130" s="25"/>
      <c r="F130" s="25"/>
      <c r="G130" s="25"/>
      <c r="H130" s="25"/>
      <c r="I130" s="25"/>
      <c r="J130" s="25" t="s">
        <v>464</v>
      </c>
      <c r="K130" s="25" t="str">
        <f aca="false">IFERROR(__xludf.dummyfunction("SPLIT(J130,"" "")"),"CIF")</f>
        <v>CIF</v>
      </c>
      <c r="L130" s="8" t="str">
        <f aca="false">IFERROR(__xludf.dummyfunction("""COMPUTED_VALUE"""),"Australia")</f>
        <v>Australia</v>
      </c>
      <c r="M130" s="25" t="s">
        <v>465</v>
      </c>
      <c r="N130" s="25" t="s">
        <v>466</v>
      </c>
      <c r="O130" s="25"/>
      <c r="P130" s="25" t="s">
        <v>187</v>
      </c>
      <c r="Q130" s="29" t="s">
        <v>285</v>
      </c>
      <c r="R130" s="8" t="str">
        <f aca="false">B130&amp;" "&amp;C130&amp;" "&amp;D130&amp;" "&amp;E130&amp;" "&amp;G130&amp;" "&amp;H130&amp;" "&amp;J130&amp;" "&amp;N130</f>
        <v>Differentials Foils Copper (Battery Grade)    CIF Australia AUD</v>
      </c>
      <c r="S130" s="25"/>
      <c r="T130" s="8"/>
      <c r="U130" s="8"/>
      <c r="V130" s="27" t="s">
        <v>49</v>
      </c>
      <c r="W130" s="25"/>
      <c r="X130" s="25"/>
      <c r="Y130" s="25"/>
      <c r="Z130" s="25"/>
      <c r="AA130" s="25"/>
      <c r="AB130" s="25"/>
      <c r="AC130" s="25"/>
      <c r="AD130" s="25"/>
    </row>
    <row r="131" customFormat="false" ht="15.75" hidden="false" customHeight="false" outlineLevel="0" collapsed="false">
      <c r="A131" s="28" t="s">
        <v>471</v>
      </c>
      <c r="B131" s="27" t="s">
        <v>438</v>
      </c>
      <c r="C131" s="27" t="s">
        <v>360</v>
      </c>
      <c r="D131" s="25"/>
      <c r="E131" s="25"/>
      <c r="F131" s="25"/>
      <c r="G131" s="25"/>
      <c r="H131" s="25"/>
      <c r="I131" s="25"/>
      <c r="J131" s="25" t="s">
        <v>464</v>
      </c>
      <c r="K131" s="25" t="str">
        <f aca="false">IFERROR(__xludf.dummyfunction("SPLIT(J131,"" "")"),"CIF")</f>
        <v>CIF</v>
      </c>
      <c r="L131" s="8" t="str">
        <f aca="false">IFERROR(__xludf.dummyfunction("""COMPUTED_VALUE"""),"Australia")</f>
        <v>Australia</v>
      </c>
      <c r="M131" s="25" t="s">
        <v>465</v>
      </c>
      <c r="N131" s="25" t="s">
        <v>466</v>
      </c>
      <c r="O131" s="25"/>
      <c r="P131" s="25" t="s">
        <v>187</v>
      </c>
      <c r="Q131" s="29" t="s">
        <v>368</v>
      </c>
      <c r="R131" s="8" t="str">
        <f aca="false">B131&amp;" "&amp;C131&amp;" "&amp;D131&amp;" "&amp;E131&amp;" "&amp;G131&amp;" "&amp;H131&amp;" "&amp;J131&amp;" "&amp;N131</f>
        <v>Differentials Lithium     CIF Australia AUD</v>
      </c>
      <c r="S131" s="25"/>
      <c r="T131" s="8"/>
      <c r="U131" s="8"/>
      <c r="V131" s="27" t="s">
        <v>49</v>
      </c>
      <c r="W131" s="25"/>
      <c r="X131" s="25"/>
      <c r="Y131" s="25"/>
      <c r="Z131" s="25"/>
      <c r="AA131" s="25"/>
      <c r="AB131" s="25"/>
      <c r="AC131" s="25"/>
      <c r="AD131" s="25"/>
    </row>
    <row r="132" customFormat="false" ht="15.75" hidden="false" customHeight="false" outlineLevel="0" collapsed="false">
      <c r="A132" s="28" t="s">
        <v>472</v>
      </c>
      <c r="B132" s="27" t="s">
        <v>438</v>
      </c>
      <c r="C132" s="27" t="s">
        <v>360</v>
      </c>
      <c r="D132" s="25"/>
      <c r="E132" s="25"/>
      <c r="F132" s="25"/>
      <c r="G132" s="25"/>
      <c r="H132" s="25"/>
      <c r="I132" s="25"/>
      <c r="J132" s="25" t="s">
        <v>464</v>
      </c>
      <c r="K132" s="25" t="str">
        <f aca="false">IFERROR(__xludf.dummyfunction("SPLIT(J132,"" "")"),"CIF")</f>
        <v>CIF</v>
      </c>
      <c r="L132" s="8" t="str">
        <f aca="false">IFERROR(__xludf.dummyfunction("""COMPUTED_VALUE"""),"Australia")</f>
        <v>Australia</v>
      </c>
      <c r="M132" s="25" t="s">
        <v>465</v>
      </c>
      <c r="N132" s="25" t="s">
        <v>466</v>
      </c>
      <c r="O132" s="25"/>
      <c r="P132" s="25" t="s">
        <v>187</v>
      </c>
      <c r="Q132" s="29" t="s">
        <v>366</v>
      </c>
      <c r="R132" s="8" t="str">
        <f aca="false">B132&amp;" "&amp;C132&amp;" "&amp;D132&amp;" "&amp;E132&amp;" "&amp;G132&amp;" "&amp;H132&amp;" "&amp;J132&amp;" "&amp;N132</f>
        <v>Differentials Lithium     CIF Australia AUD</v>
      </c>
      <c r="S132" s="25"/>
      <c r="T132" s="8"/>
      <c r="U132" s="8"/>
      <c r="V132" s="27" t="s">
        <v>49</v>
      </c>
      <c r="W132" s="25"/>
      <c r="X132" s="25"/>
      <c r="Y132" s="25"/>
      <c r="Z132" s="25"/>
      <c r="AA132" s="25"/>
      <c r="AB132" s="25"/>
      <c r="AC132" s="25"/>
      <c r="AD132" s="25"/>
    </row>
    <row r="133" customFormat="false" ht="15.75" hidden="false" customHeight="false" outlineLevel="0" collapsed="false">
      <c r="A133" s="28" t="s">
        <v>473</v>
      </c>
      <c r="B133" s="27" t="s">
        <v>438</v>
      </c>
      <c r="C133" s="27" t="s">
        <v>360</v>
      </c>
      <c r="D133" s="25"/>
      <c r="E133" s="25"/>
      <c r="F133" s="25"/>
      <c r="G133" s="25"/>
      <c r="H133" s="25"/>
      <c r="I133" s="25"/>
      <c r="J133" s="25" t="s">
        <v>464</v>
      </c>
      <c r="K133" s="25" t="str">
        <f aca="false">IFERROR(__xludf.dummyfunction("SPLIT(J133,"" "")"),"CIF")</f>
        <v>CIF</v>
      </c>
      <c r="L133" s="8" t="str">
        <f aca="false">IFERROR(__xludf.dummyfunction("""COMPUTED_VALUE"""),"Australia")</f>
        <v>Australia</v>
      </c>
      <c r="M133" s="25" t="s">
        <v>465</v>
      </c>
      <c r="N133" s="25" t="s">
        <v>466</v>
      </c>
      <c r="O133" s="25"/>
      <c r="P133" s="25" t="s">
        <v>187</v>
      </c>
      <c r="Q133" s="29" t="s">
        <v>361</v>
      </c>
      <c r="R133" s="8" t="str">
        <f aca="false">B133&amp;" "&amp;C133&amp;" "&amp;D133&amp;" "&amp;E133&amp;" "&amp;G133&amp;" "&amp;H133&amp;" "&amp;J133&amp;" "&amp;N133</f>
        <v>Differentials Lithium     CIF Australia AUD</v>
      </c>
      <c r="S133" s="25"/>
      <c r="T133" s="8"/>
      <c r="U133" s="8"/>
      <c r="V133" s="27" t="s">
        <v>49</v>
      </c>
      <c r="W133" s="25"/>
      <c r="X133" s="25"/>
      <c r="Y133" s="25"/>
      <c r="Z133" s="25"/>
      <c r="AA133" s="25"/>
      <c r="AB133" s="25"/>
      <c r="AC133" s="25"/>
      <c r="AD133" s="25"/>
    </row>
    <row r="134" customFormat="false" ht="15.75" hidden="false" customHeight="false" outlineLevel="0" collapsed="false">
      <c r="A134" s="28" t="s">
        <v>474</v>
      </c>
      <c r="B134" s="27" t="s">
        <v>438</v>
      </c>
      <c r="C134" s="27" t="s">
        <v>360</v>
      </c>
      <c r="D134" s="25"/>
      <c r="E134" s="25"/>
      <c r="F134" s="25"/>
      <c r="G134" s="25"/>
      <c r="H134" s="25"/>
      <c r="I134" s="25"/>
      <c r="J134" s="25" t="s">
        <v>464</v>
      </c>
      <c r="K134" s="25" t="str">
        <f aca="false">IFERROR(__xludf.dummyfunction("SPLIT(J134,"" "")"),"CIF")</f>
        <v>CIF</v>
      </c>
      <c r="L134" s="8" t="str">
        <f aca="false">IFERROR(__xludf.dummyfunction("""COMPUTED_VALUE"""),"Australia")</f>
        <v>Australia</v>
      </c>
      <c r="M134" s="25" t="s">
        <v>465</v>
      </c>
      <c r="N134" s="25" t="s">
        <v>466</v>
      </c>
      <c r="O134" s="25"/>
      <c r="P134" s="25" t="s">
        <v>187</v>
      </c>
      <c r="Q134" s="29" t="s">
        <v>363</v>
      </c>
      <c r="R134" s="8" t="str">
        <f aca="false">B134&amp;" "&amp;C134&amp;" "&amp;D134&amp;" "&amp;E134&amp;" "&amp;G134&amp;" "&amp;H134&amp;" "&amp;J134&amp;" "&amp;N134</f>
        <v>Differentials Lithium     CIF Australia AUD</v>
      </c>
      <c r="S134" s="25"/>
      <c r="T134" s="8"/>
      <c r="U134" s="8"/>
      <c r="V134" s="27" t="s">
        <v>49</v>
      </c>
      <c r="W134" s="25"/>
      <c r="X134" s="25"/>
      <c r="Y134" s="25"/>
      <c r="Z134" s="25"/>
      <c r="AA134" s="25"/>
      <c r="AB134" s="25"/>
      <c r="AC134" s="25"/>
      <c r="AD134" s="25"/>
    </row>
    <row r="135" customFormat="false" ht="15.75" hidden="false" customHeight="false" outlineLevel="0" collapsed="false">
      <c r="A135" s="28" t="s">
        <v>475</v>
      </c>
      <c r="B135" s="27" t="s">
        <v>438</v>
      </c>
      <c r="C135" s="27" t="s">
        <v>360</v>
      </c>
      <c r="D135" s="25"/>
      <c r="E135" s="25"/>
      <c r="F135" s="25"/>
      <c r="G135" s="25"/>
      <c r="H135" s="25"/>
      <c r="I135" s="25"/>
      <c r="J135" s="25" t="s">
        <v>464</v>
      </c>
      <c r="K135" s="25" t="str">
        <f aca="false">IFERROR(__xludf.dummyfunction("SPLIT(J135,"" "")"),"CIF")</f>
        <v>CIF</v>
      </c>
      <c r="L135" s="8" t="str">
        <f aca="false">IFERROR(__xludf.dummyfunction("""COMPUTED_VALUE"""),"Australia")</f>
        <v>Australia</v>
      </c>
      <c r="M135" s="25" t="s">
        <v>465</v>
      </c>
      <c r="N135" s="25" t="s">
        <v>466</v>
      </c>
      <c r="O135" s="25"/>
      <c r="P135" s="25" t="s">
        <v>187</v>
      </c>
      <c r="Q135" s="29" t="s">
        <v>361</v>
      </c>
      <c r="R135" s="8" t="str">
        <f aca="false">B135&amp;" "&amp;C135&amp;" "&amp;D135&amp;" "&amp;E135&amp;" "&amp;G135&amp;" "&amp;H135&amp;" "&amp;J135&amp;" "&amp;N135</f>
        <v>Differentials Lithium     CIF Australia AUD</v>
      </c>
      <c r="S135" s="25"/>
      <c r="T135" s="8"/>
      <c r="U135" s="8"/>
      <c r="V135" s="27" t="s">
        <v>49</v>
      </c>
      <c r="W135" s="25"/>
      <c r="X135" s="25"/>
      <c r="Y135" s="25"/>
      <c r="Z135" s="25"/>
      <c r="AA135" s="25"/>
      <c r="AB135" s="25"/>
      <c r="AC135" s="25"/>
      <c r="AD135" s="25"/>
    </row>
    <row r="136" customFormat="false" ht="15.75" hidden="false" customHeight="false" outlineLevel="0" collapsed="false">
      <c r="A136" s="28" t="s">
        <v>476</v>
      </c>
      <c r="B136" s="27" t="s">
        <v>438</v>
      </c>
      <c r="C136" s="27" t="s">
        <v>383</v>
      </c>
      <c r="D136" s="25"/>
      <c r="E136" s="25"/>
      <c r="F136" s="25"/>
      <c r="G136" s="25"/>
      <c r="H136" s="25"/>
      <c r="I136" s="25"/>
      <c r="J136" s="25" t="s">
        <v>464</v>
      </c>
      <c r="K136" s="25" t="str">
        <f aca="false">IFERROR(__xludf.dummyfunction("SPLIT(J136,"" "")"),"CIF")</f>
        <v>CIF</v>
      </c>
      <c r="L136" s="8" t="str">
        <f aca="false">IFERROR(__xludf.dummyfunction("""COMPUTED_VALUE"""),"Australia")</f>
        <v>Australia</v>
      </c>
      <c r="M136" s="25" t="s">
        <v>465</v>
      </c>
      <c r="N136" s="25" t="s">
        <v>466</v>
      </c>
      <c r="O136" s="25"/>
      <c r="P136" s="25" t="s">
        <v>187</v>
      </c>
      <c r="Q136" s="29" t="s">
        <v>406</v>
      </c>
      <c r="R136" s="8" t="str">
        <f aca="false">B136&amp;" "&amp;C136&amp;" "&amp;D136&amp;" "&amp;E136&amp;" "&amp;G136&amp;" "&amp;H136&amp;" "&amp;J136&amp;" "&amp;N136</f>
        <v>Differentials Precursor     CIF Australia AUD</v>
      </c>
      <c r="S136" s="25"/>
      <c r="T136" s="8"/>
      <c r="U136" s="8"/>
      <c r="V136" s="27" t="s">
        <v>49</v>
      </c>
      <c r="W136" s="25"/>
      <c r="X136" s="25"/>
      <c r="Y136" s="25"/>
      <c r="Z136" s="25"/>
      <c r="AA136" s="25"/>
      <c r="AB136" s="25"/>
      <c r="AC136" s="25"/>
      <c r="AD136" s="25"/>
    </row>
    <row r="137" customFormat="false" ht="15.75" hidden="false" customHeight="false" outlineLevel="0" collapsed="false">
      <c r="A137" s="28" t="s">
        <v>477</v>
      </c>
      <c r="B137" s="27" t="s">
        <v>438</v>
      </c>
      <c r="C137" s="27" t="s">
        <v>383</v>
      </c>
      <c r="D137" s="25"/>
      <c r="E137" s="25"/>
      <c r="F137" s="25"/>
      <c r="G137" s="25"/>
      <c r="H137" s="25"/>
      <c r="I137" s="25"/>
      <c r="J137" s="25" t="s">
        <v>464</v>
      </c>
      <c r="K137" s="25" t="str">
        <f aca="false">IFERROR(__xludf.dummyfunction("SPLIT(J137,"" "")"),"CIF")</f>
        <v>CIF</v>
      </c>
      <c r="L137" s="8" t="str">
        <f aca="false">IFERROR(__xludf.dummyfunction("""COMPUTED_VALUE"""),"Australia")</f>
        <v>Australia</v>
      </c>
      <c r="M137" s="25" t="s">
        <v>465</v>
      </c>
      <c r="N137" s="25" t="s">
        <v>466</v>
      </c>
      <c r="O137" s="25"/>
      <c r="P137" s="25" t="s">
        <v>187</v>
      </c>
      <c r="Q137" s="29" t="s">
        <v>404</v>
      </c>
      <c r="R137" s="8" t="str">
        <f aca="false">B137&amp;" "&amp;C137&amp;" "&amp;D137&amp;" "&amp;E137&amp;" "&amp;G137&amp;" "&amp;H137&amp;" "&amp;J137&amp;" "&amp;N137</f>
        <v>Differentials Precursor     CIF Australia AUD</v>
      </c>
      <c r="S137" s="25"/>
      <c r="T137" s="8"/>
      <c r="U137" s="8"/>
      <c r="V137" s="27" t="s">
        <v>49</v>
      </c>
      <c r="W137" s="25"/>
      <c r="X137" s="25"/>
      <c r="Y137" s="25"/>
      <c r="Z137" s="25"/>
      <c r="AA137" s="25"/>
      <c r="AB137" s="25"/>
      <c r="AC137" s="25"/>
      <c r="AD137" s="25"/>
    </row>
    <row r="138" customFormat="false" ht="15.75" hidden="false" customHeight="false" outlineLevel="0" collapsed="false">
      <c r="A138" s="28" t="s">
        <v>478</v>
      </c>
      <c r="B138" s="27" t="s">
        <v>438</v>
      </c>
      <c r="C138" s="27" t="s">
        <v>383</v>
      </c>
      <c r="D138" s="25"/>
      <c r="E138" s="25"/>
      <c r="F138" s="25"/>
      <c r="G138" s="25"/>
      <c r="H138" s="25"/>
      <c r="I138" s="25"/>
      <c r="J138" s="25" t="s">
        <v>464</v>
      </c>
      <c r="K138" s="25" t="str">
        <f aca="false">IFERROR(__xludf.dummyfunction("SPLIT(J138,"" "")"),"CIF")</f>
        <v>CIF</v>
      </c>
      <c r="L138" s="8" t="str">
        <f aca="false">IFERROR(__xludf.dummyfunction("""COMPUTED_VALUE"""),"Australia")</f>
        <v>Australia</v>
      </c>
      <c r="M138" s="25" t="s">
        <v>465</v>
      </c>
      <c r="N138" s="25" t="s">
        <v>466</v>
      </c>
      <c r="O138" s="25"/>
      <c r="P138" s="25" t="s">
        <v>187</v>
      </c>
      <c r="Q138" s="29" t="s">
        <v>402</v>
      </c>
      <c r="R138" s="8" t="str">
        <f aca="false">B138&amp;" "&amp;C138&amp;" "&amp;D138&amp;" "&amp;E138&amp;" "&amp;G138&amp;" "&amp;H138&amp;" "&amp;J138&amp;" "&amp;N138</f>
        <v>Differentials Precursor     CIF Australia AUD</v>
      </c>
      <c r="S138" s="25"/>
      <c r="T138" s="8"/>
      <c r="U138" s="8"/>
      <c r="V138" s="27" t="s">
        <v>49</v>
      </c>
      <c r="W138" s="25"/>
      <c r="X138" s="25"/>
      <c r="Y138" s="25"/>
      <c r="Z138" s="25"/>
      <c r="AA138" s="25"/>
      <c r="AB138" s="25"/>
      <c r="AC138" s="25"/>
      <c r="AD138" s="25"/>
    </row>
    <row r="139" customFormat="false" ht="15.75" hidden="false" customHeight="false" outlineLevel="0" collapsed="false">
      <c r="A139" s="28" t="s">
        <v>479</v>
      </c>
      <c r="B139" s="27" t="s">
        <v>438</v>
      </c>
      <c r="C139" s="27" t="s">
        <v>383</v>
      </c>
      <c r="D139" s="25"/>
      <c r="E139" s="25"/>
      <c r="F139" s="25"/>
      <c r="G139" s="25"/>
      <c r="H139" s="25"/>
      <c r="I139" s="25"/>
      <c r="J139" s="25" t="s">
        <v>464</v>
      </c>
      <c r="K139" s="25" t="str">
        <f aca="false">IFERROR(__xludf.dummyfunction("SPLIT(J139,"" "")"),"CIF")</f>
        <v>CIF</v>
      </c>
      <c r="L139" s="8" t="str">
        <f aca="false">IFERROR(__xludf.dummyfunction("""COMPUTED_VALUE"""),"Australia")</f>
        <v>Australia</v>
      </c>
      <c r="M139" s="25" t="s">
        <v>465</v>
      </c>
      <c r="N139" s="25" t="s">
        <v>466</v>
      </c>
      <c r="O139" s="25"/>
      <c r="P139" s="25" t="s">
        <v>187</v>
      </c>
      <c r="Q139" s="29" t="s">
        <v>400</v>
      </c>
      <c r="R139" s="8" t="str">
        <f aca="false">B139&amp;" "&amp;C139&amp;" "&amp;D139&amp;" "&amp;E139&amp;" "&amp;G139&amp;" "&amp;H139&amp;" "&amp;J139&amp;" "&amp;N139</f>
        <v>Differentials Precursor     CIF Australia AUD</v>
      </c>
      <c r="S139" s="25"/>
      <c r="T139" s="8"/>
      <c r="U139" s="8"/>
      <c r="V139" s="27" t="s">
        <v>49</v>
      </c>
      <c r="W139" s="25"/>
      <c r="X139" s="25"/>
      <c r="Y139" s="25"/>
      <c r="Z139" s="25"/>
      <c r="AA139" s="25"/>
      <c r="AB139" s="25"/>
      <c r="AC139" s="25"/>
      <c r="AD139" s="25"/>
    </row>
    <row r="140" customFormat="false" ht="15.75" hidden="false" customHeight="false" outlineLevel="0" collapsed="false">
      <c r="A140" s="28" t="s">
        <v>480</v>
      </c>
      <c r="B140" s="27" t="s">
        <v>438</v>
      </c>
      <c r="C140" s="27" t="s">
        <v>383</v>
      </c>
      <c r="D140" s="25"/>
      <c r="E140" s="25"/>
      <c r="F140" s="25"/>
      <c r="G140" s="25"/>
      <c r="H140" s="25"/>
      <c r="I140" s="25"/>
      <c r="J140" s="25" t="s">
        <v>464</v>
      </c>
      <c r="K140" s="25" t="str">
        <f aca="false">IFERROR(__xludf.dummyfunction("SPLIT(J140,"" "")"),"CIF")</f>
        <v>CIF</v>
      </c>
      <c r="L140" s="8" t="str">
        <f aca="false">IFERROR(__xludf.dummyfunction("""COMPUTED_VALUE"""),"Australia")</f>
        <v>Australia</v>
      </c>
      <c r="M140" s="25" t="s">
        <v>465</v>
      </c>
      <c r="N140" s="25"/>
      <c r="O140" s="25"/>
      <c r="P140" s="25"/>
      <c r="Q140" s="29" t="s">
        <v>398</v>
      </c>
      <c r="R140" s="8" t="str">
        <f aca="false">B140&amp;" "&amp;C140&amp;" "&amp;D140&amp;" "&amp;E140&amp;" "&amp;G140&amp;" "&amp;H140&amp;" "&amp;J140&amp;" "&amp;N140</f>
        <v>Differentials Precursor     CIF Australia </v>
      </c>
      <c r="S140" s="25"/>
      <c r="T140" s="8"/>
      <c r="U140" s="8"/>
      <c r="V140" s="27" t="s">
        <v>49</v>
      </c>
      <c r="W140" s="25"/>
      <c r="X140" s="25"/>
      <c r="Y140" s="25"/>
      <c r="Z140" s="25"/>
      <c r="AA140" s="25"/>
      <c r="AB140" s="25"/>
      <c r="AC140" s="25"/>
      <c r="AD140" s="25"/>
    </row>
    <row r="141" customFormat="false" ht="15.75" hidden="false" customHeight="false" outlineLevel="0" collapsed="false">
      <c r="A141" s="28" t="s">
        <v>481</v>
      </c>
      <c r="B141" s="27" t="s">
        <v>438</v>
      </c>
      <c r="C141" s="27" t="s">
        <v>383</v>
      </c>
      <c r="D141" s="25"/>
      <c r="E141" s="25"/>
      <c r="F141" s="25"/>
      <c r="G141" s="25"/>
      <c r="H141" s="25"/>
      <c r="I141" s="25"/>
      <c r="J141" s="25" t="s">
        <v>464</v>
      </c>
      <c r="K141" s="25" t="str">
        <f aca="false">IFERROR(__xludf.dummyfunction("SPLIT(J141,"" "")"),"CIF")</f>
        <v>CIF</v>
      </c>
      <c r="L141" s="8" t="str">
        <f aca="false">IFERROR(__xludf.dummyfunction("""COMPUTED_VALUE"""),"Australia")</f>
        <v>Australia</v>
      </c>
      <c r="M141" s="25" t="s">
        <v>465</v>
      </c>
      <c r="N141" s="25"/>
      <c r="O141" s="25"/>
      <c r="P141" s="25"/>
      <c r="Q141" s="29" t="s">
        <v>259</v>
      </c>
      <c r="R141" s="8" t="str">
        <f aca="false">B141&amp;" "&amp;C141&amp;" "&amp;D141&amp;" "&amp;E141&amp;" "&amp;G141&amp;" "&amp;H141&amp;" "&amp;J141&amp;" "&amp;N141</f>
        <v>Differentials Precursor     CIF Australia </v>
      </c>
      <c r="S141" s="25"/>
      <c r="T141" s="8"/>
      <c r="U141" s="8"/>
      <c r="V141" s="27" t="s">
        <v>49</v>
      </c>
      <c r="W141" s="25"/>
      <c r="X141" s="25"/>
      <c r="Y141" s="25"/>
      <c r="Z141" s="25"/>
      <c r="AA141" s="25"/>
      <c r="AB141" s="25"/>
      <c r="AC141" s="25"/>
      <c r="AD141" s="25"/>
    </row>
    <row r="142" customFormat="false" ht="15.75" hidden="false" customHeight="false" outlineLevel="0" collapsed="false">
      <c r="A142" s="28" t="s">
        <v>482</v>
      </c>
      <c r="B142" s="27" t="s">
        <v>438</v>
      </c>
      <c r="C142" s="27" t="s">
        <v>383</v>
      </c>
      <c r="D142" s="25"/>
      <c r="E142" s="25"/>
      <c r="F142" s="25"/>
      <c r="G142" s="25"/>
      <c r="H142" s="25"/>
      <c r="I142" s="25"/>
      <c r="J142" s="25" t="s">
        <v>464</v>
      </c>
      <c r="K142" s="25" t="str">
        <f aca="false">IFERROR(__xludf.dummyfunction("SPLIT(J142,"" "")"),"CIF")</f>
        <v>CIF</v>
      </c>
      <c r="L142" s="8" t="str">
        <f aca="false">IFERROR(__xludf.dummyfunction("""COMPUTED_VALUE"""),"Australia")</f>
        <v>Australia</v>
      </c>
      <c r="M142" s="25" t="s">
        <v>465</v>
      </c>
      <c r="N142" s="25"/>
      <c r="O142" s="25"/>
      <c r="P142" s="25"/>
      <c r="Q142" s="29" t="s">
        <v>395</v>
      </c>
      <c r="R142" s="8" t="str">
        <f aca="false">B142&amp;" "&amp;C142&amp;" "&amp;D142&amp;" "&amp;E142&amp;" "&amp;G142&amp;" "&amp;H142&amp;" "&amp;J142&amp;" "&amp;N142</f>
        <v>Differentials Precursor     CIF Australia </v>
      </c>
      <c r="S142" s="25"/>
      <c r="T142" s="8"/>
      <c r="U142" s="8"/>
      <c r="V142" s="27" t="s">
        <v>49</v>
      </c>
      <c r="W142" s="25"/>
      <c r="X142" s="25"/>
      <c r="Y142" s="25"/>
      <c r="Z142" s="25"/>
      <c r="AA142" s="25"/>
      <c r="AB142" s="25"/>
      <c r="AC142" s="25"/>
      <c r="AD142" s="25"/>
    </row>
    <row r="143" customFormat="false" ht="15.75" hidden="false" customHeight="false" outlineLevel="0" collapsed="false">
      <c r="A143" s="28" t="s">
        <v>483</v>
      </c>
      <c r="B143" s="27" t="s">
        <v>438</v>
      </c>
      <c r="C143" s="27" t="s">
        <v>383</v>
      </c>
      <c r="D143" s="25"/>
      <c r="E143" s="25"/>
      <c r="F143" s="25"/>
      <c r="G143" s="25"/>
      <c r="H143" s="25"/>
      <c r="I143" s="25"/>
      <c r="J143" s="25" t="s">
        <v>464</v>
      </c>
      <c r="K143" s="25" t="str">
        <f aca="false">IFERROR(__xludf.dummyfunction("SPLIT(J143,"" "")"),"CIF")</f>
        <v>CIF</v>
      </c>
      <c r="L143" s="8" t="str">
        <f aca="false">IFERROR(__xludf.dummyfunction("""COMPUTED_VALUE"""),"Australia")</f>
        <v>Australia</v>
      </c>
      <c r="M143" s="25" t="s">
        <v>465</v>
      </c>
      <c r="N143" s="25"/>
      <c r="O143" s="25"/>
      <c r="P143" s="25"/>
      <c r="Q143" s="29" t="s">
        <v>393</v>
      </c>
      <c r="R143" s="8" t="str">
        <f aca="false">B143&amp;" "&amp;C143&amp;" "&amp;D143&amp;" "&amp;E143&amp;" "&amp;G143&amp;" "&amp;H143&amp;" "&amp;J143&amp;" "&amp;N143</f>
        <v>Differentials Precursor     CIF Australia </v>
      </c>
      <c r="S143" s="25"/>
      <c r="T143" s="8"/>
      <c r="U143" s="8"/>
      <c r="V143" s="27" t="s">
        <v>49</v>
      </c>
      <c r="W143" s="25"/>
      <c r="X143" s="25"/>
      <c r="Y143" s="25"/>
      <c r="Z143" s="25"/>
      <c r="AA143" s="25"/>
      <c r="AB143" s="25"/>
      <c r="AC143" s="25"/>
      <c r="AD143" s="25"/>
    </row>
    <row r="144" customFormat="false" ht="15.75" hidden="false" customHeight="false" outlineLevel="0" collapsed="false">
      <c r="A144" s="28" t="s">
        <v>484</v>
      </c>
      <c r="B144" s="27" t="s">
        <v>438</v>
      </c>
      <c r="C144" s="27" t="s">
        <v>383</v>
      </c>
      <c r="D144" s="25"/>
      <c r="E144" s="25"/>
      <c r="F144" s="25"/>
      <c r="G144" s="25"/>
      <c r="H144" s="25"/>
      <c r="I144" s="25"/>
      <c r="J144" s="25" t="s">
        <v>464</v>
      </c>
      <c r="K144" s="25" t="str">
        <f aca="false">IFERROR(__xludf.dummyfunction("SPLIT(J144,"" "")"),"CIF")</f>
        <v>CIF</v>
      </c>
      <c r="L144" s="8" t="str">
        <f aca="false">IFERROR(__xludf.dummyfunction("""COMPUTED_VALUE"""),"Australia")</f>
        <v>Australia</v>
      </c>
      <c r="M144" s="25" t="s">
        <v>465</v>
      </c>
      <c r="N144" s="25"/>
      <c r="O144" s="25"/>
      <c r="P144" s="25"/>
      <c r="Q144" s="29" t="s">
        <v>391</v>
      </c>
      <c r="R144" s="8" t="str">
        <f aca="false">B144&amp;" "&amp;C144&amp;" "&amp;D144&amp;" "&amp;E144&amp;" "&amp;G144&amp;" "&amp;H144&amp;" "&amp;J144&amp;" "&amp;N144</f>
        <v>Differentials Precursor     CIF Australia </v>
      </c>
      <c r="S144" s="25"/>
      <c r="T144" s="8"/>
      <c r="U144" s="8"/>
      <c r="V144" s="27" t="s">
        <v>49</v>
      </c>
      <c r="W144" s="25"/>
      <c r="X144" s="25"/>
      <c r="Y144" s="25"/>
      <c r="Z144" s="25"/>
      <c r="AA144" s="25"/>
      <c r="AB144" s="25"/>
      <c r="AC144" s="25"/>
      <c r="AD144" s="25"/>
    </row>
    <row r="145" customFormat="false" ht="15.75" hidden="false" customHeight="false" outlineLevel="0" collapsed="false">
      <c r="A145" s="28" t="s">
        <v>485</v>
      </c>
      <c r="B145" s="27" t="s">
        <v>438</v>
      </c>
      <c r="C145" s="27" t="s">
        <v>383</v>
      </c>
      <c r="D145" s="25"/>
      <c r="E145" s="25"/>
      <c r="F145" s="25"/>
      <c r="G145" s="25"/>
      <c r="H145" s="25"/>
      <c r="I145" s="25"/>
      <c r="J145" s="25" t="s">
        <v>464</v>
      </c>
      <c r="K145" s="25" t="str">
        <f aca="false">IFERROR(__xludf.dummyfunction("SPLIT(J145,"" "")"),"CIF")</f>
        <v>CIF</v>
      </c>
      <c r="L145" s="8" t="str">
        <f aca="false">IFERROR(__xludf.dummyfunction("""COMPUTED_VALUE"""),"Australia")</f>
        <v>Australia</v>
      </c>
      <c r="M145" s="25" t="s">
        <v>465</v>
      </c>
      <c r="N145" s="25"/>
      <c r="O145" s="25"/>
      <c r="P145" s="25"/>
      <c r="Q145" s="29" t="s">
        <v>389</v>
      </c>
      <c r="R145" s="8" t="str">
        <f aca="false">B145&amp;" "&amp;C145&amp;" "&amp;D145&amp;" "&amp;E145&amp;" "&amp;G145&amp;" "&amp;H145&amp;" "&amp;J145&amp;" "&amp;N145</f>
        <v>Differentials Precursor     CIF Australia </v>
      </c>
      <c r="S145" s="25"/>
      <c r="T145" s="8"/>
      <c r="U145" s="8"/>
      <c r="V145" s="27" t="s">
        <v>49</v>
      </c>
      <c r="W145" s="25"/>
      <c r="X145" s="25"/>
      <c r="Y145" s="25"/>
      <c r="Z145" s="25"/>
      <c r="AA145" s="25"/>
      <c r="AB145" s="25"/>
      <c r="AC145" s="25"/>
      <c r="AD145" s="25"/>
    </row>
    <row r="146" customFormat="false" ht="15.75" hidden="false" customHeight="false" outlineLevel="0" collapsed="false">
      <c r="A146" s="28" t="s">
        <v>486</v>
      </c>
      <c r="B146" s="27" t="s">
        <v>438</v>
      </c>
      <c r="C146" s="27" t="s">
        <v>383</v>
      </c>
      <c r="D146" s="25"/>
      <c r="E146" s="25"/>
      <c r="F146" s="25"/>
      <c r="G146" s="25"/>
      <c r="H146" s="25"/>
      <c r="I146" s="25"/>
      <c r="J146" s="25" t="s">
        <v>464</v>
      </c>
      <c r="K146" s="25" t="str">
        <f aca="false">IFERROR(__xludf.dummyfunction("SPLIT(J146,"" "")"),"CIF")</f>
        <v>CIF</v>
      </c>
      <c r="L146" s="8" t="str">
        <f aca="false">IFERROR(__xludf.dummyfunction("""COMPUTED_VALUE"""),"Australia")</f>
        <v>Australia</v>
      </c>
      <c r="M146" s="25" t="s">
        <v>465</v>
      </c>
      <c r="N146" s="25"/>
      <c r="O146" s="25"/>
      <c r="P146" s="25"/>
      <c r="Q146" s="29" t="s">
        <v>387</v>
      </c>
      <c r="R146" s="8" t="str">
        <f aca="false">B146&amp;" "&amp;C146&amp;" "&amp;D146&amp;" "&amp;E146&amp;" "&amp;G146&amp;" "&amp;H146&amp;" "&amp;J146&amp;" "&amp;N146</f>
        <v>Differentials Precursor     CIF Australia </v>
      </c>
      <c r="S146" s="25"/>
      <c r="T146" s="8"/>
      <c r="U146" s="8"/>
      <c r="V146" s="27" t="s">
        <v>49</v>
      </c>
      <c r="W146" s="25"/>
      <c r="X146" s="25"/>
      <c r="Y146" s="25"/>
      <c r="Z146" s="25"/>
      <c r="AA146" s="25"/>
      <c r="AB146" s="25"/>
      <c r="AC146" s="25"/>
      <c r="AD146" s="25"/>
    </row>
    <row r="147" customFormat="false" ht="15.75" hidden="false" customHeight="false" outlineLevel="0" collapsed="false">
      <c r="A147" s="28" t="s">
        <v>487</v>
      </c>
      <c r="B147" s="27" t="s">
        <v>438</v>
      </c>
      <c r="C147" s="27" t="s">
        <v>383</v>
      </c>
      <c r="D147" s="25"/>
      <c r="E147" s="25"/>
      <c r="F147" s="25"/>
      <c r="G147" s="25"/>
      <c r="H147" s="25"/>
      <c r="I147" s="25"/>
      <c r="J147" s="25" t="s">
        <v>464</v>
      </c>
      <c r="K147" s="25" t="str">
        <f aca="false">IFERROR(__xludf.dummyfunction("SPLIT(J147,"" "")"),"CIF")</f>
        <v>CIF</v>
      </c>
      <c r="L147" s="8" t="str">
        <f aca="false">IFERROR(__xludf.dummyfunction("""COMPUTED_VALUE"""),"Australia")</f>
        <v>Australia</v>
      </c>
      <c r="M147" s="25" t="s">
        <v>465</v>
      </c>
      <c r="N147" s="25"/>
      <c r="O147" s="25"/>
      <c r="P147" s="25"/>
      <c r="Q147" s="29" t="s">
        <v>385</v>
      </c>
      <c r="R147" s="8" t="str">
        <f aca="false">B147&amp;" "&amp;C147&amp;" "&amp;D147&amp;" "&amp;E147&amp;" "&amp;G147&amp;" "&amp;H147&amp;" "&amp;J147&amp;" "&amp;N147</f>
        <v>Differentials Precursor     CIF Australia </v>
      </c>
      <c r="S147" s="25"/>
      <c r="T147" s="8"/>
      <c r="U147" s="8"/>
      <c r="V147" s="27" t="s">
        <v>49</v>
      </c>
      <c r="W147" s="25"/>
      <c r="X147" s="25"/>
      <c r="Y147" s="25"/>
      <c r="Z147" s="25"/>
      <c r="AA147" s="25"/>
      <c r="AB147" s="25"/>
      <c r="AC147" s="25"/>
      <c r="AD147" s="25"/>
    </row>
    <row r="148" customFormat="false" ht="15.75" hidden="false" customHeight="false" outlineLevel="0" collapsed="false">
      <c r="A148" s="28" t="s">
        <v>488</v>
      </c>
      <c r="B148" s="27" t="s">
        <v>438</v>
      </c>
      <c r="C148" s="27" t="s">
        <v>408</v>
      </c>
      <c r="D148" s="25"/>
      <c r="E148" s="25"/>
      <c r="F148" s="25"/>
      <c r="G148" s="25"/>
      <c r="H148" s="25"/>
      <c r="I148" s="25"/>
      <c r="J148" s="25" t="s">
        <v>464</v>
      </c>
      <c r="K148" s="25" t="str">
        <f aca="false">IFERROR(__xludf.dummyfunction("SPLIT(J148,"" "")"),"CIF")</f>
        <v>CIF</v>
      </c>
      <c r="L148" s="8" t="str">
        <f aca="false">IFERROR(__xludf.dummyfunction("""COMPUTED_VALUE"""),"Australia")</f>
        <v>Australia</v>
      </c>
      <c r="M148" s="25" t="s">
        <v>465</v>
      </c>
      <c r="N148" s="25"/>
      <c r="O148" s="25"/>
      <c r="P148" s="25"/>
      <c r="Q148" s="29" t="s">
        <v>415</v>
      </c>
      <c r="R148" s="8" t="str">
        <f aca="false">B148&amp;" "&amp;C148&amp;" "&amp;D148&amp;" "&amp;E148&amp;" "&amp;G148&amp;" "&amp;H148&amp;" "&amp;J148&amp;" "&amp;N148</f>
        <v>Differentials Rare Earths     CIF Australia </v>
      </c>
      <c r="S148" s="25"/>
      <c r="T148" s="8"/>
      <c r="U148" s="8"/>
      <c r="V148" s="27" t="s">
        <v>49</v>
      </c>
      <c r="W148" s="25"/>
      <c r="X148" s="25"/>
      <c r="Y148" s="25"/>
      <c r="Z148" s="25"/>
      <c r="AA148" s="25"/>
      <c r="AB148" s="25"/>
      <c r="AC148" s="25"/>
      <c r="AD148" s="25"/>
    </row>
    <row r="149" customFormat="false" ht="15.75" hidden="false" customHeight="false" outlineLevel="0" collapsed="false">
      <c r="A149" s="28" t="s">
        <v>489</v>
      </c>
      <c r="B149" s="27" t="s">
        <v>438</v>
      </c>
      <c r="C149" s="27" t="s">
        <v>408</v>
      </c>
      <c r="D149" s="25"/>
      <c r="E149" s="25"/>
      <c r="F149" s="25"/>
      <c r="G149" s="25"/>
      <c r="H149" s="25"/>
      <c r="I149" s="25"/>
      <c r="J149" s="25" t="s">
        <v>464</v>
      </c>
      <c r="K149" s="25" t="str">
        <f aca="false">IFERROR(__xludf.dummyfunction("SPLIT(J149,"" "")"),"CIF")</f>
        <v>CIF</v>
      </c>
      <c r="L149" s="8" t="str">
        <f aca="false">IFERROR(__xludf.dummyfunction("""COMPUTED_VALUE"""),"Australia")</f>
        <v>Australia</v>
      </c>
      <c r="M149" s="25" t="s">
        <v>465</v>
      </c>
      <c r="N149" s="25"/>
      <c r="O149" s="25"/>
      <c r="P149" s="25"/>
      <c r="Q149" s="29" t="s">
        <v>413</v>
      </c>
      <c r="R149" s="8" t="str">
        <f aca="false">B149&amp;" "&amp;C149&amp;" "&amp;D149&amp;" "&amp;E149&amp;" "&amp;G149&amp;" "&amp;H149&amp;" "&amp;J149&amp;" "&amp;N149</f>
        <v>Differentials Rare Earths     CIF Australia </v>
      </c>
      <c r="S149" s="25"/>
      <c r="T149" s="8"/>
      <c r="U149" s="8"/>
      <c r="V149" s="27" t="s">
        <v>49</v>
      </c>
      <c r="W149" s="25"/>
      <c r="X149" s="25"/>
      <c r="Y149" s="25"/>
      <c r="Z149" s="25"/>
      <c r="AA149" s="25"/>
      <c r="AB149" s="25"/>
      <c r="AC149" s="25"/>
      <c r="AD149" s="25"/>
    </row>
    <row r="150" customFormat="false" ht="15.75" hidden="false" customHeight="false" outlineLevel="0" collapsed="false">
      <c r="A150" s="28" t="s">
        <v>490</v>
      </c>
      <c r="B150" s="27" t="s">
        <v>438</v>
      </c>
      <c r="C150" s="27" t="s">
        <v>408</v>
      </c>
      <c r="D150" s="25"/>
      <c r="E150" s="25"/>
      <c r="F150" s="25"/>
      <c r="G150" s="25"/>
      <c r="H150" s="25"/>
      <c r="I150" s="25"/>
      <c r="J150" s="25" t="s">
        <v>464</v>
      </c>
      <c r="K150" s="25" t="str">
        <f aca="false">IFERROR(__xludf.dummyfunction("SPLIT(J150,"" "")"),"CIF")</f>
        <v>CIF</v>
      </c>
      <c r="L150" s="8" t="str">
        <f aca="false">IFERROR(__xludf.dummyfunction("""COMPUTED_VALUE"""),"Australia")</f>
        <v>Australia</v>
      </c>
      <c r="M150" s="25" t="s">
        <v>465</v>
      </c>
      <c r="N150" s="25"/>
      <c r="O150" s="25"/>
      <c r="P150" s="25"/>
      <c r="Q150" s="29" t="s">
        <v>411</v>
      </c>
      <c r="R150" s="8" t="str">
        <f aca="false">B150&amp;" "&amp;C150&amp;" "&amp;D150&amp;" "&amp;E150&amp;" "&amp;G150&amp;" "&amp;H150&amp;" "&amp;J150&amp;" "&amp;N150</f>
        <v>Differentials Rare Earths     CIF Australia </v>
      </c>
      <c r="S150" s="25"/>
      <c r="T150" s="8"/>
      <c r="U150" s="8"/>
      <c r="V150" s="27" t="s">
        <v>49</v>
      </c>
      <c r="W150" s="25"/>
      <c r="X150" s="25"/>
      <c r="Y150" s="25"/>
      <c r="Z150" s="25"/>
      <c r="AA150" s="25"/>
      <c r="AB150" s="25"/>
      <c r="AC150" s="25"/>
      <c r="AD150" s="25"/>
    </row>
    <row r="151" customFormat="false" ht="15.75" hidden="false" customHeight="false" outlineLevel="0" collapsed="false">
      <c r="A151" s="28" t="s">
        <v>491</v>
      </c>
      <c r="B151" s="27" t="s">
        <v>438</v>
      </c>
      <c r="C151" s="27" t="s">
        <v>408</v>
      </c>
      <c r="D151" s="25"/>
      <c r="E151" s="25"/>
      <c r="F151" s="25"/>
      <c r="G151" s="25"/>
      <c r="H151" s="25"/>
      <c r="I151" s="25"/>
      <c r="J151" s="25" t="s">
        <v>464</v>
      </c>
      <c r="K151" s="25" t="str">
        <f aca="false">IFERROR(__xludf.dummyfunction("SPLIT(J151,"" "")"),"CIF")</f>
        <v>CIF</v>
      </c>
      <c r="L151" s="8" t="str">
        <f aca="false">IFERROR(__xludf.dummyfunction("""COMPUTED_VALUE"""),"Australia")</f>
        <v>Australia</v>
      </c>
      <c r="M151" s="25" t="s">
        <v>465</v>
      </c>
      <c r="N151" s="25"/>
      <c r="O151" s="25"/>
      <c r="P151" s="25"/>
      <c r="Q151" s="29" t="s">
        <v>409</v>
      </c>
      <c r="R151" s="8" t="str">
        <f aca="false">B151&amp;" "&amp;C151&amp;" "&amp;D151&amp;" "&amp;E151&amp;" "&amp;G151&amp;" "&amp;H151&amp;" "&amp;J151&amp;" "&amp;N151</f>
        <v>Differentials Rare Earths     CIF Australia </v>
      </c>
      <c r="S151" s="25"/>
      <c r="T151" s="8"/>
      <c r="U151" s="8"/>
      <c r="V151" s="27" t="s">
        <v>49</v>
      </c>
      <c r="W151" s="25"/>
      <c r="X151" s="25"/>
      <c r="Y151" s="25"/>
      <c r="Z151" s="25"/>
      <c r="AA151" s="25"/>
      <c r="AB151" s="25"/>
      <c r="AC151" s="25"/>
      <c r="AD151" s="25"/>
    </row>
    <row r="152" customFormat="false" ht="15.75" hidden="false" customHeight="false" outlineLevel="0" collapsed="false">
      <c r="A152" s="28" t="s">
        <v>492</v>
      </c>
      <c r="B152" s="27" t="s">
        <v>438</v>
      </c>
      <c r="C152" s="27" t="s">
        <v>273</v>
      </c>
      <c r="D152" s="25"/>
      <c r="E152" s="25"/>
      <c r="F152" s="25"/>
      <c r="G152" s="25"/>
      <c r="H152" s="25"/>
      <c r="I152" s="25"/>
      <c r="J152" s="27" t="s">
        <v>493</v>
      </c>
      <c r="K152" s="25" t="str">
        <f aca="false">IFERROR(__xludf.dummyfunction("SPLIT(J152,"" "")"),"CIF")</f>
        <v>CIF</v>
      </c>
      <c r="L152" s="28" t="str">
        <f aca="false">IFERROR(__xludf.dummyfunction("""COMPUTED_VALUE"""),"Belgium")</f>
        <v>Belgium</v>
      </c>
      <c r="M152" s="27" t="str">
        <f aca="false">IFERROR(__xludf.dummyfunction("""COMPUTED_VALUE"""),"(Diff)")</f>
        <v>(Diff)</v>
      </c>
      <c r="N152" s="25" t="s">
        <v>494</v>
      </c>
      <c r="O152" s="25"/>
      <c r="P152" s="25" t="s">
        <v>495</v>
      </c>
      <c r="Q152" s="29" t="s">
        <v>274</v>
      </c>
      <c r="R152" s="8" t="str">
        <f aca="false">B152&amp;" "&amp;C152&amp;" "&amp;D152&amp;" "&amp;E152&amp;" "&amp;G152&amp;" "&amp;H152&amp;" "&amp;J152&amp;" "&amp;N152</f>
        <v>Differentials Cobalt     CIF Belgium (Diff) EUR</v>
      </c>
      <c r="S152" s="25"/>
      <c r="T152" s="8"/>
      <c r="U152" s="8"/>
      <c r="V152" s="27" t="s">
        <v>49</v>
      </c>
      <c r="W152" s="25"/>
      <c r="X152" s="25"/>
      <c r="Y152" s="25"/>
      <c r="Z152" s="25"/>
      <c r="AA152" s="25"/>
      <c r="AB152" s="25"/>
      <c r="AC152" s="25"/>
      <c r="AD152" s="25"/>
    </row>
    <row r="153" customFormat="false" ht="15.75" hidden="false" customHeight="false" outlineLevel="0" collapsed="false">
      <c r="A153" s="28" t="s">
        <v>496</v>
      </c>
      <c r="B153" s="27" t="s">
        <v>438</v>
      </c>
      <c r="C153" s="27" t="s">
        <v>273</v>
      </c>
      <c r="D153" s="25"/>
      <c r="E153" s="25"/>
      <c r="F153" s="25"/>
      <c r="G153" s="25"/>
      <c r="H153" s="25"/>
      <c r="I153" s="25"/>
      <c r="J153" s="27" t="s">
        <v>493</v>
      </c>
      <c r="K153" s="25" t="str">
        <f aca="false">IFERROR(__xludf.dummyfunction("SPLIT(J153,"" "")"),"CIF")</f>
        <v>CIF</v>
      </c>
      <c r="L153" s="28" t="str">
        <f aca="false">IFERROR(__xludf.dummyfunction("""COMPUTED_VALUE"""),"Belgium")</f>
        <v>Belgium</v>
      </c>
      <c r="M153" s="27" t="str">
        <f aca="false">IFERROR(__xludf.dummyfunction("""COMPUTED_VALUE"""),"(Diff)")</f>
        <v>(Diff)</v>
      </c>
      <c r="N153" s="25" t="s">
        <v>494</v>
      </c>
      <c r="O153" s="25"/>
      <c r="P153" s="25" t="s">
        <v>495</v>
      </c>
      <c r="Q153" s="29" t="s">
        <v>282</v>
      </c>
      <c r="R153" s="8" t="str">
        <f aca="false">B153&amp;" "&amp;C153&amp;" "&amp;D153&amp;" "&amp;E153&amp;" "&amp;G153&amp;" "&amp;H153&amp;" "&amp;J153&amp;" "&amp;N153</f>
        <v>Differentials Cobalt     CIF Belgium (Diff) EUR</v>
      </c>
      <c r="S153" s="25"/>
      <c r="T153" s="8"/>
      <c r="U153" s="8"/>
      <c r="V153" s="27" t="s">
        <v>49</v>
      </c>
      <c r="W153" s="25"/>
      <c r="X153" s="25"/>
      <c r="Y153" s="25"/>
      <c r="Z153" s="25"/>
      <c r="AA153" s="25"/>
      <c r="AB153" s="25"/>
      <c r="AC153" s="25"/>
      <c r="AD153" s="25"/>
    </row>
    <row r="154" customFormat="false" ht="15.75" hidden="false" customHeight="false" outlineLevel="0" collapsed="false">
      <c r="A154" s="28" t="s">
        <v>497</v>
      </c>
      <c r="B154" s="27" t="s">
        <v>438</v>
      </c>
      <c r="C154" s="27" t="s">
        <v>273</v>
      </c>
      <c r="D154" s="25"/>
      <c r="E154" s="25"/>
      <c r="F154" s="25"/>
      <c r="G154" s="25"/>
      <c r="H154" s="25"/>
      <c r="I154" s="25"/>
      <c r="J154" s="27" t="s">
        <v>493</v>
      </c>
      <c r="K154" s="25" t="str">
        <f aca="false">IFERROR(__xludf.dummyfunction("SPLIT(J154,"" "")"),"CIF")</f>
        <v>CIF</v>
      </c>
      <c r="L154" s="28" t="str">
        <f aca="false">IFERROR(__xludf.dummyfunction("""COMPUTED_VALUE"""),"Belgium")</f>
        <v>Belgium</v>
      </c>
      <c r="M154" s="27" t="str">
        <f aca="false">IFERROR(__xludf.dummyfunction("""COMPUTED_VALUE"""),"(Diff)")</f>
        <v>(Diff)</v>
      </c>
      <c r="N154" s="25" t="s">
        <v>494</v>
      </c>
      <c r="O154" s="25"/>
      <c r="P154" s="25" t="s">
        <v>495</v>
      </c>
      <c r="Q154" s="29" t="s">
        <v>280</v>
      </c>
      <c r="R154" s="8" t="str">
        <f aca="false">B154&amp;" "&amp;C154&amp;" "&amp;D154&amp;" "&amp;E154&amp;" "&amp;G154&amp;" "&amp;H154&amp;" "&amp;J154&amp;" "&amp;N154</f>
        <v>Differentials Cobalt     CIF Belgium (Diff) EUR</v>
      </c>
      <c r="S154" s="25"/>
      <c r="T154" s="8"/>
      <c r="U154" s="8"/>
      <c r="V154" s="27" t="s">
        <v>49</v>
      </c>
      <c r="W154" s="25"/>
      <c r="X154" s="25"/>
      <c r="Y154" s="25"/>
      <c r="Z154" s="25"/>
      <c r="AA154" s="25"/>
      <c r="AB154" s="25"/>
      <c r="AC154" s="25"/>
      <c r="AD154" s="25"/>
    </row>
    <row r="155" customFormat="false" ht="15.75" hidden="false" customHeight="false" outlineLevel="0" collapsed="false">
      <c r="A155" s="28" t="s">
        <v>498</v>
      </c>
      <c r="B155" s="27" t="s">
        <v>438</v>
      </c>
      <c r="C155" s="27" t="s">
        <v>273</v>
      </c>
      <c r="D155" s="25"/>
      <c r="E155" s="25"/>
      <c r="F155" s="25"/>
      <c r="G155" s="25"/>
      <c r="H155" s="25"/>
      <c r="I155" s="25"/>
      <c r="J155" s="27" t="s">
        <v>493</v>
      </c>
      <c r="K155" s="25" t="str">
        <f aca="false">IFERROR(__xludf.dummyfunction("SPLIT(J155,"" "")"),"CIF")</f>
        <v>CIF</v>
      </c>
      <c r="L155" s="28" t="str">
        <f aca="false">IFERROR(__xludf.dummyfunction("""COMPUTED_VALUE"""),"Belgium")</f>
        <v>Belgium</v>
      </c>
      <c r="M155" s="27" t="str">
        <f aca="false">IFERROR(__xludf.dummyfunction("""COMPUTED_VALUE"""),"(Diff)")</f>
        <v>(Diff)</v>
      </c>
      <c r="N155" s="25" t="s">
        <v>494</v>
      </c>
      <c r="O155" s="25"/>
      <c r="P155" s="25" t="s">
        <v>495</v>
      </c>
      <c r="Q155" s="29" t="s">
        <v>278</v>
      </c>
      <c r="R155" s="8" t="str">
        <f aca="false">B155&amp;" "&amp;C155&amp;" "&amp;D155&amp;" "&amp;E155&amp;" "&amp;G155&amp;" "&amp;H155&amp;" "&amp;J155&amp;" "&amp;N155</f>
        <v>Differentials Cobalt     CIF Belgium (Diff) EUR</v>
      </c>
      <c r="S155" s="25"/>
      <c r="T155" s="8"/>
      <c r="U155" s="8"/>
      <c r="V155" s="27" t="s">
        <v>49</v>
      </c>
      <c r="W155" s="25"/>
      <c r="X155" s="25"/>
      <c r="Y155" s="25"/>
      <c r="Z155" s="25"/>
      <c r="AA155" s="25"/>
      <c r="AB155" s="25"/>
      <c r="AC155" s="25"/>
      <c r="AD155" s="25"/>
    </row>
    <row r="156" customFormat="false" ht="15.75" hidden="false" customHeight="false" outlineLevel="0" collapsed="false">
      <c r="A156" s="28" t="s">
        <v>499</v>
      </c>
      <c r="B156" s="27" t="s">
        <v>438</v>
      </c>
      <c r="C156" s="27" t="s">
        <v>273</v>
      </c>
      <c r="D156" s="25"/>
      <c r="E156" s="25"/>
      <c r="F156" s="25"/>
      <c r="G156" s="25"/>
      <c r="H156" s="25"/>
      <c r="I156" s="25"/>
      <c r="J156" s="27" t="s">
        <v>493</v>
      </c>
      <c r="K156" s="25" t="str">
        <f aca="false">IFERROR(__xludf.dummyfunction("SPLIT(J156,"" "")"),"CIF")</f>
        <v>CIF</v>
      </c>
      <c r="L156" s="28" t="str">
        <f aca="false">IFERROR(__xludf.dummyfunction("""COMPUTED_VALUE"""),"Belgium")</f>
        <v>Belgium</v>
      </c>
      <c r="M156" s="27" t="str">
        <f aca="false">IFERROR(__xludf.dummyfunction("""COMPUTED_VALUE"""),"(Diff)")</f>
        <v>(Diff)</v>
      </c>
      <c r="N156" s="25" t="s">
        <v>494</v>
      </c>
      <c r="O156" s="25"/>
      <c r="P156" s="25" t="s">
        <v>495</v>
      </c>
      <c r="Q156" s="29" t="s">
        <v>276</v>
      </c>
      <c r="R156" s="8" t="str">
        <f aca="false">B156&amp;" "&amp;C156&amp;" "&amp;D156&amp;" "&amp;E156&amp;" "&amp;G156&amp;" "&amp;H156&amp;" "&amp;J156&amp;" "&amp;N156</f>
        <v>Differentials Cobalt     CIF Belgium (Diff) EUR</v>
      </c>
      <c r="S156" s="25"/>
      <c r="T156" s="8"/>
      <c r="U156" s="8"/>
      <c r="V156" s="27" t="s">
        <v>49</v>
      </c>
      <c r="W156" s="25"/>
      <c r="X156" s="25"/>
      <c r="Y156" s="25"/>
      <c r="Z156" s="25"/>
      <c r="AA156" s="25"/>
      <c r="AB156" s="25"/>
      <c r="AC156" s="25"/>
      <c r="AD156" s="25"/>
    </row>
    <row r="157" customFormat="false" ht="15.75" hidden="false" customHeight="false" outlineLevel="0" collapsed="false">
      <c r="A157" s="28" t="s">
        <v>500</v>
      </c>
      <c r="B157" s="27" t="s">
        <v>438</v>
      </c>
      <c r="C157" s="27" t="s">
        <v>370</v>
      </c>
      <c r="D157" s="25"/>
      <c r="E157" s="25"/>
      <c r="F157" s="25"/>
      <c r="G157" s="25"/>
      <c r="H157" s="25"/>
      <c r="I157" s="25"/>
      <c r="J157" s="27" t="s">
        <v>493</v>
      </c>
      <c r="K157" s="25" t="str">
        <f aca="false">IFERROR(__xludf.dummyfunction("SPLIT(J157,"" "")"),"CIF")</f>
        <v>CIF</v>
      </c>
      <c r="L157" s="28" t="str">
        <f aca="false">IFERROR(__xludf.dummyfunction("""COMPUTED_VALUE"""),"Belgium")</f>
        <v>Belgium</v>
      </c>
      <c r="M157" s="27" t="str">
        <f aca="false">IFERROR(__xludf.dummyfunction("""COMPUTED_VALUE"""),"(Diff)")</f>
        <v>(Diff)</v>
      </c>
      <c r="N157" s="25" t="s">
        <v>494</v>
      </c>
      <c r="O157" s="25"/>
      <c r="P157" s="25" t="s">
        <v>495</v>
      </c>
      <c r="Q157" s="29" t="s">
        <v>374</v>
      </c>
      <c r="R157" s="8" t="str">
        <f aca="false">B157&amp;" "&amp;C157&amp;" "&amp;D157&amp;" "&amp;E157&amp;" "&amp;G157&amp;" "&amp;H157&amp;" "&amp;J157&amp;" "&amp;N157</f>
        <v>Differentials Manganese     CIF Belgium (Diff) EUR</v>
      </c>
      <c r="S157" s="25"/>
      <c r="T157" s="8"/>
      <c r="U157" s="28" t="s">
        <v>501</v>
      </c>
      <c r="V157" s="27" t="s">
        <v>49</v>
      </c>
      <c r="W157" s="25"/>
      <c r="X157" s="25"/>
      <c r="Y157" s="25"/>
      <c r="Z157" s="25"/>
      <c r="AA157" s="25"/>
      <c r="AB157" s="25"/>
      <c r="AC157" s="25"/>
      <c r="AD157" s="25"/>
    </row>
    <row r="158" customFormat="false" ht="15.75" hidden="false" customHeight="false" outlineLevel="0" collapsed="false">
      <c r="A158" s="28" t="s">
        <v>502</v>
      </c>
      <c r="B158" s="27" t="s">
        <v>438</v>
      </c>
      <c r="C158" s="27" t="s">
        <v>370</v>
      </c>
      <c r="D158" s="25"/>
      <c r="E158" s="25"/>
      <c r="F158" s="25"/>
      <c r="G158" s="25"/>
      <c r="H158" s="25"/>
      <c r="I158" s="25"/>
      <c r="J158" s="27" t="s">
        <v>493</v>
      </c>
      <c r="K158" s="25" t="str">
        <f aca="false">IFERROR(__xludf.dummyfunction("SPLIT(J158,"" "")"),"CIF")</f>
        <v>CIF</v>
      </c>
      <c r="L158" s="28" t="str">
        <f aca="false">IFERROR(__xludf.dummyfunction("""COMPUTED_VALUE"""),"Belgium")</f>
        <v>Belgium</v>
      </c>
      <c r="M158" s="27" t="str">
        <f aca="false">IFERROR(__xludf.dummyfunction("""COMPUTED_VALUE"""),"(Diff)")</f>
        <v>(Diff)</v>
      </c>
      <c r="N158" s="25" t="s">
        <v>494</v>
      </c>
      <c r="O158" s="25"/>
      <c r="P158" s="25" t="s">
        <v>495</v>
      </c>
      <c r="Q158" s="29" t="s">
        <v>371</v>
      </c>
      <c r="R158" s="8" t="str">
        <f aca="false">B158&amp;" "&amp;C158&amp;" "&amp;D158&amp;" "&amp;E158&amp;" "&amp;G158&amp;" "&amp;H158&amp;" "&amp;J158&amp;" "&amp;N158</f>
        <v>Differentials Manganese     CIF Belgium (Diff) EUR</v>
      </c>
      <c r="S158" s="25"/>
      <c r="T158" s="8"/>
      <c r="U158" s="28" t="s">
        <v>503</v>
      </c>
      <c r="V158" s="27" t="s">
        <v>49</v>
      </c>
      <c r="W158" s="25"/>
      <c r="X158" s="25"/>
      <c r="Y158" s="25"/>
      <c r="Z158" s="25"/>
      <c r="AA158" s="25"/>
      <c r="AB158" s="25"/>
      <c r="AC158" s="25"/>
      <c r="AD158" s="25"/>
    </row>
    <row r="159" customFormat="false" ht="15.75" hidden="false" customHeight="false" outlineLevel="0" collapsed="false">
      <c r="A159" s="28" t="s">
        <v>504</v>
      </c>
      <c r="B159" s="27" t="s">
        <v>438</v>
      </c>
      <c r="C159" s="27" t="s">
        <v>376</v>
      </c>
      <c r="D159" s="25"/>
      <c r="E159" s="25"/>
      <c r="F159" s="25"/>
      <c r="G159" s="25"/>
      <c r="H159" s="25"/>
      <c r="I159" s="25"/>
      <c r="J159" s="27" t="s">
        <v>493</v>
      </c>
      <c r="K159" s="25" t="str">
        <f aca="false">IFERROR(__xludf.dummyfunction("SPLIT(J159,"" "")"),"CIF")</f>
        <v>CIF</v>
      </c>
      <c r="L159" s="28" t="str">
        <f aca="false">IFERROR(__xludf.dummyfunction("""COMPUTED_VALUE"""),"Belgium")</f>
        <v>Belgium</v>
      </c>
      <c r="M159" s="27" t="str">
        <f aca="false">IFERROR(__xludf.dummyfunction("""COMPUTED_VALUE"""),"(Diff)")</f>
        <v>(Diff)</v>
      </c>
      <c r="N159" s="25" t="s">
        <v>494</v>
      </c>
      <c r="O159" s="25"/>
      <c r="P159" s="25" t="s">
        <v>495</v>
      </c>
      <c r="Q159" s="29" t="s">
        <v>381</v>
      </c>
      <c r="R159" s="8" t="str">
        <f aca="false">B159&amp;" "&amp;C159&amp;" "&amp;D159&amp;" "&amp;E159&amp;" "&amp;G159&amp;" "&amp;H159&amp;" "&amp;J159&amp;" "&amp;N159</f>
        <v>Differentials Nickel     CIF Belgium (Diff) EUR</v>
      </c>
      <c r="S159" s="25"/>
      <c r="T159" s="8"/>
      <c r="U159" s="28" t="s">
        <v>505</v>
      </c>
      <c r="V159" s="27" t="s">
        <v>49</v>
      </c>
      <c r="W159" s="25"/>
      <c r="X159" s="25"/>
      <c r="Y159" s="25"/>
      <c r="Z159" s="25"/>
      <c r="AA159" s="25"/>
      <c r="AB159" s="25"/>
      <c r="AC159" s="25"/>
      <c r="AD159" s="25"/>
    </row>
    <row r="160" customFormat="false" ht="15.75" hidden="false" customHeight="false" outlineLevel="0" collapsed="false">
      <c r="A160" s="28" t="s">
        <v>506</v>
      </c>
      <c r="B160" s="27" t="s">
        <v>438</v>
      </c>
      <c r="C160" s="27" t="s">
        <v>376</v>
      </c>
      <c r="D160" s="25"/>
      <c r="E160" s="25"/>
      <c r="F160" s="25"/>
      <c r="G160" s="25"/>
      <c r="H160" s="25"/>
      <c r="I160" s="25"/>
      <c r="J160" s="27" t="s">
        <v>493</v>
      </c>
      <c r="K160" s="25" t="str">
        <f aca="false">IFERROR(__xludf.dummyfunction("SPLIT(J160,"" "")"),"CIF")</f>
        <v>CIF</v>
      </c>
      <c r="L160" s="28" t="str">
        <f aca="false">IFERROR(__xludf.dummyfunction("""COMPUTED_VALUE"""),"Belgium")</f>
        <v>Belgium</v>
      </c>
      <c r="M160" s="27" t="str">
        <f aca="false">IFERROR(__xludf.dummyfunction("""COMPUTED_VALUE"""),"(Diff)")</f>
        <v>(Diff)</v>
      </c>
      <c r="N160" s="25" t="s">
        <v>494</v>
      </c>
      <c r="O160" s="25"/>
      <c r="P160" s="25" t="s">
        <v>495</v>
      </c>
      <c r="Q160" s="29" t="s">
        <v>379</v>
      </c>
      <c r="R160" s="8" t="str">
        <f aca="false">B160&amp;" "&amp;C160&amp;" "&amp;D160&amp;" "&amp;E160&amp;" "&amp;G160&amp;" "&amp;H160&amp;" "&amp;J160&amp;" "&amp;N160</f>
        <v>Differentials Nickel     CIF Belgium (Diff) EUR</v>
      </c>
      <c r="S160" s="25"/>
      <c r="T160" s="8"/>
      <c r="U160" s="28" t="s">
        <v>507</v>
      </c>
      <c r="V160" s="27" t="s">
        <v>49</v>
      </c>
      <c r="W160" s="25"/>
      <c r="X160" s="25"/>
      <c r="Y160" s="25"/>
      <c r="Z160" s="25"/>
      <c r="AA160" s="25"/>
      <c r="AB160" s="25"/>
      <c r="AC160" s="25"/>
      <c r="AD160" s="25"/>
    </row>
    <row r="161" customFormat="false" ht="15.75" hidden="false" customHeight="false" outlineLevel="0" collapsed="false">
      <c r="A161" s="28" t="s">
        <v>508</v>
      </c>
      <c r="B161" s="27" t="s">
        <v>438</v>
      </c>
      <c r="C161" s="27" t="s">
        <v>376</v>
      </c>
      <c r="D161" s="25"/>
      <c r="E161" s="25"/>
      <c r="F161" s="25"/>
      <c r="G161" s="25"/>
      <c r="H161" s="25"/>
      <c r="I161" s="25"/>
      <c r="J161" s="27" t="s">
        <v>493</v>
      </c>
      <c r="K161" s="25" t="str">
        <f aca="false">IFERROR(__xludf.dummyfunction("SPLIT(J161,"" "")"),"CIF")</f>
        <v>CIF</v>
      </c>
      <c r="L161" s="28" t="str">
        <f aca="false">IFERROR(__xludf.dummyfunction("""COMPUTED_VALUE"""),"Belgium")</f>
        <v>Belgium</v>
      </c>
      <c r="M161" s="27" t="str">
        <f aca="false">IFERROR(__xludf.dummyfunction("""COMPUTED_VALUE"""),"(Diff)")</f>
        <v>(Diff)</v>
      </c>
      <c r="N161" s="25"/>
      <c r="O161" s="25"/>
      <c r="P161" s="25"/>
      <c r="Q161" s="29" t="s">
        <v>377</v>
      </c>
      <c r="R161" s="8" t="str">
        <f aca="false">B161&amp;" "&amp;C161&amp;" "&amp;D161&amp;" "&amp;E161&amp;" "&amp;G161&amp;" "&amp;H161&amp;" "&amp;J161&amp;" "&amp;N161</f>
        <v>Differentials Nickel     CIF Belgium (Diff) </v>
      </c>
      <c r="S161" s="25"/>
      <c r="T161" s="8"/>
      <c r="U161" s="28" t="s">
        <v>509</v>
      </c>
      <c r="V161" s="27" t="s">
        <v>49</v>
      </c>
      <c r="W161" s="25"/>
      <c r="X161" s="25"/>
      <c r="Y161" s="25"/>
      <c r="Z161" s="25"/>
      <c r="AA161" s="25"/>
      <c r="AB161" s="25"/>
      <c r="AC161" s="25"/>
      <c r="AD161" s="25"/>
    </row>
    <row r="162" customFormat="false" ht="15.75" hidden="false" customHeight="false" outlineLevel="0" collapsed="false">
      <c r="A162" s="28" t="s">
        <v>510</v>
      </c>
      <c r="B162" s="27" t="s">
        <v>438</v>
      </c>
      <c r="C162" s="27" t="s">
        <v>273</v>
      </c>
      <c r="D162" s="25"/>
      <c r="E162" s="25"/>
      <c r="F162" s="25"/>
      <c r="G162" s="25"/>
      <c r="H162" s="25"/>
      <c r="I162" s="25"/>
      <c r="J162" s="27" t="s">
        <v>511</v>
      </c>
      <c r="K162" s="25" t="str">
        <f aca="false">IFERROR(__xludf.dummyfunction("SPLIT(J162,"" "")"),"CIF")</f>
        <v>CIF</v>
      </c>
      <c r="L162" s="28" t="str">
        <f aca="false">IFERROR(__xludf.dummyfunction("""COMPUTED_VALUE"""),"Brazil")</f>
        <v>Brazil</v>
      </c>
      <c r="M162" s="27" t="str">
        <f aca="false">IFERROR(__xludf.dummyfunction("""COMPUTED_VALUE"""),"(Diff)")</f>
        <v>(Diff)</v>
      </c>
      <c r="N162" s="25"/>
      <c r="O162" s="25"/>
      <c r="P162" s="25"/>
      <c r="Q162" s="29" t="s">
        <v>274</v>
      </c>
      <c r="R162" s="8" t="str">
        <f aca="false">B162&amp;" "&amp;C162&amp;" "&amp;D162&amp;" "&amp;E162&amp;" "&amp;G162&amp;" "&amp;H162&amp;" "&amp;J162&amp;" "&amp;N162</f>
        <v>Differentials Cobalt     CIF Brazil (Diff) </v>
      </c>
      <c r="S162" s="25"/>
      <c r="T162" s="8"/>
      <c r="U162" s="28" t="s">
        <v>512</v>
      </c>
      <c r="V162" s="27" t="s">
        <v>49</v>
      </c>
      <c r="W162" s="25"/>
      <c r="X162" s="25"/>
      <c r="Y162" s="25"/>
      <c r="Z162" s="25"/>
      <c r="AA162" s="25"/>
      <c r="AB162" s="25"/>
      <c r="AC162" s="25"/>
      <c r="AD162" s="25"/>
    </row>
    <row r="163" customFormat="false" ht="15.75" hidden="false" customHeight="false" outlineLevel="0" collapsed="false">
      <c r="A163" s="28" t="s">
        <v>513</v>
      </c>
      <c r="B163" s="27" t="s">
        <v>438</v>
      </c>
      <c r="C163" s="27" t="s">
        <v>273</v>
      </c>
      <c r="D163" s="25"/>
      <c r="E163" s="25"/>
      <c r="F163" s="25"/>
      <c r="G163" s="25"/>
      <c r="H163" s="25"/>
      <c r="I163" s="25"/>
      <c r="J163" s="27" t="s">
        <v>511</v>
      </c>
      <c r="K163" s="25" t="str">
        <f aca="false">IFERROR(__xludf.dummyfunction("SPLIT(J163,"" "")"),"CIF")</f>
        <v>CIF</v>
      </c>
      <c r="L163" s="28" t="str">
        <f aca="false">IFERROR(__xludf.dummyfunction("""COMPUTED_VALUE"""),"Brazil")</f>
        <v>Brazil</v>
      </c>
      <c r="M163" s="27" t="str">
        <f aca="false">IFERROR(__xludf.dummyfunction("""COMPUTED_VALUE"""),"(Diff)")</f>
        <v>(Diff)</v>
      </c>
      <c r="N163" s="25"/>
      <c r="O163" s="25"/>
      <c r="P163" s="25"/>
      <c r="Q163" s="29" t="s">
        <v>282</v>
      </c>
      <c r="R163" s="8" t="str">
        <f aca="false">B163&amp;" "&amp;C163&amp;" "&amp;D163&amp;" "&amp;E163&amp;" "&amp;G163&amp;" "&amp;H163&amp;" "&amp;J163&amp;" "&amp;N163</f>
        <v>Differentials Cobalt     CIF Brazil (Diff) </v>
      </c>
      <c r="S163" s="25"/>
      <c r="T163" s="8"/>
      <c r="U163" s="28" t="s">
        <v>514</v>
      </c>
      <c r="V163" s="27" t="s">
        <v>49</v>
      </c>
      <c r="W163" s="25"/>
      <c r="X163" s="25"/>
      <c r="Y163" s="25"/>
      <c r="Z163" s="25"/>
      <c r="AA163" s="25"/>
      <c r="AB163" s="25"/>
      <c r="AC163" s="25"/>
      <c r="AD163" s="25"/>
    </row>
    <row r="164" customFormat="false" ht="15.75" hidden="false" customHeight="false" outlineLevel="0" collapsed="false">
      <c r="A164" s="28" t="s">
        <v>515</v>
      </c>
      <c r="B164" s="27" t="s">
        <v>438</v>
      </c>
      <c r="C164" s="27" t="s">
        <v>273</v>
      </c>
      <c r="D164" s="25"/>
      <c r="E164" s="25"/>
      <c r="F164" s="25"/>
      <c r="G164" s="25"/>
      <c r="H164" s="25"/>
      <c r="I164" s="25"/>
      <c r="J164" s="27" t="s">
        <v>511</v>
      </c>
      <c r="K164" s="25" t="str">
        <f aca="false">IFERROR(__xludf.dummyfunction("SPLIT(J164,"" "")"),"CIF")</f>
        <v>CIF</v>
      </c>
      <c r="L164" s="28" t="str">
        <f aca="false">IFERROR(__xludf.dummyfunction("""COMPUTED_VALUE"""),"Brazil")</f>
        <v>Brazil</v>
      </c>
      <c r="M164" s="27" t="str">
        <f aca="false">IFERROR(__xludf.dummyfunction("""COMPUTED_VALUE"""),"(Diff)")</f>
        <v>(Diff)</v>
      </c>
      <c r="N164" s="25"/>
      <c r="O164" s="25"/>
      <c r="P164" s="25"/>
      <c r="Q164" s="29" t="s">
        <v>280</v>
      </c>
      <c r="R164" s="8" t="str">
        <f aca="false">B164&amp;" "&amp;C164&amp;" "&amp;D164&amp;" "&amp;E164&amp;" "&amp;G164&amp;" "&amp;H164&amp;" "&amp;J164&amp;" "&amp;N164</f>
        <v>Differentials Cobalt     CIF Brazil (Diff) </v>
      </c>
      <c r="S164" s="25"/>
      <c r="T164" s="8"/>
      <c r="U164" s="28" t="s">
        <v>516</v>
      </c>
      <c r="V164" s="27" t="s">
        <v>49</v>
      </c>
      <c r="W164" s="25"/>
      <c r="X164" s="25"/>
      <c r="Y164" s="25"/>
      <c r="Z164" s="25"/>
      <c r="AA164" s="25"/>
      <c r="AB164" s="25"/>
      <c r="AC164" s="25"/>
      <c r="AD164" s="25"/>
    </row>
    <row r="165" customFormat="false" ht="15.75" hidden="false" customHeight="false" outlineLevel="0" collapsed="false">
      <c r="A165" s="28" t="s">
        <v>517</v>
      </c>
      <c r="B165" s="27" t="s">
        <v>438</v>
      </c>
      <c r="C165" s="27" t="s">
        <v>273</v>
      </c>
      <c r="D165" s="25"/>
      <c r="E165" s="25"/>
      <c r="F165" s="25"/>
      <c r="G165" s="25"/>
      <c r="H165" s="25"/>
      <c r="I165" s="25"/>
      <c r="J165" s="27" t="s">
        <v>511</v>
      </c>
      <c r="K165" s="25" t="str">
        <f aca="false">IFERROR(__xludf.dummyfunction("SPLIT(J165,"" "")"),"CIF")</f>
        <v>CIF</v>
      </c>
      <c r="L165" s="28" t="str">
        <f aca="false">IFERROR(__xludf.dummyfunction("""COMPUTED_VALUE"""),"Brazil")</f>
        <v>Brazil</v>
      </c>
      <c r="M165" s="27" t="str">
        <f aca="false">IFERROR(__xludf.dummyfunction("""COMPUTED_VALUE"""),"(Diff)")</f>
        <v>(Diff)</v>
      </c>
      <c r="N165" s="25"/>
      <c r="O165" s="25"/>
      <c r="P165" s="25"/>
      <c r="Q165" s="29" t="s">
        <v>278</v>
      </c>
      <c r="R165" s="8" t="str">
        <f aca="false">B165&amp;" "&amp;C165&amp;" "&amp;D165&amp;" "&amp;E165&amp;" "&amp;G165&amp;" "&amp;H165&amp;" "&amp;J165&amp;" "&amp;N165</f>
        <v>Differentials Cobalt     CIF Brazil (Diff) </v>
      </c>
      <c r="S165" s="25"/>
      <c r="T165" s="8"/>
      <c r="U165" s="28" t="s">
        <v>518</v>
      </c>
      <c r="V165" s="27" t="s">
        <v>49</v>
      </c>
      <c r="W165" s="25"/>
      <c r="X165" s="25"/>
      <c r="Y165" s="25"/>
      <c r="Z165" s="25"/>
      <c r="AA165" s="25"/>
      <c r="AB165" s="25"/>
      <c r="AC165" s="25"/>
      <c r="AD165" s="25"/>
    </row>
    <row r="166" customFormat="false" ht="15.75" hidden="false" customHeight="false" outlineLevel="0" collapsed="false">
      <c r="A166" s="28" t="s">
        <v>519</v>
      </c>
      <c r="B166" s="27" t="s">
        <v>438</v>
      </c>
      <c r="C166" s="27" t="s">
        <v>273</v>
      </c>
      <c r="D166" s="25"/>
      <c r="E166" s="25"/>
      <c r="F166" s="25"/>
      <c r="G166" s="25"/>
      <c r="H166" s="25"/>
      <c r="I166" s="25"/>
      <c r="J166" s="27" t="s">
        <v>511</v>
      </c>
      <c r="K166" s="25" t="str">
        <f aca="false">IFERROR(__xludf.dummyfunction("SPLIT(J166,"" "")"),"CIF")</f>
        <v>CIF</v>
      </c>
      <c r="L166" s="28" t="str">
        <f aca="false">IFERROR(__xludf.dummyfunction("""COMPUTED_VALUE"""),"Brazil")</f>
        <v>Brazil</v>
      </c>
      <c r="M166" s="27" t="str">
        <f aca="false">IFERROR(__xludf.dummyfunction("""COMPUTED_VALUE"""),"(Diff)")</f>
        <v>(Diff)</v>
      </c>
      <c r="N166" s="25"/>
      <c r="O166" s="25"/>
      <c r="P166" s="25"/>
      <c r="Q166" s="29" t="s">
        <v>276</v>
      </c>
      <c r="R166" s="8" t="str">
        <f aca="false">B166&amp;" "&amp;C166&amp;" "&amp;D166&amp;" "&amp;E166&amp;" "&amp;G166&amp;" "&amp;H166&amp;" "&amp;J166&amp;" "&amp;N166</f>
        <v>Differentials Cobalt     CIF Brazil (Diff) </v>
      </c>
      <c r="S166" s="25"/>
      <c r="T166" s="8"/>
      <c r="U166" s="28" t="s">
        <v>520</v>
      </c>
      <c r="V166" s="27" t="s">
        <v>49</v>
      </c>
      <c r="W166" s="25"/>
      <c r="X166" s="25"/>
      <c r="Y166" s="25"/>
      <c r="Z166" s="25"/>
      <c r="AA166" s="25"/>
      <c r="AB166" s="25"/>
      <c r="AC166" s="25"/>
      <c r="AD166" s="25"/>
    </row>
    <row r="167" customFormat="false" ht="15.75" hidden="false" customHeight="false" outlineLevel="0" collapsed="false">
      <c r="A167" s="28" t="s">
        <v>521</v>
      </c>
      <c r="B167" s="27" t="s">
        <v>438</v>
      </c>
      <c r="C167" s="27" t="s">
        <v>370</v>
      </c>
      <c r="D167" s="25"/>
      <c r="E167" s="25"/>
      <c r="F167" s="25"/>
      <c r="G167" s="25"/>
      <c r="H167" s="25"/>
      <c r="I167" s="25"/>
      <c r="J167" s="27" t="s">
        <v>511</v>
      </c>
      <c r="K167" s="25" t="str">
        <f aca="false">IFERROR(__xludf.dummyfunction("SPLIT(J167,"" "")"),"CIF")</f>
        <v>CIF</v>
      </c>
      <c r="L167" s="28" t="str">
        <f aca="false">IFERROR(__xludf.dummyfunction("""COMPUTED_VALUE"""),"Brazil")</f>
        <v>Brazil</v>
      </c>
      <c r="M167" s="27" t="str">
        <f aca="false">IFERROR(__xludf.dummyfunction("""COMPUTED_VALUE"""),"(Diff)")</f>
        <v>(Diff)</v>
      </c>
      <c r="N167" s="25"/>
      <c r="O167" s="25"/>
      <c r="P167" s="25"/>
      <c r="Q167" s="29" t="s">
        <v>374</v>
      </c>
      <c r="R167" s="8" t="str">
        <f aca="false">B167&amp;" "&amp;C167&amp;" "&amp;D167&amp;" "&amp;E167&amp;" "&amp;G167&amp;" "&amp;H167&amp;" "&amp;J167&amp;" "&amp;N167</f>
        <v>Differentials Manganese     CIF Brazil (Diff) </v>
      </c>
      <c r="S167" s="25"/>
      <c r="T167" s="8"/>
      <c r="U167" s="8"/>
      <c r="V167" s="27" t="s">
        <v>49</v>
      </c>
      <c r="W167" s="25"/>
      <c r="X167" s="25"/>
      <c r="Y167" s="25"/>
      <c r="Z167" s="25"/>
      <c r="AA167" s="25"/>
      <c r="AB167" s="25"/>
      <c r="AC167" s="25"/>
      <c r="AD167" s="25"/>
    </row>
    <row r="168" customFormat="false" ht="15.75" hidden="false" customHeight="false" outlineLevel="0" collapsed="false">
      <c r="A168" s="28" t="s">
        <v>522</v>
      </c>
      <c r="B168" s="27" t="s">
        <v>438</v>
      </c>
      <c r="C168" s="27" t="s">
        <v>370</v>
      </c>
      <c r="D168" s="25"/>
      <c r="E168" s="25"/>
      <c r="F168" s="25"/>
      <c r="G168" s="25"/>
      <c r="H168" s="25"/>
      <c r="I168" s="25"/>
      <c r="J168" s="27" t="s">
        <v>511</v>
      </c>
      <c r="K168" s="25" t="str">
        <f aca="false">IFERROR(__xludf.dummyfunction("SPLIT(J168,"" "")"),"CIF")</f>
        <v>CIF</v>
      </c>
      <c r="L168" s="28" t="str">
        <f aca="false">IFERROR(__xludf.dummyfunction("""COMPUTED_VALUE"""),"Brazil")</f>
        <v>Brazil</v>
      </c>
      <c r="M168" s="27" t="str">
        <f aca="false">IFERROR(__xludf.dummyfunction("""COMPUTED_VALUE"""),"(Diff)")</f>
        <v>(Diff)</v>
      </c>
      <c r="N168" s="25"/>
      <c r="O168" s="25"/>
      <c r="P168" s="25"/>
      <c r="Q168" s="29" t="s">
        <v>371</v>
      </c>
      <c r="R168" s="8" t="str">
        <f aca="false">B168&amp;" "&amp;C168&amp;" "&amp;D168&amp;" "&amp;E168&amp;" "&amp;G168&amp;" "&amp;H168&amp;" "&amp;J168&amp;" "&amp;N168</f>
        <v>Differentials Manganese     CIF Brazil (Diff) </v>
      </c>
      <c r="S168" s="25"/>
      <c r="T168" s="8"/>
      <c r="U168" s="8"/>
      <c r="V168" s="27" t="s">
        <v>49</v>
      </c>
      <c r="W168" s="25"/>
      <c r="X168" s="25"/>
      <c r="Y168" s="25"/>
      <c r="Z168" s="25"/>
      <c r="AA168" s="25"/>
      <c r="AB168" s="25"/>
      <c r="AC168" s="25"/>
      <c r="AD168" s="25"/>
    </row>
    <row r="169" customFormat="false" ht="15.75" hidden="false" customHeight="false" outlineLevel="0" collapsed="false">
      <c r="A169" s="28" t="s">
        <v>523</v>
      </c>
      <c r="B169" s="27" t="s">
        <v>438</v>
      </c>
      <c r="C169" s="27" t="s">
        <v>376</v>
      </c>
      <c r="D169" s="25"/>
      <c r="E169" s="25"/>
      <c r="F169" s="25"/>
      <c r="G169" s="25"/>
      <c r="H169" s="25"/>
      <c r="I169" s="25"/>
      <c r="J169" s="27" t="s">
        <v>511</v>
      </c>
      <c r="K169" s="25" t="str">
        <f aca="false">IFERROR(__xludf.dummyfunction("SPLIT(J169,"" "")"),"CIF")</f>
        <v>CIF</v>
      </c>
      <c r="L169" s="28" t="str">
        <f aca="false">IFERROR(__xludf.dummyfunction("""COMPUTED_VALUE"""),"Brazil")</f>
        <v>Brazil</v>
      </c>
      <c r="M169" s="27" t="str">
        <f aca="false">IFERROR(__xludf.dummyfunction("""COMPUTED_VALUE"""),"(Diff)")</f>
        <v>(Diff)</v>
      </c>
      <c r="N169" s="25"/>
      <c r="O169" s="25"/>
      <c r="P169" s="25"/>
      <c r="Q169" s="29" t="s">
        <v>381</v>
      </c>
      <c r="R169" s="8" t="str">
        <f aca="false">B169&amp;" "&amp;C169&amp;" "&amp;D169&amp;" "&amp;E169&amp;" "&amp;G169&amp;" "&amp;H169&amp;" "&amp;J169&amp;" "&amp;N169</f>
        <v>Differentials Nickel     CIF Brazil (Diff) </v>
      </c>
      <c r="S169" s="25"/>
      <c r="T169" s="8"/>
      <c r="U169" s="8"/>
      <c r="V169" s="27" t="s">
        <v>49</v>
      </c>
      <c r="W169" s="25"/>
      <c r="X169" s="25"/>
      <c r="Y169" s="25"/>
      <c r="Z169" s="25"/>
      <c r="AA169" s="25"/>
      <c r="AB169" s="25"/>
      <c r="AC169" s="25"/>
      <c r="AD169" s="25"/>
    </row>
    <row r="170" customFormat="false" ht="15.75" hidden="false" customHeight="false" outlineLevel="0" collapsed="false">
      <c r="A170" s="28" t="s">
        <v>524</v>
      </c>
      <c r="B170" s="27" t="s">
        <v>438</v>
      </c>
      <c r="C170" s="27" t="s">
        <v>376</v>
      </c>
      <c r="D170" s="25"/>
      <c r="E170" s="25"/>
      <c r="F170" s="25"/>
      <c r="G170" s="25"/>
      <c r="H170" s="25"/>
      <c r="I170" s="25"/>
      <c r="J170" s="27" t="s">
        <v>511</v>
      </c>
      <c r="K170" s="25" t="str">
        <f aca="false">IFERROR(__xludf.dummyfunction("SPLIT(J170,"" "")"),"CIF")</f>
        <v>CIF</v>
      </c>
      <c r="L170" s="28" t="str">
        <f aca="false">IFERROR(__xludf.dummyfunction("""COMPUTED_VALUE"""),"Brazil")</f>
        <v>Brazil</v>
      </c>
      <c r="M170" s="27" t="str">
        <f aca="false">IFERROR(__xludf.dummyfunction("""COMPUTED_VALUE"""),"(Diff)")</f>
        <v>(Diff)</v>
      </c>
      <c r="N170" s="25"/>
      <c r="O170" s="25"/>
      <c r="P170" s="25"/>
      <c r="Q170" s="29" t="s">
        <v>379</v>
      </c>
      <c r="R170" s="8" t="str">
        <f aca="false">B170&amp;" "&amp;C170&amp;" "&amp;D170&amp;" "&amp;E170&amp;" "&amp;G170&amp;" "&amp;H170&amp;" "&amp;J170&amp;" "&amp;N170</f>
        <v>Differentials Nickel     CIF Brazil (Diff) </v>
      </c>
      <c r="S170" s="25"/>
      <c r="T170" s="8"/>
      <c r="U170" s="8"/>
      <c r="V170" s="27" t="s">
        <v>49</v>
      </c>
      <c r="W170" s="25"/>
      <c r="X170" s="25"/>
      <c r="Y170" s="25"/>
      <c r="Z170" s="25"/>
      <c r="AA170" s="25"/>
      <c r="AB170" s="25"/>
      <c r="AC170" s="25"/>
      <c r="AD170" s="25"/>
    </row>
    <row r="171" customFormat="false" ht="15.75" hidden="false" customHeight="false" outlineLevel="0" collapsed="false">
      <c r="A171" s="28" t="s">
        <v>525</v>
      </c>
      <c r="B171" s="27" t="s">
        <v>438</v>
      </c>
      <c r="C171" s="27" t="s">
        <v>376</v>
      </c>
      <c r="D171" s="25"/>
      <c r="E171" s="25"/>
      <c r="F171" s="25"/>
      <c r="G171" s="25"/>
      <c r="H171" s="25"/>
      <c r="I171" s="25"/>
      <c r="J171" s="27" t="s">
        <v>511</v>
      </c>
      <c r="K171" s="25" t="str">
        <f aca="false">IFERROR(__xludf.dummyfunction("SPLIT(J171,"" "")"),"CIF")</f>
        <v>CIF</v>
      </c>
      <c r="L171" s="28" t="str">
        <f aca="false">IFERROR(__xludf.dummyfunction("""COMPUTED_VALUE"""),"Brazil")</f>
        <v>Brazil</v>
      </c>
      <c r="M171" s="27" t="str">
        <f aca="false">IFERROR(__xludf.dummyfunction("""COMPUTED_VALUE"""),"(Diff)")</f>
        <v>(Diff)</v>
      </c>
      <c r="N171" s="25"/>
      <c r="O171" s="25"/>
      <c r="P171" s="25"/>
      <c r="Q171" s="29" t="s">
        <v>377</v>
      </c>
      <c r="R171" s="8" t="str">
        <f aca="false">B171&amp;" "&amp;C171&amp;" "&amp;D171&amp;" "&amp;E171&amp;" "&amp;G171&amp;" "&amp;H171&amp;" "&amp;J171&amp;" "&amp;N171</f>
        <v>Differentials Nickel     CIF Brazil (Diff) </v>
      </c>
      <c r="S171" s="25"/>
      <c r="T171" s="8"/>
      <c r="U171" s="8"/>
      <c r="V171" s="27" t="s">
        <v>49</v>
      </c>
      <c r="W171" s="25"/>
      <c r="X171" s="25"/>
      <c r="Y171" s="25"/>
      <c r="Z171" s="25"/>
      <c r="AA171" s="25"/>
      <c r="AB171" s="25"/>
      <c r="AC171" s="25"/>
      <c r="AD171" s="25"/>
    </row>
    <row r="172" customFormat="false" ht="15.75" hidden="false" customHeight="false" outlineLevel="0" collapsed="false">
      <c r="A172" s="28" t="s">
        <v>526</v>
      </c>
      <c r="B172" s="25" t="s">
        <v>438</v>
      </c>
      <c r="C172" s="27" t="s">
        <v>177</v>
      </c>
      <c r="D172" s="25"/>
      <c r="E172" s="25"/>
      <c r="F172" s="25"/>
      <c r="G172" s="25"/>
      <c r="H172" s="25"/>
      <c r="I172" s="25"/>
      <c r="J172" s="27" t="s">
        <v>527</v>
      </c>
      <c r="K172" s="25" t="str">
        <f aca="false">IFERROR(__xludf.dummyfunction("SPLIT(J172,"" "")"),"CIF")</f>
        <v>CIF</v>
      </c>
      <c r="L172" s="28" t="str">
        <f aca="false">IFERROR(__xludf.dummyfunction("""COMPUTED_VALUE"""),"Bulgaria")</f>
        <v>Bulgaria</v>
      </c>
      <c r="M172" s="27" t="str">
        <f aca="false">IFERROR(__xludf.dummyfunction("""COMPUTED_VALUE"""),"(Diff)")</f>
        <v>(Diff)</v>
      </c>
      <c r="N172" s="25"/>
      <c r="O172" s="25"/>
      <c r="P172" s="25"/>
      <c r="Q172" s="29" t="s">
        <v>209</v>
      </c>
      <c r="R172" s="8" t="str">
        <f aca="false">B172&amp;" "&amp;C172&amp;" "&amp;D172&amp;" "&amp;E172&amp;" "&amp;G172&amp;" "&amp;H172&amp;" "&amp;J172&amp;" "&amp;N172</f>
        <v>Differentials Anode     CIF Bulgaria (Diff) </v>
      </c>
      <c r="S172" s="25"/>
      <c r="T172" s="8"/>
      <c r="U172" s="8"/>
      <c r="V172" s="27" t="s">
        <v>49</v>
      </c>
      <c r="W172" s="25"/>
      <c r="X172" s="25"/>
      <c r="Y172" s="25"/>
      <c r="Z172" s="25"/>
      <c r="AA172" s="25"/>
      <c r="AB172" s="25"/>
      <c r="AC172" s="25"/>
      <c r="AD172" s="25"/>
    </row>
    <row r="173" customFormat="false" ht="15.75" hidden="false" customHeight="false" outlineLevel="0" collapsed="false">
      <c r="A173" s="28" t="s">
        <v>528</v>
      </c>
      <c r="B173" s="27" t="s">
        <v>438</v>
      </c>
      <c r="C173" s="27" t="s">
        <v>177</v>
      </c>
      <c r="D173" s="25"/>
      <c r="E173" s="25"/>
      <c r="F173" s="25"/>
      <c r="G173" s="25"/>
      <c r="H173" s="25"/>
      <c r="I173" s="25"/>
      <c r="J173" s="27" t="s">
        <v>527</v>
      </c>
      <c r="K173" s="25" t="str">
        <f aca="false">IFERROR(__xludf.dummyfunction("SPLIT(J173,"" "")"),"CIF")</f>
        <v>CIF</v>
      </c>
      <c r="L173" s="28" t="str">
        <f aca="false">IFERROR(__xludf.dummyfunction("""COMPUTED_VALUE"""),"Bulgaria")</f>
        <v>Bulgaria</v>
      </c>
      <c r="M173" s="27" t="str">
        <f aca="false">IFERROR(__xludf.dummyfunction("""COMPUTED_VALUE"""),"(Diff)")</f>
        <v>(Diff)</v>
      </c>
      <c r="N173" s="25"/>
      <c r="O173" s="25"/>
      <c r="P173" s="25"/>
      <c r="Q173" s="29" t="s">
        <v>205</v>
      </c>
      <c r="R173" s="8" t="str">
        <f aca="false">B173&amp;" "&amp;C173&amp;" "&amp;D173&amp;" "&amp;E173&amp;" "&amp;G173&amp;" "&amp;H173&amp;" "&amp;J173&amp;" "&amp;N173</f>
        <v>Differentials Anode     CIF Bulgaria (Diff) </v>
      </c>
      <c r="S173" s="25"/>
      <c r="T173" s="8"/>
      <c r="U173" s="8"/>
      <c r="V173" s="27" t="s">
        <v>49</v>
      </c>
      <c r="W173" s="25"/>
      <c r="X173" s="25"/>
      <c r="Y173" s="25"/>
      <c r="Z173" s="25"/>
      <c r="AA173" s="25"/>
      <c r="AB173" s="25"/>
      <c r="AC173" s="25"/>
      <c r="AD173" s="25"/>
    </row>
    <row r="174" customFormat="false" ht="15.75" hidden="false" customHeight="false" outlineLevel="0" collapsed="false">
      <c r="A174" s="28" t="s">
        <v>529</v>
      </c>
      <c r="B174" s="27" t="s">
        <v>438</v>
      </c>
      <c r="C174" s="27" t="s">
        <v>177</v>
      </c>
      <c r="D174" s="25"/>
      <c r="E174" s="25"/>
      <c r="F174" s="25"/>
      <c r="G174" s="25"/>
      <c r="H174" s="25"/>
      <c r="I174" s="25"/>
      <c r="J174" s="27" t="s">
        <v>527</v>
      </c>
      <c r="K174" s="25" t="str">
        <f aca="false">IFERROR(__xludf.dummyfunction("SPLIT(J174,"" "")"),"CIF")</f>
        <v>CIF</v>
      </c>
      <c r="L174" s="28" t="str">
        <f aca="false">IFERROR(__xludf.dummyfunction("""COMPUTED_VALUE"""),"Bulgaria")</f>
        <v>Bulgaria</v>
      </c>
      <c r="M174" s="27" t="str">
        <f aca="false">IFERROR(__xludf.dummyfunction("""COMPUTED_VALUE"""),"(Diff)")</f>
        <v>(Diff)</v>
      </c>
      <c r="N174" s="25"/>
      <c r="O174" s="25"/>
      <c r="P174" s="25"/>
      <c r="Q174" s="29" t="s">
        <v>202</v>
      </c>
      <c r="R174" s="8" t="str">
        <f aca="false">B174&amp;" "&amp;C174&amp;" "&amp;D174&amp;" "&amp;E174&amp;" "&amp;G174&amp;" "&amp;H174&amp;" "&amp;J174&amp;" "&amp;N174</f>
        <v>Differentials Anode     CIF Bulgaria (Diff) </v>
      </c>
      <c r="S174" s="25"/>
      <c r="T174" s="8"/>
      <c r="U174" s="8"/>
      <c r="V174" s="27" t="s">
        <v>49</v>
      </c>
      <c r="W174" s="25"/>
      <c r="X174" s="25"/>
      <c r="Y174" s="25"/>
      <c r="Z174" s="25"/>
      <c r="AA174" s="25"/>
      <c r="AB174" s="25"/>
      <c r="AC174" s="25"/>
      <c r="AD174" s="25"/>
    </row>
    <row r="175" customFormat="false" ht="15.75" hidden="false" customHeight="false" outlineLevel="0" collapsed="false">
      <c r="A175" s="28" t="s">
        <v>530</v>
      </c>
      <c r="B175" s="27" t="s">
        <v>438</v>
      </c>
      <c r="C175" s="27" t="s">
        <v>177</v>
      </c>
      <c r="D175" s="25"/>
      <c r="E175" s="25"/>
      <c r="F175" s="25"/>
      <c r="G175" s="25"/>
      <c r="H175" s="25"/>
      <c r="I175" s="25"/>
      <c r="J175" s="27" t="s">
        <v>527</v>
      </c>
      <c r="K175" s="25" t="str">
        <f aca="false">IFERROR(__xludf.dummyfunction("SPLIT(J175,"" "")"),"CIF")</f>
        <v>CIF</v>
      </c>
      <c r="L175" s="28" t="str">
        <f aca="false">IFERROR(__xludf.dummyfunction("""COMPUTED_VALUE"""),"Bulgaria")</f>
        <v>Bulgaria</v>
      </c>
      <c r="M175" s="27" t="str">
        <f aca="false">IFERROR(__xludf.dummyfunction("""COMPUTED_VALUE"""),"(Diff)")</f>
        <v>(Diff)</v>
      </c>
      <c r="N175" s="25"/>
      <c r="O175" s="25"/>
      <c r="P175" s="25"/>
      <c r="Q175" s="29" t="s">
        <v>197</v>
      </c>
      <c r="R175" s="8" t="str">
        <f aca="false">B175&amp;" "&amp;C175&amp;" "&amp;D175&amp;" "&amp;E175&amp;" "&amp;G175&amp;" "&amp;H175&amp;" "&amp;J175&amp;" "&amp;N175</f>
        <v>Differentials Anode     CIF Bulgaria (Diff) </v>
      </c>
      <c r="S175" s="25"/>
      <c r="T175" s="8"/>
      <c r="U175" s="8"/>
      <c r="V175" s="27" t="s">
        <v>49</v>
      </c>
      <c r="W175" s="25"/>
      <c r="X175" s="25"/>
      <c r="Y175" s="25"/>
      <c r="Z175" s="25"/>
      <c r="AA175" s="25"/>
      <c r="AB175" s="25"/>
      <c r="AC175" s="25"/>
      <c r="AD175" s="25"/>
    </row>
    <row r="176" customFormat="false" ht="15.75" hidden="false" customHeight="false" outlineLevel="0" collapsed="false">
      <c r="A176" s="28" t="s">
        <v>531</v>
      </c>
      <c r="B176" s="27" t="s">
        <v>438</v>
      </c>
      <c r="C176" s="27" t="s">
        <v>177</v>
      </c>
      <c r="D176" s="25"/>
      <c r="E176" s="25"/>
      <c r="F176" s="25"/>
      <c r="G176" s="25"/>
      <c r="H176" s="25"/>
      <c r="I176" s="25"/>
      <c r="J176" s="27" t="s">
        <v>527</v>
      </c>
      <c r="K176" s="25" t="str">
        <f aca="false">IFERROR(__xludf.dummyfunction("SPLIT(J176,"" "")"),"CIF")</f>
        <v>CIF</v>
      </c>
      <c r="L176" s="28" t="str">
        <f aca="false">IFERROR(__xludf.dummyfunction("""COMPUTED_VALUE"""),"Bulgaria")</f>
        <v>Bulgaria</v>
      </c>
      <c r="M176" s="27" t="str">
        <f aca="false">IFERROR(__xludf.dummyfunction("""COMPUTED_VALUE"""),"(Diff)")</f>
        <v>(Diff)</v>
      </c>
      <c r="N176" s="25"/>
      <c r="O176" s="25"/>
      <c r="P176" s="25"/>
      <c r="Q176" s="29" t="s">
        <v>193</v>
      </c>
      <c r="R176" s="8" t="str">
        <f aca="false">B176&amp;" "&amp;C176&amp;" "&amp;D176&amp;" "&amp;E176&amp;" "&amp;G176&amp;" "&amp;H176&amp;" "&amp;J176&amp;" "&amp;N176</f>
        <v>Differentials Anode     CIF Bulgaria (Diff) </v>
      </c>
      <c r="S176" s="25"/>
      <c r="T176" s="8"/>
      <c r="U176" s="8"/>
      <c r="V176" s="27" t="s">
        <v>49</v>
      </c>
      <c r="W176" s="25"/>
      <c r="X176" s="25"/>
      <c r="Y176" s="25"/>
      <c r="Z176" s="25"/>
      <c r="AA176" s="25"/>
      <c r="AB176" s="25"/>
      <c r="AC176" s="25"/>
      <c r="AD176" s="25"/>
    </row>
    <row r="177" customFormat="false" ht="15.75" hidden="false" customHeight="false" outlineLevel="0" collapsed="false">
      <c r="A177" s="28" t="s">
        <v>532</v>
      </c>
      <c r="B177" s="27" t="s">
        <v>438</v>
      </c>
      <c r="C177" s="27" t="s">
        <v>177</v>
      </c>
      <c r="D177" s="25"/>
      <c r="E177" s="25"/>
      <c r="F177" s="25"/>
      <c r="G177" s="25"/>
      <c r="H177" s="25"/>
      <c r="I177" s="25"/>
      <c r="J177" s="27" t="s">
        <v>527</v>
      </c>
      <c r="K177" s="25" t="str">
        <f aca="false">IFERROR(__xludf.dummyfunction("SPLIT(J177,"" "")"),"CIF")</f>
        <v>CIF</v>
      </c>
      <c r="L177" s="28" t="str">
        <f aca="false">IFERROR(__xludf.dummyfunction("""COMPUTED_VALUE"""),"Bulgaria")</f>
        <v>Bulgaria</v>
      </c>
      <c r="M177" s="27" t="str">
        <f aca="false">IFERROR(__xludf.dummyfunction("""COMPUTED_VALUE"""),"(Diff)")</f>
        <v>(Diff)</v>
      </c>
      <c r="N177" s="25"/>
      <c r="O177" s="25"/>
      <c r="P177" s="25"/>
      <c r="Q177" s="29" t="s">
        <v>188</v>
      </c>
      <c r="R177" s="8" t="str">
        <f aca="false">B177&amp;" "&amp;C177&amp;" "&amp;D177&amp;" "&amp;E177&amp;" "&amp;G177&amp;" "&amp;H177&amp;" "&amp;J177&amp;" "&amp;N177</f>
        <v>Differentials Anode     CIF Bulgaria (Diff) </v>
      </c>
      <c r="S177" s="25"/>
      <c r="T177" s="8"/>
      <c r="U177" s="8"/>
      <c r="V177" s="27" t="s">
        <v>49</v>
      </c>
      <c r="W177" s="25"/>
      <c r="X177" s="25"/>
      <c r="Y177" s="25"/>
      <c r="Z177" s="25"/>
      <c r="AA177" s="25"/>
      <c r="AB177" s="25"/>
      <c r="AC177" s="25"/>
      <c r="AD177" s="25"/>
    </row>
    <row r="178" customFormat="false" ht="15.75" hidden="false" customHeight="false" outlineLevel="0" collapsed="false">
      <c r="A178" s="28" t="s">
        <v>533</v>
      </c>
      <c r="B178" s="27" t="s">
        <v>438</v>
      </c>
      <c r="C178" s="27" t="s">
        <v>177</v>
      </c>
      <c r="D178" s="25"/>
      <c r="E178" s="25"/>
      <c r="F178" s="25"/>
      <c r="G178" s="25"/>
      <c r="H178" s="25"/>
      <c r="I178" s="25"/>
      <c r="J178" s="27" t="s">
        <v>527</v>
      </c>
      <c r="K178" s="25" t="str">
        <f aca="false">IFERROR(__xludf.dummyfunction("SPLIT(J178,"" "")"),"CIF")</f>
        <v>CIF</v>
      </c>
      <c r="L178" s="28" t="str">
        <f aca="false">IFERROR(__xludf.dummyfunction("""COMPUTED_VALUE"""),"Bulgaria")</f>
        <v>Bulgaria</v>
      </c>
      <c r="M178" s="27" t="str">
        <f aca="false">IFERROR(__xludf.dummyfunction("""COMPUTED_VALUE"""),"(Diff)")</f>
        <v>(Diff)</v>
      </c>
      <c r="N178" s="25"/>
      <c r="O178" s="25"/>
      <c r="P178" s="25"/>
      <c r="Q178" s="29" t="s">
        <v>180</v>
      </c>
      <c r="R178" s="8" t="str">
        <f aca="false">B178&amp;" "&amp;C178&amp;" "&amp;D178&amp;" "&amp;E178&amp;" "&amp;G178&amp;" "&amp;H178&amp;" "&amp;J178&amp;" "&amp;N178</f>
        <v>Differentials Anode     CIF Bulgaria (Diff) </v>
      </c>
      <c r="S178" s="25"/>
      <c r="T178" s="8"/>
      <c r="U178" s="8"/>
      <c r="V178" s="27" t="s">
        <v>49</v>
      </c>
      <c r="W178" s="25"/>
      <c r="X178" s="25"/>
      <c r="Y178" s="25"/>
      <c r="Z178" s="25"/>
      <c r="AA178" s="25"/>
      <c r="AB178" s="25"/>
      <c r="AC178" s="25"/>
      <c r="AD178" s="25"/>
    </row>
    <row r="179" customFormat="false" ht="15.75" hidden="false" customHeight="false" outlineLevel="0" collapsed="false">
      <c r="A179" s="28" t="s">
        <v>534</v>
      </c>
      <c r="B179" s="27" t="s">
        <v>438</v>
      </c>
      <c r="C179" s="27" t="s">
        <v>211</v>
      </c>
      <c r="D179" s="25"/>
      <c r="E179" s="25"/>
      <c r="F179" s="25"/>
      <c r="G179" s="25"/>
      <c r="H179" s="25"/>
      <c r="I179" s="25"/>
      <c r="J179" s="27" t="s">
        <v>527</v>
      </c>
      <c r="K179" s="25" t="str">
        <f aca="false">IFERROR(__xludf.dummyfunction("SPLIT(J179,"" "")"),"CIF")</f>
        <v>CIF</v>
      </c>
      <c r="L179" s="28" t="str">
        <f aca="false">IFERROR(__xludf.dummyfunction("""COMPUTED_VALUE"""),"Bulgaria")</f>
        <v>Bulgaria</v>
      </c>
      <c r="M179" s="27" t="str">
        <f aca="false">IFERROR(__xludf.dummyfunction("""COMPUTED_VALUE"""),"(Diff)")</f>
        <v>(Diff)</v>
      </c>
      <c r="N179" s="25"/>
      <c r="O179" s="25"/>
      <c r="P179" s="25"/>
      <c r="Q179" s="29" t="s">
        <v>234</v>
      </c>
      <c r="R179" s="8" t="str">
        <f aca="false">B179&amp;" "&amp;C179&amp;" "&amp;D179&amp;" "&amp;E179&amp;" "&amp;G179&amp;" "&amp;H179&amp;" "&amp;J179&amp;" "&amp;N179</f>
        <v>Differentials Binders &amp; Additives     CIF Bulgaria (Diff) </v>
      </c>
      <c r="S179" s="25"/>
      <c r="T179" s="8"/>
      <c r="U179" s="8"/>
      <c r="V179" s="27" t="s">
        <v>49</v>
      </c>
      <c r="W179" s="25"/>
      <c r="X179" s="25"/>
      <c r="Y179" s="25"/>
      <c r="Z179" s="25"/>
      <c r="AA179" s="25"/>
      <c r="AB179" s="25"/>
      <c r="AC179" s="25"/>
      <c r="AD179" s="25"/>
    </row>
    <row r="180" customFormat="false" ht="15.75" hidden="false" customHeight="false" outlineLevel="0" collapsed="false">
      <c r="A180" s="28" t="s">
        <v>535</v>
      </c>
      <c r="B180" s="27" t="s">
        <v>438</v>
      </c>
      <c r="C180" s="27" t="s">
        <v>211</v>
      </c>
      <c r="D180" s="25"/>
      <c r="E180" s="25"/>
      <c r="F180" s="25"/>
      <c r="G180" s="25"/>
      <c r="H180" s="25"/>
      <c r="I180" s="25"/>
      <c r="J180" s="27" t="s">
        <v>527</v>
      </c>
      <c r="K180" s="25" t="str">
        <f aca="false">IFERROR(__xludf.dummyfunction("SPLIT(J180,"" "")"),"CIF")</f>
        <v>CIF</v>
      </c>
      <c r="L180" s="28" t="str">
        <f aca="false">IFERROR(__xludf.dummyfunction("""COMPUTED_VALUE"""),"Bulgaria")</f>
        <v>Bulgaria</v>
      </c>
      <c r="M180" s="27" t="str">
        <f aca="false">IFERROR(__xludf.dummyfunction("""COMPUTED_VALUE"""),"(Diff)")</f>
        <v>(Diff)</v>
      </c>
      <c r="N180" s="25"/>
      <c r="O180" s="25"/>
      <c r="P180" s="25"/>
      <c r="Q180" s="29" t="s">
        <v>232</v>
      </c>
      <c r="R180" s="8" t="str">
        <f aca="false">B180&amp;" "&amp;C180&amp;" "&amp;D180&amp;" "&amp;E180&amp;" "&amp;G180&amp;" "&amp;H180&amp;" "&amp;J180&amp;" "&amp;N180</f>
        <v>Differentials Binders &amp; Additives     CIF Bulgaria (Diff) </v>
      </c>
      <c r="S180" s="25"/>
      <c r="T180" s="8"/>
      <c r="U180" s="8"/>
      <c r="V180" s="27" t="s">
        <v>49</v>
      </c>
      <c r="W180" s="25"/>
      <c r="X180" s="25"/>
      <c r="Y180" s="25"/>
      <c r="Z180" s="25"/>
      <c r="AA180" s="25"/>
      <c r="AB180" s="25"/>
      <c r="AC180" s="25"/>
      <c r="AD180" s="25"/>
    </row>
    <row r="181" customFormat="false" ht="15.75" hidden="false" customHeight="false" outlineLevel="0" collapsed="false">
      <c r="A181" s="28" t="s">
        <v>536</v>
      </c>
      <c r="B181" s="27" t="s">
        <v>438</v>
      </c>
      <c r="C181" s="27" t="s">
        <v>211</v>
      </c>
      <c r="D181" s="25"/>
      <c r="E181" s="25"/>
      <c r="F181" s="25"/>
      <c r="G181" s="25"/>
      <c r="H181" s="25"/>
      <c r="I181" s="25"/>
      <c r="J181" s="27" t="s">
        <v>527</v>
      </c>
      <c r="K181" s="25" t="str">
        <f aca="false">IFERROR(__xludf.dummyfunction("SPLIT(J181,"" "")"),"CIF")</f>
        <v>CIF</v>
      </c>
      <c r="L181" s="28" t="str">
        <f aca="false">IFERROR(__xludf.dummyfunction("""COMPUTED_VALUE"""),"Bulgaria")</f>
        <v>Bulgaria</v>
      </c>
      <c r="M181" s="27" t="str">
        <f aca="false">IFERROR(__xludf.dummyfunction("""COMPUTED_VALUE"""),"(Diff)")</f>
        <v>(Diff)</v>
      </c>
      <c r="N181" s="25"/>
      <c r="O181" s="25"/>
      <c r="P181" s="25"/>
      <c r="Q181" s="29" t="s">
        <v>230</v>
      </c>
      <c r="R181" s="8" t="str">
        <f aca="false">B181&amp;" "&amp;C181&amp;" "&amp;D181&amp;" "&amp;E181&amp;" "&amp;G181&amp;" "&amp;H181&amp;" "&amp;J181&amp;" "&amp;N181</f>
        <v>Differentials Binders &amp; Additives     CIF Bulgaria (Diff) </v>
      </c>
      <c r="S181" s="25"/>
      <c r="T181" s="8"/>
      <c r="U181" s="8"/>
      <c r="V181" s="27" t="s">
        <v>49</v>
      </c>
      <c r="W181" s="25"/>
      <c r="X181" s="25"/>
      <c r="Y181" s="25"/>
      <c r="Z181" s="25"/>
      <c r="AA181" s="25"/>
      <c r="AB181" s="25"/>
      <c r="AC181" s="25"/>
      <c r="AD181" s="25"/>
    </row>
    <row r="182" customFormat="false" ht="15.75" hidden="false" customHeight="false" outlineLevel="0" collapsed="false">
      <c r="A182" s="28" t="s">
        <v>537</v>
      </c>
      <c r="B182" s="27" t="s">
        <v>438</v>
      </c>
      <c r="C182" s="27" t="s">
        <v>211</v>
      </c>
      <c r="D182" s="25"/>
      <c r="E182" s="25"/>
      <c r="F182" s="25"/>
      <c r="G182" s="25"/>
      <c r="H182" s="25"/>
      <c r="I182" s="25"/>
      <c r="J182" s="27" t="s">
        <v>527</v>
      </c>
      <c r="K182" s="25" t="str">
        <f aca="false">IFERROR(__xludf.dummyfunction("SPLIT(J182,"" "")"),"CIF")</f>
        <v>CIF</v>
      </c>
      <c r="L182" s="28" t="str">
        <f aca="false">IFERROR(__xludf.dummyfunction("""COMPUTED_VALUE"""),"Bulgaria")</f>
        <v>Bulgaria</v>
      </c>
      <c r="M182" s="27" t="str">
        <f aca="false">IFERROR(__xludf.dummyfunction("""COMPUTED_VALUE"""),"(Diff)")</f>
        <v>(Diff)</v>
      </c>
      <c r="N182" s="25"/>
      <c r="O182" s="25"/>
      <c r="P182" s="25"/>
      <c r="Q182" s="29" t="s">
        <v>228</v>
      </c>
      <c r="R182" s="8" t="str">
        <f aca="false">B182&amp;" "&amp;C182&amp;" "&amp;D182&amp;" "&amp;E182&amp;" "&amp;G182&amp;" "&amp;H182&amp;" "&amp;J182&amp;" "&amp;N182</f>
        <v>Differentials Binders &amp; Additives     CIF Bulgaria (Diff) </v>
      </c>
      <c r="S182" s="25"/>
      <c r="T182" s="8"/>
      <c r="U182" s="8"/>
      <c r="V182" s="27" t="s">
        <v>49</v>
      </c>
      <c r="W182" s="25"/>
      <c r="X182" s="25"/>
      <c r="Y182" s="25"/>
      <c r="Z182" s="25"/>
      <c r="AA182" s="25"/>
      <c r="AB182" s="25"/>
      <c r="AC182" s="25"/>
      <c r="AD182" s="25"/>
    </row>
    <row r="183" customFormat="false" ht="15.75" hidden="false" customHeight="false" outlineLevel="0" collapsed="false">
      <c r="A183" s="28" t="s">
        <v>538</v>
      </c>
      <c r="B183" s="27" t="s">
        <v>438</v>
      </c>
      <c r="C183" s="27" t="s">
        <v>211</v>
      </c>
      <c r="D183" s="25"/>
      <c r="E183" s="25"/>
      <c r="F183" s="25"/>
      <c r="G183" s="25"/>
      <c r="H183" s="25"/>
      <c r="I183" s="25"/>
      <c r="J183" s="27" t="s">
        <v>527</v>
      </c>
      <c r="K183" s="25" t="str">
        <f aca="false">IFERROR(__xludf.dummyfunction("SPLIT(J183,"" "")"),"CIF")</f>
        <v>CIF</v>
      </c>
      <c r="L183" s="28" t="str">
        <f aca="false">IFERROR(__xludf.dummyfunction("""COMPUTED_VALUE"""),"Bulgaria")</f>
        <v>Bulgaria</v>
      </c>
      <c r="M183" s="27" t="str">
        <f aca="false">IFERROR(__xludf.dummyfunction("""COMPUTED_VALUE"""),"(Diff)")</f>
        <v>(Diff)</v>
      </c>
      <c r="N183" s="25"/>
      <c r="O183" s="25"/>
      <c r="P183" s="25"/>
      <c r="Q183" s="29" t="s">
        <v>226</v>
      </c>
      <c r="R183" s="8" t="str">
        <f aca="false">B183&amp;" "&amp;C183&amp;" "&amp;D183&amp;" "&amp;E183&amp;" "&amp;G183&amp;" "&amp;H183&amp;" "&amp;J183&amp;" "&amp;N183</f>
        <v>Differentials Binders &amp; Additives     CIF Bulgaria (Diff) </v>
      </c>
      <c r="S183" s="25"/>
      <c r="T183" s="8"/>
      <c r="U183" s="8"/>
      <c r="V183" s="27" t="s">
        <v>49</v>
      </c>
      <c r="W183" s="25"/>
      <c r="X183" s="25"/>
      <c r="Y183" s="25"/>
      <c r="Z183" s="25"/>
      <c r="AA183" s="25"/>
      <c r="AB183" s="25"/>
      <c r="AC183" s="25"/>
      <c r="AD183" s="25"/>
    </row>
    <row r="184" customFormat="false" ht="15.75" hidden="false" customHeight="false" outlineLevel="0" collapsed="false">
      <c r="A184" s="28" t="s">
        <v>539</v>
      </c>
      <c r="B184" s="27" t="s">
        <v>438</v>
      </c>
      <c r="C184" s="27" t="s">
        <v>211</v>
      </c>
      <c r="D184" s="25"/>
      <c r="E184" s="25"/>
      <c r="F184" s="25"/>
      <c r="G184" s="25"/>
      <c r="H184" s="25"/>
      <c r="I184" s="25"/>
      <c r="J184" s="27" t="s">
        <v>527</v>
      </c>
      <c r="K184" s="25" t="str">
        <f aca="false">IFERROR(__xludf.dummyfunction("SPLIT(J184,"" "")"),"CIF")</f>
        <v>CIF</v>
      </c>
      <c r="L184" s="28" t="str">
        <f aca="false">IFERROR(__xludf.dummyfunction("""COMPUTED_VALUE"""),"Bulgaria")</f>
        <v>Bulgaria</v>
      </c>
      <c r="M184" s="27" t="str">
        <f aca="false">IFERROR(__xludf.dummyfunction("""COMPUTED_VALUE"""),"(Diff)")</f>
        <v>(Diff)</v>
      </c>
      <c r="N184" s="25"/>
      <c r="O184" s="25"/>
      <c r="P184" s="25"/>
      <c r="Q184" s="29" t="s">
        <v>224</v>
      </c>
      <c r="R184" s="8" t="str">
        <f aca="false">B184&amp;" "&amp;C184&amp;" "&amp;D184&amp;" "&amp;E184&amp;" "&amp;G184&amp;" "&amp;H184&amp;" "&amp;J184&amp;" "&amp;N184</f>
        <v>Differentials Binders &amp; Additives     CIF Bulgaria (Diff) </v>
      </c>
      <c r="S184" s="25"/>
      <c r="T184" s="8"/>
      <c r="U184" s="8"/>
      <c r="V184" s="27" t="s">
        <v>49</v>
      </c>
      <c r="W184" s="25"/>
      <c r="X184" s="25"/>
      <c r="Y184" s="25"/>
      <c r="Z184" s="25"/>
      <c r="AA184" s="25"/>
      <c r="AB184" s="25"/>
      <c r="AC184" s="25"/>
      <c r="AD184" s="25"/>
    </row>
    <row r="185" customFormat="false" ht="15.75" hidden="false" customHeight="false" outlineLevel="0" collapsed="false">
      <c r="A185" s="28" t="s">
        <v>540</v>
      </c>
      <c r="B185" s="27" t="s">
        <v>438</v>
      </c>
      <c r="C185" s="27" t="s">
        <v>211</v>
      </c>
      <c r="D185" s="25"/>
      <c r="E185" s="25"/>
      <c r="F185" s="25"/>
      <c r="G185" s="25"/>
      <c r="H185" s="25"/>
      <c r="I185" s="25"/>
      <c r="J185" s="27" t="s">
        <v>527</v>
      </c>
      <c r="K185" s="25" t="str">
        <f aca="false">IFERROR(__xludf.dummyfunction("SPLIT(J185,"" "")"),"CIF")</f>
        <v>CIF</v>
      </c>
      <c r="L185" s="28" t="str">
        <f aca="false">IFERROR(__xludf.dummyfunction("""COMPUTED_VALUE"""),"Bulgaria")</f>
        <v>Bulgaria</v>
      </c>
      <c r="M185" s="27" t="str">
        <f aca="false">IFERROR(__xludf.dummyfunction("""COMPUTED_VALUE"""),"(Diff)")</f>
        <v>(Diff)</v>
      </c>
      <c r="N185" s="25"/>
      <c r="O185" s="25"/>
      <c r="P185" s="25"/>
      <c r="Q185" s="29" t="s">
        <v>222</v>
      </c>
      <c r="R185" s="8" t="str">
        <f aca="false">B185&amp;" "&amp;C185&amp;" "&amp;D185&amp;" "&amp;E185&amp;" "&amp;G185&amp;" "&amp;H185&amp;" "&amp;J185&amp;" "&amp;N185</f>
        <v>Differentials Binders &amp; Additives     CIF Bulgaria (Diff) </v>
      </c>
      <c r="S185" s="25"/>
      <c r="T185" s="8"/>
      <c r="U185" s="8"/>
      <c r="V185" s="27" t="s">
        <v>49</v>
      </c>
      <c r="W185" s="25"/>
      <c r="X185" s="25"/>
      <c r="Y185" s="25"/>
      <c r="Z185" s="25"/>
      <c r="AA185" s="25"/>
      <c r="AB185" s="25"/>
      <c r="AC185" s="25"/>
      <c r="AD185" s="25"/>
    </row>
    <row r="186" customFormat="false" ht="15.75" hidden="false" customHeight="false" outlineLevel="0" collapsed="false">
      <c r="A186" s="28" t="s">
        <v>541</v>
      </c>
      <c r="B186" s="27" t="s">
        <v>438</v>
      </c>
      <c r="C186" s="27" t="s">
        <v>211</v>
      </c>
      <c r="D186" s="25"/>
      <c r="E186" s="25"/>
      <c r="F186" s="25"/>
      <c r="G186" s="25"/>
      <c r="H186" s="25"/>
      <c r="I186" s="25"/>
      <c r="J186" s="27" t="s">
        <v>527</v>
      </c>
      <c r="K186" s="25" t="str">
        <f aca="false">IFERROR(__xludf.dummyfunction("SPLIT(J186,"" "")"),"CIF")</f>
        <v>CIF</v>
      </c>
      <c r="L186" s="28" t="str">
        <f aca="false">IFERROR(__xludf.dummyfunction("""COMPUTED_VALUE"""),"Bulgaria")</f>
        <v>Bulgaria</v>
      </c>
      <c r="M186" s="27" t="str">
        <f aca="false">IFERROR(__xludf.dummyfunction("""COMPUTED_VALUE"""),"(Diff)")</f>
        <v>(Diff)</v>
      </c>
      <c r="N186" s="25"/>
      <c r="O186" s="25"/>
      <c r="P186" s="25"/>
      <c r="Q186" s="29" t="s">
        <v>220</v>
      </c>
      <c r="R186" s="8" t="str">
        <f aca="false">B186&amp;" "&amp;C186&amp;" "&amp;D186&amp;" "&amp;E186&amp;" "&amp;G186&amp;" "&amp;H186&amp;" "&amp;J186&amp;" "&amp;N186</f>
        <v>Differentials Binders &amp; Additives     CIF Bulgaria (Diff) </v>
      </c>
      <c r="S186" s="25"/>
      <c r="T186" s="8"/>
      <c r="U186" s="8"/>
      <c r="V186" s="27" t="s">
        <v>49</v>
      </c>
      <c r="W186" s="25"/>
      <c r="X186" s="25"/>
      <c r="Y186" s="25"/>
      <c r="Z186" s="25"/>
      <c r="AA186" s="25"/>
      <c r="AB186" s="25"/>
      <c r="AC186" s="25"/>
      <c r="AD186" s="25"/>
    </row>
    <row r="187" customFormat="false" ht="15.75" hidden="false" customHeight="false" outlineLevel="0" collapsed="false">
      <c r="A187" s="28" t="s">
        <v>542</v>
      </c>
      <c r="B187" s="27" t="s">
        <v>438</v>
      </c>
      <c r="C187" s="27" t="s">
        <v>211</v>
      </c>
      <c r="D187" s="25"/>
      <c r="E187" s="25"/>
      <c r="F187" s="25"/>
      <c r="G187" s="25"/>
      <c r="H187" s="25"/>
      <c r="I187" s="25"/>
      <c r="J187" s="27" t="s">
        <v>527</v>
      </c>
      <c r="K187" s="25" t="str">
        <f aca="false">IFERROR(__xludf.dummyfunction("SPLIT(J187,"" "")"),"CIF")</f>
        <v>CIF</v>
      </c>
      <c r="L187" s="28" t="str">
        <f aca="false">IFERROR(__xludf.dummyfunction("""COMPUTED_VALUE"""),"Bulgaria")</f>
        <v>Bulgaria</v>
      </c>
      <c r="M187" s="27" t="str">
        <f aca="false">IFERROR(__xludf.dummyfunction("""COMPUTED_VALUE"""),"(Diff)")</f>
        <v>(Diff)</v>
      </c>
      <c r="N187" s="25"/>
      <c r="O187" s="25"/>
      <c r="P187" s="25"/>
      <c r="Q187" s="29" t="s">
        <v>218</v>
      </c>
      <c r="R187" s="8" t="str">
        <f aca="false">B187&amp;" "&amp;C187&amp;" "&amp;D187&amp;" "&amp;E187&amp;" "&amp;G187&amp;" "&amp;H187&amp;" "&amp;J187&amp;" "&amp;N187</f>
        <v>Differentials Binders &amp; Additives     CIF Bulgaria (Diff) </v>
      </c>
      <c r="S187" s="25"/>
      <c r="T187" s="8"/>
      <c r="U187" s="8"/>
      <c r="V187" s="27" t="s">
        <v>49</v>
      </c>
      <c r="W187" s="25"/>
      <c r="X187" s="25"/>
      <c r="Y187" s="25"/>
      <c r="Z187" s="25"/>
      <c r="AA187" s="25"/>
      <c r="AB187" s="25"/>
      <c r="AC187" s="25"/>
      <c r="AD187" s="25"/>
    </row>
    <row r="188" customFormat="false" ht="15.75" hidden="false" customHeight="false" outlineLevel="0" collapsed="false">
      <c r="A188" s="28" t="s">
        <v>543</v>
      </c>
      <c r="B188" s="27" t="s">
        <v>438</v>
      </c>
      <c r="C188" s="27" t="s">
        <v>211</v>
      </c>
      <c r="D188" s="25"/>
      <c r="E188" s="25"/>
      <c r="F188" s="25"/>
      <c r="G188" s="25"/>
      <c r="H188" s="25"/>
      <c r="I188" s="25"/>
      <c r="J188" s="27" t="s">
        <v>527</v>
      </c>
      <c r="K188" s="25" t="str">
        <f aca="false">IFERROR(__xludf.dummyfunction("SPLIT(J188,"" "")"),"CIF")</f>
        <v>CIF</v>
      </c>
      <c r="L188" s="28" t="str">
        <f aca="false">IFERROR(__xludf.dummyfunction("""COMPUTED_VALUE"""),"Bulgaria")</f>
        <v>Bulgaria</v>
      </c>
      <c r="M188" s="27" t="str">
        <f aca="false">IFERROR(__xludf.dummyfunction("""COMPUTED_VALUE"""),"(Diff)")</f>
        <v>(Diff)</v>
      </c>
      <c r="N188" s="25"/>
      <c r="O188" s="25"/>
      <c r="P188" s="25"/>
      <c r="Q188" s="29" t="s">
        <v>215</v>
      </c>
      <c r="R188" s="8" t="str">
        <f aca="false">B188&amp;" "&amp;C188&amp;" "&amp;D188&amp;" "&amp;E188&amp;" "&amp;G188&amp;" "&amp;H188&amp;" "&amp;J188&amp;" "&amp;N188</f>
        <v>Differentials Binders &amp; Additives     CIF Bulgaria (Diff) </v>
      </c>
      <c r="S188" s="25"/>
      <c r="T188" s="8"/>
      <c r="U188" s="8"/>
      <c r="V188" s="27" t="s">
        <v>49</v>
      </c>
      <c r="W188" s="25"/>
      <c r="X188" s="25"/>
      <c r="Y188" s="25"/>
      <c r="Z188" s="25"/>
      <c r="AA188" s="25"/>
      <c r="AB188" s="25"/>
      <c r="AC188" s="25"/>
      <c r="AD188" s="25"/>
    </row>
    <row r="189" customFormat="false" ht="15.75" hidden="false" customHeight="false" outlineLevel="0" collapsed="false">
      <c r="A189" s="28" t="s">
        <v>544</v>
      </c>
      <c r="B189" s="27" t="s">
        <v>438</v>
      </c>
      <c r="C189" s="27" t="s">
        <v>211</v>
      </c>
      <c r="D189" s="25"/>
      <c r="E189" s="25"/>
      <c r="F189" s="25"/>
      <c r="G189" s="25"/>
      <c r="H189" s="25"/>
      <c r="I189" s="25"/>
      <c r="J189" s="27" t="s">
        <v>527</v>
      </c>
      <c r="K189" s="25" t="str">
        <f aca="false">IFERROR(__xludf.dummyfunction("SPLIT(J189,"" "")"),"CIF")</f>
        <v>CIF</v>
      </c>
      <c r="L189" s="28" t="str">
        <f aca="false">IFERROR(__xludf.dummyfunction("""COMPUTED_VALUE"""),"Bulgaria")</f>
        <v>Bulgaria</v>
      </c>
      <c r="M189" s="27" t="str">
        <f aca="false">IFERROR(__xludf.dummyfunction("""COMPUTED_VALUE"""),"(Diff)")</f>
        <v>(Diff)</v>
      </c>
      <c r="N189" s="25"/>
      <c r="O189" s="25"/>
      <c r="P189" s="25"/>
      <c r="Q189" s="29" t="s">
        <v>213</v>
      </c>
      <c r="R189" s="8" t="str">
        <f aca="false">B189&amp;" "&amp;C189&amp;" "&amp;D189&amp;" "&amp;E189&amp;" "&amp;G189&amp;" "&amp;H189&amp;" "&amp;J189&amp;" "&amp;N189</f>
        <v>Differentials Binders &amp; Additives     CIF Bulgaria (Diff) </v>
      </c>
      <c r="S189" s="25"/>
      <c r="T189" s="8"/>
      <c r="U189" s="8"/>
      <c r="V189" s="27" t="s">
        <v>49</v>
      </c>
      <c r="W189" s="25"/>
      <c r="X189" s="25"/>
      <c r="Y189" s="25"/>
      <c r="Z189" s="25"/>
      <c r="AA189" s="25"/>
      <c r="AB189" s="25"/>
      <c r="AC189" s="25"/>
      <c r="AD189" s="25"/>
    </row>
    <row r="190" customFormat="false" ht="15.75" hidden="false" customHeight="false" outlineLevel="0" collapsed="false">
      <c r="A190" s="28" t="s">
        <v>545</v>
      </c>
      <c r="B190" s="27" t="s">
        <v>438</v>
      </c>
      <c r="C190" s="27" t="s">
        <v>236</v>
      </c>
      <c r="D190" s="25"/>
      <c r="E190" s="25"/>
      <c r="F190" s="25"/>
      <c r="G190" s="25"/>
      <c r="H190" s="25"/>
      <c r="I190" s="25"/>
      <c r="J190" s="27" t="s">
        <v>527</v>
      </c>
      <c r="K190" s="25" t="str">
        <f aca="false">IFERROR(__xludf.dummyfunction("SPLIT(J190,"" "")"),"CIF")</f>
        <v>CIF</v>
      </c>
      <c r="L190" s="28" t="str">
        <f aca="false">IFERROR(__xludf.dummyfunction("""COMPUTED_VALUE"""),"Bulgaria")</f>
        <v>Bulgaria</v>
      </c>
      <c r="M190" s="27" t="str">
        <f aca="false">IFERROR(__xludf.dummyfunction("""COMPUTED_VALUE"""),"(Diff)")</f>
        <v>(Diff)</v>
      </c>
      <c r="N190" s="25"/>
      <c r="O190" s="25"/>
      <c r="P190" s="25"/>
      <c r="Q190" s="29" t="s">
        <v>271</v>
      </c>
      <c r="R190" s="8" t="str">
        <f aca="false">B190&amp;" "&amp;C190&amp;" "&amp;D190&amp;" "&amp;E190&amp;" "&amp;G190&amp;" "&amp;H190&amp;" "&amp;J190&amp;" "&amp;N190</f>
        <v>Differentials Cathode     CIF Bulgaria (Diff) </v>
      </c>
      <c r="S190" s="25"/>
      <c r="T190" s="8"/>
      <c r="U190" s="8"/>
      <c r="V190" s="27" t="s">
        <v>49</v>
      </c>
      <c r="W190" s="25"/>
      <c r="X190" s="25"/>
      <c r="Y190" s="25"/>
      <c r="Z190" s="25"/>
      <c r="AA190" s="25"/>
      <c r="AB190" s="25"/>
      <c r="AC190" s="25"/>
      <c r="AD190" s="25"/>
    </row>
    <row r="191" customFormat="false" ht="15.75" hidden="false" customHeight="false" outlineLevel="0" collapsed="false">
      <c r="A191" s="28" t="s">
        <v>546</v>
      </c>
      <c r="B191" s="27" t="s">
        <v>438</v>
      </c>
      <c r="C191" s="27" t="s">
        <v>236</v>
      </c>
      <c r="D191" s="25"/>
      <c r="E191" s="25"/>
      <c r="F191" s="25"/>
      <c r="G191" s="25"/>
      <c r="H191" s="25"/>
      <c r="I191" s="25"/>
      <c r="J191" s="27" t="s">
        <v>527</v>
      </c>
      <c r="K191" s="25" t="str">
        <f aca="false">IFERROR(__xludf.dummyfunction("SPLIT(J191,"" "")"),"CIF")</f>
        <v>CIF</v>
      </c>
      <c r="L191" s="28" t="str">
        <f aca="false">IFERROR(__xludf.dummyfunction("""COMPUTED_VALUE"""),"Bulgaria")</f>
        <v>Bulgaria</v>
      </c>
      <c r="M191" s="27" t="str">
        <f aca="false">IFERROR(__xludf.dummyfunction("""COMPUTED_VALUE"""),"(Diff)")</f>
        <v>(Diff)</v>
      </c>
      <c r="N191" s="25"/>
      <c r="O191" s="25"/>
      <c r="P191" s="25"/>
      <c r="Q191" s="29" t="s">
        <v>266</v>
      </c>
      <c r="R191" s="8" t="str">
        <f aca="false">B191&amp;" "&amp;C191&amp;" "&amp;D191&amp;" "&amp;E191&amp;" "&amp;G191&amp;" "&amp;H191&amp;" "&amp;J191&amp;" "&amp;N191</f>
        <v>Differentials Cathode     CIF Bulgaria (Diff) </v>
      </c>
      <c r="S191" s="25"/>
      <c r="T191" s="8"/>
      <c r="U191" s="8"/>
      <c r="V191" s="27" t="s">
        <v>49</v>
      </c>
      <c r="W191" s="25"/>
      <c r="X191" s="25"/>
      <c r="Y191" s="25"/>
      <c r="Z191" s="25"/>
      <c r="AA191" s="25"/>
      <c r="AB191" s="25"/>
      <c r="AC191" s="25"/>
      <c r="AD191" s="25"/>
    </row>
    <row r="192" customFormat="false" ht="15.75" hidden="false" customHeight="false" outlineLevel="0" collapsed="false">
      <c r="A192" s="28" t="s">
        <v>547</v>
      </c>
      <c r="B192" s="27" t="s">
        <v>438</v>
      </c>
      <c r="C192" s="27" t="s">
        <v>236</v>
      </c>
      <c r="D192" s="25"/>
      <c r="E192" s="25"/>
      <c r="F192" s="25"/>
      <c r="G192" s="25"/>
      <c r="H192" s="25"/>
      <c r="I192" s="25"/>
      <c r="J192" s="27" t="s">
        <v>527</v>
      </c>
      <c r="K192" s="25" t="str">
        <f aca="false">IFERROR(__xludf.dummyfunction("SPLIT(J192,"" "")"),"CIF")</f>
        <v>CIF</v>
      </c>
      <c r="L192" s="28" t="str">
        <f aca="false">IFERROR(__xludf.dummyfunction("""COMPUTED_VALUE"""),"Bulgaria")</f>
        <v>Bulgaria</v>
      </c>
      <c r="M192" s="27" t="str">
        <f aca="false">IFERROR(__xludf.dummyfunction("""COMPUTED_VALUE"""),"(Diff)")</f>
        <v>(Diff)</v>
      </c>
      <c r="N192" s="25"/>
      <c r="O192" s="25"/>
      <c r="P192" s="25"/>
      <c r="Q192" s="29" t="s">
        <v>261</v>
      </c>
      <c r="R192" s="8" t="str">
        <f aca="false">B192&amp;" "&amp;C192&amp;" "&amp;D192&amp;" "&amp;E192&amp;" "&amp;G192&amp;" "&amp;H192&amp;" "&amp;J192&amp;" "&amp;N192</f>
        <v>Differentials Cathode     CIF Bulgaria (Diff) </v>
      </c>
      <c r="S192" s="25"/>
      <c r="T192" s="8"/>
      <c r="U192" s="8"/>
      <c r="V192" s="27" t="s">
        <v>49</v>
      </c>
      <c r="W192" s="25"/>
      <c r="X192" s="25"/>
      <c r="Y192" s="25"/>
      <c r="Z192" s="25"/>
      <c r="AA192" s="25"/>
      <c r="AB192" s="25"/>
      <c r="AC192" s="25"/>
      <c r="AD192" s="25"/>
    </row>
    <row r="193" customFormat="false" ht="15.75" hidden="false" customHeight="false" outlineLevel="0" collapsed="false">
      <c r="A193" s="28" t="s">
        <v>548</v>
      </c>
      <c r="B193" s="27" t="s">
        <v>438</v>
      </c>
      <c r="C193" s="27" t="s">
        <v>236</v>
      </c>
      <c r="D193" s="25"/>
      <c r="E193" s="25"/>
      <c r="F193" s="25"/>
      <c r="G193" s="25"/>
      <c r="H193" s="25"/>
      <c r="I193" s="25"/>
      <c r="J193" s="27" t="s">
        <v>527</v>
      </c>
      <c r="K193" s="25" t="str">
        <f aca="false">IFERROR(__xludf.dummyfunction("SPLIT(J193,"" "")"),"CIF")</f>
        <v>CIF</v>
      </c>
      <c r="L193" s="28" t="str">
        <f aca="false">IFERROR(__xludf.dummyfunction("""COMPUTED_VALUE"""),"Bulgaria")</f>
        <v>Bulgaria</v>
      </c>
      <c r="M193" s="27" t="str">
        <f aca="false">IFERROR(__xludf.dummyfunction("""COMPUTED_VALUE"""),"(Diff)")</f>
        <v>(Diff)</v>
      </c>
      <c r="N193" s="25"/>
      <c r="O193" s="25"/>
      <c r="P193" s="25"/>
      <c r="Q193" s="29" t="s">
        <v>256</v>
      </c>
      <c r="R193" s="8" t="str">
        <f aca="false">B193&amp;" "&amp;C193&amp;" "&amp;D193&amp;" "&amp;E193&amp;" "&amp;G193&amp;" "&amp;H193&amp;" "&amp;J193&amp;" "&amp;N193</f>
        <v>Differentials Cathode     CIF Bulgaria (Diff) </v>
      </c>
      <c r="S193" s="25"/>
      <c r="T193" s="8"/>
      <c r="U193" s="8"/>
      <c r="V193" s="27" t="s">
        <v>49</v>
      </c>
      <c r="W193" s="25"/>
      <c r="X193" s="25"/>
      <c r="Y193" s="25"/>
      <c r="Z193" s="25"/>
      <c r="AA193" s="25"/>
      <c r="AB193" s="25"/>
      <c r="AC193" s="25"/>
      <c r="AD193" s="25"/>
    </row>
    <row r="194" customFormat="false" ht="15.75" hidden="false" customHeight="false" outlineLevel="0" collapsed="false">
      <c r="A194" s="28" t="s">
        <v>549</v>
      </c>
      <c r="B194" s="27" t="s">
        <v>438</v>
      </c>
      <c r="C194" s="27" t="s">
        <v>236</v>
      </c>
      <c r="D194" s="25"/>
      <c r="E194" s="25"/>
      <c r="F194" s="25"/>
      <c r="G194" s="25"/>
      <c r="H194" s="25"/>
      <c r="I194" s="25"/>
      <c r="J194" s="27" t="s">
        <v>527</v>
      </c>
      <c r="K194" s="25" t="str">
        <f aca="false">IFERROR(__xludf.dummyfunction("SPLIT(J194,"" "")"),"CIF")</f>
        <v>CIF</v>
      </c>
      <c r="L194" s="28" t="str">
        <f aca="false">IFERROR(__xludf.dummyfunction("""COMPUTED_VALUE"""),"Bulgaria")</f>
        <v>Bulgaria</v>
      </c>
      <c r="M194" s="27" t="str">
        <f aca="false">IFERROR(__xludf.dummyfunction("""COMPUTED_VALUE"""),"(Diff)")</f>
        <v>(Diff)</v>
      </c>
      <c r="N194" s="25"/>
      <c r="O194" s="25"/>
      <c r="P194" s="25"/>
      <c r="Q194" s="29" t="s">
        <v>251</v>
      </c>
      <c r="R194" s="8" t="str">
        <f aca="false">B194&amp;" "&amp;C194&amp;" "&amp;D194&amp;" "&amp;E194&amp;" "&amp;G194&amp;" "&amp;H194&amp;" "&amp;J194&amp;" "&amp;N194</f>
        <v>Differentials Cathode     CIF Bulgaria (Diff) </v>
      </c>
      <c r="S194" s="25"/>
      <c r="T194" s="8"/>
      <c r="U194" s="8"/>
      <c r="V194" s="27" t="s">
        <v>49</v>
      </c>
      <c r="W194" s="25"/>
      <c r="X194" s="25"/>
      <c r="Y194" s="25"/>
      <c r="Z194" s="25"/>
      <c r="AA194" s="25"/>
      <c r="AB194" s="25"/>
      <c r="AC194" s="25"/>
      <c r="AD194" s="25"/>
    </row>
    <row r="195" customFormat="false" ht="15.75" hidden="false" customHeight="false" outlineLevel="0" collapsed="false">
      <c r="A195" s="28" t="s">
        <v>550</v>
      </c>
      <c r="B195" s="27" t="s">
        <v>438</v>
      </c>
      <c r="C195" s="27" t="s">
        <v>236</v>
      </c>
      <c r="D195" s="25"/>
      <c r="E195" s="25"/>
      <c r="F195" s="25"/>
      <c r="G195" s="25"/>
      <c r="H195" s="25"/>
      <c r="I195" s="25"/>
      <c r="J195" s="27" t="s">
        <v>527</v>
      </c>
      <c r="K195" s="25" t="str">
        <f aca="false">IFERROR(__xludf.dummyfunction("SPLIT(J195,"" "")"),"CIF")</f>
        <v>CIF</v>
      </c>
      <c r="L195" s="28" t="str">
        <f aca="false">IFERROR(__xludf.dummyfunction("""COMPUTED_VALUE"""),"Bulgaria")</f>
        <v>Bulgaria</v>
      </c>
      <c r="M195" s="27" t="str">
        <f aca="false">IFERROR(__xludf.dummyfunction("""COMPUTED_VALUE"""),"(Diff)")</f>
        <v>(Diff)</v>
      </c>
      <c r="N195" s="25"/>
      <c r="O195" s="25"/>
      <c r="P195" s="25"/>
      <c r="Q195" s="29" t="s">
        <v>247</v>
      </c>
      <c r="R195" s="8" t="str">
        <f aca="false">B195&amp;" "&amp;C195&amp;" "&amp;D195&amp;" "&amp;E195&amp;" "&amp;G195&amp;" "&amp;H195&amp;" "&amp;J195&amp;" "&amp;N195</f>
        <v>Differentials Cathode     CIF Bulgaria (Diff) </v>
      </c>
      <c r="S195" s="25"/>
      <c r="T195" s="8"/>
      <c r="U195" s="8"/>
      <c r="V195" s="27" t="s">
        <v>49</v>
      </c>
      <c r="W195" s="25"/>
      <c r="X195" s="25"/>
      <c r="Y195" s="25"/>
      <c r="Z195" s="25"/>
      <c r="AA195" s="25"/>
      <c r="AB195" s="25"/>
      <c r="AC195" s="25"/>
      <c r="AD195" s="25"/>
    </row>
    <row r="196" customFormat="false" ht="15.75" hidden="false" customHeight="false" outlineLevel="0" collapsed="false">
      <c r="A196" s="28" t="s">
        <v>551</v>
      </c>
      <c r="B196" s="27" t="s">
        <v>438</v>
      </c>
      <c r="C196" s="27" t="s">
        <v>236</v>
      </c>
      <c r="D196" s="25"/>
      <c r="E196" s="25"/>
      <c r="F196" s="25"/>
      <c r="G196" s="25"/>
      <c r="H196" s="25"/>
      <c r="I196" s="25"/>
      <c r="J196" s="27" t="s">
        <v>527</v>
      </c>
      <c r="K196" s="25" t="str">
        <f aca="false">IFERROR(__xludf.dummyfunction("SPLIT(J196,"" "")"),"CIF")</f>
        <v>CIF</v>
      </c>
      <c r="L196" s="28" t="str">
        <f aca="false">IFERROR(__xludf.dummyfunction("""COMPUTED_VALUE"""),"Bulgaria")</f>
        <v>Bulgaria</v>
      </c>
      <c r="M196" s="27" t="str">
        <f aca="false">IFERROR(__xludf.dummyfunction("""COMPUTED_VALUE"""),"(Diff)")</f>
        <v>(Diff)</v>
      </c>
      <c r="N196" s="25"/>
      <c r="O196" s="25"/>
      <c r="P196" s="25"/>
      <c r="Q196" s="29" t="s">
        <v>243</v>
      </c>
      <c r="R196" s="8" t="str">
        <f aca="false">B196&amp;" "&amp;C196&amp;" "&amp;D196&amp;" "&amp;E196&amp;" "&amp;G196&amp;" "&amp;H196&amp;" "&amp;J196&amp;" "&amp;N196</f>
        <v>Differentials Cathode     CIF Bulgaria (Diff) </v>
      </c>
      <c r="S196" s="25"/>
      <c r="T196" s="8"/>
      <c r="U196" s="8"/>
      <c r="V196" s="27" t="s">
        <v>49</v>
      </c>
      <c r="W196" s="25"/>
      <c r="X196" s="25"/>
      <c r="Y196" s="25"/>
      <c r="Z196" s="25"/>
      <c r="AA196" s="25"/>
      <c r="AB196" s="25"/>
      <c r="AC196" s="25"/>
      <c r="AD196" s="25"/>
    </row>
    <row r="197" customFormat="false" ht="15.75" hidden="false" customHeight="false" outlineLevel="0" collapsed="false">
      <c r="A197" s="28" t="s">
        <v>552</v>
      </c>
      <c r="B197" s="27" t="s">
        <v>438</v>
      </c>
      <c r="C197" s="27" t="s">
        <v>236</v>
      </c>
      <c r="D197" s="25"/>
      <c r="E197" s="25"/>
      <c r="F197" s="25"/>
      <c r="G197" s="25"/>
      <c r="H197" s="25"/>
      <c r="I197" s="25"/>
      <c r="J197" s="27" t="s">
        <v>527</v>
      </c>
      <c r="K197" s="25" t="str">
        <f aca="false">IFERROR(__xludf.dummyfunction("SPLIT(J197,"" "")"),"CIF")</f>
        <v>CIF</v>
      </c>
      <c r="L197" s="28" t="str">
        <f aca="false">IFERROR(__xludf.dummyfunction("""COMPUTED_VALUE"""),"Bulgaria")</f>
        <v>Bulgaria</v>
      </c>
      <c r="M197" s="27" t="str">
        <f aca="false">IFERROR(__xludf.dummyfunction("""COMPUTED_VALUE"""),"(Diff)")</f>
        <v>(Diff)</v>
      </c>
      <c r="N197" s="25"/>
      <c r="O197" s="25"/>
      <c r="P197" s="25"/>
      <c r="Q197" s="29" t="s">
        <v>239</v>
      </c>
      <c r="R197" s="8" t="str">
        <f aca="false">B197&amp;" "&amp;C197&amp;" "&amp;D197&amp;" "&amp;E197&amp;" "&amp;G197&amp;" "&amp;H197&amp;" "&amp;J197&amp;" "&amp;N197</f>
        <v>Differentials Cathode     CIF Bulgaria (Diff) </v>
      </c>
      <c r="S197" s="25"/>
      <c r="T197" s="8"/>
      <c r="U197" s="8"/>
      <c r="V197" s="27" t="s">
        <v>49</v>
      </c>
      <c r="W197" s="25"/>
      <c r="X197" s="25"/>
      <c r="Y197" s="25"/>
      <c r="Z197" s="25"/>
      <c r="AA197" s="25"/>
      <c r="AB197" s="25"/>
      <c r="AC197" s="25"/>
      <c r="AD197" s="25"/>
    </row>
    <row r="198" customFormat="false" ht="15.75" hidden="false" customHeight="false" outlineLevel="0" collapsed="false">
      <c r="A198" s="28" t="s">
        <v>553</v>
      </c>
      <c r="B198" s="27" t="s">
        <v>438</v>
      </c>
      <c r="C198" s="27" t="s">
        <v>289</v>
      </c>
      <c r="D198" s="25"/>
      <c r="E198" s="25"/>
      <c r="F198" s="25"/>
      <c r="G198" s="25"/>
      <c r="H198" s="25"/>
      <c r="I198" s="25"/>
      <c r="J198" s="27" t="s">
        <v>527</v>
      </c>
      <c r="K198" s="25" t="str">
        <f aca="false">IFERROR(__xludf.dummyfunction("SPLIT(J198,"" "")"),"CIF")</f>
        <v>CIF</v>
      </c>
      <c r="L198" s="28" t="str">
        <f aca="false">IFERROR(__xludf.dummyfunction("""COMPUTED_VALUE"""),"Bulgaria")</f>
        <v>Bulgaria</v>
      </c>
      <c r="M198" s="27" t="str">
        <f aca="false">IFERROR(__xludf.dummyfunction("""COMPUTED_VALUE"""),"(Diff)")</f>
        <v>(Diff)</v>
      </c>
      <c r="N198" s="25"/>
      <c r="O198" s="25"/>
      <c r="P198" s="25"/>
      <c r="Q198" s="29" t="s">
        <v>306</v>
      </c>
      <c r="R198" s="8" t="str">
        <f aca="false">B198&amp;" "&amp;C198&amp;" "&amp;D198&amp;" "&amp;E198&amp;" "&amp;G198&amp;" "&amp;H198&amp;" "&amp;J198&amp;" "&amp;N198</f>
        <v>Differentials Electrolyte     CIF Bulgaria (Diff) </v>
      </c>
      <c r="S198" s="25"/>
      <c r="T198" s="8"/>
      <c r="U198" s="8"/>
      <c r="V198" s="27" t="s">
        <v>49</v>
      </c>
      <c r="W198" s="25"/>
      <c r="X198" s="25"/>
      <c r="Y198" s="25"/>
      <c r="Z198" s="25"/>
      <c r="AA198" s="25"/>
      <c r="AB198" s="25"/>
      <c r="AC198" s="25"/>
      <c r="AD198" s="25"/>
    </row>
    <row r="199" customFormat="false" ht="15.75" hidden="false" customHeight="false" outlineLevel="0" collapsed="false">
      <c r="A199" s="28" t="s">
        <v>554</v>
      </c>
      <c r="B199" s="27" t="s">
        <v>438</v>
      </c>
      <c r="C199" s="27" t="s">
        <v>289</v>
      </c>
      <c r="D199" s="25"/>
      <c r="E199" s="25"/>
      <c r="F199" s="25"/>
      <c r="G199" s="25"/>
      <c r="H199" s="25"/>
      <c r="I199" s="25"/>
      <c r="J199" s="27" t="s">
        <v>527</v>
      </c>
      <c r="K199" s="25" t="str">
        <f aca="false">IFERROR(__xludf.dummyfunction("SPLIT(J199,"" "")"),"CIF")</f>
        <v>CIF</v>
      </c>
      <c r="L199" s="28" t="str">
        <f aca="false">IFERROR(__xludf.dummyfunction("""COMPUTED_VALUE"""),"Bulgaria")</f>
        <v>Bulgaria</v>
      </c>
      <c r="M199" s="27" t="str">
        <f aca="false">IFERROR(__xludf.dummyfunction("""COMPUTED_VALUE"""),"(Diff)")</f>
        <v>(Diff)</v>
      </c>
      <c r="N199" s="25"/>
      <c r="O199" s="25"/>
      <c r="P199" s="25"/>
      <c r="Q199" s="29" t="s">
        <v>304</v>
      </c>
      <c r="R199" s="8" t="str">
        <f aca="false">B199&amp;" "&amp;C199&amp;" "&amp;D199&amp;" "&amp;E199&amp;" "&amp;G199&amp;" "&amp;H199&amp;" "&amp;J199&amp;" "&amp;N199</f>
        <v>Differentials Electrolyte     CIF Bulgaria (Diff) </v>
      </c>
      <c r="S199" s="25"/>
      <c r="T199" s="8"/>
      <c r="U199" s="8"/>
      <c r="V199" s="27" t="s">
        <v>49</v>
      </c>
      <c r="W199" s="25"/>
      <c r="X199" s="25"/>
      <c r="Y199" s="25"/>
      <c r="Z199" s="25"/>
      <c r="AA199" s="25"/>
      <c r="AB199" s="25"/>
      <c r="AC199" s="25"/>
      <c r="AD199" s="25"/>
    </row>
    <row r="200" customFormat="false" ht="15.75" hidden="false" customHeight="false" outlineLevel="0" collapsed="false">
      <c r="A200" s="28" t="s">
        <v>555</v>
      </c>
      <c r="B200" s="27" t="s">
        <v>438</v>
      </c>
      <c r="C200" s="27" t="s">
        <v>289</v>
      </c>
      <c r="D200" s="25"/>
      <c r="E200" s="25"/>
      <c r="F200" s="25"/>
      <c r="G200" s="25"/>
      <c r="H200" s="25"/>
      <c r="I200" s="25"/>
      <c r="J200" s="27" t="s">
        <v>527</v>
      </c>
      <c r="K200" s="25" t="str">
        <f aca="false">IFERROR(__xludf.dummyfunction("SPLIT(J200,"" "")"),"CIF")</f>
        <v>CIF</v>
      </c>
      <c r="L200" s="28" t="str">
        <f aca="false">IFERROR(__xludf.dummyfunction("""COMPUTED_VALUE"""),"Bulgaria")</f>
        <v>Bulgaria</v>
      </c>
      <c r="M200" s="27" t="str">
        <f aca="false">IFERROR(__xludf.dummyfunction("""COMPUTED_VALUE"""),"(Diff)")</f>
        <v>(Diff)</v>
      </c>
      <c r="N200" s="25"/>
      <c r="O200" s="25"/>
      <c r="P200" s="25"/>
      <c r="Q200" s="29" t="s">
        <v>302</v>
      </c>
      <c r="R200" s="8" t="str">
        <f aca="false">B200&amp;" "&amp;C200&amp;" "&amp;D200&amp;" "&amp;E200&amp;" "&amp;G200&amp;" "&amp;H200&amp;" "&amp;J200&amp;" "&amp;N200</f>
        <v>Differentials Electrolyte     CIF Bulgaria (Diff) </v>
      </c>
      <c r="S200" s="25"/>
      <c r="T200" s="8"/>
      <c r="U200" s="8"/>
      <c r="V200" s="27" t="s">
        <v>49</v>
      </c>
      <c r="W200" s="25"/>
      <c r="X200" s="25"/>
      <c r="Y200" s="25"/>
      <c r="Z200" s="25"/>
      <c r="AA200" s="25"/>
      <c r="AB200" s="25"/>
      <c r="AC200" s="25"/>
      <c r="AD200" s="25"/>
    </row>
    <row r="201" customFormat="false" ht="15.75" hidden="false" customHeight="false" outlineLevel="0" collapsed="false">
      <c r="A201" s="28" t="s">
        <v>556</v>
      </c>
      <c r="B201" s="27" t="s">
        <v>438</v>
      </c>
      <c r="C201" s="27" t="s">
        <v>289</v>
      </c>
      <c r="D201" s="25"/>
      <c r="E201" s="25"/>
      <c r="F201" s="25"/>
      <c r="G201" s="25"/>
      <c r="H201" s="25"/>
      <c r="I201" s="25"/>
      <c r="J201" s="27" t="s">
        <v>527</v>
      </c>
      <c r="K201" s="25" t="str">
        <f aca="false">IFERROR(__xludf.dummyfunction("SPLIT(J201,"" "")"),"CIF")</f>
        <v>CIF</v>
      </c>
      <c r="L201" s="28" t="str">
        <f aca="false">IFERROR(__xludf.dummyfunction("""COMPUTED_VALUE"""),"Bulgaria")</f>
        <v>Bulgaria</v>
      </c>
      <c r="M201" s="27" t="str">
        <f aca="false">IFERROR(__xludf.dummyfunction("""COMPUTED_VALUE"""),"(Diff)")</f>
        <v>(Diff)</v>
      </c>
      <c r="N201" s="25"/>
      <c r="O201" s="25"/>
      <c r="P201" s="25"/>
      <c r="Q201" s="29" t="s">
        <v>300</v>
      </c>
      <c r="R201" s="8" t="str">
        <f aca="false">B201&amp;" "&amp;C201&amp;" "&amp;D201&amp;" "&amp;E201&amp;" "&amp;G201&amp;" "&amp;H201&amp;" "&amp;J201&amp;" "&amp;N201</f>
        <v>Differentials Electrolyte     CIF Bulgaria (Diff) </v>
      </c>
      <c r="S201" s="25"/>
      <c r="T201" s="8"/>
      <c r="U201" s="8"/>
      <c r="V201" s="27" t="s">
        <v>49</v>
      </c>
      <c r="W201" s="25"/>
      <c r="X201" s="25"/>
      <c r="Y201" s="25"/>
      <c r="Z201" s="25"/>
      <c r="AA201" s="25"/>
      <c r="AB201" s="25"/>
      <c r="AC201" s="25"/>
      <c r="AD201" s="25"/>
    </row>
    <row r="202" customFormat="false" ht="15.75" hidden="false" customHeight="false" outlineLevel="0" collapsed="false">
      <c r="A202" s="28" t="s">
        <v>557</v>
      </c>
      <c r="B202" s="27" t="s">
        <v>438</v>
      </c>
      <c r="C202" s="27" t="s">
        <v>289</v>
      </c>
      <c r="D202" s="25"/>
      <c r="E202" s="25"/>
      <c r="F202" s="25"/>
      <c r="G202" s="25"/>
      <c r="H202" s="25"/>
      <c r="I202" s="25"/>
      <c r="J202" s="27" t="s">
        <v>527</v>
      </c>
      <c r="K202" s="25" t="str">
        <f aca="false">IFERROR(__xludf.dummyfunction("SPLIT(J202,"" "")"),"CIF")</f>
        <v>CIF</v>
      </c>
      <c r="L202" s="28" t="str">
        <f aca="false">IFERROR(__xludf.dummyfunction("""COMPUTED_VALUE"""),"Bulgaria")</f>
        <v>Bulgaria</v>
      </c>
      <c r="M202" s="27" t="str">
        <f aca="false">IFERROR(__xludf.dummyfunction("""COMPUTED_VALUE"""),"(Diff)")</f>
        <v>(Diff)</v>
      </c>
      <c r="N202" s="25"/>
      <c r="O202" s="25"/>
      <c r="P202" s="25"/>
      <c r="Q202" s="29" t="s">
        <v>298</v>
      </c>
      <c r="R202" s="8" t="str">
        <f aca="false">B202&amp;" "&amp;C202&amp;" "&amp;D202&amp;" "&amp;E202&amp;" "&amp;G202&amp;" "&amp;H202&amp;" "&amp;J202&amp;" "&amp;N202</f>
        <v>Differentials Electrolyte     CIF Bulgaria (Diff) </v>
      </c>
      <c r="S202" s="25"/>
      <c r="T202" s="8"/>
      <c r="U202" s="8"/>
      <c r="V202" s="27" t="s">
        <v>49</v>
      </c>
      <c r="W202" s="25"/>
      <c r="X202" s="25"/>
      <c r="Y202" s="25"/>
      <c r="Z202" s="25"/>
      <c r="AA202" s="25"/>
      <c r="AB202" s="25"/>
      <c r="AC202" s="25"/>
      <c r="AD202" s="25"/>
    </row>
    <row r="203" customFormat="false" ht="15.75" hidden="false" customHeight="false" outlineLevel="0" collapsed="false">
      <c r="A203" s="28" t="s">
        <v>558</v>
      </c>
      <c r="B203" s="27" t="s">
        <v>438</v>
      </c>
      <c r="C203" s="27" t="s">
        <v>289</v>
      </c>
      <c r="D203" s="25"/>
      <c r="E203" s="25"/>
      <c r="F203" s="25"/>
      <c r="G203" s="25"/>
      <c r="H203" s="25"/>
      <c r="I203" s="25"/>
      <c r="J203" s="27" t="s">
        <v>527</v>
      </c>
      <c r="K203" s="25" t="str">
        <f aca="false">IFERROR(__xludf.dummyfunction("SPLIT(J203,"" "")"),"CIF")</f>
        <v>CIF</v>
      </c>
      <c r="L203" s="28" t="str">
        <f aca="false">IFERROR(__xludf.dummyfunction("""COMPUTED_VALUE"""),"Bulgaria")</f>
        <v>Bulgaria</v>
      </c>
      <c r="M203" s="27" t="str">
        <f aca="false">IFERROR(__xludf.dummyfunction("""COMPUTED_VALUE"""),"(Diff)")</f>
        <v>(Diff)</v>
      </c>
      <c r="N203" s="25"/>
      <c r="O203" s="25"/>
      <c r="P203" s="25"/>
      <c r="Q203" s="29" t="s">
        <v>296</v>
      </c>
      <c r="R203" s="8" t="str">
        <f aca="false">B203&amp;" "&amp;C203&amp;" "&amp;D203&amp;" "&amp;E203&amp;" "&amp;G203&amp;" "&amp;H203&amp;" "&amp;J203&amp;" "&amp;N203</f>
        <v>Differentials Electrolyte     CIF Bulgaria (Diff) </v>
      </c>
      <c r="S203" s="25"/>
      <c r="T203" s="8"/>
      <c r="U203" s="8"/>
      <c r="V203" s="27" t="s">
        <v>49</v>
      </c>
      <c r="W203" s="25"/>
      <c r="X203" s="25"/>
      <c r="Y203" s="25"/>
      <c r="Z203" s="25"/>
      <c r="AA203" s="25"/>
      <c r="AB203" s="25"/>
      <c r="AC203" s="25"/>
      <c r="AD203" s="25"/>
    </row>
    <row r="204" customFormat="false" ht="15.75" hidden="false" customHeight="false" outlineLevel="0" collapsed="false">
      <c r="A204" s="28" t="s">
        <v>559</v>
      </c>
      <c r="B204" s="27" t="s">
        <v>438</v>
      </c>
      <c r="C204" s="27" t="s">
        <v>289</v>
      </c>
      <c r="D204" s="25"/>
      <c r="E204" s="25"/>
      <c r="F204" s="25"/>
      <c r="G204" s="25"/>
      <c r="H204" s="25"/>
      <c r="I204" s="25"/>
      <c r="J204" s="27" t="s">
        <v>527</v>
      </c>
      <c r="K204" s="25" t="str">
        <f aca="false">IFERROR(__xludf.dummyfunction("SPLIT(J204,"" "")"),"CIF")</f>
        <v>CIF</v>
      </c>
      <c r="L204" s="28" t="str">
        <f aca="false">IFERROR(__xludf.dummyfunction("""COMPUTED_VALUE"""),"Bulgaria")</f>
        <v>Bulgaria</v>
      </c>
      <c r="M204" s="27" t="str">
        <f aca="false">IFERROR(__xludf.dummyfunction("""COMPUTED_VALUE"""),"(Diff)")</f>
        <v>(Diff)</v>
      </c>
      <c r="N204" s="25"/>
      <c r="O204" s="25"/>
      <c r="P204" s="25"/>
      <c r="Q204" s="29" t="s">
        <v>294</v>
      </c>
      <c r="R204" s="8" t="str">
        <f aca="false">B204&amp;" "&amp;C204&amp;" "&amp;D204&amp;" "&amp;E204&amp;" "&amp;G204&amp;" "&amp;H204&amp;" "&amp;J204&amp;" "&amp;N204</f>
        <v>Differentials Electrolyte     CIF Bulgaria (Diff) </v>
      </c>
      <c r="S204" s="25"/>
      <c r="T204" s="8"/>
      <c r="U204" s="8"/>
      <c r="V204" s="27" t="s">
        <v>49</v>
      </c>
      <c r="W204" s="25"/>
      <c r="X204" s="25"/>
      <c r="Y204" s="25"/>
      <c r="Z204" s="25"/>
      <c r="AA204" s="25"/>
      <c r="AB204" s="25"/>
      <c r="AC204" s="25"/>
      <c r="AD204" s="25"/>
    </row>
    <row r="205" customFormat="false" ht="15.75" hidden="false" customHeight="false" outlineLevel="0" collapsed="false">
      <c r="A205" s="28" t="s">
        <v>560</v>
      </c>
      <c r="B205" s="27" t="s">
        <v>438</v>
      </c>
      <c r="C205" s="27" t="s">
        <v>289</v>
      </c>
      <c r="D205" s="25"/>
      <c r="E205" s="25"/>
      <c r="F205" s="25"/>
      <c r="G205" s="25"/>
      <c r="H205" s="25"/>
      <c r="I205" s="25"/>
      <c r="J205" s="27" t="s">
        <v>527</v>
      </c>
      <c r="K205" s="25" t="str">
        <f aca="false">IFERROR(__xludf.dummyfunction("SPLIT(J205,"" "")"),"CIF")</f>
        <v>CIF</v>
      </c>
      <c r="L205" s="28" t="str">
        <f aca="false">IFERROR(__xludf.dummyfunction("""COMPUTED_VALUE"""),"Bulgaria")</f>
        <v>Bulgaria</v>
      </c>
      <c r="M205" s="27" t="str">
        <f aca="false">IFERROR(__xludf.dummyfunction("""COMPUTED_VALUE"""),"(Diff)")</f>
        <v>(Diff)</v>
      </c>
      <c r="N205" s="25"/>
      <c r="O205" s="25"/>
      <c r="P205" s="25"/>
      <c r="Q205" s="29" t="s">
        <v>291</v>
      </c>
      <c r="R205" s="8" t="str">
        <f aca="false">B205&amp;" "&amp;C205&amp;" "&amp;D205&amp;" "&amp;E205&amp;" "&amp;G205&amp;" "&amp;H205&amp;" "&amp;J205&amp;" "&amp;N205</f>
        <v>Differentials Electrolyte     CIF Bulgaria (Diff) </v>
      </c>
      <c r="S205" s="25"/>
      <c r="T205" s="8"/>
      <c r="U205" s="8"/>
      <c r="V205" s="27" t="s">
        <v>49</v>
      </c>
      <c r="W205" s="25"/>
      <c r="X205" s="25"/>
      <c r="Y205" s="25"/>
      <c r="Z205" s="25"/>
      <c r="AA205" s="25"/>
      <c r="AB205" s="25"/>
      <c r="AC205" s="25"/>
      <c r="AD205" s="25"/>
    </row>
    <row r="206" customFormat="false" ht="15.75" hidden="false" customHeight="false" outlineLevel="0" collapsed="false">
      <c r="A206" s="28" t="s">
        <v>561</v>
      </c>
      <c r="B206" s="27" t="s">
        <v>438</v>
      </c>
      <c r="C206" s="27" t="s">
        <v>308</v>
      </c>
      <c r="D206" s="25"/>
      <c r="E206" s="25"/>
      <c r="F206" s="25"/>
      <c r="G206" s="25"/>
      <c r="H206" s="25"/>
      <c r="I206" s="25"/>
      <c r="J206" s="27" t="s">
        <v>527</v>
      </c>
      <c r="K206" s="25" t="str">
        <f aca="false">IFERROR(__xludf.dummyfunction("SPLIT(J206,"" "")"),"CIF")</f>
        <v>CIF</v>
      </c>
      <c r="L206" s="28" t="str">
        <f aca="false">IFERROR(__xludf.dummyfunction("""COMPUTED_VALUE"""),"Bulgaria")</f>
        <v>Bulgaria</v>
      </c>
      <c r="M206" s="27" t="str">
        <f aca="false">IFERROR(__xludf.dummyfunction("""COMPUTED_VALUE"""),"(Diff)")</f>
        <v>(Diff)</v>
      </c>
      <c r="N206" s="25"/>
      <c r="O206" s="25"/>
      <c r="P206" s="25"/>
      <c r="Q206" s="29" t="s">
        <v>358</v>
      </c>
      <c r="R206" s="8" t="str">
        <f aca="false">B206&amp;" "&amp;C206&amp;" "&amp;D206&amp;" "&amp;E206&amp;" "&amp;G206&amp;" "&amp;H206&amp;" "&amp;J206&amp;" "&amp;N206</f>
        <v>Differentials Graphite     CIF Bulgaria (Diff) </v>
      </c>
      <c r="S206" s="25"/>
      <c r="T206" s="8"/>
      <c r="U206" s="8"/>
      <c r="V206" s="27" t="s">
        <v>49</v>
      </c>
      <c r="W206" s="25"/>
      <c r="X206" s="25"/>
      <c r="Y206" s="25"/>
      <c r="Z206" s="25"/>
      <c r="AA206" s="25"/>
      <c r="AB206" s="25"/>
      <c r="AC206" s="25"/>
      <c r="AD206" s="25"/>
    </row>
    <row r="207" customFormat="false" ht="15.75" hidden="false" customHeight="false" outlineLevel="0" collapsed="false">
      <c r="A207" s="28" t="s">
        <v>562</v>
      </c>
      <c r="B207" s="27" t="s">
        <v>438</v>
      </c>
      <c r="C207" s="27" t="s">
        <v>308</v>
      </c>
      <c r="D207" s="25"/>
      <c r="E207" s="25"/>
      <c r="F207" s="25"/>
      <c r="G207" s="25"/>
      <c r="H207" s="25"/>
      <c r="I207" s="25"/>
      <c r="J207" s="27" t="s">
        <v>527</v>
      </c>
      <c r="K207" s="25" t="str">
        <f aca="false">IFERROR(__xludf.dummyfunction("SPLIT(J207,"" "")"),"CIF")</f>
        <v>CIF</v>
      </c>
      <c r="L207" s="28" t="str">
        <f aca="false">IFERROR(__xludf.dummyfunction("""COMPUTED_VALUE"""),"Bulgaria")</f>
        <v>Bulgaria</v>
      </c>
      <c r="M207" s="27" t="str">
        <f aca="false">IFERROR(__xludf.dummyfunction("""COMPUTED_VALUE"""),"(Diff)")</f>
        <v>(Diff)</v>
      </c>
      <c r="N207" s="25"/>
      <c r="O207" s="25"/>
      <c r="P207" s="25"/>
      <c r="Q207" s="29" t="s">
        <v>356</v>
      </c>
      <c r="R207" s="8" t="str">
        <f aca="false">B207&amp;" "&amp;C207&amp;" "&amp;D207&amp;" "&amp;E207&amp;" "&amp;G207&amp;" "&amp;H207&amp;" "&amp;J207&amp;" "&amp;N207</f>
        <v>Differentials Graphite     CIF Bulgaria (Diff) </v>
      </c>
      <c r="S207" s="25"/>
      <c r="T207" s="8"/>
      <c r="U207" s="8"/>
      <c r="V207" s="27" t="s">
        <v>49</v>
      </c>
      <c r="W207" s="25"/>
      <c r="X207" s="25"/>
      <c r="Y207" s="25"/>
      <c r="Z207" s="25"/>
      <c r="AA207" s="25"/>
      <c r="AB207" s="25"/>
      <c r="AC207" s="25"/>
      <c r="AD207" s="25"/>
    </row>
    <row r="208" customFormat="false" ht="15.75" hidden="false" customHeight="false" outlineLevel="0" collapsed="false">
      <c r="A208" s="28" t="s">
        <v>563</v>
      </c>
      <c r="B208" s="27" t="s">
        <v>438</v>
      </c>
      <c r="C208" s="27" t="s">
        <v>308</v>
      </c>
      <c r="D208" s="25"/>
      <c r="E208" s="25"/>
      <c r="F208" s="25"/>
      <c r="G208" s="25"/>
      <c r="H208" s="25"/>
      <c r="I208" s="25"/>
      <c r="J208" s="27" t="s">
        <v>527</v>
      </c>
      <c r="K208" s="25" t="str">
        <f aca="false">IFERROR(__xludf.dummyfunction("SPLIT(J208,"" "")"),"CIF")</f>
        <v>CIF</v>
      </c>
      <c r="L208" s="28" t="str">
        <f aca="false">IFERROR(__xludf.dummyfunction("""COMPUTED_VALUE"""),"Bulgaria")</f>
        <v>Bulgaria</v>
      </c>
      <c r="M208" s="27" t="str">
        <f aca="false">IFERROR(__xludf.dummyfunction("""COMPUTED_VALUE"""),"(Diff)")</f>
        <v>(Diff)</v>
      </c>
      <c r="N208" s="25"/>
      <c r="O208" s="25"/>
      <c r="P208" s="25"/>
      <c r="Q208" s="29" t="s">
        <v>354</v>
      </c>
      <c r="R208" s="8" t="str">
        <f aca="false">B208&amp;" "&amp;C208&amp;" "&amp;D208&amp;" "&amp;E208&amp;" "&amp;G208&amp;" "&amp;H208&amp;" "&amp;J208&amp;" "&amp;N208</f>
        <v>Differentials Graphite     CIF Bulgaria (Diff) </v>
      </c>
      <c r="S208" s="25"/>
      <c r="T208" s="8"/>
      <c r="U208" s="8"/>
      <c r="V208" s="27" t="s">
        <v>49</v>
      </c>
      <c r="W208" s="25"/>
      <c r="X208" s="25"/>
      <c r="Y208" s="25"/>
      <c r="Z208" s="25"/>
      <c r="AA208" s="25"/>
      <c r="AB208" s="25"/>
      <c r="AC208" s="25"/>
      <c r="AD208" s="25"/>
    </row>
    <row r="209" customFormat="false" ht="15.75" hidden="false" customHeight="false" outlineLevel="0" collapsed="false">
      <c r="A209" s="28" t="s">
        <v>564</v>
      </c>
      <c r="B209" s="27" t="s">
        <v>438</v>
      </c>
      <c r="C209" s="27" t="s">
        <v>308</v>
      </c>
      <c r="D209" s="25"/>
      <c r="E209" s="25"/>
      <c r="F209" s="25"/>
      <c r="G209" s="25"/>
      <c r="H209" s="25"/>
      <c r="I209" s="25"/>
      <c r="J209" s="27" t="s">
        <v>527</v>
      </c>
      <c r="K209" s="25" t="str">
        <f aca="false">IFERROR(__xludf.dummyfunction("SPLIT(J209,"" "")"),"CIF")</f>
        <v>CIF</v>
      </c>
      <c r="L209" s="28" t="str">
        <f aca="false">IFERROR(__xludf.dummyfunction("""COMPUTED_VALUE"""),"Bulgaria")</f>
        <v>Bulgaria</v>
      </c>
      <c r="M209" s="27" t="str">
        <f aca="false">IFERROR(__xludf.dummyfunction("""COMPUTED_VALUE"""),"(Diff)")</f>
        <v>(Diff)</v>
      </c>
      <c r="N209" s="25"/>
      <c r="O209" s="25"/>
      <c r="P209" s="25"/>
      <c r="Q209" s="29" t="s">
        <v>352</v>
      </c>
      <c r="R209" s="8" t="str">
        <f aca="false">B209&amp;" "&amp;C209&amp;" "&amp;D209&amp;" "&amp;E209&amp;" "&amp;G209&amp;" "&amp;H209&amp;" "&amp;J209&amp;" "&amp;N209</f>
        <v>Differentials Graphite     CIF Bulgaria (Diff) </v>
      </c>
      <c r="S209" s="25"/>
      <c r="T209" s="8"/>
      <c r="U209" s="8"/>
      <c r="V209" s="27" t="s">
        <v>49</v>
      </c>
      <c r="W209" s="25"/>
      <c r="X209" s="25"/>
      <c r="Y209" s="25"/>
      <c r="Z209" s="25"/>
      <c r="AA209" s="25"/>
      <c r="AB209" s="25"/>
      <c r="AC209" s="25"/>
      <c r="AD209" s="25"/>
    </row>
    <row r="210" customFormat="false" ht="15.75" hidden="false" customHeight="false" outlineLevel="0" collapsed="false">
      <c r="A210" s="28" t="s">
        <v>565</v>
      </c>
      <c r="B210" s="27" t="s">
        <v>438</v>
      </c>
      <c r="C210" s="27" t="s">
        <v>308</v>
      </c>
      <c r="D210" s="25"/>
      <c r="E210" s="25"/>
      <c r="F210" s="25"/>
      <c r="G210" s="25"/>
      <c r="H210" s="25"/>
      <c r="I210" s="25"/>
      <c r="J210" s="27" t="s">
        <v>527</v>
      </c>
      <c r="K210" s="25" t="str">
        <f aca="false">IFERROR(__xludf.dummyfunction("SPLIT(J210,"" "")"),"CIF")</f>
        <v>CIF</v>
      </c>
      <c r="L210" s="28" t="str">
        <f aca="false">IFERROR(__xludf.dummyfunction("""COMPUTED_VALUE"""),"Bulgaria")</f>
        <v>Bulgaria</v>
      </c>
      <c r="M210" s="27" t="str">
        <f aca="false">IFERROR(__xludf.dummyfunction("""COMPUTED_VALUE"""),"(Diff)")</f>
        <v>(Diff)</v>
      </c>
      <c r="N210" s="25"/>
      <c r="O210" s="25"/>
      <c r="P210" s="25"/>
      <c r="Q210" s="29" t="s">
        <v>350</v>
      </c>
      <c r="R210" s="8" t="str">
        <f aca="false">B210&amp;" "&amp;C210&amp;" "&amp;D210&amp;" "&amp;E210&amp;" "&amp;G210&amp;" "&amp;H210&amp;" "&amp;J210&amp;" "&amp;N210</f>
        <v>Differentials Graphite     CIF Bulgaria (Diff) </v>
      </c>
      <c r="S210" s="25"/>
      <c r="T210" s="8"/>
      <c r="U210" s="8"/>
      <c r="V210" s="27" t="s">
        <v>49</v>
      </c>
      <c r="W210" s="25"/>
      <c r="X210" s="25"/>
      <c r="Y210" s="25"/>
      <c r="Z210" s="25"/>
      <c r="AA210" s="25"/>
      <c r="AB210" s="25"/>
      <c r="AC210" s="25"/>
      <c r="AD210" s="25"/>
    </row>
    <row r="211" customFormat="false" ht="15.75" hidden="false" customHeight="false" outlineLevel="0" collapsed="false">
      <c r="A211" s="28" t="s">
        <v>566</v>
      </c>
      <c r="B211" s="27" t="s">
        <v>438</v>
      </c>
      <c r="C211" s="27" t="s">
        <v>308</v>
      </c>
      <c r="D211" s="25"/>
      <c r="E211" s="25"/>
      <c r="F211" s="25"/>
      <c r="G211" s="25"/>
      <c r="H211" s="25"/>
      <c r="I211" s="25"/>
      <c r="J211" s="27" t="s">
        <v>527</v>
      </c>
      <c r="K211" s="25" t="str">
        <f aca="false">IFERROR(__xludf.dummyfunction("SPLIT(J211,"" "")"),"CIF")</f>
        <v>CIF</v>
      </c>
      <c r="L211" s="28" t="str">
        <f aca="false">IFERROR(__xludf.dummyfunction("""COMPUTED_VALUE"""),"Bulgaria")</f>
        <v>Bulgaria</v>
      </c>
      <c r="M211" s="27" t="str">
        <f aca="false">IFERROR(__xludf.dummyfunction("""COMPUTED_VALUE"""),"(Diff)")</f>
        <v>(Diff)</v>
      </c>
      <c r="N211" s="25"/>
      <c r="O211" s="25"/>
      <c r="P211" s="25"/>
      <c r="Q211" s="29" t="s">
        <v>347</v>
      </c>
      <c r="R211" s="8" t="str">
        <f aca="false">B211&amp;" "&amp;C211&amp;" "&amp;D211&amp;" "&amp;E211&amp;" "&amp;G211&amp;" "&amp;H211&amp;" "&amp;J211&amp;" "&amp;N211</f>
        <v>Differentials Graphite     CIF Bulgaria (Diff) </v>
      </c>
      <c r="S211" s="25"/>
      <c r="T211" s="8"/>
      <c r="U211" s="8"/>
      <c r="V211" s="27" t="s">
        <v>49</v>
      </c>
      <c r="W211" s="25"/>
      <c r="X211" s="25"/>
      <c r="Y211" s="25"/>
      <c r="Z211" s="25"/>
      <c r="AA211" s="25"/>
      <c r="AB211" s="25"/>
      <c r="AC211" s="25"/>
      <c r="AD211" s="25"/>
    </row>
    <row r="212" customFormat="false" ht="15.75" hidden="false" customHeight="false" outlineLevel="0" collapsed="false">
      <c r="A212" s="28" t="s">
        <v>567</v>
      </c>
      <c r="B212" s="27" t="s">
        <v>438</v>
      </c>
      <c r="C212" s="27" t="s">
        <v>308</v>
      </c>
      <c r="D212" s="25"/>
      <c r="E212" s="25"/>
      <c r="F212" s="25"/>
      <c r="G212" s="25"/>
      <c r="H212" s="25"/>
      <c r="I212" s="25"/>
      <c r="J212" s="27" t="s">
        <v>527</v>
      </c>
      <c r="K212" s="25" t="str">
        <f aca="false">IFERROR(__xludf.dummyfunction("SPLIT(J212,"" "")"),"CIF")</f>
        <v>CIF</v>
      </c>
      <c r="L212" s="28" t="str">
        <f aca="false">IFERROR(__xludf.dummyfunction("""COMPUTED_VALUE"""),"Bulgaria")</f>
        <v>Bulgaria</v>
      </c>
      <c r="M212" s="27" t="str">
        <f aca="false">IFERROR(__xludf.dummyfunction("""COMPUTED_VALUE"""),"(Diff)")</f>
        <v>(Diff)</v>
      </c>
      <c r="N212" s="25"/>
      <c r="O212" s="25"/>
      <c r="P212" s="25"/>
      <c r="Q212" s="29" t="s">
        <v>344</v>
      </c>
      <c r="R212" s="8" t="str">
        <f aca="false">B212&amp;" "&amp;C212&amp;" "&amp;D212&amp;" "&amp;E212&amp;" "&amp;G212&amp;" "&amp;H212&amp;" "&amp;J212&amp;" "&amp;N212</f>
        <v>Differentials Graphite     CIF Bulgaria (Diff) </v>
      </c>
      <c r="S212" s="25"/>
      <c r="T212" s="8"/>
      <c r="U212" s="8"/>
      <c r="V212" s="27" t="s">
        <v>49</v>
      </c>
      <c r="W212" s="25"/>
      <c r="X212" s="25"/>
      <c r="Y212" s="25"/>
      <c r="Z212" s="25"/>
      <c r="AA212" s="25"/>
      <c r="AB212" s="25"/>
      <c r="AC212" s="25"/>
      <c r="AD212" s="25"/>
    </row>
    <row r="213" customFormat="false" ht="15.75" hidden="false" customHeight="false" outlineLevel="0" collapsed="false">
      <c r="A213" s="28" t="s">
        <v>568</v>
      </c>
      <c r="B213" s="27" t="s">
        <v>438</v>
      </c>
      <c r="C213" s="27" t="s">
        <v>308</v>
      </c>
      <c r="D213" s="25"/>
      <c r="E213" s="25"/>
      <c r="F213" s="25"/>
      <c r="G213" s="25"/>
      <c r="H213" s="25"/>
      <c r="I213" s="25"/>
      <c r="J213" s="27" t="s">
        <v>527</v>
      </c>
      <c r="K213" s="25" t="str">
        <f aca="false">IFERROR(__xludf.dummyfunction("SPLIT(J213,"" "")"),"CIF")</f>
        <v>CIF</v>
      </c>
      <c r="L213" s="28" t="str">
        <f aca="false">IFERROR(__xludf.dummyfunction("""COMPUTED_VALUE"""),"Bulgaria")</f>
        <v>Bulgaria</v>
      </c>
      <c r="M213" s="27" t="str">
        <f aca="false">IFERROR(__xludf.dummyfunction("""COMPUTED_VALUE"""),"(Diff)")</f>
        <v>(Diff)</v>
      </c>
      <c r="N213" s="25"/>
      <c r="O213" s="25"/>
      <c r="P213" s="25"/>
      <c r="Q213" s="29" t="s">
        <v>340</v>
      </c>
      <c r="R213" s="8" t="str">
        <f aca="false">B213&amp;" "&amp;C213&amp;" "&amp;D213&amp;" "&amp;E213&amp;" "&amp;G213&amp;" "&amp;H213&amp;" "&amp;J213&amp;" "&amp;N213</f>
        <v>Differentials Graphite     CIF Bulgaria (Diff) </v>
      </c>
      <c r="S213" s="25"/>
      <c r="T213" s="8"/>
      <c r="U213" s="8"/>
      <c r="V213" s="27" t="s">
        <v>49</v>
      </c>
      <c r="W213" s="25"/>
      <c r="X213" s="25"/>
      <c r="Y213" s="25"/>
      <c r="Z213" s="25"/>
      <c r="AA213" s="25"/>
      <c r="AB213" s="25"/>
      <c r="AC213" s="25"/>
      <c r="AD213" s="25"/>
    </row>
    <row r="214" customFormat="false" ht="15.75" hidden="false" customHeight="false" outlineLevel="0" collapsed="false">
      <c r="A214" s="28" t="s">
        <v>569</v>
      </c>
      <c r="B214" s="27" t="s">
        <v>438</v>
      </c>
      <c r="C214" s="27" t="s">
        <v>308</v>
      </c>
      <c r="D214" s="25"/>
      <c r="E214" s="25"/>
      <c r="F214" s="25"/>
      <c r="G214" s="25"/>
      <c r="H214" s="25"/>
      <c r="I214" s="25"/>
      <c r="J214" s="27" t="s">
        <v>527</v>
      </c>
      <c r="K214" s="25" t="str">
        <f aca="false">IFERROR(__xludf.dummyfunction("SPLIT(J214,"" "")"),"CIF")</f>
        <v>CIF</v>
      </c>
      <c r="L214" s="28" t="str">
        <f aca="false">IFERROR(__xludf.dummyfunction("""COMPUTED_VALUE"""),"Bulgaria")</f>
        <v>Bulgaria</v>
      </c>
      <c r="M214" s="27" t="str">
        <f aca="false">IFERROR(__xludf.dummyfunction("""COMPUTED_VALUE"""),"(Diff)")</f>
        <v>(Diff)</v>
      </c>
      <c r="N214" s="25"/>
      <c r="O214" s="25"/>
      <c r="P214" s="25"/>
      <c r="Q214" s="29" t="s">
        <v>338</v>
      </c>
      <c r="R214" s="8" t="str">
        <f aca="false">B214&amp;" "&amp;C214&amp;" "&amp;D214&amp;" "&amp;E214&amp;" "&amp;G214&amp;" "&amp;H214&amp;" "&amp;J214&amp;" "&amp;N214</f>
        <v>Differentials Graphite     CIF Bulgaria (Diff) </v>
      </c>
      <c r="S214" s="25"/>
      <c r="T214" s="8"/>
      <c r="U214" s="8"/>
      <c r="V214" s="27" t="s">
        <v>49</v>
      </c>
      <c r="W214" s="25"/>
      <c r="X214" s="25"/>
      <c r="Y214" s="25"/>
      <c r="Z214" s="25"/>
      <c r="AA214" s="25"/>
      <c r="AB214" s="25"/>
      <c r="AC214" s="25"/>
      <c r="AD214" s="25"/>
    </row>
    <row r="215" customFormat="false" ht="15.75" hidden="false" customHeight="false" outlineLevel="0" collapsed="false">
      <c r="A215" s="28" t="s">
        <v>570</v>
      </c>
      <c r="B215" s="27" t="s">
        <v>438</v>
      </c>
      <c r="C215" s="27" t="s">
        <v>308</v>
      </c>
      <c r="D215" s="25"/>
      <c r="E215" s="25"/>
      <c r="F215" s="25"/>
      <c r="G215" s="25"/>
      <c r="H215" s="25"/>
      <c r="I215" s="25"/>
      <c r="J215" s="27" t="s">
        <v>527</v>
      </c>
      <c r="K215" s="25" t="str">
        <f aca="false">IFERROR(__xludf.dummyfunction("SPLIT(J215,"" "")"),"CIF")</f>
        <v>CIF</v>
      </c>
      <c r="L215" s="28" t="str">
        <f aca="false">IFERROR(__xludf.dummyfunction("""COMPUTED_VALUE"""),"Bulgaria")</f>
        <v>Bulgaria</v>
      </c>
      <c r="M215" s="27" t="str">
        <f aca="false">IFERROR(__xludf.dummyfunction("""COMPUTED_VALUE"""),"(Diff)")</f>
        <v>(Diff)</v>
      </c>
      <c r="N215" s="25"/>
      <c r="O215" s="25"/>
      <c r="P215" s="25"/>
      <c r="Q215" s="29" t="s">
        <v>335</v>
      </c>
      <c r="R215" s="8" t="str">
        <f aca="false">B215&amp;" "&amp;C215&amp;" "&amp;D215&amp;" "&amp;E215&amp;" "&amp;G215&amp;" "&amp;H215&amp;" "&amp;J215&amp;" "&amp;N215</f>
        <v>Differentials Graphite     CIF Bulgaria (Diff) </v>
      </c>
      <c r="S215" s="25"/>
      <c r="T215" s="8"/>
      <c r="U215" s="8"/>
      <c r="V215" s="27" t="s">
        <v>49</v>
      </c>
      <c r="W215" s="25"/>
      <c r="X215" s="25"/>
      <c r="Y215" s="25"/>
      <c r="Z215" s="25"/>
      <c r="AA215" s="25"/>
      <c r="AB215" s="25"/>
      <c r="AC215" s="25"/>
      <c r="AD215" s="25"/>
    </row>
    <row r="216" customFormat="false" ht="15.75" hidden="false" customHeight="false" outlineLevel="0" collapsed="false">
      <c r="A216" s="28" t="s">
        <v>571</v>
      </c>
      <c r="B216" s="27" t="s">
        <v>438</v>
      </c>
      <c r="C216" s="27" t="s">
        <v>308</v>
      </c>
      <c r="D216" s="25"/>
      <c r="E216" s="25"/>
      <c r="F216" s="25"/>
      <c r="G216" s="25"/>
      <c r="H216" s="25"/>
      <c r="I216" s="25"/>
      <c r="J216" s="27" t="s">
        <v>527</v>
      </c>
      <c r="K216" s="25" t="str">
        <f aca="false">IFERROR(__xludf.dummyfunction("SPLIT(J216,"" "")"),"CIF")</f>
        <v>CIF</v>
      </c>
      <c r="L216" s="28" t="str">
        <f aca="false">IFERROR(__xludf.dummyfunction("""COMPUTED_VALUE"""),"Bulgaria")</f>
        <v>Bulgaria</v>
      </c>
      <c r="M216" s="27" t="str">
        <f aca="false">IFERROR(__xludf.dummyfunction("""COMPUTED_VALUE"""),"(Diff)")</f>
        <v>(Diff)</v>
      </c>
      <c r="N216" s="25"/>
      <c r="O216" s="25"/>
      <c r="P216" s="25"/>
      <c r="Q216" s="29" t="s">
        <v>332</v>
      </c>
      <c r="R216" s="8" t="str">
        <f aca="false">B216&amp;" "&amp;C216&amp;" "&amp;D216&amp;" "&amp;E216&amp;" "&amp;G216&amp;" "&amp;H216&amp;" "&amp;J216&amp;" "&amp;N216</f>
        <v>Differentials Graphite     CIF Bulgaria (Diff) </v>
      </c>
      <c r="S216" s="25"/>
      <c r="T216" s="8"/>
      <c r="U216" s="8"/>
      <c r="V216" s="27" t="s">
        <v>49</v>
      </c>
      <c r="W216" s="25"/>
      <c r="X216" s="25"/>
      <c r="Y216" s="25"/>
      <c r="Z216" s="25"/>
      <c r="AA216" s="25"/>
      <c r="AB216" s="25"/>
      <c r="AC216" s="25"/>
      <c r="AD216" s="25"/>
    </row>
    <row r="217" customFormat="false" ht="15.75" hidden="false" customHeight="false" outlineLevel="0" collapsed="false">
      <c r="A217" s="28" t="s">
        <v>572</v>
      </c>
      <c r="B217" s="27" t="s">
        <v>438</v>
      </c>
      <c r="C217" s="27" t="s">
        <v>308</v>
      </c>
      <c r="D217" s="25"/>
      <c r="E217" s="25"/>
      <c r="F217" s="25"/>
      <c r="G217" s="25"/>
      <c r="H217" s="25"/>
      <c r="I217" s="25"/>
      <c r="J217" s="27" t="s">
        <v>527</v>
      </c>
      <c r="K217" s="25" t="str">
        <f aca="false">IFERROR(__xludf.dummyfunction("SPLIT(J217,"" "")"),"CIF")</f>
        <v>CIF</v>
      </c>
      <c r="L217" s="28" t="str">
        <f aca="false">IFERROR(__xludf.dummyfunction("""COMPUTED_VALUE"""),"Bulgaria")</f>
        <v>Bulgaria</v>
      </c>
      <c r="M217" s="27" t="str">
        <f aca="false">IFERROR(__xludf.dummyfunction("""COMPUTED_VALUE"""),"(Diff)")</f>
        <v>(Diff)</v>
      </c>
      <c r="N217" s="25"/>
      <c r="O217" s="25"/>
      <c r="P217" s="25"/>
      <c r="Q217" s="29" t="s">
        <v>329</v>
      </c>
      <c r="R217" s="8" t="str">
        <f aca="false">B217&amp;" "&amp;C217&amp;" "&amp;D217&amp;" "&amp;E217&amp;" "&amp;G217&amp;" "&amp;H217&amp;" "&amp;J217&amp;" "&amp;N217</f>
        <v>Differentials Graphite     CIF Bulgaria (Diff) </v>
      </c>
      <c r="S217" s="25"/>
      <c r="T217" s="8"/>
      <c r="U217" s="8"/>
      <c r="V217" s="27" t="s">
        <v>49</v>
      </c>
      <c r="W217" s="25"/>
      <c r="X217" s="25"/>
      <c r="Y217" s="25"/>
      <c r="Z217" s="25"/>
      <c r="AA217" s="25"/>
      <c r="AB217" s="25"/>
      <c r="AC217" s="25"/>
      <c r="AD217" s="25"/>
    </row>
    <row r="218" customFormat="false" ht="15.75" hidden="false" customHeight="false" outlineLevel="0" collapsed="false">
      <c r="A218" s="28" t="s">
        <v>573</v>
      </c>
      <c r="B218" s="27" t="s">
        <v>438</v>
      </c>
      <c r="C218" s="27" t="s">
        <v>308</v>
      </c>
      <c r="D218" s="25"/>
      <c r="E218" s="25"/>
      <c r="F218" s="25"/>
      <c r="G218" s="25"/>
      <c r="H218" s="25"/>
      <c r="I218" s="25"/>
      <c r="J218" s="27" t="s">
        <v>527</v>
      </c>
      <c r="K218" s="25" t="str">
        <f aca="false">IFERROR(__xludf.dummyfunction("SPLIT(J218,"" "")"),"CIF")</f>
        <v>CIF</v>
      </c>
      <c r="L218" s="28" t="str">
        <f aca="false">IFERROR(__xludf.dummyfunction("""COMPUTED_VALUE"""),"Bulgaria")</f>
        <v>Bulgaria</v>
      </c>
      <c r="M218" s="27" t="str">
        <f aca="false">IFERROR(__xludf.dummyfunction("""COMPUTED_VALUE"""),"(Diff)")</f>
        <v>(Diff)</v>
      </c>
      <c r="N218" s="25"/>
      <c r="O218" s="25"/>
      <c r="P218" s="25"/>
      <c r="Q218" s="29" t="s">
        <v>326</v>
      </c>
      <c r="R218" s="8" t="str">
        <f aca="false">B218&amp;" "&amp;C218&amp;" "&amp;D218&amp;" "&amp;E218&amp;" "&amp;G218&amp;" "&amp;H218&amp;" "&amp;J218&amp;" "&amp;N218</f>
        <v>Differentials Graphite     CIF Bulgaria (Diff) </v>
      </c>
      <c r="S218" s="25"/>
      <c r="T218" s="8"/>
      <c r="U218" s="8"/>
      <c r="V218" s="27" t="s">
        <v>49</v>
      </c>
      <c r="W218" s="25"/>
      <c r="X218" s="25"/>
      <c r="Y218" s="25"/>
      <c r="Z218" s="25"/>
      <c r="AA218" s="25"/>
      <c r="AB218" s="25"/>
      <c r="AC218" s="25"/>
      <c r="AD218" s="25"/>
    </row>
    <row r="219" customFormat="false" ht="15.75" hidden="false" customHeight="false" outlineLevel="0" collapsed="false">
      <c r="A219" s="28" t="s">
        <v>574</v>
      </c>
      <c r="B219" s="27" t="s">
        <v>438</v>
      </c>
      <c r="C219" s="27" t="s">
        <v>308</v>
      </c>
      <c r="D219" s="25"/>
      <c r="E219" s="25"/>
      <c r="F219" s="25"/>
      <c r="G219" s="25"/>
      <c r="H219" s="25"/>
      <c r="I219" s="25"/>
      <c r="J219" s="27" t="s">
        <v>527</v>
      </c>
      <c r="K219" s="25" t="str">
        <f aca="false">IFERROR(__xludf.dummyfunction("SPLIT(J219,"" "")"),"CIF")</f>
        <v>CIF</v>
      </c>
      <c r="L219" s="28" t="str">
        <f aca="false">IFERROR(__xludf.dummyfunction("""COMPUTED_VALUE"""),"Bulgaria")</f>
        <v>Bulgaria</v>
      </c>
      <c r="M219" s="27" t="str">
        <f aca="false">IFERROR(__xludf.dummyfunction("""COMPUTED_VALUE"""),"(Diff)")</f>
        <v>(Diff)</v>
      </c>
      <c r="N219" s="25"/>
      <c r="O219" s="25"/>
      <c r="P219" s="25"/>
      <c r="Q219" s="29" t="s">
        <v>323</v>
      </c>
      <c r="R219" s="8" t="str">
        <f aca="false">B219&amp;" "&amp;C219&amp;" "&amp;D219&amp;" "&amp;E219&amp;" "&amp;G219&amp;" "&amp;H219&amp;" "&amp;J219&amp;" "&amp;N219</f>
        <v>Differentials Graphite     CIF Bulgaria (Diff) </v>
      </c>
      <c r="S219" s="25"/>
      <c r="T219" s="8"/>
      <c r="U219" s="8"/>
      <c r="V219" s="27" t="s">
        <v>49</v>
      </c>
      <c r="W219" s="25"/>
      <c r="X219" s="25"/>
      <c r="Y219" s="25"/>
      <c r="Z219" s="25"/>
      <c r="AA219" s="25"/>
      <c r="AB219" s="25"/>
      <c r="AC219" s="25"/>
      <c r="AD219" s="25"/>
    </row>
    <row r="220" customFormat="false" ht="15.75" hidden="false" customHeight="false" outlineLevel="0" collapsed="false">
      <c r="A220" s="28" t="s">
        <v>575</v>
      </c>
      <c r="B220" s="27" t="s">
        <v>438</v>
      </c>
      <c r="C220" s="27" t="s">
        <v>308</v>
      </c>
      <c r="D220" s="25"/>
      <c r="E220" s="25"/>
      <c r="F220" s="25"/>
      <c r="G220" s="25"/>
      <c r="H220" s="25"/>
      <c r="I220" s="25"/>
      <c r="J220" s="27" t="s">
        <v>527</v>
      </c>
      <c r="K220" s="25" t="str">
        <f aca="false">IFERROR(__xludf.dummyfunction("SPLIT(J220,"" "")"),"CIF")</f>
        <v>CIF</v>
      </c>
      <c r="L220" s="28" t="str">
        <f aca="false">IFERROR(__xludf.dummyfunction("""COMPUTED_VALUE"""),"Bulgaria")</f>
        <v>Bulgaria</v>
      </c>
      <c r="M220" s="27" t="str">
        <f aca="false">IFERROR(__xludf.dummyfunction("""COMPUTED_VALUE"""),"(Diff)")</f>
        <v>(Diff)</v>
      </c>
      <c r="N220" s="25"/>
      <c r="O220" s="25"/>
      <c r="P220" s="25"/>
      <c r="Q220" s="29" t="s">
        <v>319</v>
      </c>
      <c r="R220" s="8" t="str">
        <f aca="false">B220&amp;" "&amp;C220&amp;" "&amp;D220&amp;" "&amp;E220&amp;" "&amp;G220&amp;" "&amp;H220&amp;" "&amp;J220&amp;" "&amp;N220</f>
        <v>Differentials Graphite     CIF Bulgaria (Diff) </v>
      </c>
      <c r="S220" s="25"/>
      <c r="T220" s="8"/>
      <c r="U220" s="8"/>
      <c r="V220" s="27" t="s">
        <v>49</v>
      </c>
      <c r="W220" s="25"/>
      <c r="X220" s="25"/>
      <c r="Y220" s="25"/>
      <c r="Z220" s="25"/>
      <c r="AA220" s="25"/>
      <c r="AB220" s="25"/>
      <c r="AC220" s="25"/>
      <c r="AD220" s="25"/>
    </row>
    <row r="221" customFormat="false" ht="15.75" hidden="false" customHeight="false" outlineLevel="0" collapsed="false">
      <c r="A221" s="28" t="s">
        <v>576</v>
      </c>
      <c r="B221" s="27" t="s">
        <v>438</v>
      </c>
      <c r="C221" s="27" t="s">
        <v>308</v>
      </c>
      <c r="D221" s="25"/>
      <c r="E221" s="25"/>
      <c r="F221" s="25"/>
      <c r="G221" s="25"/>
      <c r="H221" s="25"/>
      <c r="I221" s="25"/>
      <c r="J221" s="27" t="s">
        <v>527</v>
      </c>
      <c r="K221" s="25" t="str">
        <f aca="false">IFERROR(__xludf.dummyfunction("SPLIT(J221,"" "")"),"CIF")</f>
        <v>CIF</v>
      </c>
      <c r="L221" s="28" t="str">
        <f aca="false">IFERROR(__xludf.dummyfunction("""COMPUTED_VALUE"""),"Bulgaria")</f>
        <v>Bulgaria</v>
      </c>
      <c r="M221" s="27" t="str">
        <f aca="false">IFERROR(__xludf.dummyfunction("""COMPUTED_VALUE"""),"(Diff)")</f>
        <v>(Diff)</v>
      </c>
      <c r="N221" s="25"/>
      <c r="O221" s="25"/>
      <c r="P221" s="25"/>
      <c r="Q221" s="29" t="s">
        <v>315</v>
      </c>
      <c r="R221" s="8" t="str">
        <f aca="false">B221&amp;" "&amp;C221&amp;" "&amp;D221&amp;" "&amp;E221&amp;" "&amp;G221&amp;" "&amp;H221&amp;" "&amp;J221&amp;" "&amp;N221</f>
        <v>Differentials Graphite     CIF Bulgaria (Diff) </v>
      </c>
      <c r="S221" s="25"/>
      <c r="T221" s="8"/>
      <c r="U221" s="8"/>
      <c r="V221" s="27" t="s">
        <v>49</v>
      </c>
      <c r="W221" s="25"/>
      <c r="X221" s="25"/>
      <c r="Y221" s="25"/>
      <c r="Z221" s="25"/>
      <c r="AA221" s="25"/>
      <c r="AB221" s="25"/>
      <c r="AC221" s="25"/>
      <c r="AD221" s="25"/>
    </row>
    <row r="222" customFormat="false" ht="15.75" hidden="false" customHeight="false" outlineLevel="0" collapsed="false">
      <c r="A222" s="28" t="s">
        <v>577</v>
      </c>
      <c r="B222" s="27" t="s">
        <v>438</v>
      </c>
      <c r="C222" s="27" t="s">
        <v>308</v>
      </c>
      <c r="D222" s="25"/>
      <c r="E222" s="25"/>
      <c r="F222" s="25"/>
      <c r="G222" s="25"/>
      <c r="H222" s="25"/>
      <c r="I222" s="25"/>
      <c r="J222" s="27" t="s">
        <v>527</v>
      </c>
      <c r="K222" s="25" t="str">
        <f aca="false">IFERROR(__xludf.dummyfunction("SPLIT(J222,"" "")"),"CIF")</f>
        <v>CIF</v>
      </c>
      <c r="L222" s="28" t="str">
        <f aca="false">IFERROR(__xludf.dummyfunction("""COMPUTED_VALUE"""),"Bulgaria")</f>
        <v>Bulgaria</v>
      </c>
      <c r="M222" s="27" t="str">
        <f aca="false">IFERROR(__xludf.dummyfunction("""COMPUTED_VALUE"""),"(Diff)")</f>
        <v>(Diff)</v>
      </c>
      <c r="N222" s="25"/>
      <c r="O222" s="25"/>
      <c r="P222" s="25"/>
      <c r="Q222" s="29" t="s">
        <v>311</v>
      </c>
      <c r="R222" s="8" t="str">
        <f aca="false">B222&amp;" "&amp;C222&amp;" "&amp;D222&amp;" "&amp;E222&amp;" "&amp;G222&amp;" "&amp;H222&amp;" "&amp;J222&amp;" "&amp;N222</f>
        <v>Differentials Graphite     CIF Bulgaria (Diff) </v>
      </c>
      <c r="S222" s="25"/>
      <c r="T222" s="8"/>
      <c r="U222" s="8"/>
      <c r="V222" s="27" t="s">
        <v>49</v>
      </c>
      <c r="W222" s="25"/>
      <c r="X222" s="25"/>
      <c r="Y222" s="25"/>
      <c r="Z222" s="25"/>
      <c r="AA222" s="25"/>
      <c r="AB222" s="25"/>
      <c r="AC222" s="25"/>
      <c r="AD222" s="25"/>
    </row>
    <row r="223" customFormat="false" ht="15.75" hidden="false" customHeight="false" outlineLevel="0" collapsed="false">
      <c r="A223" s="28" t="s">
        <v>578</v>
      </c>
      <c r="B223" s="27" t="s">
        <v>438</v>
      </c>
      <c r="C223" s="27" t="s">
        <v>417</v>
      </c>
      <c r="D223" s="25"/>
      <c r="E223" s="25"/>
      <c r="F223" s="25"/>
      <c r="G223" s="25"/>
      <c r="H223" s="25"/>
      <c r="I223" s="25"/>
      <c r="J223" s="27" t="s">
        <v>527</v>
      </c>
      <c r="K223" s="25" t="str">
        <f aca="false">IFERROR(__xludf.dummyfunction("SPLIT(J223,"" "")"),"CIF")</f>
        <v>CIF</v>
      </c>
      <c r="L223" s="28" t="str">
        <f aca="false">IFERROR(__xludf.dummyfunction("""COMPUTED_VALUE"""),"Bulgaria")</f>
        <v>Bulgaria</v>
      </c>
      <c r="M223" s="27" t="str">
        <f aca="false">IFERROR(__xludf.dummyfunction("""COMPUTED_VALUE"""),"(Diff)")</f>
        <v>(Diff)</v>
      </c>
      <c r="N223" s="25"/>
      <c r="O223" s="25"/>
      <c r="P223" s="25"/>
      <c r="Q223" s="29" t="s">
        <v>436</v>
      </c>
      <c r="R223" s="8" t="str">
        <f aca="false">B223&amp;" "&amp;C223&amp;" "&amp;D223&amp;" "&amp;E223&amp;" "&amp;G223&amp;" "&amp;H223&amp;" "&amp;J223&amp;" "&amp;N223</f>
        <v>Differentials Solvent     CIF Bulgaria (Diff) </v>
      </c>
      <c r="S223" s="25"/>
      <c r="T223" s="8"/>
      <c r="U223" s="8"/>
      <c r="V223" s="27" t="s">
        <v>49</v>
      </c>
      <c r="W223" s="25"/>
      <c r="X223" s="25"/>
      <c r="Y223" s="25"/>
      <c r="Z223" s="25"/>
      <c r="AA223" s="25"/>
      <c r="AB223" s="25"/>
      <c r="AC223" s="25"/>
      <c r="AD223" s="25"/>
    </row>
    <row r="224" customFormat="false" ht="15.75" hidden="false" customHeight="false" outlineLevel="0" collapsed="false">
      <c r="A224" s="28" t="s">
        <v>579</v>
      </c>
      <c r="B224" s="27" t="s">
        <v>438</v>
      </c>
      <c r="C224" s="27" t="s">
        <v>417</v>
      </c>
      <c r="D224" s="25"/>
      <c r="E224" s="25"/>
      <c r="F224" s="25"/>
      <c r="G224" s="25"/>
      <c r="H224" s="25"/>
      <c r="I224" s="25"/>
      <c r="J224" s="27" t="s">
        <v>527</v>
      </c>
      <c r="K224" s="25" t="str">
        <f aca="false">IFERROR(__xludf.dummyfunction("SPLIT(J224,"" "")"),"CIF")</f>
        <v>CIF</v>
      </c>
      <c r="L224" s="28" t="str">
        <f aca="false">IFERROR(__xludf.dummyfunction("""COMPUTED_VALUE"""),"Bulgaria")</f>
        <v>Bulgaria</v>
      </c>
      <c r="M224" s="27" t="str">
        <f aca="false">IFERROR(__xludf.dummyfunction("""COMPUTED_VALUE"""),"(Diff)")</f>
        <v>(Diff)</v>
      </c>
      <c r="N224" s="25"/>
      <c r="O224" s="25"/>
      <c r="P224" s="25"/>
      <c r="Q224" s="29" t="s">
        <v>434</v>
      </c>
      <c r="R224" s="8" t="str">
        <f aca="false">B224&amp;" "&amp;C224&amp;" "&amp;D224&amp;" "&amp;E224&amp;" "&amp;G224&amp;" "&amp;H224&amp;" "&amp;J224&amp;" "&amp;N224</f>
        <v>Differentials Solvent     CIF Bulgaria (Diff) </v>
      </c>
      <c r="S224" s="25"/>
      <c r="T224" s="8"/>
      <c r="U224" s="8"/>
      <c r="V224" s="27" t="s">
        <v>49</v>
      </c>
      <c r="W224" s="25"/>
      <c r="X224" s="25"/>
      <c r="Y224" s="25"/>
      <c r="Z224" s="25"/>
      <c r="AA224" s="25"/>
      <c r="AB224" s="25"/>
      <c r="AC224" s="25"/>
      <c r="AD224" s="25"/>
    </row>
    <row r="225" customFormat="false" ht="15.75" hidden="false" customHeight="false" outlineLevel="0" collapsed="false">
      <c r="A225" s="28" t="s">
        <v>580</v>
      </c>
      <c r="B225" s="27" t="s">
        <v>438</v>
      </c>
      <c r="C225" s="27" t="s">
        <v>417</v>
      </c>
      <c r="D225" s="25"/>
      <c r="E225" s="25"/>
      <c r="F225" s="25"/>
      <c r="G225" s="25"/>
      <c r="H225" s="25"/>
      <c r="I225" s="25"/>
      <c r="J225" s="27" t="s">
        <v>527</v>
      </c>
      <c r="K225" s="25" t="str">
        <f aca="false">IFERROR(__xludf.dummyfunction("SPLIT(J225,"" "")"),"CIF")</f>
        <v>CIF</v>
      </c>
      <c r="L225" s="28" t="str">
        <f aca="false">IFERROR(__xludf.dummyfunction("""COMPUTED_VALUE"""),"Bulgaria")</f>
        <v>Bulgaria</v>
      </c>
      <c r="M225" s="27" t="str">
        <f aca="false">IFERROR(__xludf.dummyfunction("""COMPUTED_VALUE"""),"(Diff)")</f>
        <v>(Diff)</v>
      </c>
      <c r="N225" s="25"/>
      <c r="O225" s="25"/>
      <c r="P225" s="25"/>
      <c r="Q225" s="29" t="s">
        <v>432</v>
      </c>
      <c r="R225" s="8" t="str">
        <f aca="false">B225&amp;" "&amp;C225&amp;" "&amp;D225&amp;" "&amp;E225&amp;" "&amp;G225&amp;" "&amp;H225&amp;" "&amp;J225&amp;" "&amp;N225</f>
        <v>Differentials Solvent     CIF Bulgaria (Diff) </v>
      </c>
      <c r="S225" s="25"/>
      <c r="T225" s="8"/>
      <c r="U225" s="8"/>
      <c r="V225" s="27" t="s">
        <v>49</v>
      </c>
      <c r="W225" s="25"/>
      <c r="X225" s="25"/>
      <c r="Y225" s="25"/>
      <c r="Z225" s="25"/>
      <c r="AA225" s="25"/>
      <c r="AB225" s="25"/>
      <c r="AC225" s="25"/>
      <c r="AD225" s="25"/>
    </row>
    <row r="226" customFormat="false" ht="15.75" hidden="false" customHeight="false" outlineLevel="0" collapsed="false">
      <c r="A226" s="28" t="s">
        <v>581</v>
      </c>
      <c r="B226" s="27" t="s">
        <v>438</v>
      </c>
      <c r="C226" s="27" t="s">
        <v>417</v>
      </c>
      <c r="D226" s="25"/>
      <c r="E226" s="25"/>
      <c r="F226" s="25"/>
      <c r="G226" s="25"/>
      <c r="H226" s="25"/>
      <c r="I226" s="25"/>
      <c r="J226" s="27" t="s">
        <v>527</v>
      </c>
      <c r="K226" s="25" t="str">
        <f aca="false">IFERROR(__xludf.dummyfunction("SPLIT(J226,"" "")"),"CIF")</f>
        <v>CIF</v>
      </c>
      <c r="L226" s="28" t="str">
        <f aca="false">IFERROR(__xludf.dummyfunction("""COMPUTED_VALUE"""),"Bulgaria")</f>
        <v>Bulgaria</v>
      </c>
      <c r="M226" s="27" t="str">
        <f aca="false">IFERROR(__xludf.dummyfunction("""COMPUTED_VALUE"""),"(Diff)")</f>
        <v>(Diff)</v>
      </c>
      <c r="N226" s="25"/>
      <c r="O226" s="25"/>
      <c r="P226" s="25"/>
      <c r="Q226" s="29" t="s">
        <v>430</v>
      </c>
      <c r="R226" s="8" t="str">
        <f aca="false">B226&amp;" "&amp;C226&amp;" "&amp;D226&amp;" "&amp;E226&amp;" "&amp;G226&amp;" "&amp;H226&amp;" "&amp;J226&amp;" "&amp;N226</f>
        <v>Differentials Solvent     CIF Bulgaria (Diff) </v>
      </c>
      <c r="S226" s="25"/>
      <c r="T226" s="8"/>
      <c r="U226" s="8"/>
      <c r="V226" s="27" t="s">
        <v>49</v>
      </c>
      <c r="W226" s="25"/>
      <c r="X226" s="25"/>
      <c r="Y226" s="25"/>
      <c r="Z226" s="25"/>
      <c r="AA226" s="25"/>
      <c r="AB226" s="25"/>
      <c r="AC226" s="25"/>
      <c r="AD226" s="25"/>
    </row>
    <row r="227" customFormat="false" ht="15.75" hidden="false" customHeight="false" outlineLevel="0" collapsed="false">
      <c r="A227" s="28" t="s">
        <v>582</v>
      </c>
      <c r="B227" s="27" t="s">
        <v>438</v>
      </c>
      <c r="C227" s="27" t="s">
        <v>417</v>
      </c>
      <c r="D227" s="25"/>
      <c r="E227" s="25"/>
      <c r="F227" s="25"/>
      <c r="G227" s="25"/>
      <c r="H227" s="25"/>
      <c r="I227" s="25"/>
      <c r="J227" s="27" t="s">
        <v>527</v>
      </c>
      <c r="K227" s="25" t="str">
        <f aca="false">IFERROR(__xludf.dummyfunction("SPLIT(J227,"" "")"),"CIF")</f>
        <v>CIF</v>
      </c>
      <c r="L227" s="28" t="str">
        <f aca="false">IFERROR(__xludf.dummyfunction("""COMPUTED_VALUE"""),"Bulgaria")</f>
        <v>Bulgaria</v>
      </c>
      <c r="M227" s="27" t="str">
        <f aca="false">IFERROR(__xludf.dummyfunction("""COMPUTED_VALUE"""),"(Diff)")</f>
        <v>(Diff)</v>
      </c>
      <c r="N227" s="25"/>
      <c r="O227" s="25"/>
      <c r="P227" s="25"/>
      <c r="Q227" s="29" t="s">
        <v>428</v>
      </c>
      <c r="R227" s="8" t="str">
        <f aca="false">B227&amp;" "&amp;C227&amp;" "&amp;D227&amp;" "&amp;E227&amp;" "&amp;G227&amp;" "&amp;H227&amp;" "&amp;J227&amp;" "&amp;N227</f>
        <v>Differentials Solvent     CIF Bulgaria (Diff) </v>
      </c>
      <c r="S227" s="25"/>
      <c r="T227" s="8"/>
      <c r="U227" s="8"/>
      <c r="V227" s="27" t="s">
        <v>49</v>
      </c>
      <c r="W227" s="25"/>
      <c r="X227" s="25"/>
      <c r="Y227" s="25"/>
      <c r="Z227" s="25"/>
      <c r="AA227" s="25"/>
      <c r="AB227" s="25"/>
      <c r="AC227" s="25"/>
      <c r="AD227" s="25"/>
    </row>
    <row r="228" customFormat="false" ht="15.75" hidden="false" customHeight="false" outlineLevel="0" collapsed="false">
      <c r="A228" s="28" t="s">
        <v>583</v>
      </c>
      <c r="B228" s="27" t="s">
        <v>438</v>
      </c>
      <c r="C228" s="27" t="s">
        <v>417</v>
      </c>
      <c r="D228" s="25"/>
      <c r="E228" s="25"/>
      <c r="F228" s="25"/>
      <c r="G228" s="25"/>
      <c r="H228" s="25"/>
      <c r="I228" s="25"/>
      <c r="J228" s="27" t="s">
        <v>527</v>
      </c>
      <c r="K228" s="25" t="str">
        <f aca="false">IFERROR(__xludf.dummyfunction("SPLIT(J228,"" "")"),"CIF")</f>
        <v>CIF</v>
      </c>
      <c r="L228" s="28" t="str">
        <f aca="false">IFERROR(__xludf.dummyfunction("""COMPUTED_VALUE"""),"Bulgaria")</f>
        <v>Bulgaria</v>
      </c>
      <c r="M228" s="27" t="str">
        <f aca="false">IFERROR(__xludf.dummyfunction("""COMPUTED_VALUE"""),"(Diff)")</f>
        <v>(Diff)</v>
      </c>
      <c r="N228" s="25"/>
      <c r="O228" s="25"/>
      <c r="P228" s="25"/>
      <c r="Q228" s="29" t="s">
        <v>426</v>
      </c>
      <c r="R228" s="8" t="str">
        <f aca="false">B228&amp;" "&amp;C228&amp;" "&amp;D228&amp;" "&amp;E228&amp;" "&amp;G228&amp;" "&amp;H228&amp;" "&amp;J228&amp;" "&amp;N228</f>
        <v>Differentials Solvent     CIF Bulgaria (Diff) </v>
      </c>
      <c r="S228" s="25"/>
      <c r="T228" s="8"/>
      <c r="U228" s="8"/>
      <c r="V228" s="27" t="s">
        <v>49</v>
      </c>
      <c r="W228" s="25"/>
      <c r="X228" s="25"/>
      <c r="Y228" s="25"/>
      <c r="Z228" s="25"/>
      <c r="AA228" s="25"/>
      <c r="AB228" s="25"/>
      <c r="AC228" s="25"/>
      <c r="AD228" s="25"/>
    </row>
    <row r="229" customFormat="false" ht="15.75" hidden="false" customHeight="false" outlineLevel="0" collapsed="false">
      <c r="A229" s="28" t="s">
        <v>584</v>
      </c>
      <c r="B229" s="27" t="s">
        <v>438</v>
      </c>
      <c r="C229" s="27" t="s">
        <v>417</v>
      </c>
      <c r="D229" s="25"/>
      <c r="E229" s="25"/>
      <c r="F229" s="25"/>
      <c r="G229" s="25"/>
      <c r="H229" s="25"/>
      <c r="I229" s="25"/>
      <c r="J229" s="27" t="s">
        <v>527</v>
      </c>
      <c r="K229" s="25" t="str">
        <f aca="false">IFERROR(__xludf.dummyfunction("SPLIT(J229,"" "")"),"CIF")</f>
        <v>CIF</v>
      </c>
      <c r="L229" s="28" t="str">
        <f aca="false">IFERROR(__xludf.dummyfunction("""COMPUTED_VALUE"""),"Bulgaria")</f>
        <v>Bulgaria</v>
      </c>
      <c r="M229" s="27" t="str">
        <f aca="false">IFERROR(__xludf.dummyfunction("""COMPUTED_VALUE"""),"(Diff)")</f>
        <v>(Diff)</v>
      </c>
      <c r="N229" s="25"/>
      <c r="O229" s="25"/>
      <c r="P229" s="25"/>
      <c r="Q229" s="29" t="s">
        <v>424</v>
      </c>
      <c r="R229" s="8" t="str">
        <f aca="false">B229&amp;" "&amp;C229&amp;" "&amp;D229&amp;" "&amp;E229&amp;" "&amp;G229&amp;" "&amp;H229&amp;" "&amp;J229&amp;" "&amp;N229</f>
        <v>Differentials Solvent     CIF Bulgaria (Diff) </v>
      </c>
      <c r="S229" s="25"/>
      <c r="T229" s="8"/>
      <c r="U229" s="8"/>
      <c r="V229" s="27" t="s">
        <v>49</v>
      </c>
      <c r="W229" s="25"/>
      <c r="X229" s="25"/>
      <c r="Y229" s="25"/>
      <c r="Z229" s="25"/>
      <c r="AA229" s="25"/>
      <c r="AB229" s="25"/>
      <c r="AC229" s="25"/>
      <c r="AD229" s="25"/>
    </row>
    <row r="230" customFormat="false" ht="15.75" hidden="false" customHeight="false" outlineLevel="0" collapsed="false">
      <c r="A230" s="28" t="s">
        <v>585</v>
      </c>
      <c r="B230" s="27" t="s">
        <v>438</v>
      </c>
      <c r="C230" s="27" t="s">
        <v>417</v>
      </c>
      <c r="D230" s="25"/>
      <c r="E230" s="25"/>
      <c r="F230" s="25"/>
      <c r="G230" s="25"/>
      <c r="H230" s="25"/>
      <c r="I230" s="25"/>
      <c r="J230" s="27" t="s">
        <v>527</v>
      </c>
      <c r="K230" s="25" t="str">
        <f aca="false">IFERROR(__xludf.dummyfunction("SPLIT(J230,"" "")"),"CIF")</f>
        <v>CIF</v>
      </c>
      <c r="L230" s="28" t="str">
        <f aca="false">IFERROR(__xludf.dummyfunction("""COMPUTED_VALUE"""),"Bulgaria")</f>
        <v>Bulgaria</v>
      </c>
      <c r="M230" s="27" t="str">
        <f aca="false">IFERROR(__xludf.dummyfunction("""COMPUTED_VALUE"""),"(Diff)")</f>
        <v>(Diff)</v>
      </c>
      <c r="N230" s="25"/>
      <c r="O230" s="25"/>
      <c r="P230" s="25"/>
      <c r="Q230" s="29" t="s">
        <v>422</v>
      </c>
      <c r="R230" s="8" t="str">
        <f aca="false">B230&amp;" "&amp;C230&amp;" "&amp;D230&amp;" "&amp;E230&amp;" "&amp;G230&amp;" "&amp;H230&amp;" "&amp;J230&amp;" "&amp;N230</f>
        <v>Differentials Solvent     CIF Bulgaria (Diff) </v>
      </c>
      <c r="S230" s="25"/>
      <c r="T230" s="8"/>
      <c r="U230" s="8"/>
      <c r="V230" s="27" t="s">
        <v>49</v>
      </c>
      <c r="W230" s="25"/>
      <c r="X230" s="25"/>
      <c r="Y230" s="25"/>
      <c r="Z230" s="25"/>
      <c r="AA230" s="25"/>
      <c r="AB230" s="25"/>
      <c r="AC230" s="25"/>
      <c r="AD230" s="25"/>
    </row>
    <row r="231" customFormat="false" ht="15.75" hidden="false" customHeight="false" outlineLevel="0" collapsed="false">
      <c r="A231" s="28" t="s">
        <v>586</v>
      </c>
      <c r="B231" s="27" t="s">
        <v>438</v>
      </c>
      <c r="C231" s="27" t="s">
        <v>417</v>
      </c>
      <c r="D231" s="25"/>
      <c r="E231" s="25"/>
      <c r="F231" s="25"/>
      <c r="G231" s="25"/>
      <c r="H231" s="25"/>
      <c r="I231" s="25"/>
      <c r="J231" s="27" t="s">
        <v>527</v>
      </c>
      <c r="K231" s="25" t="str">
        <f aca="false">IFERROR(__xludf.dummyfunction("SPLIT(J231,"" "")"),"CIF")</f>
        <v>CIF</v>
      </c>
      <c r="L231" s="28" t="str">
        <f aca="false">IFERROR(__xludf.dummyfunction("""COMPUTED_VALUE"""),"Bulgaria")</f>
        <v>Bulgaria</v>
      </c>
      <c r="M231" s="27" t="str">
        <f aca="false">IFERROR(__xludf.dummyfunction("""COMPUTED_VALUE"""),"(Diff)")</f>
        <v>(Diff)</v>
      </c>
      <c r="N231" s="25"/>
      <c r="O231" s="25"/>
      <c r="P231" s="25"/>
      <c r="Q231" s="29" t="s">
        <v>420</v>
      </c>
      <c r="R231" s="8" t="str">
        <f aca="false">B231&amp;" "&amp;C231&amp;" "&amp;D231&amp;" "&amp;E231&amp;" "&amp;G231&amp;" "&amp;H231&amp;" "&amp;J231&amp;" "&amp;N231</f>
        <v>Differentials Solvent     CIF Bulgaria (Diff) </v>
      </c>
      <c r="S231" s="25"/>
      <c r="T231" s="8"/>
      <c r="U231" s="8"/>
      <c r="V231" s="27" t="s">
        <v>49</v>
      </c>
      <c r="W231" s="25"/>
      <c r="X231" s="25"/>
      <c r="Y231" s="25"/>
      <c r="Z231" s="25"/>
      <c r="AA231" s="25"/>
      <c r="AB231" s="25"/>
      <c r="AC231" s="25"/>
      <c r="AD231" s="25"/>
    </row>
    <row r="232" customFormat="false" ht="15.75" hidden="false" customHeight="false" outlineLevel="0" collapsed="false">
      <c r="A232" s="28" t="s">
        <v>587</v>
      </c>
      <c r="B232" s="27" t="s">
        <v>438</v>
      </c>
      <c r="C232" s="27" t="s">
        <v>417</v>
      </c>
      <c r="D232" s="25"/>
      <c r="E232" s="25"/>
      <c r="F232" s="25"/>
      <c r="G232" s="25"/>
      <c r="H232" s="25"/>
      <c r="I232" s="25"/>
      <c r="J232" s="27" t="s">
        <v>527</v>
      </c>
      <c r="K232" s="25" t="str">
        <f aca="false">IFERROR(__xludf.dummyfunction("SPLIT(J232,"" "")"),"CIF")</f>
        <v>CIF</v>
      </c>
      <c r="L232" s="28" t="str">
        <f aca="false">IFERROR(__xludf.dummyfunction("""COMPUTED_VALUE"""),"Bulgaria")</f>
        <v>Bulgaria</v>
      </c>
      <c r="M232" s="27" t="str">
        <f aca="false">IFERROR(__xludf.dummyfunction("""COMPUTED_VALUE"""),"(Diff)")</f>
        <v>(Diff)</v>
      </c>
      <c r="N232" s="25"/>
      <c r="O232" s="25"/>
      <c r="P232" s="25"/>
      <c r="Q232" s="29" t="s">
        <v>418</v>
      </c>
      <c r="R232" s="8" t="str">
        <f aca="false">B232&amp;" "&amp;C232&amp;" "&amp;D232&amp;" "&amp;E232&amp;" "&amp;G232&amp;" "&amp;H232&amp;" "&amp;J232&amp;" "&amp;N232</f>
        <v>Differentials Solvent     CIF Bulgaria (Diff) </v>
      </c>
      <c r="S232" s="25"/>
      <c r="T232" s="8"/>
      <c r="U232" s="8"/>
      <c r="V232" s="27" t="s">
        <v>49</v>
      </c>
      <c r="W232" s="25"/>
      <c r="X232" s="25"/>
      <c r="Y232" s="25"/>
      <c r="Z232" s="25"/>
      <c r="AA232" s="25"/>
      <c r="AB232" s="25"/>
      <c r="AC232" s="25"/>
      <c r="AD232" s="25"/>
    </row>
    <row r="233" customFormat="false" ht="15.75" hidden="false" customHeight="false" outlineLevel="0" collapsed="false">
      <c r="A233" s="28" t="s">
        <v>588</v>
      </c>
      <c r="B233" s="27" t="s">
        <v>438</v>
      </c>
      <c r="C233" s="25" t="s">
        <v>167</v>
      </c>
      <c r="D233" s="27" t="s">
        <v>168</v>
      </c>
      <c r="E233" s="25"/>
      <c r="F233" s="25"/>
      <c r="G233" s="25"/>
      <c r="H233" s="25"/>
      <c r="I233" s="25"/>
      <c r="J233" s="27" t="s">
        <v>589</v>
      </c>
      <c r="K233" s="25" t="str">
        <f aca="false">IFERROR(__xludf.dummyfunction("SPLIT(J233,"" "")"),"CIF")</f>
        <v>CIF</v>
      </c>
      <c r="L233" s="28" t="str">
        <f aca="false">IFERROR(__xludf.dummyfunction("""COMPUTED_VALUE"""),"Canada")</f>
        <v>Canada</v>
      </c>
      <c r="M233" s="27" t="str">
        <f aca="false">IFERROR(__xludf.dummyfunction("""COMPUTED_VALUE"""),"(Diff)")</f>
        <v>(Diff)</v>
      </c>
      <c r="N233" s="25"/>
      <c r="O233" s="25"/>
      <c r="P233" s="25"/>
      <c r="Q233" s="29" t="s">
        <v>175</v>
      </c>
      <c r="R233" s="8" t="str">
        <f aca="false">B233&amp;" "&amp;C233&amp;" "&amp;D233&amp;" "&amp;E233&amp;" "&amp;G233&amp;" "&amp;H233&amp;" "&amp;J233&amp;" "&amp;N233</f>
        <v>Differentials Foils Aluminium (Battery Grade)    CIF Canada (Diff) </v>
      </c>
      <c r="S233" s="25"/>
      <c r="T233" s="8"/>
      <c r="U233" s="8"/>
      <c r="V233" s="27" t="s">
        <v>49</v>
      </c>
      <c r="W233" s="25"/>
      <c r="X233" s="25"/>
      <c r="Y233" s="25"/>
      <c r="Z233" s="25"/>
      <c r="AA233" s="25"/>
      <c r="AB233" s="25"/>
      <c r="AC233" s="25"/>
      <c r="AD233" s="25"/>
    </row>
    <row r="234" customFormat="false" ht="15.75" hidden="false" customHeight="false" outlineLevel="0" collapsed="false">
      <c r="A234" s="28" t="s">
        <v>590</v>
      </c>
      <c r="B234" s="27" t="s">
        <v>438</v>
      </c>
      <c r="C234" s="25" t="s">
        <v>167</v>
      </c>
      <c r="D234" s="27" t="s">
        <v>168</v>
      </c>
      <c r="E234" s="25"/>
      <c r="F234" s="25"/>
      <c r="G234" s="25"/>
      <c r="H234" s="25"/>
      <c r="I234" s="25"/>
      <c r="J234" s="27" t="s">
        <v>589</v>
      </c>
      <c r="K234" s="25" t="str">
        <f aca="false">IFERROR(__xludf.dummyfunction("SPLIT(J234,"" "")"),"CIF")</f>
        <v>CIF</v>
      </c>
      <c r="L234" s="28" t="str">
        <f aca="false">IFERROR(__xludf.dummyfunction("""COMPUTED_VALUE"""),"Canada")</f>
        <v>Canada</v>
      </c>
      <c r="M234" s="27" t="str">
        <f aca="false">IFERROR(__xludf.dummyfunction("""COMPUTED_VALUE"""),"(Diff)")</f>
        <v>(Diff)</v>
      </c>
      <c r="N234" s="25"/>
      <c r="O234" s="25"/>
      <c r="P234" s="25"/>
      <c r="Q234" s="29" t="s">
        <v>173</v>
      </c>
      <c r="R234" s="8" t="str">
        <f aca="false">B234&amp;" "&amp;C234&amp;" "&amp;D234&amp;" "&amp;E234&amp;" "&amp;G234&amp;" "&amp;H234&amp;" "&amp;J234&amp;" "&amp;N234</f>
        <v>Differentials Foils Aluminium (Battery Grade)    CIF Canada (Diff) </v>
      </c>
      <c r="S234" s="25"/>
      <c r="T234" s="8"/>
      <c r="U234" s="8"/>
      <c r="V234" s="27" t="s">
        <v>49</v>
      </c>
      <c r="W234" s="25"/>
      <c r="X234" s="25"/>
      <c r="Y234" s="25"/>
      <c r="Z234" s="25"/>
      <c r="AA234" s="25"/>
      <c r="AB234" s="25"/>
      <c r="AC234" s="25"/>
      <c r="AD234" s="25"/>
    </row>
    <row r="235" customFormat="false" ht="15.75" hidden="false" customHeight="false" outlineLevel="0" collapsed="false">
      <c r="A235" s="28" t="s">
        <v>591</v>
      </c>
      <c r="B235" s="27" t="s">
        <v>438</v>
      </c>
      <c r="C235" s="25" t="s">
        <v>167</v>
      </c>
      <c r="D235" s="27" t="s">
        <v>168</v>
      </c>
      <c r="E235" s="25"/>
      <c r="F235" s="25"/>
      <c r="G235" s="25"/>
      <c r="H235" s="25"/>
      <c r="I235" s="25"/>
      <c r="J235" s="27" t="s">
        <v>589</v>
      </c>
      <c r="K235" s="25" t="str">
        <f aca="false">IFERROR(__xludf.dummyfunction("SPLIT(J235,"" "")"),"CIF")</f>
        <v>CIF</v>
      </c>
      <c r="L235" s="28" t="str">
        <f aca="false">IFERROR(__xludf.dummyfunction("""COMPUTED_VALUE"""),"Canada")</f>
        <v>Canada</v>
      </c>
      <c r="M235" s="27" t="str">
        <f aca="false">IFERROR(__xludf.dummyfunction("""COMPUTED_VALUE"""),"(Diff)")</f>
        <v>(Diff)</v>
      </c>
      <c r="N235" s="25"/>
      <c r="O235" s="25"/>
      <c r="P235" s="25"/>
      <c r="Q235" s="29" t="s">
        <v>169</v>
      </c>
      <c r="R235" s="8" t="str">
        <f aca="false">B235&amp;" "&amp;C235&amp;" "&amp;D235&amp;" "&amp;E235&amp;" "&amp;G235&amp;" "&amp;H235&amp;" "&amp;J235&amp;" "&amp;N235</f>
        <v>Differentials Foils Aluminium (Battery Grade)    CIF Canada (Diff) </v>
      </c>
      <c r="S235" s="25"/>
      <c r="T235" s="8"/>
      <c r="U235" s="8"/>
      <c r="V235" s="27" t="s">
        <v>49</v>
      </c>
      <c r="W235" s="25"/>
      <c r="X235" s="25"/>
      <c r="Y235" s="25"/>
      <c r="Z235" s="25"/>
      <c r="AA235" s="25"/>
      <c r="AB235" s="25"/>
      <c r="AC235" s="25"/>
      <c r="AD235" s="25"/>
    </row>
    <row r="236" customFormat="false" ht="15.75" hidden="false" customHeight="false" outlineLevel="0" collapsed="false">
      <c r="A236" s="28" t="s">
        <v>592</v>
      </c>
      <c r="B236" s="27" t="s">
        <v>438</v>
      </c>
      <c r="C236" s="27" t="s">
        <v>177</v>
      </c>
      <c r="D236" s="25"/>
      <c r="E236" s="25"/>
      <c r="F236" s="25"/>
      <c r="G236" s="25"/>
      <c r="H236" s="25"/>
      <c r="I236" s="25"/>
      <c r="J236" s="27" t="s">
        <v>589</v>
      </c>
      <c r="K236" s="25" t="str">
        <f aca="false">IFERROR(__xludf.dummyfunction("SPLIT(J236,"" "")"),"CIF")</f>
        <v>CIF</v>
      </c>
      <c r="L236" s="28" t="str">
        <f aca="false">IFERROR(__xludf.dummyfunction("""COMPUTED_VALUE"""),"Canada")</f>
        <v>Canada</v>
      </c>
      <c r="M236" s="27" t="str">
        <f aca="false">IFERROR(__xludf.dummyfunction("""COMPUTED_VALUE"""),"(Diff)")</f>
        <v>(Diff)</v>
      </c>
      <c r="N236" s="25"/>
      <c r="O236" s="25"/>
      <c r="P236" s="25"/>
      <c r="Q236" s="29" t="s">
        <v>209</v>
      </c>
      <c r="R236" s="8" t="str">
        <f aca="false">B236&amp;" "&amp;C236&amp;" "&amp;D236&amp;" "&amp;E236&amp;" "&amp;G236&amp;" "&amp;H236&amp;" "&amp;J236&amp;" "&amp;N236</f>
        <v>Differentials Anode     CIF Canada (Diff) </v>
      </c>
      <c r="S236" s="25"/>
      <c r="T236" s="8"/>
      <c r="U236" s="8"/>
      <c r="V236" s="27" t="s">
        <v>49</v>
      </c>
      <c r="W236" s="25"/>
      <c r="X236" s="25"/>
      <c r="Y236" s="25"/>
      <c r="Z236" s="25"/>
      <c r="AA236" s="25"/>
      <c r="AB236" s="25"/>
      <c r="AC236" s="25"/>
      <c r="AD236" s="25"/>
    </row>
    <row r="237" customFormat="false" ht="15.75" hidden="false" customHeight="false" outlineLevel="0" collapsed="false">
      <c r="A237" s="28" t="s">
        <v>593</v>
      </c>
      <c r="B237" s="27" t="s">
        <v>438</v>
      </c>
      <c r="C237" s="27" t="s">
        <v>177</v>
      </c>
      <c r="D237" s="25"/>
      <c r="E237" s="25"/>
      <c r="F237" s="25"/>
      <c r="G237" s="25"/>
      <c r="H237" s="25"/>
      <c r="I237" s="25"/>
      <c r="J237" s="27" t="s">
        <v>589</v>
      </c>
      <c r="K237" s="25" t="str">
        <f aca="false">IFERROR(__xludf.dummyfunction("SPLIT(J237,"" "")"),"CIF")</f>
        <v>CIF</v>
      </c>
      <c r="L237" s="28" t="str">
        <f aca="false">IFERROR(__xludf.dummyfunction("""COMPUTED_VALUE"""),"Canada")</f>
        <v>Canada</v>
      </c>
      <c r="M237" s="27" t="str">
        <f aca="false">IFERROR(__xludf.dummyfunction("""COMPUTED_VALUE"""),"(Diff)")</f>
        <v>(Diff)</v>
      </c>
      <c r="N237" s="25"/>
      <c r="O237" s="25"/>
      <c r="P237" s="25"/>
      <c r="Q237" s="29" t="s">
        <v>205</v>
      </c>
      <c r="R237" s="8" t="str">
        <f aca="false">B237&amp;" "&amp;C237&amp;" "&amp;D237&amp;" "&amp;E237&amp;" "&amp;G237&amp;" "&amp;H237&amp;" "&amp;J237&amp;" "&amp;N237</f>
        <v>Differentials Anode     CIF Canada (Diff) </v>
      </c>
      <c r="S237" s="25"/>
      <c r="T237" s="8"/>
      <c r="U237" s="8"/>
      <c r="V237" s="27" t="s">
        <v>49</v>
      </c>
      <c r="W237" s="25"/>
      <c r="X237" s="25"/>
      <c r="Y237" s="25"/>
      <c r="Z237" s="25"/>
      <c r="AA237" s="25"/>
      <c r="AB237" s="25"/>
      <c r="AC237" s="25"/>
      <c r="AD237" s="25"/>
    </row>
    <row r="238" customFormat="false" ht="15.75" hidden="false" customHeight="false" outlineLevel="0" collapsed="false">
      <c r="A238" s="28" t="s">
        <v>594</v>
      </c>
      <c r="B238" s="27" t="s">
        <v>438</v>
      </c>
      <c r="C238" s="27" t="s">
        <v>177</v>
      </c>
      <c r="D238" s="25"/>
      <c r="E238" s="25"/>
      <c r="F238" s="25"/>
      <c r="G238" s="25"/>
      <c r="H238" s="25"/>
      <c r="I238" s="25"/>
      <c r="J238" s="27" t="s">
        <v>589</v>
      </c>
      <c r="K238" s="25" t="str">
        <f aca="false">IFERROR(__xludf.dummyfunction("SPLIT(J238,"" "")"),"CIF")</f>
        <v>CIF</v>
      </c>
      <c r="L238" s="28" t="str">
        <f aca="false">IFERROR(__xludf.dummyfunction("""COMPUTED_VALUE"""),"Canada")</f>
        <v>Canada</v>
      </c>
      <c r="M238" s="27" t="str">
        <f aca="false">IFERROR(__xludf.dummyfunction("""COMPUTED_VALUE"""),"(Diff)")</f>
        <v>(Diff)</v>
      </c>
      <c r="N238" s="25"/>
      <c r="O238" s="25"/>
      <c r="P238" s="25"/>
      <c r="Q238" s="29" t="s">
        <v>202</v>
      </c>
      <c r="R238" s="8" t="str">
        <f aca="false">B238&amp;" "&amp;C238&amp;" "&amp;D238&amp;" "&amp;E238&amp;" "&amp;G238&amp;" "&amp;H238&amp;" "&amp;J238&amp;" "&amp;N238</f>
        <v>Differentials Anode     CIF Canada (Diff) </v>
      </c>
      <c r="S238" s="25"/>
      <c r="T238" s="8"/>
      <c r="U238" s="8"/>
      <c r="V238" s="27" t="s">
        <v>49</v>
      </c>
      <c r="W238" s="25"/>
      <c r="X238" s="25"/>
      <c r="Y238" s="25"/>
      <c r="Z238" s="25"/>
      <c r="AA238" s="25"/>
      <c r="AB238" s="25"/>
      <c r="AC238" s="25"/>
      <c r="AD238" s="25"/>
    </row>
    <row r="239" customFormat="false" ht="15.75" hidden="false" customHeight="false" outlineLevel="0" collapsed="false">
      <c r="A239" s="28" t="s">
        <v>595</v>
      </c>
      <c r="B239" s="27" t="s">
        <v>438</v>
      </c>
      <c r="C239" s="27" t="s">
        <v>177</v>
      </c>
      <c r="D239" s="25"/>
      <c r="E239" s="25"/>
      <c r="F239" s="25"/>
      <c r="G239" s="25"/>
      <c r="H239" s="25"/>
      <c r="I239" s="25"/>
      <c r="J239" s="27" t="s">
        <v>589</v>
      </c>
      <c r="K239" s="25" t="str">
        <f aca="false">IFERROR(__xludf.dummyfunction("SPLIT(J239,"" "")"),"CIF")</f>
        <v>CIF</v>
      </c>
      <c r="L239" s="28" t="str">
        <f aca="false">IFERROR(__xludf.dummyfunction("""COMPUTED_VALUE"""),"Canada")</f>
        <v>Canada</v>
      </c>
      <c r="M239" s="27" t="str">
        <f aca="false">IFERROR(__xludf.dummyfunction("""COMPUTED_VALUE"""),"(Diff)")</f>
        <v>(Diff)</v>
      </c>
      <c r="N239" s="25"/>
      <c r="O239" s="25"/>
      <c r="P239" s="25"/>
      <c r="Q239" s="29" t="s">
        <v>197</v>
      </c>
      <c r="R239" s="8" t="str">
        <f aca="false">B239&amp;" "&amp;C239&amp;" "&amp;D239&amp;" "&amp;E239&amp;" "&amp;G239&amp;" "&amp;H239&amp;" "&amp;J239&amp;" "&amp;N239</f>
        <v>Differentials Anode     CIF Canada (Diff) </v>
      </c>
      <c r="S239" s="25"/>
      <c r="T239" s="8"/>
      <c r="U239" s="8"/>
      <c r="V239" s="27" t="s">
        <v>49</v>
      </c>
      <c r="W239" s="25"/>
      <c r="X239" s="25"/>
      <c r="Y239" s="25"/>
      <c r="Z239" s="25"/>
      <c r="AA239" s="25"/>
      <c r="AB239" s="25"/>
      <c r="AC239" s="25"/>
      <c r="AD239" s="25"/>
    </row>
    <row r="240" customFormat="false" ht="15.75" hidden="false" customHeight="false" outlineLevel="0" collapsed="false">
      <c r="A240" s="28" t="s">
        <v>596</v>
      </c>
      <c r="B240" s="27" t="s">
        <v>438</v>
      </c>
      <c r="C240" s="27" t="s">
        <v>177</v>
      </c>
      <c r="D240" s="25"/>
      <c r="E240" s="25"/>
      <c r="F240" s="25"/>
      <c r="G240" s="25"/>
      <c r="H240" s="25"/>
      <c r="I240" s="25"/>
      <c r="J240" s="27" t="s">
        <v>589</v>
      </c>
      <c r="K240" s="25" t="str">
        <f aca="false">IFERROR(__xludf.dummyfunction("SPLIT(J240,"" "")"),"CIF")</f>
        <v>CIF</v>
      </c>
      <c r="L240" s="28" t="str">
        <f aca="false">IFERROR(__xludf.dummyfunction("""COMPUTED_VALUE"""),"Canada")</f>
        <v>Canada</v>
      </c>
      <c r="M240" s="27" t="str">
        <f aca="false">IFERROR(__xludf.dummyfunction("""COMPUTED_VALUE"""),"(Diff)")</f>
        <v>(Diff)</v>
      </c>
      <c r="N240" s="25"/>
      <c r="O240" s="25"/>
      <c r="P240" s="25"/>
      <c r="Q240" s="29" t="s">
        <v>193</v>
      </c>
      <c r="R240" s="8" t="str">
        <f aca="false">B240&amp;" "&amp;C240&amp;" "&amp;D240&amp;" "&amp;E240&amp;" "&amp;G240&amp;" "&amp;H240&amp;" "&amp;J240&amp;" "&amp;N240</f>
        <v>Differentials Anode     CIF Canada (Diff) </v>
      </c>
      <c r="S240" s="25"/>
      <c r="T240" s="8"/>
      <c r="U240" s="8"/>
      <c r="V240" s="27" t="s">
        <v>49</v>
      </c>
      <c r="W240" s="25"/>
      <c r="X240" s="25"/>
      <c r="Y240" s="25"/>
      <c r="Z240" s="25"/>
      <c r="AA240" s="25"/>
      <c r="AB240" s="25"/>
      <c r="AC240" s="25"/>
      <c r="AD240" s="25"/>
    </row>
    <row r="241" customFormat="false" ht="15.75" hidden="false" customHeight="false" outlineLevel="0" collapsed="false">
      <c r="A241" s="28" t="s">
        <v>597</v>
      </c>
      <c r="B241" s="27" t="s">
        <v>438</v>
      </c>
      <c r="C241" s="27" t="s">
        <v>177</v>
      </c>
      <c r="D241" s="25"/>
      <c r="E241" s="25"/>
      <c r="F241" s="25"/>
      <c r="G241" s="25"/>
      <c r="H241" s="25"/>
      <c r="I241" s="25"/>
      <c r="J241" s="27" t="s">
        <v>589</v>
      </c>
      <c r="K241" s="25" t="str">
        <f aca="false">IFERROR(__xludf.dummyfunction("SPLIT(J241,"" "")"),"CIF")</f>
        <v>CIF</v>
      </c>
      <c r="L241" s="28" t="str">
        <f aca="false">IFERROR(__xludf.dummyfunction("""COMPUTED_VALUE"""),"Canada")</f>
        <v>Canada</v>
      </c>
      <c r="M241" s="27" t="str">
        <f aca="false">IFERROR(__xludf.dummyfunction("""COMPUTED_VALUE"""),"(Diff)")</f>
        <v>(Diff)</v>
      </c>
      <c r="N241" s="25"/>
      <c r="O241" s="25"/>
      <c r="P241" s="25"/>
      <c r="Q241" s="29" t="s">
        <v>188</v>
      </c>
      <c r="R241" s="8" t="str">
        <f aca="false">B241&amp;" "&amp;C241&amp;" "&amp;D241&amp;" "&amp;E241&amp;" "&amp;G241&amp;" "&amp;H241&amp;" "&amp;J241&amp;" "&amp;N241</f>
        <v>Differentials Anode     CIF Canada (Diff) </v>
      </c>
      <c r="S241" s="25"/>
      <c r="T241" s="8"/>
      <c r="U241" s="8"/>
      <c r="V241" s="27" t="s">
        <v>49</v>
      </c>
      <c r="W241" s="25"/>
      <c r="X241" s="25"/>
      <c r="Y241" s="25"/>
      <c r="Z241" s="25"/>
      <c r="AA241" s="25"/>
      <c r="AB241" s="25"/>
      <c r="AC241" s="25"/>
      <c r="AD241" s="25"/>
    </row>
    <row r="242" customFormat="false" ht="15.75" hidden="false" customHeight="false" outlineLevel="0" collapsed="false">
      <c r="A242" s="28" t="s">
        <v>598</v>
      </c>
      <c r="B242" s="27" t="s">
        <v>438</v>
      </c>
      <c r="C242" s="27" t="s">
        <v>177</v>
      </c>
      <c r="D242" s="25"/>
      <c r="E242" s="25"/>
      <c r="F242" s="25"/>
      <c r="G242" s="25"/>
      <c r="H242" s="25"/>
      <c r="I242" s="25"/>
      <c r="J242" s="27" t="s">
        <v>589</v>
      </c>
      <c r="K242" s="25" t="str">
        <f aca="false">IFERROR(__xludf.dummyfunction("SPLIT(J242,"" "")"),"CIF")</f>
        <v>CIF</v>
      </c>
      <c r="L242" s="28" t="str">
        <f aca="false">IFERROR(__xludf.dummyfunction("""COMPUTED_VALUE"""),"Canada")</f>
        <v>Canada</v>
      </c>
      <c r="M242" s="27" t="str">
        <f aca="false">IFERROR(__xludf.dummyfunction("""COMPUTED_VALUE"""),"(Diff)")</f>
        <v>(Diff)</v>
      </c>
      <c r="N242" s="25"/>
      <c r="O242" s="25"/>
      <c r="P242" s="25"/>
      <c r="Q242" s="29" t="s">
        <v>180</v>
      </c>
      <c r="R242" s="8" t="str">
        <f aca="false">B242&amp;" "&amp;C242&amp;" "&amp;D242&amp;" "&amp;E242&amp;" "&amp;G242&amp;" "&amp;H242&amp;" "&amp;J242&amp;" "&amp;N242</f>
        <v>Differentials Anode     CIF Canada (Diff) </v>
      </c>
      <c r="S242" s="25"/>
      <c r="T242" s="8"/>
      <c r="U242" s="8"/>
      <c r="V242" s="27" t="s">
        <v>49</v>
      </c>
      <c r="W242" s="25"/>
      <c r="X242" s="25"/>
      <c r="Y242" s="25"/>
      <c r="Z242" s="25"/>
      <c r="AA242" s="25"/>
      <c r="AB242" s="25"/>
      <c r="AC242" s="25"/>
      <c r="AD242" s="25"/>
    </row>
    <row r="243" customFormat="false" ht="15.75" hidden="false" customHeight="false" outlineLevel="0" collapsed="false">
      <c r="A243" s="28" t="s">
        <v>599</v>
      </c>
      <c r="B243" s="27" t="s">
        <v>438</v>
      </c>
      <c r="C243" s="27" t="s">
        <v>211</v>
      </c>
      <c r="D243" s="25"/>
      <c r="E243" s="25"/>
      <c r="F243" s="25"/>
      <c r="G243" s="25"/>
      <c r="H243" s="25"/>
      <c r="I243" s="25"/>
      <c r="J243" s="27" t="s">
        <v>589</v>
      </c>
      <c r="K243" s="25" t="str">
        <f aca="false">IFERROR(__xludf.dummyfunction("SPLIT(J243,"" "")"),"CIF")</f>
        <v>CIF</v>
      </c>
      <c r="L243" s="28" t="str">
        <f aca="false">IFERROR(__xludf.dummyfunction("""COMPUTED_VALUE"""),"Canada")</f>
        <v>Canada</v>
      </c>
      <c r="M243" s="27" t="str">
        <f aca="false">IFERROR(__xludf.dummyfunction("""COMPUTED_VALUE"""),"(Diff)")</f>
        <v>(Diff)</v>
      </c>
      <c r="N243" s="25"/>
      <c r="O243" s="25"/>
      <c r="P243" s="25"/>
      <c r="Q243" s="29" t="s">
        <v>234</v>
      </c>
      <c r="R243" s="8" t="str">
        <f aca="false">B243&amp;" "&amp;C243&amp;" "&amp;D243&amp;" "&amp;E243&amp;" "&amp;G243&amp;" "&amp;H243&amp;" "&amp;J243&amp;" "&amp;N243</f>
        <v>Differentials Binders &amp; Additives     CIF Canada (Diff) </v>
      </c>
      <c r="S243" s="25"/>
      <c r="T243" s="8"/>
      <c r="U243" s="8"/>
      <c r="V243" s="27" t="s">
        <v>49</v>
      </c>
      <c r="W243" s="25"/>
      <c r="X243" s="25"/>
      <c r="Y243" s="25"/>
      <c r="Z243" s="25"/>
      <c r="AA243" s="25"/>
      <c r="AB243" s="25"/>
      <c r="AC243" s="25"/>
      <c r="AD243" s="25"/>
    </row>
    <row r="244" customFormat="false" ht="15.75" hidden="false" customHeight="false" outlineLevel="0" collapsed="false">
      <c r="A244" s="28" t="s">
        <v>600</v>
      </c>
      <c r="B244" s="27" t="s">
        <v>438</v>
      </c>
      <c r="C244" s="27" t="s">
        <v>211</v>
      </c>
      <c r="D244" s="25"/>
      <c r="E244" s="25"/>
      <c r="F244" s="25"/>
      <c r="G244" s="25"/>
      <c r="H244" s="25"/>
      <c r="I244" s="25"/>
      <c r="J244" s="27" t="s">
        <v>589</v>
      </c>
      <c r="K244" s="25" t="str">
        <f aca="false">IFERROR(__xludf.dummyfunction("SPLIT(J244,"" "")"),"CIF")</f>
        <v>CIF</v>
      </c>
      <c r="L244" s="28" t="str">
        <f aca="false">IFERROR(__xludf.dummyfunction("""COMPUTED_VALUE"""),"Canada")</f>
        <v>Canada</v>
      </c>
      <c r="M244" s="27" t="str">
        <f aca="false">IFERROR(__xludf.dummyfunction("""COMPUTED_VALUE"""),"(Diff)")</f>
        <v>(Diff)</v>
      </c>
      <c r="N244" s="25"/>
      <c r="O244" s="25"/>
      <c r="P244" s="25"/>
      <c r="Q244" s="29" t="s">
        <v>232</v>
      </c>
      <c r="R244" s="8" t="str">
        <f aca="false">B244&amp;" "&amp;C244&amp;" "&amp;D244&amp;" "&amp;E244&amp;" "&amp;G244&amp;" "&amp;H244&amp;" "&amp;J244&amp;" "&amp;N244</f>
        <v>Differentials Binders &amp; Additives     CIF Canada (Diff) </v>
      </c>
      <c r="S244" s="25"/>
      <c r="T244" s="8"/>
      <c r="U244" s="8"/>
      <c r="V244" s="27" t="s">
        <v>49</v>
      </c>
      <c r="W244" s="25"/>
      <c r="X244" s="25"/>
      <c r="Y244" s="25"/>
      <c r="Z244" s="25"/>
      <c r="AA244" s="25"/>
      <c r="AB244" s="25"/>
      <c r="AC244" s="25"/>
      <c r="AD244" s="25"/>
    </row>
    <row r="245" customFormat="false" ht="15.75" hidden="false" customHeight="false" outlineLevel="0" collapsed="false">
      <c r="A245" s="28" t="s">
        <v>601</v>
      </c>
      <c r="B245" s="27" t="s">
        <v>438</v>
      </c>
      <c r="C245" s="27" t="s">
        <v>211</v>
      </c>
      <c r="D245" s="25"/>
      <c r="E245" s="25"/>
      <c r="F245" s="25"/>
      <c r="G245" s="25"/>
      <c r="H245" s="25"/>
      <c r="I245" s="25"/>
      <c r="J245" s="27" t="s">
        <v>589</v>
      </c>
      <c r="K245" s="25" t="str">
        <f aca="false">IFERROR(__xludf.dummyfunction("SPLIT(J245,"" "")"),"CIF")</f>
        <v>CIF</v>
      </c>
      <c r="L245" s="28" t="str">
        <f aca="false">IFERROR(__xludf.dummyfunction("""COMPUTED_VALUE"""),"Canada")</f>
        <v>Canada</v>
      </c>
      <c r="M245" s="27" t="str">
        <f aca="false">IFERROR(__xludf.dummyfunction("""COMPUTED_VALUE"""),"(Diff)")</f>
        <v>(Diff)</v>
      </c>
      <c r="N245" s="25"/>
      <c r="O245" s="25"/>
      <c r="P245" s="25"/>
      <c r="Q245" s="29" t="s">
        <v>230</v>
      </c>
      <c r="R245" s="8" t="str">
        <f aca="false">B245&amp;" "&amp;C245&amp;" "&amp;D245&amp;" "&amp;E245&amp;" "&amp;G245&amp;" "&amp;H245&amp;" "&amp;J245&amp;" "&amp;N245</f>
        <v>Differentials Binders &amp; Additives     CIF Canada (Diff) </v>
      </c>
      <c r="S245" s="25"/>
      <c r="T245" s="8"/>
      <c r="U245" s="8"/>
      <c r="V245" s="27" t="s">
        <v>49</v>
      </c>
      <c r="W245" s="25"/>
      <c r="X245" s="25"/>
      <c r="Y245" s="25"/>
      <c r="Z245" s="25"/>
      <c r="AA245" s="25"/>
      <c r="AB245" s="25"/>
      <c r="AC245" s="25"/>
      <c r="AD245" s="25"/>
    </row>
    <row r="246" customFormat="false" ht="15.75" hidden="false" customHeight="false" outlineLevel="0" collapsed="false">
      <c r="A246" s="28" t="s">
        <v>602</v>
      </c>
      <c r="B246" s="27" t="s">
        <v>438</v>
      </c>
      <c r="C246" s="27" t="s">
        <v>211</v>
      </c>
      <c r="D246" s="25"/>
      <c r="E246" s="25"/>
      <c r="F246" s="25"/>
      <c r="G246" s="25"/>
      <c r="H246" s="25"/>
      <c r="I246" s="25"/>
      <c r="J246" s="27" t="s">
        <v>589</v>
      </c>
      <c r="K246" s="25" t="str">
        <f aca="false">IFERROR(__xludf.dummyfunction("SPLIT(J246,"" "")"),"CIF")</f>
        <v>CIF</v>
      </c>
      <c r="L246" s="28" t="str">
        <f aca="false">IFERROR(__xludf.dummyfunction("""COMPUTED_VALUE"""),"Canada")</f>
        <v>Canada</v>
      </c>
      <c r="M246" s="27" t="str">
        <f aca="false">IFERROR(__xludf.dummyfunction("""COMPUTED_VALUE"""),"(Diff)")</f>
        <v>(Diff)</v>
      </c>
      <c r="N246" s="25"/>
      <c r="O246" s="25"/>
      <c r="P246" s="25"/>
      <c r="Q246" s="29" t="s">
        <v>228</v>
      </c>
      <c r="R246" s="8" t="str">
        <f aca="false">B246&amp;" "&amp;C246&amp;" "&amp;D246&amp;" "&amp;E246&amp;" "&amp;G246&amp;" "&amp;H246&amp;" "&amp;J246&amp;" "&amp;N246</f>
        <v>Differentials Binders &amp; Additives     CIF Canada (Diff) </v>
      </c>
      <c r="S246" s="25"/>
      <c r="T246" s="8"/>
      <c r="U246" s="8"/>
      <c r="V246" s="27" t="s">
        <v>49</v>
      </c>
      <c r="W246" s="25"/>
      <c r="X246" s="25"/>
      <c r="Y246" s="25"/>
      <c r="Z246" s="25"/>
      <c r="AA246" s="25"/>
      <c r="AB246" s="25"/>
      <c r="AC246" s="25"/>
      <c r="AD246" s="25"/>
    </row>
    <row r="247" customFormat="false" ht="15.75" hidden="false" customHeight="false" outlineLevel="0" collapsed="false">
      <c r="A247" s="28" t="s">
        <v>603</v>
      </c>
      <c r="B247" s="27" t="s">
        <v>438</v>
      </c>
      <c r="C247" s="27" t="s">
        <v>211</v>
      </c>
      <c r="D247" s="25"/>
      <c r="E247" s="25"/>
      <c r="F247" s="25"/>
      <c r="G247" s="25"/>
      <c r="H247" s="25"/>
      <c r="I247" s="25"/>
      <c r="J247" s="27" t="s">
        <v>589</v>
      </c>
      <c r="K247" s="25" t="str">
        <f aca="false">IFERROR(__xludf.dummyfunction("SPLIT(J247,"" "")"),"CIF")</f>
        <v>CIF</v>
      </c>
      <c r="L247" s="28" t="str">
        <f aca="false">IFERROR(__xludf.dummyfunction("""COMPUTED_VALUE"""),"Canada")</f>
        <v>Canada</v>
      </c>
      <c r="M247" s="27" t="str">
        <f aca="false">IFERROR(__xludf.dummyfunction("""COMPUTED_VALUE"""),"(Diff)")</f>
        <v>(Diff)</v>
      </c>
      <c r="N247" s="25"/>
      <c r="O247" s="25"/>
      <c r="P247" s="25"/>
      <c r="Q247" s="29" t="s">
        <v>226</v>
      </c>
      <c r="R247" s="8" t="str">
        <f aca="false">B247&amp;" "&amp;C247&amp;" "&amp;D247&amp;" "&amp;E247&amp;" "&amp;G247&amp;" "&amp;H247&amp;" "&amp;J247&amp;" "&amp;N247</f>
        <v>Differentials Binders &amp; Additives     CIF Canada (Diff) </v>
      </c>
      <c r="S247" s="25"/>
      <c r="T247" s="8"/>
      <c r="U247" s="8"/>
      <c r="V247" s="27" t="s">
        <v>49</v>
      </c>
      <c r="W247" s="25"/>
      <c r="X247" s="25"/>
      <c r="Y247" s="25"/>
      <c r="Z247" s="25"/>
      <c r="AA247" s="25"/>
      <c r="AB247" s="25"/>
      <c r="AC247" s="25"/>
      <c r="AD247" s="25"/>
    </row>
    <row r="248" customFormat="false" ht="15.75" hidden="false" customHeight="false" outlineLevel="0" collapsed="false">
      <c r="A248" s="28" t="s">
        <v>604</v>
      </c>
      <c r="B248" s="27" t="s">
        <v>438</v>
      </c>
      <c r="C248" s="27" t="s">
        <v>211</v>
      </c>
      <c r="D248" s="25"/>
      <c r="E248" s="25"/>
      <c r="F248" s="25"/>
      <c r="G248" s="25"/>
      <c r="H248" s="25"/>
      <c r="I248" s="25"/>
      <c r="J248" s="27" t="s">
        <v>589</v>
      </c>
      <c r="K248" s="25" t="str">
        <f aca="false">IFERROR(__xludf.dummyfunction("SPLIT(J248,"" "")"),"CIF")</f>
        <v>CIF</v>
      </c>
      <c r="L248" s="28" t="str">
        <f aca="false">IFERROR(__xludf.dummyfunction("""COMPUTED_VALUE"""),"Canada")</f>
        <v>Canada</v>
      </c>
      <c r="M248" s="27" t="str">
        <f aca="false">IFERROR(__xludf.dummyfunction("""COMPUTED_VALUE"""),"(Diff)")</f>
        <v>(Diff)</v>
      </c>
      <c r="N248" s="25"/>
      <c r="O248" s="25"/>
      <c r="P248" s="25"/>
      <c r="Q248" s="29" t="s">
        <v>224</v>
      </c>
      <c r="R248" s="8" t="str">
        <f aca="false">B248&amp;" "&amp;C248&amp;" "&amp;D248&amp;" "&amp;E248&amp;" "&amp;G248&amp;" "&amp;H248&amp;" "&amp;J248&amp;" "&amp;N248</f>
        <v>Differentials Binders &amp; Additives     CIF Canada (Diff) </v>
      </c>
      <c r="S248" s="25"/>
      <c r="T248" s="8"/>
      <c r="U248" s="8"/>
      <c r="V248" s="27" t="s">
        <v>49</v>
      </c>
      <c r="W248" s="25"/>
      <c r="X248" s="25"/>
      <c r="Y248" s="25"/>
      <c r="Z248" s="25"/>
      <c r="AA248" s="25"/>
      <c r="AB248" s="25"/>
      <c r="AC248" s="25"/>
      <c r="AD248" s="25"/>
    </row>
    <row r="249" customFormat="false" ht="15.75" hidden="false" customHeight="false" outlineLevel="0" collapsed="false">
      <c r="A249" s="28" t="s">
        <v>605</v>
      </c>
      <c r="B249" s="27" t="s">
        <v>438</v>
      </c>
      <c r="C249" s="27" t="s">
        <v>211</v>
      </c>
      <c r="D249" s="25"/>
      <c r="E249" s="25"/>
      <c r="F249" s="25"/>
      <c r="G249" s="25"/>
      <c r="H249" s="25"/>
      <c r="I249" s="25"/>
      <c r="J249" s="27" t="s">
        <v>589</v>
      </c>
      <c r="K249" s="25" t="str">
        <f aca="false">IFERROR(__xludf.dummyfunction("SPLIT(J249,"" "")"),"CIF")</f>
        <v>CIF</v>
      </c>
      <c r="L249" s="28" t="str">
        <f aca="false">IFERROR(__xludf.dummyfunction("""COMPUTED_VALUE"""),"Canada")</f>
        <v>Canada</v>
      </c>
      <c r="M249" s="27" t="str">
        <f aca="false">IFERROR(__xludf.dummyfunction("""COMPUTED_VALUE"""),"(Diff)")</f>
        <v>(Diff)</v>
      </c>
      <c r="N249" s="25"/>
      <c r="O249" s="25"/>
      <c r="P249" s="25"/>
      <c r="Q249" s="29" t="s">
        <v>222</v>
      </c>
      <c r="R249" s="8" t="str">
        <f aca="false">B249&amp;" "&amp;C249&amp;" "&amp;D249&amp;" "&amp;E249&amp;" "&amp;G249&amp;" "&amp;H249&amp;" "&amp;J249&amp;" "&amp;N249</f>
        <v>Differentials Binders &amp; Additives     CIF Canada (Diff) </v>
      </c>
      <c r="S249" s="25"/>
      <c r="T249" s="8"/>
      <c r="U249" s="8"/>
      <c r="V249" s="27" t="s">
        <v>49</v>
      </c>
      <c r="W249" s="25"/>
      <c r="X249" s="25"/>
      <c r="Y249" s="25"/>
      <c r="Z249" s="25"/>
      <c r="AA249" s="25"/>
      <c r="AB249" s="25"/>
      <c r="AC249" s="25"/>
      <c r="AD249" s="25"/>
    </row>
    <row r="250" customFormat="false" ht="15.75" hidden="false" customHeight="false" outlineLevel="0" collapsed="false">
      <c r="A250" s="28" t="s">
        <v>606</v>
      </c>
      <c r="B250" s="27" t="s">
        <v>438</v>
      </c>
      <c r="C250" s="27" t="s">
        <v>211</v>
      </c>
      <c r="D250" s="25"/>
      <c r="E250" s="25"/>
      <c r="F250" s="25"/>
      <c r="G250" s="25"/>
      <c r="H250" s="25"/>
      <c r="I250" s="25"/>
      <c r="J250" s="27" t="s">
        <v>589</v>
      </c>
      <c r="K250" s="25" t="str">
        <f aca="false">IFERROR(__xludf.dummyfunction("SPLIT(J250,"" "")"),"CIF")</f>
        <v>CIF</v>
      </c>
      <c r="L250" s="28" t="str">
        <f aca="false">IFERROR(__xludf.dummyfunction("""COMPUTED_VALUE"""),"Canada")</f>
        <v>Canada</v>
      </c>
      <c r="M250" s="27" t="str">
        <f aca="false">IFERROR(__xludf.dummyfunction("""COMPUTED_VALUE"""),"(Diff)")</f>
        <v>(Diff)</v>
      </c>
      <c r="N250" s="25"/>
      <c r="O250" s="25"/>
      <c r="P250" s="25"/>
      <c r="Q250" s="29" t="s">
        <v>220</v>
      </c>
      <c r="R250" s="8" t="str">
        <f aca="false">B250&amp;" "&amp;C250&amp;" "&amp;D250&amp;" "&amp;E250&amp;" "&amp;G250&amp;" "&amp;H250&amp;" "&amp;J250&amp;" "&amp;N250</f>
        <v>Differentials Binders &amp; Additives     CIF Canada (Diff) </v>
      </c>
      <c r="S250" s="25"/>
      <c r="T250" s="8"/>
      <c r="U250" s="8"/>
      <c r="V250" s="27" t="s">
        <v>49</v>
      </c>
      <c r="W250" s="25"/>
      <c r="X250" s="25"/>
      <c r="Y250" s="25"/>
      <c r="Z250" s="25"/>
      <c r="AA250" s="25"/>
      <c r="AB250" s="25"/>
      <c r="AC250" s="25"/>
      <c r="AD250" s="25"/>
    </row>
    <row r="251" customFormat="false" ht="15.75" hidden="false" customHeight="false" outlineLevel="0" collapsed="false">
      <c r="A251" s="28" t="s">
        <v>607</v>
      </c>
      <c r="B251" s="27" t="s">
        <v>438</v>
      </c>
      <c r="C251" s="27" t="s">
        <v>211</v>
      </c>
      <c r="D251" s="25"/>
      <c r="E251" s="25"/>
      <c r="F251" s="25"/>
      <c r="G251" s="25"/>
      <c r="H251" s="25"/>
      <c r="I251" s="25"/>
      <c r="J251" s="27" t="s">
        <v>589</v>
      </c>
      <c r="K251" s="25" t="str">
        <f aca="false">IFERROR(__xludf.dummyfunction("SPLIT(J251,"" "")"),"CIF")</f>
        <v>CIF</v>
      </c>
      <c r="L251" s="28" t="str">
        <f aca="false">IFERROR(__xludf.dummyfunction("""COMPUTED_VALUE"""),"Canada")</f>
        <v>Canada</v>
      </c>
      <c r="M251" s="27" t="str">
        <f aca="false">IFERROR(__xludf.dummyfunction("""COMPUTED_VALUE"""),"(Diff)")</f>
        <v>(Diff)</v>
      </c>
      <c r="N251" s="25"/>
      <c r="O251" s="25"/>
      <c r="P251" s="25"/>
      <c r="Q251" s="29" t="s">
        <v>218</v>
      </c>
      <c r="R251" s="8" t="str">
        <f aca="false">B251&amp;" "&amp;C251&amp;" "&amp;D251&amp;" "&amp;E251&amp;" "&amp;G251&amp;" "&amp;H251&amp;" "&amp;J251&amp;" "&amp;N251</f>
        <v>Differentials Binders &amp; Additives     CIF Canada (Diff) </v>
      </c>
      <c r="S251" s="25"/>
      <c r="T251" s="8"/>
      <c r="U251" s="8"/>
      <c r="V251" s="27" t="s">
        <v>49</v>
      </c>
      <c r="W251" s="25"/>
      <c r="X251" s="25"/>
      <c r="Y251" s="25"/>
      <c r="Z251" s="25"/>
      <c r="AA251" s="25"/>
      <c r="AB251" s="25"/>
      <c r="AC251" s="25"/>
      <c r="AD251" s="25"/>
    </row>
    <row r="252" customFormat="false" ht="15.75" hidden="false" customHeight="false" outlineLevel="0" collapsed="false">
      <c r="A252" s="28" t="s">
        <v>608</v>
      </c>
      <c r="B252" s="27" t="s">
        <v>438</v>
      </c>
      <c r="C252" s="27" t="s">
        <v>211</v>
      </c>
      <c r="D252" s="25"/>
      <c r="E252" s="25"/>
      <c r="F252" s="25"/>
      <c r="G252" s="25"/>
      <c r="H252" s="25"/>
      <c r="I252" s="25"/>
      <c r="J252" s="27" t="s">
        <v>589</v>
      </c>
      <c r="K252" s="25" t="str">
        <f aca="false">IFERROR(__xludf.dummyfunction("SPLIT(J252,"" "")"),"CIF")</f>
        <v>CIF</v>
      </c>
      <c r="L252" s="28" t="str">
        <f aca="false">IFERROR(__xludf.dummyfunction("""COMPUTED_VALUE"""),"Canada")</f>
        <v>Canada</v>
      </c>
      <c r="M252" s="27" t="str">
        <f aca="false">IFERROR(__xludf.dummyfunction("""COMPUTED_VALUE"""),"(Diff)")</f>
        <v>(Diff)</v>
      </c>
      <c r="N252" s="25"/>
      <c r="O252" s="25"/>
      <c r="P252" s="25"/>
      <c r="Q252" s="29" t="s">
        <v>215</v>
      </c>
      <c r="R252" s="8" t="str">
        <f aca="false">B252&amp;" "&amp;C252&amp;" "&amp;D252&amp;" "&amp;E252&amp;" "&amp;G252&amp;" "&amp;H252&amp;" "&amp;J252&amp;" "&amp;N252</f>
        <v>Differentials Binders &amp; Additives     CIF Canada (Diff) </v>
      </c>
      <c r="S252" s="25"/>
      <c r="T252" s="8"/>
      <c r="U252" s="8"/>
      <c r="V252" s="27" t="s">
        <v>49</v>
      </c>
      <c r="W252" s="25"/>
      <c r="X252" s="25"/>
      <c r="Y252" s="25"/>
      <c r="Z252" s="25"/>
      <c r="AA252" s="25"/>
      <c r="AB252" s="25"/>
      <c r="AC252" s="25"/>
      <c r="AD252" s="25"/>
    </row>
    <row r="253" customFormat="false" ht="15.75" hidden="false" customHeight="false" outlineLevel="0" collapsed="false">
      <c r="A253" s="28" t="s">
        <v>609</v>
      </c>
      <c r="B253" s="27" t="s">
        <v>438</v>
      </c>
      <c r="C253" s="27" t="s">
        <v>211</v>
      </c>
      <c r="D253" s="25"/>
      <c r="E253" s="25"/>
      <c r="F253" s="25"/>
      <c r="G253" s="25"/>
      <c r="H253" s="25"/>
      <c r="I253" s="25"/>
      <c r="J253" s="27" t="s">
        <v>589</v>
      </c>
      <c r="K253" s="25" t="str">
        <f aca="false">IFERROR(__xludf.dummyfunction("SPLIT(J253,"" "")"),"CIF")</f>
        <v>CIF</v>
      </c>
      <c r="L253" s="28" t="str">
        <f aca="false">IFERROR(__xludf.dummyfunction("""COMPUTED_VALUE"""),"Canada")</f>
        <v>Canada</v>
      </c>
      <c r="M253" s="27" t="str">
        <f aca="false">IFERROR(__xludf.dummyfunction("""COMPUTED_VALUE"""),"(Diff)")</f>
        <v>(Diff)</v>
      </c>
      <c r="N253" s="25"/>
      <c r="O253" s="25"/>
      <c r="P253" s="25"/>
      <c r="Q253" s="29" t="s">
        <v>213</v>
      </c>
      <c r="R253" s="8" t="str">
        <f aca="false">B253&amp;" "&amp;C253&amp;" "&amp;D253&amp;" "&amp;E253&amp;" "&amp;G253&amp;" "&amp;H253&amp;" "&amp;J253&amp;" "&amp;N253</f>
        <v>Differentials Binders &amp; Additives     CIF Canada (Diff) </v>
      </c>
      <c r="S253" s="25"/>
      <c r="T253" s="8"/>
      <c r="U253" s="8"/>
      <c r="V253" s="27" t="s">
        <v>49</v>
      </c>
      <c r="W253" s="25"/>
      <c r="X253" s="25"/>
      <c r="Y253" s="25"/>
      <c r="Z253" s="25"/>
      <c r="AA253" s="25"/>
      <c r="AB253" s="25"/>
      <c r="AC253" s="25"/>
      <c r="AD253" s="25"/>
    </row>
    <row r="254" customFormat="false" ht="15.75" hidden="false" customHeight="false" outlineLevel="0" collapsed="false">
      <c r="A254" s="28" t="s">
        <v>610</v>
      </c>
      <c r="B254" s="27" t="s">
        <v>438</v>
      </c>
      <c r="C254" s="27" t="s">
        <v>236</v>
      </c>
      <c r="D254" s="25"/>
      <c r="E254" s="25"/>
      <c r="F254" s="25"/>
      <c r="G254" s="25"/>
      <c r="H254" s="25"/>
      <c r="I254" s="25"/>
      <c r="J254" s="27" t="s">
        <v>589</v>
      </c>
      <c r="K254" s="25" t="str">
        <f aca="false">IFERROR(__xludf.dummyfunction("SPLIT(J254,"" "")"),"CIF")</f>
        <v>CIF</v>
      </c>
      <c r="L254" s="28" t="str">
        <f aca="false">IFERROR(__xludf.dummyfunction("""COMPUTED_VALUE"""),"Canada")</f>
        <v>Canada</v>
      </c>
      <c r="M254" s="27" t="str">
        <f aca="false">IFERROR(__xludf.dummyfunction("""COMPUTED_VALUE"""),"(Diff)")</f>
        <v>(Diff)</v>
      </c>
      <c r="N254" s="25"/>
      <c r="O254" s="25"/>
      <c r="P254" s="25"/>
      <c r="Q254" s="29" t="s">
        <v>271</v>
      </c>
      <c r="R254" s="8" t="str">
        <f aca="false">B254&amp;" "&amp;C254&amp;" "&amp;D254&amp;" "&amp;E254&amp;" "&amp;G254&amp;" "&amp;H254&amp;" "&amp;J254&amp;" "&amp;N254</f>
        <v>Differentials Cathode     CIF Canada (Diff) </v>
      </c>
      <c r="S254" s="25"/>
      <c r="T254" s="8"/>
      <c r="U254" s="8"/>
      <c r="V254" s="27" t="s">
        <v>49</v>
      </c>
      <c r="W254" s="25"/>
      <c r="X254" s="25"/>
      <c r="Y254" s="25"/>
      <c r="Z254" s="25"/>
      <c r="AA254" s="25"/>
      <c r="AB254" s="25"/>
      <c r="AC254" s="25"/>
      <c r="AD254" s="25"/>
    </row>
    <row r="255" customFormat="false" ht="15.75" hidden="false" customHeight="false" outlineLevel="0" collapsed="false">
      <c r="A255" s="28" t="s">
        <v>611</v>
      </c>
      <c r="B255" s="27" t="s">
        <v>438</v>
      </c>
      <c r="C255" s="27" t="s">
        <v>236</v>
      </c>
      <c r="D255" s="25"/>
      <c r="E255" s="25"/>
      <c r="F255" s="25"/>
      <c r="G255" s="25"/>
      <c r="H255" s="25"/>
      <c r="I255" s="25"/>
      <c r="J255" s="27" t="s">
        <v>589</v>
      </c>
      <c r="K255" s="25" t="str">
        <f aca="false">IFERROR(__xludf.dummyfunction("SPLIT(J255,"" "")"),"CIF")</f>
        <v>CIF</v>
      </c>
      <c r="L255" s="28" t="str">
        <f aca="false">IFERROR(__xludf.dummyfunction("""COMPUTED_VALUE"""),"Canada")</f>
        <v>Canada</v>
      </c>
      <c r="M255" s="27" t="str">
        <f aca="false">IFERROR(__xludf.dummyfunction("""COMPUTED_VALUE"""),"(Diff)")</f>
        <v>(Diff)</v>
      </c>
      <c r="N255" s="25"/>
      <c r="O255" s="25"/>
      <c r="P255" s="25"/>
      <c r="Q255" s="29" t="s">
        <v>266</v>
      </c>
      <c r="R255" s="8" t="str">
        <f aca="false">B255&amp;" "&amp;C255&amp;" "&amp;D255&amp;" "&amp;E255&amp;" "&amp;G255&amp;" "&amp;H255&amp;" "&amp;J255&amp;" "&amp;N255</f>
        <v>Differentials Cathode     CIF Canada (Diff) </v>
      </c>
      <c r="S255" s="25"/>
      <c r="T255" s="8"/>
      <c r="U255" s="8"/>
      <c r="V255" s="27" t="s">
        <v>49</v>
      </c>
      <c r="W255" s="25"/>
      <c r="X255" s="25"/>
      <c r="Y255" s="25"/>
      <c r="Z255" s="25"/>
      <c r="AA255" s="25"/>
      <c r="AB255" s="25"/>
      <c r="AC255" s="25"/>
      <c r="AD255" s="25"/>
    </row>
    <row r="256" customFormat="false" ht="15.75" hidden="false" customHeight="false" outlineLevel="0" collapsed="false">
      <c r="A256" s="28" t="s">
        <v>612</v>
      </c>
      <c r="B256" s="27" t="s">
        <v>438</v>
      </c>
      <c r="C256" s="27" t="s">
        <v>236</v>
      </c>
      <c r="D256" s="25"/>
      <c r="E256" s="25"/>
      <c r="F256" s="25"/>
      <c r="G256" s="25"/>
      <c r="H256" s="25"/>
      <c r="I256" s="25"/>
      <c r="J256" s="27" t="s">
        <v>589</v>
      </c>
      <c r="K256" s="25" t="str">
        <f aca="false">IFERROR(__xludf.dummyfunction("SPLIT(J256,"" "")"),"CIF")</f>
        <v>CIF</v>
      </c>
      <c r="L256" s="28" t="str">
        <f aca="false">IFERROR(__xludf.dummyfunction("""COMPUTED_VALUE"""),"Canada")</f>
        <v>Canada</v>
      </c>
      <c r="M256" s="27" t="str">
        <f aca="false">IFERROR(__xludf.dummyfunction("""COMPUTED_VALUE"""),"(Diff)")</f>
        <v>(Diff)</v>
      </c>
      <c r="N256" s="25"/>
      <c r="O256" s="25"/>
      <c r="P256" s="25"/>
      <c r="Q256" s="29" t="s">
        <v>261</v>
      </c>
      <c r="R256" s="8" t="str">
        <f aca="false">B256&amp;" "&amp;C256&amp;" "&amp;D256&amp;" "&amp;E256&amp;" "&amp;G256&amp;" "&amp;H256&amp;" "&amp;J256&amp;" "&amp;N256</f>
        <v>Differentials Cathode     CIF Canada (Diff) </v>
      </c>
      <c r="S256" s="25"/>
      <c r="T256" s="8"/>
      <c r="U256" s="8"/>
      <c r="V256" s="27" t="s">
        <v>49</v>
      </c>
      <c r="W256" s="25"/>
      <c r="X256" s="25"/>
      <c r="Y256" s="25"/>
      <c r="Z256" s="25"/>
      <c r="AA256" s="25"/>
      <c r="AB256" s="25"/>
      <c r="AC256" s="25"/>
      <c r="AD256" s="25"/>
    </row>
    <row r="257" customFormat="false" ht="15.75" hidden="false" customHeight="false" outlineLevel="0" collapsed="false">
      <c r="A257" s="28" t="s">
        <v>613</v>
      </c>
      <c r="B257" s="27" t="s">
        <v>438</v>
      </c>
      <c r="C257" s="27" t="s">
        <v>236</v>
      </c>
      <c r="D257" s="25"/>
      <c r="E257" s="25"/>
      <c r="F257" s="25"/>
      <c r="G257" s="25"/>
      <c r="H257" s="25"/>
      <c r="I257" s="25"/>
      <c r="J257" s="27" t="s">
        <v>589</v>
      </c>
      <c r="K257" s="25" t="str">
        <f aca="false">IFERROR(__xludf.dummyfunction("SPLIT(J257,"" "")"),"CIF")</f>
        <v>CIF</v>
      </c>
      <c r="L257" s="28" t="str">
        <f aca="false">IFERROR(__xludf.dummyfunction("""COMPUTED_VALUE"""),"Canada")</f>
        <v>Canada</v>
      </c>
      <c r="M257" s="27" t="str">
        <f aca="false">IFERROR(__xludf.dummyfunction("""COMPUTED_VALUE"""),"(Diff)")</f>
        <v>(Diff)</v>
      </c>
      <c r="N257" s="25"/>
      <c r="O257" s="25"/>
      <c r="P257" s="25"/>
      <c r="Q257" s="29" t="s">
        <v>256</v>
      </c>
      <c r="R257" s="8" t="str">
        <f aca="false">B257&amp;" "&amp;C257&amp;" "&amp;D257&amp;" "&amp;E257&amp;" "&amp;G257&amp;" "&amp;H257&amp;" "&amp;J257&amp;" "&amp;N257</f>
        <v>Differentials Cathode     CIF Canada (Diff) </v>
      </c>
      <c r="S257" s="25"/>
      <c r="T257" s="8"/>
      <c r="U257" s="8"/>
      <c r="V257" s="27" t="s">
        <v>49</v>
      </c>
      <c r="W257" s="25"/>
      <c r="X257" s="25"/>
      <c r="Y257" s="25"/>
      <c r="Z257" s="25"/>
      <c r="AA257" s="25"/>
      <c r="AB257" s="25"/>
      <c r="AC257" s="25"/>
      <c r="AD257" s="25"/>
    </row>
    <row r="258" customFormat="false" ht="15.75" hidden="false" customHeight="false" outlineLevel="0" collapsed="false">
      <c r="A258" s="28" t="s">
        <v>614</v>
      </c>
      <c r="B258" s="27" t="s">
        <v>438</v>
      </c>
      <c r="C258" s="27" t="s">
        <v>236</v>
      </c>
      <c r="D258" s="25"/>
      <c r="E258" s="25"/>
      <c r="F258" s="25"/>
      <c r="G258" s="25"/>
      <c r="H258" s="25"/>
      <c r="I258" s="25"/>
      <c r="J258" s="27" t="s">
        <v>589</v>
      </c>
      <c r="K258" s="25" t="str">
        <f aca="false">IFERROR(__xludf.dummyfunction("SPLIT(J258,"" "")"),"CIF")</f>
        <v>CIF</v>
      </c>
      <c r="L258" s="28" t="str">
        <f aca="false">IFERROR(__xludf.dummyfunction("""COMPUTED_VALUE"""),"Canada")</f>
        <v>Canada</v>
      </c>
      <c r="M258" s="27" t="str">
        <f aca="false">IFERROR(__xludf.dummyfunction("""COMPUTED_VALUE"""),"(Diff)")</f>
        <v>(Diff)</v>
      </c>
      <c r="N258" s="25"/>
      <c r="O258" s="25"/>
      <c r="P258" s="25"/>
      <c r="Q258" s="29" t="s">
        <v>251</v>
      </c>
      <c r="R258" s="8" t="str">
        <f aca="false">B258&amp;" "&amp;C258&amp;" "&amp;D258&amp;" "&amp;E258&amp;" "&amp;G258&amp;" "&amp;H258&amp;" "&amp;J258&amp;" "&amp;N258</f>
        <v>Differentials Cathode     CIF Canada (Diff) </v>
      </c>
      <c r="S258" s="25"/>
      <c r="T258" s="8"/>
      <c r="U258" s="8"/>
      <c r="V258" s="27" t="s">
        <v>49</v>
      </c>
      <c r="W258" s="25"/>
      <c r="X258" s="25"/>
      <c r="Y258" s="25"/>
      <c r="Z258" s="25"/>
      <c r="AA258" s="25"/>
      <c r="AB258" s="25"/>
      <c r="AC258" s="25"/>
      <c r="AD258" s="25"/>
    </row>
    <row r="259" customFormat="false" ht="15.75" hidden="false" customHeight="false" outlineLevel="0" collapsed="false">
      <c r="A259" s="28" t="s">
        <v>615</v>
      </c>
      <c r="B259" s="27" t="s">
        <v>438</v>
      </c>
      <c r="C259" s="27" t="s">
        <v>236</v>
      </c>
      <c r="D259" s="25"/>
      <c r="E259" s="25"/>
      <c r="F259" s="25"/>
      <c r="G259" s="25"/>
      <c r="H259" s="25"/>
      <c r="I259" s="25"/>
      <c r="J259" s="27" t="s">
        <v>589</v>
      </c>
      <c r="K259" s="25" t="str">
        <f aca="false">IFERROR(__xludf.dummyfunction("SPLIT(J259,"" "")"),"CIF")</f>
        <v>CIF</v>
      </c>
      <c r="L259" s="28" t="str">
        <f aca="false">IFERROR(__xludf.dummyfunction("""COMPUTED_VALUE"""),"Canada")</f>
        <v>Canada</v>
      </c>
      <c r="M259" s="27" t="str">
        <f aca="false">IFERROR(__xludf.dummyfunction("""COMPUTED_VALUE"""),"(Diff)")</f>
        <v>(Diff)</v>
      </c>
      <c r="N259" s="25"/>
      <c r="O259" s="25"/>
      <c r="P259" s="25"/>
      <c r="Q259" s="29" t="s">
        <v>247</v>
      </c>
      <c r="R259" s="8" t="str">
        <f aca="false">B259&amp;" "&amp;C259&amp;" "&amp;D259&amp;" "&amp;E259&amp;" "&amp;G259&amp;" "&amp;H259&amp;" "&amp;J259&amp;" "&amp;N259</f>
        <v>Differentials Cathode     CIF Canada (Diff) </v>
      </c>
      <c r="S259" s="25"/>
      <c r="T259" s="8"/>
      <c r="U259" s="8"/>
      <c r="V259" s="27" t="s">
        <v>49</v>
      </c>
      <c r="W259" s="25"/>
      <c r="X259" s="25"/>
      <c r="Y259" s="25"/>
      <c r="Z259" s="25"/>
      <c r="AA259" s="25"/>
      <c r="AB259" s="25"/>
      <c r="AC259" s="25"/>
      <c r="AD259" s="25"/>
    </row>
    <row r="260" customFormat="false" ht="15.75" hidden="false" customHeight="false" outlineLevel="0" collapsed="false">
      <c r="A260" s="28" t="s">
        <v>616</v>
      </c>
      <c r="B260" s="27" t="s">
        <v>438</v>
      </c>
      <c r="C260" s="27" t="s">
        <v>236</v>
      </c>
      <c r="D260" s="25"/>
      <c r="E260" s="25"/>
      <c r="F260" s="25"/>
      <c r="G260" s="25"/>
      <c r="H260" s="25"/>
      <c r="I260" s="25"/>
      <c r="J260" s="27" t="s">
        <v>589</v>
      </c>
      <c r="K260" s="25" t="str">
        <f aca="false">IFERROR(__xludf.dummyfunction("SPLIT(J260,"" "")"),"CIF")</f>
        <v>CIF</v>
      </c>
      <c r="L260" s="28" t="str">
        <f aca="false">IFERROR(__xludf.dummyfunction("""COMPUTED_VALUE"""),"Canada")</f>
        <v>Canada</v>
      </c>
      <c r="M260" s="27" t="str">
        <f aca="false">IFERROR(__xludf.dummyfunction("""COMPUTED_VALUE"""),"(Diff)")</f>
        <v>(Diff)</v>
      </c>
      <c r="N260" s="25"/>
      <c r="O260" s="25"/>
      <c r="P260" s="25"/>
      <c r="Q260" s="29" t="s">
        <v>243</v>
      </c>
      <c r="R260" s="8" t="str">
        <f aca="false">B260&amp;" "&amp;C260&amp;" "&amp;D260&amp;" "&amp;E260&amp;" "&amp;G260&amp;" "&amp;H260&amp;" "&amp;J260&amp;" "&amp;N260</f>
        <v>Differentials Cathode     CIF Canada (Diff) </v>
      </c>
      <c r="S260" s="25"/>
      <c r="T260" s="8"/>
      <c r="U260" s="8"/>
      <c r="V260" s="27" t="s">
        <v>49</v>
      </c>
      <c r="W260" s="25"/>
      <c r="X260" s="25"/>
      <c r="Y260" s="25"/>
      <c r="Z260" s="25"/>
      <c r="AA260" s="25"/>
      <c r="AB260" s="25"/>
      <c r="AC260" s="25"/>
      <c r="AD260" s="25"/>
    </row>
    <row r="261" customFormat="false" ht="15.75" hidden="false" customHeight="false" outlineLevel="0" collapsed="false">
      <c r="A261" s="28" t="s">
        <v>617</v>
      </c>
      <c r="B261" s="27" t="s">
        <v>438</v>
      </c>
      <c r="C261" s="27" t="s">
        <v>236</v>
      </c>
      <c r="D261" s="25"/>
      <c r="E261" s="25"/>
      <c r="F261" s="25"/>
      <c r="G261" s="25"/>
      <c r="H261" s="25"/>
      <c r="I261" s="25"/>
      <c r="J261" s="27" t="s">
        <v>589</v>
      </c>
      <c r="K261" s="25" t="str">
        <f aca="false">IFERROR(__xludf.dummyfunction("SPLIT(J261,"" "")"),"CIF")</f>
        <v>CIF</v>
      </c>
      <c r="L261" s="28" t="str">
        <f aca="false">IFERROR(__xludf.dummyfunction("""COMPUTED_VALUE"""),"Canada")</f>
        <v>Canada</v>
      </c>
      <c r="M261" s="27" t="str">
        <f aca="false">IFERROR(__xludf.dummyfunction("""COMPUTED_VALUE"""),"(Diff)")</f>
        <v>(Diff)</v>
      </c>
      <c r="N261" s="25"/>
      <c r="O261" s="25"/>
      <c r="P261" s="25"/>
      <c r="Q261" s="29" t="s">
        <v>239</v>
      </c>
      <c r="R261" s="8" t="str">
        <f aca="false">B261&amp;" "&amp;C261&amp;" "&amp;D261&amp;" "&amp;E261&amp;" "&amp;G261&amp;" "&amp;H261&amp;" "&amp;J261&amp;" "&amp;N261</f>
        <v>Differentials Cathode     CIF Canada (Diff) </v>
      </c>
      <c r="S261" s="25"/>
      <c r="T261" s="8"/>
      <c r="U261" s="8"/>
      <c r="V261" s="27" t="s">
        <v>49</v>
      </c>
      <c r="W261" s="25"/>
      <c r="X261" s="25"/>
      <c r="Y261" s="25"/>
      <c r="Z261" s="25"/>
      <c r="AA261" s="25"/>
      <c r="AB261" s="25"/>
      <c r="AC261" s="25"/>
      <c r="AD261" s="25"/>
    </row>
    <row r="262" customFormat="false" ht="15.75" hidden="false" customHeight="false" outlineLevel="0" collapsed="false">
      <c r="A262" s="28" t="s">
        <v>618</v>
      </c>
      <c r="B262" s="27" t="s">
        <v>438</v>
      </c>
      <c r="C262" s="27" t="s">
        <v>273</v>
      </c>
      <c r="D262" s="25"/>
      <c r="E262" s="25"/>
      <c r="F262" s="25"/>
      <c r="G262" s="25"/>
      <c r="H262" s="25"/>
      <c r="I262" s="25"/>
      <c r="J262" s="27" t="s">
        <v>589</v>
      </c>
      <c r="K262" s="25" t="str">
        <f aca="false">IFERROR(__xludf.dummyfunction("SPLIT(J262,"" "")"),"CIF")</f>
        <v>CIF</v>
      </c>
      <c r="L262" s="28" t="str">
        <f aca="false">IFERROR(__xludf.dummyfunction("""COMPUTED_VALUE"""),"Canada")</f>
        <v>Canada</v>
      </c>
      <c r="M262" s="27" t="str">
        <f aca="false">IFERROR(__xludf.dummyfunction("""COMPUTED_VALUE"""),"(Diff)")</f>
        <v>(Diff)</v>
      </c>
      <c r="N262" s="25"/>
      <c r="O262" s="25"/>
      <c r="P262" s="25"/>
      <c r="Q262" s="29" t="s">
        <v>274</v>
      </c>
      <c r="R262" s="8" t="str">
        <f aca="false">B262&amp;" "&amp;C262&amp;" "&amp;D262&amp;" "&amp;E262&amp;" "&amp;G262&amp;" "&amp;H262&amp;" "&amp;J262&amp;" "&amp;N262</f>
        <v>Differentials Cobalt     CIF Canada (Diff) </v>
      </c>
      <c r="S262" s="25"/>
      <c r="T262" s="8"/>
      <c r="U262" s="8"/>
      <c r="V262" s="27" t="s">
        <v>49</v>
      </c>
      <c r="W262" s="25"/>
      <c r="X262" s="25"/>
      <c r="Y262" s="25"/>
      <c r="Z262" s="25"/>
      <c r="AA262" s="25"/>
      <c r="AB262" s="25"/>
      <c r="AC262" s="25"/>
      <c r="AD262" s="25"/>
    </row>
    <row r="263" customFormat="false" ht="15.75" hidden="false" customHeight="false" outlineLevel="0" collapsed="false">
      <c r="A263" s="28" t="s">
        <v>619</v>
      </c>
      <c r="B263" s="27" t="s">
        <v>438</v>
      </c>
      <c r="C263" s="27" t="s">
        <v>273</v>
      </c>
      <c r="D263" s="25"/>
      <c r="E263" s="25"/>
      <c r="F263" s="25"/>
      <c r="G263" s="25"/>
      <c r="H263" s="25"/>
      <c r="I263" s="25"/>
      <c r="J263" s="27" t="s">
        <v>589</v>
      </c>
      <c r="K263" s="25" t="str">
        <f aca="false">IFERROR(__xludf.dummyfunction("SPLIT(J263,"" "")"),"CIF")</f>
        <v>CIF</v>
      </c>
      <c r="L263" s="28" t="str">
        <f aca="false">IFERROR(__xludf.dummyfunction("""COMPUTED_VALUE"""),"Canada")</f>
        <v>Canada</v>
      </c>
      <c r="M263" s="27" t="str">
        <f aca="false">IFERROR(__xludf.dummyfunction("""COMPUTED_VALUE"""),"(Diff)")</f>
        <v>(Diff)</v>
      </c>
      <c r="N263" s="25"/>
      <c r="O263" s="25"/>
      <c r="P263" s="25"/>
      <c r="Q263" s="29" t="s">
        <v>282</v>
      </c>
      <c r="R263" s="8" t="str">
        <f aca="false">B263&amp;" "&amp;C263&amp;" "&amp;D263&amp;" "&amp;E263&amp;" "&amp;G263&amp;" "&amp;H263&amp;" "&amp;J263&amp;" "&amp;N263</f>
        <v>Differentials Cobalt     CIF Canada (Diff) </v>
      </c>
      <c r="S263" s="25"/>
      <c r="T263" s="8"/>
      <c r="U263" s="8"/>
      <c r="V263" s="27" t="s">
        <v>49</v>
      </c>
      <c r="W263" s="25"/>
      <c r="X263" s="25"/>
      <c r="Y263" s="25"/>
      <c r="Z263" s="25"/>
      <c r="AA263" s="25"/>
      <c r="AB263" s="25"/>
      <c r="AC263" s="25"/>
      <c r="AD263" s="25"/>
    </row>
    <row r="264" customFormat="false" ht="15.75" hidden="false" customHeight="false" outlineLevel="0" collapsed="false">
      <c r="A264" s="28" t="s">
        <v>620</v>
      </c>
      <c r="B264" s="27" t="s">
        <v>438</v>
      </c>
      <c r="C264" s="27" t="s">
        <v>273</v>
      </c>
      <c r="D264" s="25"/>
      <c r="E264" s="25"/>
      <c r="F264" s="25"/>
      <c r="G264" s="25"/>
      <c r="H264" s="25"/>
      <c r="I264" s="25"/>
      <c r="J264" s="27" t="s">
        <v>589</v>
      </c>
      <c r="K264" s="25" t="str">
        <f aca="false">IFERROR(__xludf.dummyfunction("SPLIT(J264,"" "")"),"CIF")</f>
        <v>CIF</v>
      </c>
      <c r="L264" s="28" t="str">
        <f aca="false">IFERROR(__xludf.dummyfunction("""COMPUTED_VALUE"""),"Canada")</f>
        <v>Canada</v>
      </c>
      <c r="M264" s="27" t="str">
        <f aca="false">IFERROR(__xludf.dummyfunction("""COMPUTED_VALUE"""),"(Diff)")</f>
        <v>(Diff)</v>
      </c>
      <c r="N264" s="25"/>
      <c r="O264" s="25"/>
      <c r="P264" s="25"/>
      <c r="Q264" s="29" t="s">
        <v>280</v>
      </c>
      <c r="R264" s="8" t="str">
        <f aca="false">B264&amp;" "&amp;C264&amp;" "&amp;D264&amp;" "&amp;E264&amp;" "&amp;G264&amp;" "&amp;H264&amp;" "&amp;J264&amp;" "&amp;N264</f>
        <v>Differentials Cobalt     CIF Canada (Diff) </v>
      </c>
      <c r="S264" s="25"/>
      <c r="T264" s="8"/>
      <c r="U264" s="8"/>
      <c r="V264" s="27" t="s">
        <v>49</v>
      </c>
      <c r="W264" s="25"/>
      <c r="X264" s="25"/>
      <c r="Y264" s="25"/>
      <c r="Z264" s="25"/>
      <c r="AA264" s="25"/>
      <c r="AB264" s="25"/>
      <c r="AC264" s="25"/>
      <c r="AD264" s="25"/>
    </row>
    <row r="265" customFormat="false" ht="15.75" hidden="false" customHeight="false" outlineLevel="0" collapsed="false">
      <c r="A265" s="28" t="s">
        <v>621</v>
      </c>
      <c r="B265" s="27" t="s">
        <v>438</v>
      </c>
      <c r="C265" s="27" t="s">
        <v>273</v>
      </c>
      <c r="D265" s="25"/>
      <c r="E265" s="25"/>
      <c r="F265" s="25"/>
      <c r="G265" s="25"/>
      <c r="H265" s="25"/>
      <c r="I265" s="25"/>
      <c r="J265" s="27" t="s">
        <v>589</v>
      </c>
      <c r="K265" s="25" t="str">
        <f aca="false">IFERROR(__xludf.dummyfunction("SPLIT(J265,"" "")"),"CIF")</f>
        <v>CIF</v>
      </c>
      <c r="L265" s="28" t="str">
        <f aca="false">IFERROR(__xludf.dummyfunction("""COMPUTED_VALUE"""),"Canada")</f>
        <v>Canada</v>
      </c>
      <c r="M265" s="27" t="str">
        <f aca="false">IFERROR(__xludf.dummyfunction("""COMPUTED_VALUE"""),"(Diff)")</f>
        <v>(Diff)</v>
      </c>
      <c r="N265" s="25"/>
      <c r="O265" s="25"/>
      <c r="P265" s="25"/>
      <c r="Q265" s="29" t="s">
        <v>278</v>
      </c>
      <c r="R265" s="8" t="str">
        <f aca="false">B265&amp;" "&amp;C265&amp;" "&amp;D265&amp;" "&amp;E265&amp;" "&amp;G265&amp;" "&amp;H265&amp;" "&amp;J265&amp;" "&amp;N265</f>
        <v>Differentials Cobalt     CIF Canada (Diff) </v>
      </c>
      <c r="S265" s="25"/>
      <c r="T265" s="8"/>
      <c r="U265" s="8"/>
      <c r="V265" s="27" t="s">
        <v>49</v>
      </c>
      <c r="W265" s="25"/>
      <c r="X265" s="25"/>
      <c r="Y265" s="25"/>
      <c r="Z265" s="25"/>
      <c r="AA265" s="25"/>
      <c r="AB265" s="25"/>
      <c r="AC265" s="25"/>
      <c r="AD265" s="25"/>
    </row>
    <row r="266" customFormat="false" ht="15.75" hidden="false" customHeight="false" outlineLevel="0" collapsed="false">
      <c r="A266" s="28" t="s">
        <v>622</v>
      </c>
      <c r="B266" s="27" t="s">
        <v>438</v>
      </c>
      <c r="C266" s="27" t="s">
        <v>273</v>
      </c>
      <c r="D266" s="25"/>
      <c r="E266" s="25"/>
      <c r="F266" s="25"/>
      <c r="G266" s="25"/>
      <c r="H266" s="25"/>
      <c r="I266" s="25"/>
      <c r="J266" s="27" t="s">
        <v>589</v>
      </c>
      <c r="K266" s="25" t="str">
        <f aca="false">IFERROR(__xludf.dummyfunction("SPLIT(J266,"" "")"),"CIF")</f>
        <v>CIF</v>
      </c>
      <c r="L266" s="28" t="str">
        <f aca="false">IFERROR(__xludf.dummyfunction("""COMPUTED_VALUE"""),"Canada")</f>
        <v>Canada</v>
      </c>
      <c r="M266" s="27" t="str">
        <f aca="false">IFERROR(__xludf.dummyfunction("""COMPUTED_VALUE"""),"(Diff)")</f>
        <v>(Diff)</v>
      </c>
      <c r="N266" s="25"/>
      <c r="O266" s="25"/>
      <c r="P266" s="25"/>
      <c r="Q266" s="29" t="s">
        <v>276</v>
      </c>
      <c r="R266" s="8" t="str">
        <f aca="false">B266&amp;" "&amp;C266&amp;" "&amp;D266&amp;" "&amp;E266&amp;" "&amp;G266&amp;" "&amp;H266&amp;" "&amp;J266&amp;" "&amp;N266</f>
        <v>Differentials Cobalt     CIF Canada (Diff) </v>
      </c>
      <c r="S266" s="25"/>
      <c r="T266" s="8"/>
      <c r="U266" s="8"/>
      <c r="V266" s="27" t="s">
        <v>49</v>
      </c>
      <c r="W266" s="25"/>
      <c r="X266" s="25"/>
      <c r="Y266" s="25"/>
      <c r="Z266" s="25"/>
      <c r="AA266" s="25"/>
      <c r="AB266" s="25"/>
      <c r="AC266" s="25"/>
      <c r="AD266" s="25"/>
    </row>
    <row r="267" customFormat="false" ht="15.75" hidden="false" customHeight="false" outlineLevel="0" collapsed="false">
      <c r="A267" s="28" t="s">
        <v>623</v>
      </c>
      <c r="B267" s="27" t="s">
        <v>438</v>
      </c>
      <c r="C267" s="25" t="s">
        <v>167</v>
      </c>
      <c r="D267" s="27" t="s">
        <v>284</v>
      </c>
      <c r="E267" s="25"/>
      <c r="F267" s="25"/>
      <c r="G267" s="25"/>
      <c r="H267" s="25"/>
      <c r="I267" s="25"/>
      <c r="J267" s="27" t="s">
        <v>589</v>
      </c>
      <c r="K267" s="25" t="str">
        <f aca="false">IFERROR(__xludf.dummyfunction("SPLIT(J267,"" "")"),"CIF")</f>
        <v>CIF</v>
      </c>
      <c r="L267" s="28" t="str">
        <f aca="false">IFERROR(__xludf.dummyfunction("""COMPUTED_VALUE"""),"Canada")</f>
        <v>Canada</v>
      </c>
      <c r="M267" s="27" t="str">
        <f aca="false">IFERROR(__xludf.dummyfunction("""COMPUTED_VALUE"""),"(Diff)")</f>
        <v>(Diff)</v>
      </c>
      <c r="N267" s="25"/>
      <c r="O267" s="25"/>
      <c r="P267" s="25"/>
      <c r="Q267" s="29" t="s">
        <v>287</v>
      </c>
      <c r="R267" s="8" t="str">
        <f aca="false">B267&amp;" "&amp;C267&amp;" "&amp;D267&amp;" "&amp;E267&amp;" "&amp;G267&amp;" "&amp;H267&amp;" "&amp;J267&amp;" "&amp;N267</f>
        <v>Differentials Foils Copper (Battery Grade)    CIF Canada (Diff) </v>
      </c>
      <c r="S267" s="25"/>
      <c r="T267" s="8"/>
      <c r="U267" s="8"/>
      <c r="V267" s="27" t="s">
        <v>49</v>
      </c>
      <c r="W267" s="25"/>
      <c r="X267" s="25"/>
      <c r="Y267" s="25"/>
      <c r="Z267" s="25"/>
      <c r="AA267" s="25"/>
      <c r="AB267" s="25"/>
      <c r="AC267" s="25"/>
      <c r="AD267" s="25"/>
    </row>
    <row r="268" customFormat="false" ht="15.75" hidden="false" customHeight="false" outlineLevel="0" collapsed="false">
      <c r="A268" s="28" t="s">
        <v>624</v>
      </c>
      <c r="B268" s="27" t="s">
        <v>438</v>
      </c>
      <c r="C268" s="25" t="s">
        <v>167</v>
      </c>
      <c r="D268" s="27" t="s">
        <v>284</v>
      </c>
      <c r="E268" s="25"/>
      <c r="F268" s="25"/>
      <c r="G268" s="25"/>
      <c r="H268" s="25"/>
      <c r="I268" s="25"/>
      <c r="J268" s="27" t="s">
        <v>589</v>
      </c>
      <c r="K268" s="25" t="str">
        <f aca="false">IFERROR(__xludf.dummyfunction("SPLIT(J268,"" "")"),"CIF")</f>
        <v>CIF</v>
      </c>
      <c r="L268" s="28" t="str">
        <f aca="false">IFERROR(__xludf.dummyfunction("""COMPUTED_VALUE"""),"Canada")</f>
        <v>Canada</v>
      </c>
      <c r="M268" s="27" t="str">
        <f aca="false">IFERROR(__xludf.dummyfunction("""COMPUTED_VALUE"""),"(Diff)")</f>
        <v>(Diff)</v>
      </c>
      <c r="N268" s="25"/>
      <c r="O268" s="25"/>
      <c r="P268" s="25"/>
      <c r="Q268" s="29" t="s">
        <v>285</v>
      </c>
      <c r="R268" s="8" t="str">
        <f aca="false">B268&amp;" "&amp;C268&amp;" "&amp;D268&amp;" "&amp;E268&amp;" "&amp;G268&amp;" "&amp;H268&amp;" "&amp;J268&amp;" "&amp;N268</f>
        <v>Differentials Foils Copper (Battery Grade)    CIF Canada (Diff) </v>
      </c>
      <c r="S268" s="25"/>
      <c r="T268" s="8"/>
      <c r="U268" s="8"/>
      <c r="V268" s="27" t="s">
        <v>49</v>
      </c>
      <c r="W268" s="25"/>
      <c r="X268" s="25"/>
      <c r="Y268" s="25"/>
      <c r="Z268" s="25"/>
      <c r="AA268" s="25"/>
      <c r="AB268" s="25"/>
      <c r="AC268" s="25"/>
      <c r="AD268" s="25"/>
    </row>
    <row r="269" customFormat="false" ht="15.75" hidden="false" customHeight="false" outlineLevel="0" collapsed="false">
      <c r="A269" s="28" t="s">
        <v>625</v>
      </c>
      <c r="B269" s="27" t="s">
        <v>438</v>
      </c>
      <c r="C269" s="27" t="s">
        <v>289</v>
      </c>
      <c r="D269" s="25"/>
      <c r="E269" s="25"/>
      <c r="F269" s="25"/>
      <c r="G269" s="25"/>
      <c r="H269" s="25"/>
      <c r="I269" s="25"/>
      <c r="J269" s="27" t="s">
        <v>589</v>
      </c>
      <c r="K269" s="25" t="str">
        <f aca="false">IFERROR(__xludf.dummyfunction("SPLIT(J269,"" "")"),"CIF")</f>
        <v>CIF</v>
      </c>
      <c r="L269" s="28" t="str">
        <f aca="false">IFERROR(__xludf.dummyfunction("""COMPUTED_VALUE"""),"Canada")</f>
        <v>Canada</v>
      </c>
      <c r="M269" s="27" t="str">
        <f aca="false">IFERROR(__xludf.dummyfunction("""COMPUTED_VALUE"""),"(Diff)")</f>
        <v>(Diff)</v>
      </c>
      <c r="N269" s="25"/>
      <c r="O269" s="25"/>
      <c r="P269" s="25"/>
      <c r="Q269" s="29" t="s">
        <v>306</v>
      </c>
      <c r="R269" s="8" t="str">
        <f aca="false">B269&amp;" "&amp;C269&amp;" "&amp;D269&amp;" "&amp;E269&amp;" "&amp;G269&amp;" "&amp;H269&amp;" "&amp;J269&amp;" "&amp;N269</f>
        <v>Differentials Electrolyte     CIF Canada (Diff) </v>
      </c>
      <c r="S269" s="25"/>
      <c r="T269" s="8"/>
      <c r="U269" s="8"/>
      <c r="V269" s="27" t="s">
        <v>49</v>
      </c>
      <c r="W269" s="25"/>
      <c r="X269" s="25"/>
      <c r="Y269" s="25"/>
      <c r="Z269" s="25"/>
      <c r="AA269" s="25"/>
      <c r="AB269" s="25"/>
      <c r="AC269" s="25"/>
      <c r="AD269" s="25"/>
    </row>
    <row r="270" customFormat="false" ht="15.75" hidden="false" customHeight="false" outlineLevel="0" collapsed="false">
      <c r="A270" s="28" t="s">
        <v>626</v>
      </c>
      <c r="B270" s="27" t="s">
        <v>438</v>
      </c>
      <c r="C270" s="27" t="s">
        <v>289</v>
      </c>
      <c r="D270" s="25"/>
      <c r="E270" s="25"/>
      <c r="F270" s="25"/>
      <c r="G270" s="25"/>
      <c r="H270" s="25"/>
      <c r="I270" s="25"/>
      <c r="J270" s="27" t="s">
        <v>589</v>
      </c>
      <c r="K270" s="25" t="str">
        <f aca="false">IFERROR(__xludf.dummyfunction("SPLIT(J270,"" "")"),"CIF")</f>
        <v>CIF</v>
      </c>
      <c r="L270" s="28" t="str">
        <f aca="false">IFERROR(__xludf.dummyfunction("""COMPUTED_VALUE"""),"Canada")</f>
        <v>Canada</v>
      </c>
      <c r="M270" s="27" t="str">
        <f aca="false">IFERROR(__xludf.dummyfunction("""COMPUTED_VALUE"""),"(Diff)")</f>
        <v>(Diff)</v>
      </c>
      <c r="N270" s="25"/>
      <c r="O270" s="25"/>
      <c r="P270" s="25"/>
      <c r="Q270" s="29" t="s">
        <v>304</v>
      </c>
      <c r="R270" s="8" t="str">
        <f aca="false">B270&amp;" "&amp;C270&amp;" "&amp;D270&amp;" "&amp;E270&amp;" "&amp;G270&amp;" "&amp;H270&amp;" "&amp;J270&amp;" "&amp;N270</f>
        <v>Differentials Electrolyte     CIF Canada (Diff) </v>
      </c>
      <c r="S270" s="25"/>
      <c r="T270" s="8"/>
      <c r="U270" s="8"/>
      <c r="V270" s="27" t="s">
        <v>49</v>
      </c>
      <c r="W270" s="25"/>
      <c r="X270" s="25"/>
      <c r="Y270" s="25"/>
      <c r="Z270" s="25"/>
      <c r="AA270" s="25"/>
      <c r="AB270" s="25"/>
      <c r="AC270" s="25"/>
      <c r="AD270" s="25"/>
    </row>
    <row r="271" customFormat="false" ht="15.75" hidden="false" customHeight="false" outlineLevel="0" collapsed="false">
      <c r="A271" s="28" t="s">
        <v>627</v>
      </c>
      <c r="B271" s="27" t="s">
        <v>438</v>
      </c>
      <c r="C271" s="27" t="s">
        <v>289</v>
      </c>
      <c r="D271" s="25"/>
      <c r="E271" s="25"/>
      <c r="F271" s="25"/>
      <c r="G271" s="25"/>
      <c r="H271" s="25"/>
      <c r="I271" s="25"/>
      <c r="J271" s="27" t="s">
        <v>589</v>
      </c>
      <c r="K271" s="25" t="str">
        <f aca="false">IFERROR(__xludf.dummyfunction("SPLIT(J271,"" "")"),"CIF")</f>
        <v>CIF</v>
      </c>
      <c r="L271" s="28" t="str">
        <f aca="false">IFERROR(__xludf.dummyfunction("""COMPUTED_VALUE"""),"Canada")</f>
        <v>Canada</v>
      </c>
      <c r="M271" s="27" t="str">
        <f aca="false">IFERROR(__xludf.dummyfunction("""COMPUTED_VALUE"""),"(Diff)")</f>
        <v>(Diff)</v>
      </c>
      <c r="N271" s="25"/>
      <c r="O271" s="25"/>
      <c r="P271" s="25"/>
      <c r="Q271" s="29" t="s">
        <v>302</v>
      </c>
      <c r="R271" s="8" t="str">
        <f aca="false">B271&amp;" "&amp;C271&amp;" "&amp;D271&amp;" "&amp;E271&amp;" "&amp;G271&amp;" "&amp;H271&amp;" "&amp;J271&amp;" "&amp;N271</f>
        <v>Differentials Electrolyte     CIF Canada (Diff) </v>
      </c>
      <c r="S271" s="25"/>
      <c r="T271" s="8"/>
      <c r="U271" s="8"/>
      <c r="V271" s="27" t="s">
        <v>49</v>
      </c>
      <c r="W271" s="25"/>
      <c r="X271" s="25"/>
      <c r="Y271" s="25"/>
      <c r="Z271" s="25"/>
      <c r="AA271" s="25"/>
      <c r="AB271" s="25"/>
      <c r="AC271" s="25"/>
      <c r="AD271" s="25"/>
    </row>
    <row r="272" customFormat="false" ht="15.75" hidden="false" customHeight="false" outlineLevel="0" collapsed="false">
      <c r="A272" s="28" t="s">
        <v>628</v>
      </c>
      <c r="B272" s="27" t="s">
        <v>438</v>
      </c>
      <c r="C272" s="27" t="s">
        <v>289</v>
      </c>
      <c r="D272" s="25"/>
      <c r="E272" s="25"/>
      <c r="F272" s="25"/>
      <c r="G272" s="25"/>
      <c r="H272" s="25"/>
      <c r="I272" s="25"/>
      <c r="J272" s="27" t="s">
        <v>589</v>
      </c>
      <c r="K272" s="25" t="str">
        <f aca="false">IFERROR(__xludf.dummyfunction("SPLIT(J272,"" "")"),"CIF")</f>
        <v>CIF</v>
      </c>
      <c r="L272" s="28" t="str">
        <f aca="false">IFERROR(__xludf.dummyfunction("""COMPUTED_VALUE"""),"Canada")</f>
        <v>Canada</v>
      </c>
      <c r="M272" s="27" t="str">
        <f aca="false">IFERROR(__xludf.dummyfunction("""COMPUTED_VALUE"""),"(Diff)")</f>
        <v>(Diff)</v>
      </c>
      <c r="N272" s="25"/>
      <c r="O272" s="25"/>
      <c r="P272" s="25"/>
      <c r="Q272" s="29" t="s">
        <v>300</v>
      </c>
      <c r="R272" s="8" t="str">
        <f aca="false">B272&amp;" "&amp;C272&amp;" "&amp;D272&amp;" "&amp;E272&amp;" "&amp;G272&amp;" "&amp;H272&amp;" "&amp;J272&amp;" "&amp;N272</f>
        <v>Differentials Electrolyte     CIF Canada (Diff) </v>
      </c>
      <c r="S272" s="25"/>
      <c r="T272" s="8"/>
      <c r="U272" s="8"/>
      <c r="V272" s="27" t="s">
        <v>49</v>
      </c>
      <c r="W272" s="25"/>
      <c r="X272" s="25"/>
      <c r="Y272" s="25"/>
      <c r="Z272" s="25"/>
      <c r="AA272" s="25"/>
      <c r="AB272" s="25"/>
      <c r="AC272" s="25"/>
      <c r="AD272" s="25"/>
    </row>
    <row r="273" customFormat="false" ht="15.75" hidden="false" customHeight="false" outlineLevel="0" collapsed="false">
      <c r="A273" s="28" t="s">
        <v>629</v>
      </c>
      <c r="B273" s="27" t="s">
        <v>438</v>
      </c>
      <c r="C273" s="27" t="s">
        <v>289</v>
      </c>
      <c r="D273" s="25"/>
      <c r="E273" s="25"/>
      <c r="F273" s="25"/>
      <c r="G273" s="25"/>
      <c r="H273" s="25"/>
      <c r="I273" s="25"/>
      <c r="J273" s="27" t="s">
        <v>589</v>
      </c>
      <c r="K273" s="25" t="str">
        <f aca="false">IFERROR(__xludf.dummyfunction("SPLIT(J273,"" "")"),"CIF")</f>
        <v>CIF</v>
      </c>
      <c r="L273" s="28" t="str">
        <f aca="false">IFERROR(__xludf.dummyfunction("""COMPUTED_VALUE"""),"Canada")</f>
        <v>Canada</v>
      </c>
      <c r="M273" s="27" t="str">
        <f aca="false">IFERROR(__xludf.dummyfunction("""COMPUTED_VALUE"""),"(Diff)")</f>
        <v>(Diff)</v>
      </c>
      <c r="N273" s="25"/>
      <c r="O273" s="25"/>
      <c r="P273" s="25"/>
      <c r="Q273" s="29" t="s">
        <v>298</v>
      </c>
      <c r="R273" s="8" t="str">
        <f aca="false">B273&amp;" "&amp;C273&amp;" "&amp;D273&amp;" "&amp;E273&amp;" "&amp;G273&amp;" "&amp;H273&amp;" "&amp;J273&amp;" "&amp;N273</f>
        <v>Differentials Electrolyte     CIF Canada (Diff) </v>
      </c>
      <c r="S273" s="25"/>
      <c r="T273" s="8"/>
      <c r="U273" s="8"/>
      <c r="V273" s="27" t="s">
        <v>49</v>
      </c>
      <c r="W273" s="25"/>
      <c r="X273" s="25"/>
      <c r="Y273" s="25"/>
      <c r="Z273" s="25"/>
      <c r="AA273" s="25"/>
      <c r="AB273" s="25"/>
      <c r="AC273" s="25"/>
      <c r="AD273" s="25"/>
    </row>
    <row r="274" customFormat="false" ht="15.75" hidden="false" customHeight="false" outlineLevel="0" collapsed="false">
      <c r="A274" s="28" t="s">
        <v>630</v>
      </c>
      <c r="B274" s="27" t="s">
        <v>438</v>
      </c>
      <c r="C274" s="27" t="s">
        <v>289</v>
      </c>
      <c r="D274" s="25"/>
      <c r="E274" s="25"/>
      <c r="F274" s="25"/>
      <c r="G274" s="25"/>
      <c r="H274" s="25"/>
      <c r="I274" s="25"/>
      <c r="J274" s="27" t="s">
        <v>589</v>
      </c>
      <c r="K274" s="25" t="str">
        <f aca="false">IFERROR(__xludf.dummyfunction("SPLIT(J274,"" "")"),"CIF")</f>
        <v>CIF</v>
      </c>
      <c r="L274" s="28" t="str">
        <f aca="false">IFERROR(__xludf.dummyfunction("""COMPUTED_VALUE"""),"Canada")</f>
        <v>Canada</v>
      </c>
      <c r="M274" s="27" t="str">
        <f aca="false">IFERROR(__xludf.dummyfunction("""COMPUTED_VALUE"""),"(Diff)")</f>
        <v>(Diff)</v>
      </c>
      <c r="N274" s="25"/>
      <c r="O274" s="25"/>
      <c r="P274" s="25"/>
      <c r="Q274" s="29" t="s">
        <v>296</v>
      </c>
      <c r="R274" s="8" t="str">
        <f aca="false">B274&amp;" "&amp;C274&amp;" "&amp;D274&amp;" "&amp;E274&amp;" "&amp;G274&amp;" "&amp;H274&amp;" "&amp;J274&amp;" "&amp;N274</f>
        <v>Differentials Electrolyte     CIF Canada (Diff) </v>
      </c>
      <c r="S274" s="25"/>
      <c r="T274" s="8"/>
      <c r="U274" s="8"/>
      <c r="V274" s="27" t="s">
        <v>49</v>
      </c>
      <c r="W274" s="25"/>
      <c r="X274" s="25"/>
      <c r="Y274" s="25"/>
      <c r="Z274" s="25"/>
      <c r="AA274" s="25"/>
      <c r="AB274" s="25"/>
      <c r="AC274" s="25"/>
      <c r="AD274" s="25"/>
    </row>
    <row r="275" customFormat="false" ht="15.75" hidden="false" customHeight="false" outlineLevel="0" collapsed="false">
      <c r="A275" s="28" t="s">
        <v>631</v>
      </c>
      <c r="B275" s="27" t="s">
        <v>438</v>
      </c>
      <c r="C275" s="27" t="s">
        <v>289</v>
      </c>
      <c r="D275" s="25"/>
      <c r="E275" s="25"/>
      <c r="F275" s="25"/>
      <c r="G275" s="25"/>
      <c r="H275" s="25"/>
      <c r="I275" s="25"/>
      <c r="J275" s="27" t="s">
        <v>589</v>
      </c>
      <c r="K275" s="25" t="str">
        <f aca="false">IFERROR(__xludf.dummyfunction("SPLIT(J275,"" "")"),"CIF")</f>
        <v>CIF</v>
      </c>
      <c r="L275" s="28" t="str">
        <f aca="false">IFERROR(__xludf.dummyfunction("""COMPUTED_VALUE"""),"Canada")</f>
        <v>Canada</v>
      </c>
      <c r="M275" s="27" t="str">
        <f aca="false">IFERROR(__xludf.dummyfunction("""COMPUTED_VALUE"""),"(Diff)")</f>
        <v>(Diff)</v>
      </c>
      <c r="N275" s="25"/>
      <c r="O275" s="25"/>
      <c r="P275" s="25"/>
      <c r="Q275" s="29" t="s">
        <v>294</v>
      </c>
      <c r="R275" s="8" t="str">
        <f aca="false">B275&amp;" "&amp;C275&amp;" "&amp;D275&amp;" "&amp;E275&amp;" "&amp;G275&amp;" "&amp;H275&amp;" "&amp;J275&amp;" "&amp;N275</f>
        <v>Differentials Electrolyte     CIF Canada (Diff) </v>
      </c>
      <c r="S275" s="25"/>
      <c r="T275" s="8"/>
      <c r="U275" s="8"/>
      <c r="V275" s="27" t="s">
        <v>49</v>
      </c>
      <c r="W275" s="25"/>
      <c r="X275" s="25"/>
      <c r="Y275" s="25"/>
      <c r="Z275" s="25"/>
      <c r="AA275" s="25"/>
      <c r="AB275" s="25"/>
      <c r="AC275" s="25"/>
      <c r="AD275" s="25"/>
    </row>
    <row r="276" customFormat="false" ht="15.75" hidden="false" customHeight="false" outlineLevel="0" collapsed="false">
      <c r="A276" s="28" t="s">
        <v>632</v>
      </c>
      <c r="B276" s="27" t="s">
        <v>438</v>
      </c>
      <c r="C276" s="27" t="s">
        <v>289</v>
      </c>
      <c r="D276" s="25"/>
      <c r="E276" s="25"/>
      <c r="F276" s="25"/>
      <c r="G276" s="25"/>
      <c r="H276" s="25"/>
      <c r="I276" s="25"/>
      <c r="J276" s="27" t="s">
        <v>589</v>
      </c>
      <c r="K276" s="25" t="str">
        <f aca="false">IFERROR(__xludf.dummyfunction("SPLIT(J276,"" "")"),"CIF")</f>
        <v>CIF</v>
      </c>
      <c r="L276" s="28" t="str">
        <f aca="false">IFERROR(__xludf.dummyfunction("""COMPUTED_VALUE"""),"Canada")</f>
        <v>Canada</v>
      </c>
      <c r="M276" s="27" t="str">
        <f aca="false">IFERROR(__xludf.dummyfunction("""COMPUTED_VALUE"""),"(Diff)")</f>
        <v>(Diff)</v>
      </c>
      <c r="N276" s="25"/>
      <c r="O276" s="25"/>
      <c r="P276" s="25"/>
      <c r="Q276" s="29" t="s">
        <v>291</v>
      </c>
      <c r="R276" s="8" t="str">
        <f aca="false">B276&amp;" "&amp;C276&amp;" "&amp;D276&amp;" "&amp;E276&amp;" "&amp;G276&amp;" "&amp;H276&amp;" "&amp;J276&amp;" "&amp;N276</f>
        <v>Differentials Electrolyte     CIF Canada (Diff) </v>
      </c>
      <c r="S276" s="25"/>
      <c r="T276" s="8"/>
      <c r="U276" s="8"/>
      <c r="V276" s="27" t="s">
        <v>49</v>
      </c>
      <c r="W276" s="25"/>
      <c r="X276" s="25"/>
      <c r="Y276" s="25"/>
      <c r="Z276" s="25"/>
      <c r="AA276" s="25"/>
      <c r="AB276" s="25"/>
      <c r="AC276" s="25"/>
      <c r="AD276" s="25"/>
    </row>
    <row r="277" customFormat="false" ht="15.75" hidden="false" customHeight="false" outlineLevel="0" collapsed="false">
      <c r="A277" s="28" t="s">
        <v>633</v>
      </c>
      <c r="B277" s="27" t="s">
        <v>438</v>
      </c>
      <c r="C277" s="27" t="s">
        <v>308</v>
      </c>
      <c r="D277" s="25"/>
      <c r="E277" s="25"/>
      <c r="F277" s="25"/>
      <c r="G277" s="25"/>
      <c r="H277" s="25"/>
      <c r="I277" s="25"/>
      <c r="J277" s="27" t="s">
        <v>589</v>
      </c>
      <c r="K277" s="25" t="str">
        <f aca="false">IFERROR(__xludf.dummyfunction("SPLIT(J277,"" "")"),"CIF")</f>
        <v>CIF</v>
      </c>
      <c r="L277" s="28" t="str">
        <f aca="false">IFERROR(__xludf.dummyfunction("""COMPUTED_VALUE"""),"Canada")</f>
        <v>Canada</v>
      </c>
      <c r="M277" s="27" t="str">
        <f aca="false">IFERROR(__xludf.dummyfunction("""COMPUTED_VALUE"""),"(Diff)")</f>
        <v>(Diff)</v>
      </c>
      <c r="N277" s="25"/>
      <c r="O277" s="25"/>
      <c r="P277" s="25"/>
      <c r="Q277" s="29" t="s">
        <v>358</v>
      </c>
      <c r="R277" s="8" t="str">
        <f aca="false">B277&amp;" "&amp;C277&amp;" "&amp;D277&amp;" "&amp;E277&amp;" "&amp;G277&amp;" "&amp;H277&amp;" "&amp;J277&amp;" "&amp;N277</f>
        <v>Differentials Graphite     CIF Canada (Diff) </v>
      </c>
      <c r="S277" s="25"/>
      <c r="T277" s="8"/>
      <c r="U277" s="8"/>
      <c r="V277" s="27" t="s">
        <v>49</v>
      </c>
      <c r="W277" s="25"/>
      <c r="X277" s="25"/>
      <c r="Y277" s="25"/>
      <c r="Z277" s="25"/>
      <c r="AA277" s="25"/>
      <c r="AB277" s="25"/>
      <c r="AC277" s="25"/>
      <c r="AD277" s="25"/>
    </row>
    <row r="278" customFormat="false" ht="15.75" hidden="false" customHeight="false" outlineLevel="0" collapsed="false">
      <c r="A278" s="28" t="s">
        <v>634</v>
      </c>
      <c r="B278" s="27" t="s">
        <v>438</v>
      </c>
      <c r="C278" s="27" t="s">
        <v>308</v>
      </c>
      <c r="D278" s="25"/>
      <c r="E278" s="25"/>
      <c r="F278" s="25"/>
      <c r="G278" s="25"/>
      <c r="H278" s="25"/>
      <c r="I278" s="25"/>
      <c r="J278" s="27" t="s">
        <v>589</v>
      </c>
      <c r="K278" s="25" t="str">
        <f aca="false">IFERROR(__xludf.dummyfunction("SPLIT(J278,"" "")"),"CIF")</f>
        <v>CIF</v>
      </c>
      <c r="L278" s="28" t="str">
        <f aca="false">IFERROR(__xludf.dummyfunction("""COMPUTED_VALUE"""),"Canada")</f>
        <v>Canada</v>
      </c>
      <c r="M278" s="27" t="str">
        <f aca="false">IFERROR(__xludf.dummyfunction("""COMPUTED_VALUE"""),"(Diff)")</f>
        <v>(Diff)</v>
      </c>
      <c r="N278" s="25"/>
      <c r="O278" s="25"/>
      <c r="P278" s="25"/>
      <c r="Q278" s="29" t="s">
        <v>356</v>
      </c>
      <c r="R278" s="8" t="str">
        <f aca="false">B278&amp;" "&amp;C278&amp;" "&amp;D278&amp;" "&amp;E278&amp;" "&amp;G278&amp;" "&amp;H278&amp;" "&amp;J278&amp;" "&amp;N278</f>
        <v>Differentials Graphite     CIF Canada (Diff) </v>
      </c>
      <c r="S278" s="25"/>
      <c r="T278" s="8"/>
      <c r="U278" s="8"/>
      <c r="V278" s="27" t="s">
        <v>49</v>
      </c>
      <c r="W278" s="25"/>
      <c r="X278" s="25"/>
      <c r="Y278" s="25"/>
      <c r="Z278" s="25"/>
      <c r="AA278" s="25"/>
      <c r="AB278" s="25"/>
      <c r="AC278" s="25"/>
      <c r="AD278" s="25"/>
    </row>
    <row r="279" customFormat="false" ht="15.75" hidden="false" customHeight="false" outlineLevel="0" collapsed="false">
      <c r="A279" s="28" t="s">
        <v>635</v>
      </c>
      <c r="B279" s="27" t="s">
        <v>438</v>
      </c>
      <c r="C279" s="27" t="s">
        <v>308</v>
      </c>
      <c r="D279" s="25"/>
      <c r="E279" s="25"/>
      <c r="F279" s="25"/>
      <c r="G279" s="25"/>
      <c r="H279" s="25"/>
      <c r="I279" s="25"/>
      <c r="J279" s="27" t="s">
        <v>589</v>
      </c>
      <c r="K279" s="25" t="str">
        <f aca="false">IFERROR(__xludf.dummyfunction("SPLIT(J279,"" "")"),"CIF")</f>
        <v>CIF</v>
      </c>
      <c r="L279" s="28" t="str">
        <f aca="false">IFERROR(__xludf.dummyfunction("""COMPUTED_VALUE"""),"Canada")</f>
        <v>Canada</v>
      </c>
      <c r="M279" s="27" t="str">
        <f aca="false">IFERROR(__xludf.dummyfunction("""COMPUTED_VALUE"""),"(Diff)")</f>
        <v>(Diff)</v>
      </c>
      <c r="N279" s="25"/>
      <c r="O279" s="25"/>
      <c r="P279" s="25"/>
      <c r="Q279" s="29" t="s">
        <v>354</v>
      </c>
      <c r="R279" s="8" t="str">
        <f aca="false">B279&amp;" "&amp;C279&amp;" "&amp;D279&amp;" "&amp;E279&amp;" "&amp;G279&amp;" "&amp;H279&amp;" "&amp;J279&amp;" "&amp;N279</f>
        <v>Differentials Graphite     CIF Canada (Diff) </v>
      </c>
      <c r="S279" s="25"/>
      <c r="T279" s="8"/>
      <c r="U279" s="8"/>
      <c r="V279" s="27" t="s">
        <v>49</v>
      </c>
      <c r="W279" s="25"/>
      <c r="X279" s="25"/>
      <c r="Y279" s="25"/>
      <c r="Z279" s="25"/>
      <c r="AA279" s="25"/>
      <c r="AB279" s="25"/>
      <c r="AC279" s="25"/>
      <c r="AD279" s="25"/>
    </row>
    <row r="280" customFormat="false" ht="15.75" hidden="false" customHeight="false" outlineLevel="0" collapsed="false">
      <c r="A280" s="28" t="s">
        <v>636</v>
      </c>
      <c r="B280" s="27" t="s">
        <v>438</v>
      </c>
      <c r="C280" s="27" t="s">
        <v>308</v>
      </c>
      <c r="D280" s="25"/>
      <c r="E280" s="25"/>
      <c r="F280" s="25"/>
      <c r="G280" s="25"/>
      <c r="H280" s="25"/>
      <c r="I280" s="25"/>
      <c r="J280" s="27" t="s">
        <v>589</v>
      </c>
      <c r="K280" s="25" t="str">
        <f aca="false">IFERROR(__xludf.dummyfunction("SPLIT(J280,"" "")"),"CIF")</f>
        <v>CIF</v>
      </c>
      <c r="L280" s="28" t="str">
        <f aca="false">IFERROR(__xludf.dummyfunction("""COMPUTED_VALUE"""),"Canada")</f>
        <v>Canada</v>
      </c>
      <c r="M280" s="27" t="str">
        <f aca="false">IFERROR(__xludf.dummyfunction("""COMPUTED_VALUE"""),"(Diff)")</f>
        <v>(Diff)</v>
      </c>
      <c r="N280" s="25"/>
      <c r="O280" s="25"/>
      <c r="P280" s="25"/>
      <c r="Q280" s="29" t="s">
        <v>352</v>
      </c>
      <c r="R280" s="8" t="str">
        <f aca="false">B280&amp;" "&amp;C280&amp;" "&amp;D280&amp;" "&amp;E280&amp;" "&amp;G280&amp;" "&amp;H280&amp;" "&amp;J280&amp;" "&amp;N280</f>
        <v>Differentials Graphite     CIF Canada (Diff) </v>
      </c>
      <c r="S280" s="25"/>
      <c r="T280" s="8"/>
      <c r="U280" s="8"/>
      <c r="V280" s="27" t="s">
        <v>49</v>
      </c>
      <c r="W280" s="25"/>
      <c r="X280" s="25"/>
      <c r="Y280" s="25"/>
      <c r="Z280" s="25"/>
      <c r="AA280" s="25"/>
      <c r="AB280" s="25"/>
      <c r="AC280" s="25"/>
      <c r="AD280" s="25"/>
    </row>
    <row r="281" customFormat="false" ht="15.75" hidden="false" customHeight="false" outlineLevel="0" collapsed="false">
      <c r="A281" s="28" t="s">
        <v>637</v>
      </c>
      <c r="B281" s="27" t="s">
        <v>438</v>
      </c>
      <c r="C281" s="27" t="s">
        <v>308</v>
      </c>
      <c r="D281" s="25"/>
      <c r="E281" s="25"/>
      <c r="F281" s="25"/>
      <c r="G281" s="25"/>
      <c r="H281" s="25"/>
      <c r="I281" s="25"/>
      <c r="J281" s="27" t="s">
        <v>589</v>
      </c>
      <c r="K281" s="25" t="str">
        <f aca="false">IFERROR(__xludf.dummyfunction("SPLIT(J281,"" "")"),"CIF")</f>
        <v>CIF</v>
      </c>
      <c r="L281" s="28" t="str">
        <f aca="false">IFERROR(__xludf.dummyfunction("""COMPUTED_VALUE"""),"Canada")</f>
        <v>Canada</v>
      </c>
      <c r="M281" s="27" t="str">
        <f aca="false">IFERROR(__xludf.dummyfunction("""COMPUTED_VALUE"""),"(Diff)")</f>
        <v>(Diff)</v>
      </c>
      <c r="N281" s="25"/>
      <c r="O281" s="25"/>
      <c r="P281" s="25"/>
      <c r="Q281" s="29" t="s">
        <v>350</v>
      </c>
      <c r="R281" s="8" t="str">
        <f aca="false">B281&amp;" "&amp;C281&amp;" "&amp;D281&amp;" "&amp;E281&amp;" "&amp;G281&amp;" "&amp;H281&amp;" "&amp;J281&amp;" "&amp;N281</f>
        <v>Differentials Graphite     CIF Canada (Diff) </v>
      </c>
      <c r="S281" s="25"/>
      <c r="T281" s="8"/>
      <c r="U281" s="8"/>
      <c r="V281" s="27" t="s">
        <v>49</v>
      </c>
      <c r="W281" s="25"/>
      <c r="X281" s="25"/>
      <c r="Y281" s="25"/>
      <c r="Z281" s="25"/>
      <c r="AA281" s="25"/>
      <c r="AB281" s="25"/>
      <c r="AC281" s="25"/>
      <c r="AD281" s="25"/>
    </row>
    <row r="282" customFormat="false" ht="15.75" hidden="false" customHeight="false" outlineLevel="0" collapsed="false">
      <c r="A282" s="28" t="s">
        <v>638</v>
      </c>
      <c r="B282" s="27" t="s">
        <v>438</v>
      </c>
      <c r="C282" s="27" t="s">
        <v>308</v>
      </c>
      <c r="D282" s="25"/>
      <c r="E282" s="25"/>
      <c r="F282" s="25"/>
      <c r="G282" s="25"/>
      <c r="H282" s="25"/>
      <c r="I282" s="25"/>
      <c r="J282" s="27" t="s">
        <v>589</v>
      </c>
      <c r="K282" s="25" t="str">
        <f aca="false">IFERROR(__xludf.dummyfunction("SPLIT(J282,"" "")"),"CIF")</f>
        <v>CIF</v>
      </c>
      <c r="L282" s="28" t="str">
        <f aca="false">IFERROR(__xludf.dummyfunction("""COMPUTED_VALUE"""),"Canada")</f>
        <v>Canada</v>
      </c>
      <c r="M282" s="27" t="str">
        <f aca="false">IFERROR(__xludf.dummyfunction("""COMPUTED_VALUE"""),"(Diff)")</f>
        <v>(Diff)</v>
      </c>
      <c r="N282" s="25"/>
      <c r="O282" s="25"/>
      <c r="P282" s="25"/>
      <c r="Q282" s="29" t="s">
        <v>347</v>
      </c>
      <c r="R282" s="8" t="str">
        <f aca="false">B282&amp;" "&amp;C282&amp;" "&amp;D282&amp;" "&amp;E282&amp;" "&amp;G282&amp;" "&amp;H282&amp;" "&amp;J282&amp;" "&amp;N282</f>
        <v>Differentials Graphite     CIF Canada (Diff) </v>
      </c>
      <c r="S282" s="25"/>
      <c r="T282" s="8"/>
      <c r="U282" s="8"/>
      <c r="V282" s="27" t="s">
        <v>49</v>
      </c>
      <c r="W282" s="25"/>
      <c r="X282" s="25"/>
      <c r="Y282" s="25"/>
      <c r="Z282" s="25"/>
      <c r="AA282" s="25"/>
      <c r="AB282" s="25"/>
      <c r="AC282" s="25"/>
      <c r="AD282" s="25"/>
    </row>
    <row r="283" customFormat="false" ht="15.75" hidden="false" customHeight="false" outlineLevel="0" collapsed="false">
      <c r="A283" s="28" t="s">
        <v>639</v>
      </c>
      <c r="B283" s="27" t="s">
        <v>438</v>
      </c>
      <c r="C283" s="27" t="s">
        <v>308</v>
      </c>
      <c r="D283" s="25"/>
      <c r="E283" s="25"/>
      <c r="F283" s="25"/>
      <c r="G283" s="25"/>
      <c r="H283" s="25"/>
      <c r="I283" s="25"/>
      <c r="J283" s="27" t="s">
        <v>589</v>
      </c>
      <c r="K283" s="25" t="str">
        <f aca="false">IFERROR(__xludf.dummyfunction("SPLIT(J283,"" "")"),"CIF")</f>
        <v>CIF</v>
      </c>
      <c r="L283" s="28" t="str">
        <f aca="false">IFERROR(__xludf.dummyfunction("""COMPUTED_VALUE"""),"Canada")</f>
        <v>Canada</v>
      </c>
      <c r="M283" s="27" t="str">
        <f aca="false">IFERROR(__xludf.dummyfunction("""COMPUTED_VALUE"""),"(Diff)")</f>
        <v>(Diff)</v>
      </c>
      <c r="N283" s="25"/>
      <c r="O283" s="25"/>
      <c r="P283" s="25"/>
      <c r="Q283" s="29" t="s">
        <v>344</v>
      </c>
      <c r="R283" s="8" t="str">
        <f aca="false">B283&amp;" "&amp;C283&amp;" "&amp;D283&amp;" "&amp;E283&amp;" "&amp;G283&amp;" "&amp;H283&amp;" "&amp;J283&amp;" "&amp;N283</f>
        <v>Differentials Graphite     CIF Canada (Diff) </v>
      </c>
      <c r="S283" s="25"/>
      <c r="T283" s="8"/>
      <c r="U283" s="8"/>
      <c r="V283" s="27" t="s">
        <v>49</v>
      </c>
      <c r="W283" s="25"/>
      <c r="X283" s="25"/>
      <c r="Y283" s="25"/>
      <c r="Z283" s="25"/>
      <c r="AA283" s="25"/>
      <c r="AB283" s="25"/>
      <c r="AC283" s="25"/>
      <c r="AD283" s="25"/>
    </row>
    <row r="284" customFormat="false" ht="15.75" hidden="false" customHeight="false" outlineLevel="0" collapsed="false">
      <c r="A284" s="28" t="s">
        <v>640</v>
      </c>
      <c r="B284" s="27" t="s">
        <v>438</v>
      </c>
      <c r="C284" s="27" t="s">
        <v>308</v>
      </c>
      <c r="D284" s="25"/>
      <c r="E284" s="25"/>
      <c r="F284" s="25"/>
      <c r="G284" s="25"/>
      <c r="H284" s="25"/>
      <c r="I284" s="25"/>
      <c r="J284" s="27" t="s">
        <v>589</v>
      </c>
      <c r="K284" s="25" t="str">
        <f aca="false">IFERROR(__xludf.dummyfunction("SPLIT(J284,"" "")"),"CIF")</f>
        <v>CIF</v>
      </c>
      <c r="L284" s="28" t="str">
        <f aca="false">IFERROR(__xludf.dummyfunction("""COMPUTED_VALUE"""),"Canada")</f>
        <v>Canada</v>
      </c>
      <c r="M284" s="27" t="str">
        <f aca="false">IFERROR(__xludf.dummyfunction("""COMPUTED_VALUE"""),"(Diff)")</f>
        <v>(Diff)</v>
      </c>
      <c r="N284" s="25"/>
      <c r="O284" s="25"/>
      <c r="P284" s="25"/>
      <c r="Q284" s="29" t="s">
        <v>340</v>
      </c>
      <c r="R284" s="8" t="str">
        <f aca="false">B284&amp;" "&amp;C284&amp;" "&amp;D284&amp;" "&amp;E284&amp;" "&amp;G284&amp;" "&amp;H284&amp;" "&amp;J284&amp;" "&amp;N284</f>
        <v>Differentials Graphite     CIF Canada (Diff) </v>
      </c>
      <c r="S284" s="25"/>
      <c r="T284" s="8"/>
      <c r="U284" s="8"/>
      <c r="V284" s="27" t="s">
        <v>49</v>
      </c>
      <c r="W284" s="25"/>
      <c r="X284" s="25"/>
      <c r="Y284" s="25"/>
      <c r="Z284" s="25"/>
      <c r="AA284" s="25"/>
      <c r="AB284" s="25"/>
      <c r="AC284" s="25"/>
      <c r="AD284" s="25"/>
    </row>
    <row r="285" customFormat="false" ht="15.75" hidden="false" customHeight="false" outlineLevel="0" collapsed="false">
      <c r="A285" s="28" t="s">
        <v>641</v>
      </c>
      <c r="B285" s="27" t="s">
        <v>438</v>
      </c>
      <c r="C285" s="27" t="s">
        <v>308</v>
      </c>
      <c r="D285" s="25"/>
      <c r="E285" s="25"/>
      <c r="F285" s="25"/>
      <c r="G285" s="25"/>
      <c r="H285" s="25"/>
      <c r="I285" s="25"/>
      <c r="J285" s="27" t="s">
        <v>589</v>
      </c>
      <c r="K285" s="25" t="str">
        <f aca="false">IFERROR(__xludf.dummyfunction("SPLIT(J285,"" "")"),"CIF")</f>
        <v>CIF</v>
      </c>
      <c r="L285" s="28" t="str">
        <f aca="false">IFERROR(__xludf.dummyfunction("""COMPUTED_VALUE"""),"Canada")</f>
        <v>Canada</v>
      </c>
      <c r="M285" s="27" t="str">
        <f aca="false">IFERROR(__xludf.dummyfunction("""COMPUTED_VALUE"""),"(Diff)")</f>
        <v>(Diff)</v>
      </c>
      <c r="N285" s="25"/>
      <c r="O285" s="25"/>
      <c r="P285" s="25"/>
      <c r="Q285" s="29" t="s">
        <v>338</v>
      </c>
      <c r="R285" s="8" t="str">
        <f aca="false">B285&amp;" "&amp;C285&amp;" "&amp;D285&amp;" "&amp;E285&amp;" "&amp;G285&amp;" "&amp;H285&amp;" "&amp;J285&amp;" "&amp;N285</f>
        <v>Differentials Graphite     CIF Canada (Diff) </v>
      </c>
      <c r="S285" s="25"/>
      <c r="T285" s="8"/>
      <c r="U285" s="8"/>
      <c r="V285" s="27" t="s">
        <v>49</v>
      </c>
      <c r="W285" s="25"/>
      <c r="X285" s="25"/>
      <c r="Y285" s="25"/>
      <c r="Z285" s="25"/>
      <c r="AA285" s="25"/>
      <c r="AB285" s="25"/>
      <c r="AC285" s="25"/>
      <c r="AD285" s="25"/>
    </row>
    <row r="286" customFormat="false" ht="15.75" hidden="false" customHeight="false" outlineLevel="0" collapsed="false">
      <c r="A286" s="28" t="s">
        <v>642</v>
      </c>
      <c r="B286" s="27" t="s">
        <v>438</v>
      </c>
      <c r="C286" s="27" t="s">
        <v>308</v>
      </c>
      <c r="D286" s="25"/>
      <c r="E286" s="25"/>
      <c r="F286" s="25"/>
      <c r="G286" s="25"/>
      <c r="H286" s="25"/>
      <c r="I286" s="25"/>
      <c r="J286" s="27" t="s">
        <v>589</v>
      </c>
      <c r="K286" s="25" t="str">
        <f aca="false">IFERROR(__xludf.dummyfunction("SPLIT(J286,"" "")"),"CIF")</f>
        <v>CIF</v>
      </c>
      <c r="L286" s="28" t="str">
        <f aca="false">IFERROR(__xludf.dummyfunction("""COMPUTED_VALUE"""),"Canada")</f>
        <v>Canada</v>
      </c>
      <c r="M286" s="27" t="str">
        <f aca="false">IFERROR(__xludf.dummyfunction("""COMPUTED_VALUE"""),"(Diff)")</f>
        <v>(Diff)</v>
      </c>
      <c r="N286" s="25"/>
      <c r="O286" s="25"/>
      <c r="P286" s="25"/>
      <c r="Q286" s="29" t="s">
        <v>335</v>
      </c>
      <c r="R286" s="8" t="str">
        <f aca="false">B286&amp;" "&amp;C286&amp;" "&amp;D286&amp;" "&amp;E286&amp;" "&amp;G286&amp;" "&amp;H286&amp;" "&amp;J286&amp;" "&amp;N286</f>
        <v>Differentials Graphite     CIF Canada (Diff) </v>
      </c>
      <c r="S286" s="25"/>
      <c r="T286" s="8"/>
      <c r="U286" s="8"/>
      <c r="V286" s="27" t="s">
        <v>49</v>
      </c>
      <c r="W286" s="25"/>
      <c r="X286" s="25"/>
      <c r="Y286" s="25"/>
      <c r="Z286" s="25"/>
      <c r="AA286" s="25"/>
      <c r="AB286" s="25"/>
      <c r="AC286" s="25"/>
      <c r="AD286" s="25"/>
    </row>
    <row r="287" customFormat="false" ht="15.75" hidden="false" customHeight="false" outlineLevel="0" collapsed="false">
      <c r="A287" s="28" t="s">
        <v>643</v>
      </c>
      <c r="B287" s="27" t="s">
        <v>438</v>
      </c>
      <c r="C287" s="27" t="s">
        <v>308</v>
      </c>
      <c r="D287" s="25"/>
      <c r="E287" s="25"/>
      <c r="F287" s="25"/>
      <c r="G287" s="25"/>
      <c r="H287" s="25"/>
      <c r="I287" s="25"/>
      <c r="J287" s="27" t="s">
        <v>589</v>
      </c>
      <c r="K287" s="25" t="str">
        <f aca="false">IFERROR(__xludf.dummyfunction("SPLIT(J287,"" "")"),"CIF")</f>
        <v>CIF</v>
      </c>
      <c r="L287" s="28" t="str">
        <f aca="false">IFERROR(__xludf.dummyfunction("""COMPUTED_VALUE"""),"Canada")</f>
        <v>Canada</v>
      </c>
      <c r="M287" s="27" t="str">
        <f aca="false">IFERROR(__xludf.dummyfunction("""COMPUTED_VALUE"""),"(Diff)")</f>
        <v>(Diff)</v>
      </c>
      <c r="N287" s="25"/>
      <c r="O287" s="25"/>
      <c r="P287" s="25"/>
      <c r="Q287" s="29" t="s">
        <v>332</v>
      </c>
      <c r="R287" s="8" t="str">
        <f aca="false">B287&amp;" "&amp;C287&amp;" "&amp;D287&amp;" "&amp;E287&amp;" "&amp;G287&amp;" "&amp;H287&amp;" "&amp;J287&amp;" "&amp;N287</f>
        <v>Differentials Graphite     CIF Canada (Diff) </v>
      </c>
      <c r="S287" s="25"/>
      <c r="T287" s="8"/>
      <c r="U287" s="8"/>
      <c r="V287" s="27" t="s">
        <v>49</v>
      </c>
      <c r="W287" s="25"/>
      <c r="X287" s="25"/>
      <c r="Y287" s="25"/>
      <c r="Z287" s="25"/>
      <c r="AA287" s="25"/>
      <c r="AB287" s="25"/>
      <c r="AC287" s="25"/>
      <c r="AD287" s="25"/>
    </row>
    <row r="288" customFormat="false" ht="15.75" hidden="false" customHeight="false" outlineLevel="0" collapsed="false">
      <c r="A288" s="28" t="s">
        <v>644</v>
      </c>
      <c r="B288" s="27" t="s">
        <v>438</v>
      </c>
      <c r="C288" s="27" t="s">
        <v>308</v>
      </c>
      <c r="D288" s="25"/>
      <c r="E288" s="25"/>
      <c r="F288" s="25"/>
      <c r="G288" s="25"/>
      <c r="H288" s="25"/>
      <c r="I288" s="25"/>
      <c r="J288" s="27" t="s">
        <v>589</v>
      </c>
      <c r="K288" s="25" t="str">
        <f aca="false">IFERROR(__xludf.dummyfunction("SPLIT(J288,"" "")"),"CIF")</f>
        <v>CIF</v>
      </c>
      <c r="L288" s="28" t="str">
        <f aca="false">IFERROR(__xludf.dummyfunction("""COMPUTED_VALUE"""),"Canada")</f>
        <v>Canada</v>
      </c>
      <c r="M288" s="27" t="str">
        <f aca="false">IFERROR(__xludf.dummyfunction("""COMPUTED_VALUE"""),"(Diff)")</f>
        <v>(Diff)</v>
      </c>
      <c r="N288" s="25"/>
      <c r="O288" s="25"/>
      <c r="P288" s="25"/>
      <c r="Q288" s="29" t="s">
        <v>329</v>
      </c>
      <c r="R288" s="8" t="str">
        <f aca="false">B288&amp;" "&amp;C288&amp;" "&amp;D288&amp;" "&amp;E288&amp;" "&amp;G288&amp;" "&amp;H288&amp;" "&amp;J288&amp;" "&amp;N288</f>
        <v>Differentials Graphite     CIF Canada (Diff) </v>
      </c>
      <c r="S288" s="25"/>
      <c r="T288" s="8"/>
      <c r="U288" s="8"/>
      <c r="V288" s="27" t="s">
        <v>49</v>
      </c>
      <c r="W288" s="25"/>
      <c r="X288" s="25"/>
      <c r="Y288" s="25"/>
      <c r="Z288" s="25"/>
      <c r="AA288" s="25"/>
      <c r="AB288" s="25"/>
      <c r="AC288" s="25"/>
      <c r="AD288" s="25"/>
    </row>
    <row r="289" customFormat="false" ht="15.75" hidden="false" customHeight="false" outlineLevel="0" collapsed="false">
      <c r="A289" s="28" t="s">
        <v>645</v>
      </c>
      <c r="B289" s="27" t="s">
        <v>438</v>
      </c>
      <c r="C289" s="27" t="s">
        <v>308</v>
      </c>
      <c r="D289" s="25"/>
      <c r="E289" s="25"/>
      <c r="F289" s="25"/>
      <c r="G289" s="25"/>
      <c r="H289" s="25"/>
      <c r="I289" s="25"/>
      <c r="J289" s="27" t="s">
        <v>589</v>
      </c>
      <c r="K289" s="25" t="str">
        <f aca="false">IFERROR(__xludf.dummyfunction("SPLIT(J289,"" "")"),"CIF")</f>
        <v>CIF</v>
      </c>
      <c r="L289" s="28" t="str">
        <f aca="false">IFERROR(__xludf.dummyfunction("""COMPUTED_VALUE"""),"Canada")</f>
        <v>Canada</v>
      </c>
      <c r="M289" s="27" t="str">
        <f aca="false">IFERROR(__xludf.dummyfunction("""COMPUTED_VALUE"""),"(Diff)")</f>
        <v>(Diff)</v>
      </c>
      <c r="N289" s="25"/>
      <c r="O289" s="25"/>
      <c r="P289" s="25"/>
      <c r="Q289" s="29" t="s">
        <v>326</v>
      </c>
      <c r="R289" s="8" t="str">
        <f aca="false">B289&amp;" "&amp;C289&amp;" "&amp;D289&amp;" "&amp;E289&amp;" "&amp;G289&amp;" "&amp;H289&amp;" "&amp;J289&amp;" "&amp;N289</f>
        <v>Differentials Graphite     CIF Canada (Diff) </v>
      </c>
      <c r="S289" s="25"/>
      <c r="T289" s="8"/>
      <c r="U289" s="8"/>
      <c r="V289" s="27" t="s">
        <v>49</v>
      </c>
      <c r="W289" s="25"/>
      <c r="X289" s="25"/>
      <c r="Y289" s="25"/>
      <c r="Z289" s="25"/>
      <c r="AA289" s="25"/>
      <c r="AB289" s="25"/>
      <c r="AC289" s="25"/>
      <c r="AD289" s="25"/>
    </row>
    <row r="290" customFormat="false" ht="15.75" hidden="false" customHeight="false" outlineLevel="0" collapsed="false">
      <c r="A290" s="28" t="s">
        <v>646</v>
      </c>
      <c r="B290" s="27" t="s">
        <v>438</v>
      </c>
      <c r="C290" s="27" t="s">
        <v>308</v>
      </c>
      <c r="D290" s="25"/>
      <c r="E290" s="25"/>
      <c r="F290" s="25"/>
      <c r="G290" s="25"/>
      <c r="H290" s="25"/>
      <c r="I290" s="25"/>
      <c r="J290" s="27" t="s">
        <v>589</v>
      </c>
      <c r="K290" s="25" t="str">
        <f aca="false">IFERROR(__xludf.dummyfunction("SPLIT(J290,"" "")"),"CIF")</f>
        <v>CIF</v>
      </c>
      <c r="L290" s="28" t="str">
        <f aca="false">IFERROR(__xludf.dummyfunction("""COMPUTED_VALUE"""),"Canada")</f>
        <v>Canada</v>
      </c>
      <c r="M290" s="27" t="str">
        <f aca="false">IFERROR(__xludf.dummyfunction("""COMPUTED_VALUE"""),"(Diff)")</f>
        <v>(Diff)</v>
      </c>
      <c r="N290" s="25"/>
      <c r="O290" s="25"/>
      <c r="P290" s="25"/>
      <c r="Q290" s="29" t="s">
        <v>323</v>
      </c>
      <c r="R290" s="8" t="str">
        <f aca="false">B290&amp;" "&amp;C290&amp;" "&amp;D290&amp;" "&amp;E290&amp;" "&amp;G290&amp;" "&amp;H290&amp;" "&amp;J290&amp;" "&amp;N290</f>
        <v>Differentials Graphite     CIF Canada (Diff) </v>
      </c>
      <c r="S290" s="25"/>
      <c r="T290" s="8"/>
      <c r="U290" s="8"/>
      <c r="V290" s="27" t="s">
        <v>49</v>
      </c>
      <c r="W290" s="25"/>
      <c r="X290" s="25"/>
      <c r="Y290" s="25"/>
      <c r="Z290" s="25"/>
      <c r="AA290" s="25"/>
      <c r="AB290" s="25"/>
      <c r="AC290" s="25"/>
      <c r="AD290" s="25"/>
    </row>
    <row r="291" customFormat="false" ht="15.75" hidden="false" customHeight="false" outlineLevel="0" collapsed="false">
      <c r="A291" s="28" t="s">
        <v>647</v>
      </c>
      <c r="B291" s="27" t="s">
        <v>438</v>
      </c>
      <c r="C291" s="27" t="s">
        <v>308</v>
      </c>
      <c r="D291" s="25"/>
      <c r="E291" s="25"/>
      <c r="F291" s="25"/>
      <c r="G291" s="25"/>
      <c r="H291" s="25"/>
      <c r="I291" s="25"/>
      <c r="J291" s="27" t="s">
        <v>589</v>
      </c>
      <c r="K291" s="25" t="str">
        <f aca="false">IFERROR(__xludf.dummyfunction("SPLIT(J291,"" "")"),"CIF")</f>
        <v>CIF</v>
      </c>
      <c r="L291" s="28" t="str">
        <f aca="false">IFERROR(__xludf.dummyfunction("""COMPUTED_VALUE"""),"Canada")</f>
        <v>Canada</v>
      </c>
      <c r="M291" s="27" t="str">
        <f aca="false">IFERROR(__xludf.dummyfunction("""COMPUTED_VALUE"""),"(Diff)")</f>
        <v>(Diff)</v>
      </c>
      <c r="N291" s="25"/>
      <c r="O291" s="25"/>
      <c r="P291" s="25"/>
      <c r="Q291" s="29" t="s">
        <v>319</v>
      </c>
      <c r="R291" s="8" t="str">
        <f aca="false">B291&amp;" "&amp;C291&amp;" "&amp;D291&amp;" "&amp;E291&amp;" "&amp;G291&amp;" "&amp;H291&amp;" "&amp;J291&amp;" "&amp;N291</f>
        <v>Differentials Graphite     CIF Canada (Diff) </v>
      </c>
      <c r="S291" s="25"/>
      <c r="T291" s="8"/>
      <c r="U291" s="8"/>
      <c r="V291" s="27" t="s">
        <v>49</v>
      </c>
      <c r="W291" s="25"/>
      <c r="X291" s="25"/>
      <c r="Y291" s="25"/>
      <c r="Z291" s="25"/>
      <c r="AA291" s="25"/>
      <c r="AB291" s="25"/>
      <c r="AC291" s="25"/>
      <c r="AD291" s="25"/>
    </row>
    <row r="292" customFormat="false" ht="15.75" hidden="false" customHeight="false" outlineLevel="0" collapsed="false">
      <c r="A292" s="28" t="s">
        <v>648</v>
      </c>
      <c r="B292" s="27" t="s">
        <v>438</v>
      </c>
      <c r="C292" s="27" t="s">
        <v>308</v>
      </c>
      <c r="D292" s="25"/>
      <c r="E292" s="25"/>
      <c r="F292" s="25"/>
      <c r="G292" s="25"/>
      <c r="H292" s="25"/>
      <c r="I292" s="25"/>
      <c r="J292" s="27" t="s">
        <v>589</v>
      </c>
      <c r="K292" s="25" t="str">
        <f aca="false">IFERROR(__xludf.dummyfunction("SPLIT(J292,"" "")"),"CIF")</f>
        <v>CIF</v>
      </c>
      <c r="L292" s="28" t="str">
        <f aca="false">IFERROR(__xludf.dummyfunction("""COMPUTED_VALUE"""),"Canada")</f>
        <v>Canada</v>
      </c>
      <c r="M292" s="27" t="str">
        <f aca="false">IFERROR(__xludf.dummyfunction("""COMPUTED_VALUE"""),"(Diff)")</f>
        <v>(Diff)</v>
      </c>
      <c r="N292" s="25"/>
      <c r="O292" s="25"/>
      <c r="P292" s="25"/>
      <c r="Q292" s="29" t="s">
        <v>315</v>
      </c>
      <c r="R292" s="8" t="str">
        <f aca="false">B292&amp;" "&amp;C292&amp;" "&amp;D292&amp;" "&amp;E292&amp;" "&amp;G292&amp;" "&amp;H292&amp;" "&amp;J292&amp;" "&amp;N292</f>
        <v>Differentials Graphite     CIF Canada (Diff) </v>
      </c>
      <c r="S292" s="25"/>
      <c r="T292" s="8"/>
      <c r="U292" s="8"/>
      <c r="V292" s="27" t="s">
        <v>49</v>
      </c>
      <c r="W292" s="25"/>
      <c r="X292" s="25"/>
      <c r="Y292" s="25"/>
      <c r="Z292" s="25"/>
      <c r="AA292" s="25"/>
      <c r="AB292" s="25"/>
      <c r="AC292" s="25"/>
      <c r="AD292" s="25"/>
    </row>
    <row r="293" customFormat="false" ht="15.75" hidden="false" customHeight="false" outlineLevel="0" collapsed="false">
      <c r="A293" s="28" t="s">
        <v>649</v>
      </c>
      <c r="B293" s="27" t="s">
        <v>438</v>
      </c>
      <c r="C293" s="27" t="s">
        <v>308</v>
      </c>
      <c r="D293" s="25"/>
      <c r="E293" s="25"/>
      <c r="F293" s="25"/>
      <c r="G293" s="25"/>
      <c r="H293" s="25"/>
      <c r="I293" s="25"/>
      <c r="J293" s="27" t="s">
        <v>589</v>
      </c>
      <c r="K293" s="25" t="str">
        <f aca="false">IFERROR(__xludf.dummyfunction("SPLIT(J293,"" "")"),"CIF")</f>
        <v>CIF</v>
      </c>
      <c r="L293" s="28" t="str">
        <f aca="false">IFERROR(__xludf.dummyfunction("""COMPUTED_VALUE"""),"Canada")</f>
        <v>Canada</v>
      </c>
      <c r="M293" s="27" t="str">
        <f aca="false">IFERROR(__xludf.dummyfunction("""COMPUTED_VALUE"""),"(Diff)")</f>
        <v>(Diff)</v>
      </c>
      <c r="N293" s="25"/>
      <c r="O293" s="25"/>
      <c r="P293" s="25"/>
      <c r="Q293" s="29" t="s">
        <v>311</v>
      </c>
      <c r="R293" s="8" t="str">
        <f aca="false">B293&amp;" "&amp;C293&amp;" "&amp;D293&amp;" "&amp;E293&amp;" "&amp;G293&amp;" "&amp;H293&amp;" "&amp;J293&amp;" "&amp;N293</f>
        <v>Differentials Graphite     CIF Canada (Diff) </v>
      </c>
      <c r="S293" s="25"/>
      <c r="T293" s="8"/>
      <c r="U293" s="8"/>
      <c r="V293" s="27" t="s">
        <v>49</v>
      </c>
      <c r="W293" s="25"/>
      <c r="X293" s="25"/>
      <c r="Y293" s="25"/>
      <c r="Z293" s="25"/>
      <c r="AA293" s="25"/>
      <c r="AB293" s="25"/>
      <c r="AC293" s="25"/>
      <c r="AD293" s="25"/>
    </row>
    <row r="294" customFormat="false" ht="15.75" hidden="false" customHeight="false" outlineLevel="0" collapsed="false">
      <c r="A294" s="28" t="s">
        <v>650</v>
      </c>
      <c r="B294" s="27" t="s">
        <v>438</v>
      </c>
      <c r="C294" s="27" t="s">
        <v>360</v>
      </c>
      <c r="D294" s="25"/>
      <c r="E294" s="25"/>
      <c r="F294" s="25"/>
      <c r="G294" s="25"/>
      <c r="H294" s="25"/>
      <c r="I294" s="25"/>
      <c r="J294" s="27" t="s">
        <v>589</v>
      </c>
      <c r="K294" s="25" t="str">
        <f aca="false">IFERROR(__xludf.dummyfunction("SPLIT(J294,"" "")"),"CIF")</f>
        <v>CIF</v>
      </c>
      <c r="L294" s="28" t="str">
        <f aca="false">IFERROR(__xludf.dummyfunction("""COMPUTED_VALUE"""),"Canada")</f>
        <v>Canada</v>
      </c>
      <c r="M294" s="27" t="str">
        <f aca="false">IFERROR(__xludf.dummyfunction("""COMPUTED_VALUE"""),"(Diff)")</f>
        <v>(Diff)</v>
      </c>
      <c r="N294" s="25"/>
      <c r="O294" s="25"/>
      <c r="P294" s="25"/>
      <c r="Q294" s="29" t="s">
        <v>368</v>
      </c>
      <c r="R294" s="8" t="str">
        <f aca="false">B294&amp;" "&amp;C294&amp;" "&amp;D294&amp;" "&amp;E294&amp;" "&amp;G294&amp;" "&amp;H294&amp;" "&amp;J294&amp;" "&amp;N294</f>
        <v>Differentials Lithium     CIF Canada (Diff) </v>
      </c>
      <c r="S294" s="25"/>
      <c r="T294" s="8"/>
      <c r="U294" s="8"/>
      <c r="V294" s="27" t="s">
        <v>49</v>
      </c>
      <c r="W294" s="25"/>
      <c r="X294" s="25"/>
      <c r="Y294" s="25"/>
      <c r="Z294" s="25"/>
      <c r="AA294" s="25"/>
      <c r="AB294" s="25"/>
      <c r="AC294" s="25"/>
      <c r="AD294" s="25"/>
    </row>
    <row r="295" customFormat="false" ht="15.75" hidden="false" customHeight="false" outlineLevel="0" collapsed="false">
      <c r="A295" s="28" t="s">
        <v>651</v>
      </c>
      <c r="B295" s="27" t="s">
        <v>438</v>
      </c>
      <c r="C295" s="27" t="s">
        <v>360</v>
      </c>
      <c r="D295" s="25"/>
      <c r="E295" s="25"/>
      <c r="F295" s="25"/>
      <c r="G295" s="25"/>
      <c r="H295" s="25"/>
      <c r="I295" s="25"/>
      <c r="J295" s="27" t="s">
        <v>589</v>
      </c>
      <c r="K295" s="25" t="str">
        <f aca="false">IFERROR(__xludf.dummyfunction("SPLIT(J295,"" "")"),"CIF")</f>
        <v>CIF</v>
      </c>
      <c r="L295" s="28" t="str">
        <f aca="false">IFERROR(__xludf.dummyfunction("""COMPUTED_VALUE"""),"Canada")</f>
        <v>Canada</v>
      </c>
      <c r="M295" s="27" t="str">
        <f aca="false">IFERROR(__xludf.dummyfunction("""COMPUTED_VALUE"""),"(Diff)")</f>
        <v>(Diff)</v>
      </c>
      <c r="N295" s="25"/>
      <c r="O295" s="25"/>
      <c r="P295" s="25"/>
      <c r="Q295" s="29" t="s">
        <v>366</v>
      </c>
      <c r="R295" s="8" t="str">
        <f aca="false">B295&amp;" "&amp;C295&amp;" "&amp;D295&amp;" "&amp;E295&amp;" "&amp;G295&amp;" "&amp;H295&amp;" "&amp;J295&amp;" "&amp;N295</f>
        <v>Differentials Lithium     CIF Canada (Diff) </v>
      </c>
      <c r="S295" s="25"/>
      <c r="T295" s="8"/>
      <c r="U295" s="8"/>
      <c r="V295" s="27" t="s">
        <v>49</v>
      </c>
      <c r="W295" s="25"/>
      <c r="X295" s="25"/>
      <c r="Y295" s="25"/>
      <c r="Z295" s="25"/>
      <c r="AA295" s="25"/>
      <c r="AB295" s="25"/>
      <c r="AC295" s="25"/>
      <c r="AD295" s="25"/>
    </row>
    <row r="296" customFormat="false" ht="15.75" hidden="false" customHeight="false" outlineLevel="0" collapsed="false">
      <c r="A296" s="28" t="s">
        <v>652</v>
      </c>
      <c r="B296" s="27" t="s">
        <v>438</v>
      </c>
      <c r="C296" s="27" t="s">
        <v>360</v>
      </c>
      <c r="D296" s="25"/>
      <c r="E296" s="25"/>
      <c r="F296" s="25"/>
      <c r="G296" s="25"/>
      <c r="H296" s="25"/>
      <c r="I296" s="25"/>
      <c r="J296" s="27" t="s">
        <v>589</v>
      </c>
      <c r="K296" s="25" t="str">
        <f aca="false">IFERROR(__xludf.dummyfunction("SPLIT(J296,"" "")"),"CIF")</f>
        <v>CIF</v>
      </c>
      <c r="L296" s="28" t="str">
        <f aca="false">IFERROR(__xludf.dummyfunction("""COMPUTED_VALUE"""),"Canada")</f>
        <v>Canada</v>
      </c>
      <c r="M296" s="27" t="str">
        <f aca="false">IFERROR(__xludf.dummyfunction("""COMPUTED_VALUE"""),"(Diff)")</f>
        <v>(Diff)</v>
      </c>
      <c r="N296" s="25"/>
      <c r="O296" s="25"/>
      <c r="P296" s="25"/>
      <c r="Q296" s="29" t="s">
        <v>361</v>
      </c>
      <c r="R296" s="8" t="str">
        <f aca="false">B296&amp;" "&amp;C296&amp;" "&amp;D296&amp;" "&amp;E296&amp;" "&amp;G296&amp;" "&amp;H296&amp;" "&amp;J296&amp;" "&amp;N296</f>
        <v>Differentials Lithium     CIF Canada (Diff) </v>
      </c>
      <c r="S296" s="25"/>
      <c r="T296" s="8"/>
      <c r="U296" s="8"/>
      <c r="V296" s="27" t="s">
        <v>49</v>
      </c>
      <c r="W296" s="25"/>
      <c r="X296" s="25"/>
      <c r="Y296" s="25"/>
      <c r="Z296" s="25"/>
      <c r="AA296" s="25"/>
      <c r="AB296" s="25"/>
      <c r="AC296" s="25"/>
      <c r="AD296" s="25"/>
    </row>
    <row r="297" customFormat="false" ht="15.75" hidden="false" customHeight="false" outlineLevel="0" collapsed="false">
      <c r="A297" s="28" t="s">
        <v>653</v>
      </c>
      <c r="B297" s="27" t="s">
        <v>438</v>
      </c>
      <c r="C297" s="27" t="s">
        <v>360</v>
      </c>
      <c r="D297" s="25"/>
      <c r="E297" s="25"/>
      <c r="F297" s="25"/>
      <c r="G297" s="25"/>
      <c r="H297" s="25"/>
      <c r="I297" s="25"/>
      <c r="J297" s="27" t="s">
        <v>589</v>
      </c>
      <c r="K297" s="25" t="str">
        <f aca="false">IFERROR(__xludf.dummyfunction("SPLIT(J297,"" "")"),"CIF")</f>
        <v>CIF</v>
      </c>
      <c r="L297" s="28" t="str">
        <f aca="false">IFERROR(__xludf.dummyfunction("""COMPUTED_VALUE"""),"Canada")</f>
        <v>Canada</v>
      </c>
      <c r="M297" s="27" t="str">
        <f aca="false">IFERROR(__xludf.dummyfunction("""COMPUTED_VALUE"""),"(Diff)")</f>
        <v>(Diff)</v>
      </c>
      <c r="N297" s="25"/>
      <c r="O297" s="25"/>
      <c r="P297" s="25"/>
      <c r="Q297" s="29" t="s">
        <v>363</v>
      </c>
      <c r="R297" s="8" t="str">
        <f aca="false">B297&amp;" "&amp;C297&amp;" "&amp;D297&amp;" "&amp;E297&amp;" "&amp;G297&amp;" "&amp;H297&amp;" "&amp;J297&amp;" "&amp;N297</f>
        <v>Differentials Lithium     CIF Canada (Diff) </v>
      </c>
      <c r="S297" s="25"/>
      <c r="T297" s="8"/>
      <c r="U297" s="8"/>
      <c r="V297" s="27" t="s">
        <v>49</v>
      </c>
      <c r="W297" s="25"/>
      <c r="X297" s="25"/>
      <c r="Y297" s="25"/>
      <c r="Z297" s="25"/>
      <c r="AA297" s="25"/>
      <c r="AB297" s="25"/>
      <c r="AC297" s="25"/>
      <c r="AD297" s="25"/>
    </row>
    <row r="298" customFormat="false" ht="15.75" hidden="false" customHeight="false" outlineLevel="0" collapsed="false">
      <c r="A298" s="28" t="s">
        <v>654</v>
      </c>
      <c r="B298" s="27" t="s">
        <v>438</v>
      </c>
      <c r="C298" s="27" t="s">
        <v>360</v>
      </c>
      <c r="D298" s="25"/>
      <c r="E298" s="25"/>
      <c r="F298" s="25"/>
      <c r="G298" s="25"/>
      <c r="H298" s="25"/>
      <c r="I298" s="25"/>
      <c r="J298" s="27" t="s">
        <v>589</v>
      </c>
      <c r="K298" s="25" t="str">
        <f aca="false">IFERROR(__xludf.dummyfunction("SPLIT(J298,"" "")"),"CIF")</f>
        <v>CIF</v>
      </c>
      <c r="L298" s="28" t="str">
        <f aca="false">IFERROR(__xludf.dummyfunction("""COMPUTED_VALUE"""),"Canada")</f>
        <v>Canada</v>
      </c>
      <c r="M298" s="27" t="str">
        <f aca="false">IFERROR(__xludf.dummyfunction("""COMPUTED_VALUE"""),"(Diff)")</f>
        <v>(Diff)</v>
      </c>
      <c r="N298" s="25"/>
      <c r="O298" s="25"/>
      <c r="P298" s="25"/>
      <c r="Q298" s="29" t="s">
        <v>361</v>
      </c>
      <c r="R298" s="8" t="str">
        <f aca="false">B298&amp;" "&amp;C298&amp;" "&amp;D298&amp;" "&amp;E298&amp;" "&amp;G298&amp;" "&amp;H298&amp;" "&amp;J298&amp;" "&amp;N298</f>
        <v>Differentials Lithium     CIF Canada (Diff) </v>
      </c>
      <c r="S298" s="25"/>
      <c r="T298" s="8"/>
      <c r="U298" s="8"/>
      <c r="V298" s="27" t="s">
        <v>49</v>
      </c>
      <c r="W298" s="25"/>
      <c r="X298" s="25"/>
      <c r="Y298" s="25"/>
      <c r="Z298" s="25"/>
      <c r="AA298" s="25"/>
      <c r="AB298" s="25"/>
      <c r="AC298" s="25"/>
      <c r="AD298" s="25"/>
    </row>
    <row r="299" customFormat="false" ht="15.75" hidden="false" customHeight="false" outlineLevel="0" collapsed="false">
      <c r="A299" s="28" t="s">
        <v>655</v>
      </c>
      <c r="B299" s="27" t="s">
        <v>438</v>
      </c>
      <c r="C299" s="27" t="s">
        <v>370</v>
      </c>
      <c r="D299" s="25"/>
      <c r="E299" s="25"/>
      <c r="F299" s="25"/>
      <c r="G299" s="25"/>
      <c r="H299" s="25"/>
      <c r="I299" s="25"/>
      <c r="J299" s="27" t="s">
        <v>589</v>
      </c>
      <c r="K299" s="25" t="str">
        <f aca="false">IFERROR(__xludf.dummyfunction("SPLIT(J299,"" "")"),"CIF")</f>
        <v>CIF</v>
      </c>
      <c r="L299" s="28" t="str">
        <f aca="false">IFERROR(__xludf.dummyfunction("""COMPUTED_VALUE"""),"Canada")</f>
        <v>Canada</v>
      </c>
      <c r="M299" s="27" t="str">
        <f aca="false">IFERROR(__xludf.dummyfunction("""COMPUTED_VALUE"""),"(Diff)")</f>
        <v>(Diff)</v>
      </c>
      <c r="N299" s="25"/>
      <c r="O299" s="25"/>
      <c r="P299" s="25"/>
      <c r="Q299" s="29" t="s">
        <v>374</v>
      </c>
      <c r="R299" s="8" t="str">
        <f aca="false">B299&amp;" "&amp;C299&amp;" "&amp;D299&amp;" "&amp;E299&amp;" "&amp;G299&amp;" "&amp;H299&amp;" "&amp;J299&amp;" "&amp;N299</f>
        <v>Differentials Manganese     CIF Canada (Diff) </v>
      </c>
      <c r="S299" s="25"/>
      <c r="T299" s="8"/>
      <c r="U299" s="8"/>
      <c r="V299" s="27" t="s">
        <v>49</v>
      </c>
      <c r="W299" s="25"/>
      <c r="X299" s="25"/>
      <c r="Y299" s="25"/>
      <c r="Z299" s="25"/>
      <c r="AA299" s="25"/>
      <c r="AB299" s="25"/>
      <c r="AC299" s="25"/>
      <c r="AD299" s="25"/>
    </row>
    <row r="300" customFormat="false" ht="15.75" hidden="false" customHeight="false" outlineLevel="0" collapsed="false">
      <c r="A300" s="28" t="s">
        <v>656</v>
      </c>
      <c r="B300" s="27" t="s">
        <v>438</v>
      </c>
      <c r="C300" s="27" t="s">
        <v>370</v>
      </c>
      <c r="D300" s="25"/>
      <c r="E300" s="25"/>
      <c r="F300" s="25"/>
      <c r="G300" s="25"/>
      <c r="H300" s="25"/>
      <c r="I300" s="25"/>
      <c r="J300" s="27" t="s">
        <v>589</v>
      </c>
      <c r="K300" s="25" t="str">
        <f aca="false">IFERROR(__xludf.dummyfunction("SPLIT(J300,"" "")"),"CIF")</f>
        <v>CIF</v>
      </c>
      <c r="L300" s="28" t="str">
        <f aca="false">IFERROR(__xludf.dummyfunction("""COMPUTED_VALUE"""),"Canada")</f>
        <v>Canada</v>
      </c>
      <c r="M300" s="27" t="str">
        <f aca="false">IFERROR(__xludf.dummyfunction("""COMPUTED_VALUE"""),"(Diff)")</f>
        <v>(Diff)</v>
      </c>
      <c r="N300" s="25"/>
      <c r="O300" s="25"/>
      <c r="P300" s="25"/>
      <c r="Q300" s="29" t="s">
        <v>371</v>
      </c>
      <c r="R300" s="8" t="str">
        <f aca="false">B300&amp;" "&amp;C300&amp;" "&amp;D300&amp;" "&amp;E300&amp;" "&amp;G300&amp;" "&amp;H300&amp;" "&amp;J300&amp;" "&amp;N300</f>
        <v>Differentials Manganese     CIF Canada (Diff) </v>
      </c>
      <c r="S300" s="25"/>
      <c r="T300" s="8"/>
      <c r="U300" s="8"/>
      <c r="V300" s="27" t="s">
        <v>49</v>
      </c>
      <c r="W300" s="25"/>
      <c r="X300" s="25"/>
      <c r="Y300" s="25"/>
      <c r="Z300" s="25"/>
      <c r="AA300" s="25"/>
      <c r="AB300" s="25"/>
      <c r="AC300" s="25"/>
      <c r="AD300" s="25"/>
    </row>
    <row r="301" customFormat="false" ht="15.75" hidden="false" customHeight="false" outlineLevel="0" collapsed="false">
      <c r="A301" s="28" t="s">
        <v>657</v>
      </c>
      <c r="B301" s="27" t="s">
        <v>438</v>
      </c>
      <c r="C301" s="27" t="s">
        <v>376</v>
      </c>
      <c r="D301" s="25"/>
      <c r="E301" s="25"/>
      <c r="F301" s="25"/>
      <c r="G301" s="25"/>
      <c r="H301" s="25"/>
      <c r="I301" s="25"/>
      <c r="J301" s="27" t="s">
        <v>589</v>
      </c>
      <c r="K301" s="25" t="str">
        <f aca="false">IFERROR(__xludf.dummyfunction("SPLIT(J301,"" "")"),"CIF")</f>
        <v>CIF</v>
      </c>
      <c r="L301" s="28" t="str">
        <f aca="false">IFERROR(__xludf.dummyfunction("""COMPUTED_VALUE"""),"Canada")</f>
        <v>Canada</v>
      </c>
      <c r="M301" s="27" t="str">
        <f aca="false">IFERROR(__xludf.dummyfunction("""COMPUTED_VALUE"""),"(Diff)")</f>
        <v>(Diff)</v>
      </c>
      <c r="N301" s="25"/>
      <c r="O301" s="25"/>
      <c r="P301" s="25"/>
      <c r="Q301" s="29" t="s">
        <v>381</v>
      </c>
      <c r="R301" s="8" t="str">
        <f aca="false">B301&amp;" "&amp;C301&amp;" "&amp;D301&amp;" "&amp;E301&amp;" "&amp;G301&amp;" "&amp;H301&amp;" "&amp;J301&amp;" "&amp;N301</f>
        <v>Differentials Nickel     CIF Canada (Diff) </v>
      </c>
      <c r="S301" s="25"/>
      <c r="T301" s="8"/>
      <c r="U301" s="8"/>
      <c r="V301" s="27" t="s">
        <v>49</v>
      </c>
      <c r="W301" s="25"/>
      <c r="X301" s="25"/>
      <c r="Y301" s="25"/>
      <c r="Z301" s="25"/>
      <c r="AA301" s="25"/>
      <c r="AB301" s="25"/>
      <c r="AC301" s="25"/>
      <c r="AD301" s="25"/>
    </row>
    <row r="302" customFormat="false" ht="15.75" hidden="false" customHeight="false" outlineLevel="0" collapsed="false">
      <c r="A302" s="28" t="s">
        <v>658</v>
      </c>
      <c r="B302" s="27" t="s">
        <v>438</v>
      </c>
      <c r="C302" s="27" t="s">
        <v>376</v>
      </c>
      <c r="D302" s="25"/>
      <c r="E302" s="25"/>
      <c r="F302" s="25"/>
      <c r="G302" s="25"/>
      <c r="H302" s="25"/>
      <c r="I302" s="25"/>
      <c r="J302" s="27" t="s">
        <v>589</v>
      </c>
      <c r="K302" s="25" t="str">
        <f aca="false">IFERROR(__xludf.dummyfunction("SPLIT(J302,"" "")"),"CIF")</f>
        <v>CIF</v>
      </c>
      <c r="L302" s="28" t="str">
        <f aca="false">IFERROR(__xludf.dummyfunction("""COMPUTED_VALUE"""),"Canada")</f>
        <v>Canada</v>
      </c>
      <c r="M302" s="27" t="str">
        <f aca="false">IFERROR(__xludf.dummyfunction("""COMPUTED_VALUE"""),"(Diff)")</f>
        <v>(Diff)</v>
      </c>
      <c r="N302" s="25"/>
      <c r="O302" s="25"/>
      <c r="P302" s="25"/>
      <c r="Q302" s="29" t="s">
        <v>379</v>
      </c>
      <c r="R302" s="8" t="str">
        <f aca="false">B302&amp;" "&amp;C302&amp;" "&amp;D302&amp;" "&amp;E302&amp;" "&amp;G302&amp;" "&amp;H302&amp;" "&amp;J302&amp;" "&amp;N302</f>
        <v>Differentials Nickel     CIF Canada (Diff) </v>
      </c>
      <c r="S302" s="25"/>
      <c r="T302" s="8"/>
      <c r="U302" s="8"/>
      <c r="V302" s="27" t="s">
        <v>49</v>
      </c>
      <c r="W302" s="25"/>
      <c r="X302" s="25"/>
      <c r="Y302" s="25"/>
      <c r="Z302" s="25"/>
      <c r="AA302" s="25"/>
      <c r="AB302" s="25"/>
      <c r="AC302" s="25"/>
      <c r="AD302" s="25"/>
    </row>
    <row r="303" customFormat="false" ht="15.75" hidden="false" customHeight="false" outlineLevel="0" collapsed="false">
      <c r="A303" s="28" t="s">
        <v>659</v>
      </c>
      <c r="B303" s="27" t="s">
        <v>438</v>
      </c>
      <c r="C303" s="27" t="s">
        <v>376</v>
      </c>
      <c r="D303" s="25"/>
      <c r="E303" s="25"/>
      <c r="F303" s="25"/>
      <c r="G303" s="25"/>
      <c r="H303" s="25"/>
      <c r="I303" s="25"/>
      <c r="J303" s="27" t="s">
        <v>589</v>
      </c>
      <c r="K303" s="25" t="str">
        <f aca="false">IFERROR(__xludf.dummyfunction("SPLIT(J303,"" "")"),"CIF")</f>
        <v>CIF</v>
      </c>
      <c r="L303" s="28" t="str">
        <f aca="false">IFERROR(__xludf.dummyfunction("""COMPUTED_VALUE"""),"Canada")</f>
        <v>Canada</v>
      </c>
      <c r="M303" s="27" t="str">
        <f aca="false">IFERROR(__xludf.dummyfunction("""COMPUTED_VALUE"""),"(Diff)")</f>
        <v>(Diff)</v>
      </c>
      <c r="N303" s="25"/>
      <c r="O303" s="25"/>
      <c r="P303" s="25"/>
      <c r="Q303" s="29" t="s">
        <v>377</v>
      </c>
      <c r="R303" s="8" t="str">
        <f aca="false">B303&amp;" "&amp;C303&amp;" "&amp;D303&amp;" "&amp;E303&amp;" "&amp;G303&amp;" "&amp;H303&amp;" "&amp;J303&amp;" "&amp;N303</f>
        <v>Differentials Nickel     CIF Canada (Diff) </v>
      </c>
      <c r="S303" s="25"/>
      <c r="T303" s="8"/>
      <c r="U303" s="8"/>
      <c r="V303" s="27" t="s">
        <v>49</v>
      </c>
      <c r="W303" s="25"/>
      <c r="X303" s="25"/>
      <c r="Y303" s="25"/>
      <c r="Z303" s="25"/>
      <c r="AA303" s="25"/>
      <c r="AB303" s="25"/>
      <c r="AC303" s="25"/>
      <c r="AD303" s="25"/>
    </row>
    <row r="304" customFormat="false" ht="15.75" hidden="false" customHeight="false" outlineLevel="0" collapsed="false">
      <c r="A304" s="28" t="s">
        <v>660</v>
      </c>
      <c r="B304" s="27" t="s">
        <v>438</v>
      </c>
      <c r="C304" s="27" t="s">
        <v>383</v>
      </c>
      <c r="D304" s="25"/>
      <c r="E304" s="25"/>
      <c r="F304" s="25"/>
      <c r="G304" s="25"/>
      <c r="H304" s="25"/>
      <c r="I304" s="25"/>
      <c r="J304" s="27" t="s">
        <v>589</v>
      </c>
      <c r="K304" s="25" t="str">
        <f aca="false">IFERROR(__xludf.dummyfunction("SPLIT(J304,"" "")"),"CIF")</f>
        <v>CIF</v>
      </c>
      <c r="L304" s="28" t="str">
        <f aca="false">IFERROR(__xludf.dummyfunction("""COMPUTED_VALUE"""),"Canada")</f>
        <v>Canada</v>
      </c>
      <c r="M304" s="27" t="str">
        <f aca="false">IFERROR(__xludf.dummyfunction("""COMPUTED_VALUE"""),"(Diff)")</f>
        <v>(Diff)</v>
      </c>
      <c r="N304" s="25"/>
      <c r="O304" s="25"/>
      <c r="P304" s="25"/>
      <c r="Q304" s="29" t="s">
        <v>406</v>
      </c>
      <c r="R304" s="8" t="str">
        <f aca="false">B304&amp;" "&amp;C304&amp;" "&amp;D304&amp;" "&amp;E304&amp;" "&amp;G304&amp;" "&amp;H304&amp;" "&amp;J304&amp;" "&amp;N304</f>
        <v>Differentials Precursor     CIF Canada (Diff) </v>
      </c>
      <c r="S304" s="25"/>
      <c r="T304" s="8"/>
      <c r="U304" s="8"/>
      <c r="V304" s="27" t="s">
        <v>49</v>
      </c>
      <c r="W304" s="25"/>
      <c r="X304" s="25"/>
      <c r="Y304" s="25"/>
      <c r="Z304" s="25"/>
      <c r="AA304" s="25"/>
      <c r="AB304" s="25"/>
      <c r="AC304" s="25"/>
      <c r="AD304" s="25"/>
    </row>
    <row r="305" customFormat="false" ht="15.75" hidden="false" customHeight="false" outlineLevel="0" collapsed="false">
      <c r="A305" s="28" t="s">
        <v>661</v>
      </c>
      <c r="B305" s="27" t="s">
        <v>438</v>
      </c>
      <c r="C305" s="27" t="s">
        <v>383</v>
      </c>
      <c r="D305" s="25"/>
      <c r="E305" s="25"/>
      <c r="F305" s="25"/>
      <c r="G305" s="25"/>
      <c r="H305" s="25"/>
      <c r="I305" s="25"/>
      <c r="J305" s="27" t="s">
        <v>589</v>
      </c>
      <c r="K305" s="25" t="str">
        <f aca="false">IFERROR(__xludf.dummyfunction("SPLIT(J305,"" "")"),"CIF")</f>
        <v>CIF</v>
      </c>
      <c r="L305" s="28" t="str">
        <f aca="false">IFERROR(__xludf.dummyfunction("""COMPUTED_VALUE"""),"Canada")</f>
        <v>Canada</v>
      </c>
      <c r="M305" s="27" t="str">
        <f aca="false">IFERROR(__xludf.dummyfunction("""COMPUTED_VALUE"""),"(Diff)")</f>
        <v>(Diff)</v>
      </c>
      <c r="N305" s="25"/>
      <c r="O305" s="25"/>
      <c r="P305" s="25"/>
      <c r="Q305" s="29" t="s">
        <v>404</v>
      </c>
      <c r="R305" s="8" t="str">
        <f aca="false">B305&amp;" "&amp;C305&amp;" "&amp;D305&amp;" "&amp;E305&amp;" "&amp;G305&amp;" "&amp;H305&amp;" "&amp;J305&amp;" "&amp;N305</f>
        <v>Differentials Precursor     CIF Canada (Diff) </v>
      </c>
      <c r="S305" s="25"/>
      <c r="T305" s="8"/>
      <c r="U305" s="8"/>
      <c r="V305" s="27" t="s">
        <v>49</v>
      </c>
      <c r="W305" s="25"/>
      <c r="X305" s="25"/>
      <c r="Y305" s="25"/>
      <c r="Z305" s="25"/>
      <c r="AA305" s="25"/>
      <c r="AB305" s="25"/>
      <c r="AC305" s="25"/>
      <c r="AD305" s="25"/>
    </row>
    <row r="306" customFormat="false" ht="15.75" hidden="false" customHeight="false" outlineLevel="0" collapsed="false">
      <c r="A306" s="28" t="s">
        <v>662</v>
      </c>
      <c r="B306" s="27" t="s">
        <v>438</v>
      </c>
      <c r="C306" s="27" t="s">
        <v>383</v>
      </c>
      <c r="D306" s="25"/>
      <c r="E306" s="25"/>
      <c r="F306" s="25"/>
      <c r="G306" s="25"/>
      <c r="H306" s="25"/>
      <c r="I306" s="25"/>
      <c r="J306" s="27" t="s">
        <v>589</v>
      </c>
      <c r="K306" s="25" t="str">
        <f aca="false">IFERROR(__xludf.dummyfunction("SPLIT(J306,"" "")"),"CIF")</f>
        <v>CIF</v>
      </c>
      <c r="L306" s="28" t="str">
        <f aca="false">IFERROR(__xludf.dummyfunction("""COMPUTED_VALUE"""),"Canada")</f>
        <v>Canada</v>
      </c>
      <c r="M306" s="27" t="str">
        <f aca="false">IFERROR(__xludf.dummyfunction("""COMPUTED_VALUE"""),"(Diff)")</f>
        <v>(Diff)</v>
      </c>
      <c r="N306" s="25"/>
      <c r="O306" s="25"/>
      <c r="P306" s="25"/>
      <c r="Q306" s="29" t="s">
        <v>402</v>
      </c>
      <c r="R306" s="8" t="str">
        <f aca="false">B306&amp;" "&amp;C306&amp;" "&amp;D306&amp;" "&amp;E306&amp;" "&amp;G306&amp;" "&amp;H306&amp;" "&amp;J306&amp;" "&amp;N306</f>
        <v>Differentials Precursor     CIF Canada (Diff) </v>
      </c>
      <c r="S306" s="25"/>
      <c r="T306" s="8"/>
      <c r="U306" s="8"/>
      <c r="V306" s="27" t="s">
        <v>49</v>
      </c>
      <c r="W306" s="25"/>
      <c r="X306" s="25"/>
      <c r="Y306" s="25"/>
      <c r="Z306" s="25"/>
      <c r="AA306" s="25"/>
      <c r="AB306" s="25"/>
      <c r="AC306" s="25"/>
      <c r="AD306" s="25"/>
    </row>
    <row r="307" customFormat="false" ht="15.75" hidden="false" customHeight="false" outlineLevel="0" collapsed="false">
      <c r="A307" s="28" t="s">
        <v>663</v>
      </c>
      <c r="B307" s="27" t="s">
        <v>438</v>
      </c>
      <c r="C307" s="27" t="s">
        <v>383</v>
      </c>
      <c r="D307" s="25"/>
      <c r="E307" s="25"/>
      <c r="F307" s="25"/>
      <c r="G307" s="25"/>
      <c r="H307" s="25"/>
      <c r="I307" s="25"/>
      <c r="J307" s="27" t="s">
        <v>589</v>
      </c>
      <c r="K307" s="25" t="str">
        <f aca="false">IFERROR(__xludf.dummyfunction("SPLIT(J307,"" "")"),"CIF")</f>
        <v>CIF</v>
      </c>
      <c r="L307" s="28" t="str">
        <f aca="false">IFERROR(__xludf.dummyfunction("""COMPUTED_VALUE"""),"Canada")</f>
        <v>Canada</v>
      </c>
      <c r="M307" s="27" t="str">
        <f aca="false">IFERROR(__xludf.dummyfunction("""COMPUTED_VALUE"""),"(Diff)")</f>
        <v>(Diff)</v>
      </c>
      <c r="N307" s="25"/>
      <c r="O307" s="25"/>
      <c r="P307" s="25"/>
      <c r="Q307" s="29" t="s">
        <v>400</v>
      </c>
      <c r="R307" s="8" t="str">
        <f aca="false">B307&amp;" "&amp;C307&amp;" "&amp;D307&amp;" "&amp;E307&amp;" "&amp;G307&amp;" "&amp;H307&amp;" "&amp;J307&amp;" "&amp;N307</f>
        <v>Differentials Precursor     CIF Canada (Diff) </v>
      </c>
      <c r="S307" s="25"/>
      <c r="T307" s="8"/>
      <c r="U307" s="8"/>
      <c r="V307" s="27" t="s">
        <v>49</v>
      </c>
      <c r="W307" s="25"/>
      <c r="X307" s="25"/>
      <c r="Y307" s="25"/>
      <c r="Z307" s="25"/>
      <c r="AA307" s="25"/>
      <c r="AB307" s="25"/>
      <c r="AC307" s="25"/>
      <c r="AD307" s="25"/>
    </row>
    <row r="308" customFormat="false" ht="15.75" hidden="false" customHeight="false" outlineLevel="0" collapsed="false">
      <c r="A308" s="28" t="s">
        <v>664</v>
      </c>
      <c r="B308" s="27" t="s">
        <v>438</v>
      </c>
      <c r="C308" s="27" t="s">
        <v>383</v>
      </c>
      <c r="D308" s="25"/>
      <c r="E308" s="25"/>
      <c r="F308" s="25"/>
      <c r="G308" s="25"/>
      <c r="H308" s="25"/>
      <c r="I308" s="25"/>
      <c r="J308" s="27" t="s">
        <v>589</v>
      </c>
      <c r="K308" s="25" t="str">
        <f aca="false">IFERROR(__xludf.dummyfunction("SPLIT(J308,"" "")"),"CIF")</f>
        <v>CIF</v>
      </c>
      <c r="L308" s="28" t="str">
        <f aca="false">IFERROR(__xludf.dummyfunction("""COMPUTED_VALUE"""),"Canada")</f>
        <v>Canada</v>
      </c>
      <c r="M308" s="27" t="str">
        <f aca="false">IFERROR(__xludf.dummyfunction("""COMPUTED_VALUE"""),"(Diff)")</f>
        <v>(Diff)</v>
      </c>
      <c r="N308" s="25"/>
      <c r="O308" s="25"/>
      <c r="P308" s="25"/>
      <c r="Q308" s="29" t="s">
        <v>398</v>
      </c>
      <c r="R308" s="8" t="str">
        <f aca="false">B308&amp;" "&amp;C308&amp;" "&amp;D308&amp;" "&amp;E308&amp;" "&amp;G308&amp;" "&amp;H308&amp;" "&amp;J308&amp;" "&amp;N308</f>
        <v>Differentials Precursor     CIF Canada (Diff) </v>
      </c>
      <c r="S308" s="25"/>
      <c r="T308" s="8"/>
      <c r="U308" s="8"/>
      <c r="V308" s="27" t="s">
        <v>49</v>
      </c>
      <c r="W308" s="25"/>
      <c r="X308" s="25"/>
      <c r="Y308" s="25"/>
      <c r="Z308" s="25"/>
      <c r="AA308" s="25"/>
      <c r="AB308" s="25"/>
      <c r="AC308" s="25"/>
      <c r="AD308" s="25"/>
    </row>
    <row r="309" customFormat="false" ht="15.75" hidden="false" customHeight="false" outlineLevel="0" collapsed="false">
      <c r="A309" s="28" t="s">
        <v>665</v>
      </c>
      <c r="B309" s="27" t="s">
        <v>438</v>
      </c>
      <c r="C309" s="27" t="s">
        <v>383</v>
      </c>
      <c r="D309" s="25"/>
      <c r="E309" s="25"/>
      <c r="F309" s="25"/>
      <c r="G309" s="25"/>
      <c r="H309" s="25"/>
      <c r="I309" s="25"/>
      <c r="J309" s="27" t="s">
        <v>589</v>
      </c>
      <c r="K309" s="25" t="str">
        <f aca="false">IFERROR(__xludf.dummyfunction("SPLIT(J309,"" "")"),"CIF")</f>
        <v>CIF</v>
      </c>
      <c r="L309" s="28" t="str">
        <f aca="false">IFERROR(__xludf.dummyfunction("""COMPUTED_VALUE"""),"Canada")</f>
        <v>Canada</v>
      </c>
      <c r="M309" s="27" t="str">
        <f aca="false">IFERROR(__xludf.dummyfunction("""COMPUTED_VALUE"""),"(Diff)")</f>
        <v>(Diff)</v>
      </c>
      <c r="N309" s="25"/>
      <c r="O309" s="25"/>
      <c r="P309" s="25"/>
      <c r="Q309" s="29" t="s">
        <v>259</v>
      </c>
      <c r="R309" s="8" t="str">
        <f aca="false">B309&amp;" "&amp;C309&amp;" "&amp;D309&amp;" "&amp;E309&amp;" "&amp;G309&amp;" "&amp;H309&amp;" "&amp;J309&amp;" "&amp;N309</f>
        <v>Differentials Precursor     CIF Canada (Diff) </v>
      </c>
      <c r="S309" s="25"/>
      <c r="T309" s="8"/>
      <c r="U309" s="8"/>
      <c r="V309" s="27" t="s">
        <v>49</v>
      </c>
      <c r="W309" s="25"/>
      <c r="X309" s="25"/>
      <c r="Y309" s="25"/>
      <c r="Z309" s="25"/>
      <c r="AA309" s="25"/>
      <c r="AB309" s="25"/>
      <c r="AC309" s="25"/>
      <c r="AD309" s="25"/>
    </row>
    <row r="310" customFormat="false" ht="15.75" hidden="false" customHeight="false" outlineLevel="0" collapsed="false">
      <c r="A310" s="28" t="s">
        <v>666</v>
      </c>
      <c r="B310" s="27" t="s">
        <v>438</v>
      </c>
      <c r="C310" s="27" t="s">
        <v>383</v>
      </c>
      <c r="D310" s="25"/>
      <c r="E310" s="25"/>
      <c r="F310" s="25"/>
      <c r="G310" s="25"/>
      <c r="H310" s="25"/>
      <c r="I310" s="25"/>
      <c r="J310" s="27" t="s">
        <v>589</v>
      </c>
      <c r="K310" s="25" t="str">
        <f aca="false">IFERROR(__xludf.dummyfunction("SPLIT(J310,"" "")"),"CIF")</f>
        <v>CIF</v>
      </c>
      <c r="L310" s="28" t="str">
        <f aca="false">IFERROR(__xludf.dummyfunction("""COMPUTED_VALUE"""),"Canada")</f>
        <v>Canada</v>
      </c>
      <c r="M310" s="27" t="str">
        <f aca="false">IFERROR(__xludf.dummyfunction("""COMPUTED_VALUE"""),"(Diff)")</f>
        <v>(Diff)</v>
      </c>
      <c r="N310" s="25"/>
      <c r="O310" s="25"/>
      <c r="P310" s="25"/>
      <c r="Q310" s="29" t="s">
        <v>395</v>
      </c>
      <c r="R310" s="8" t="str">
        <f aca="false">B310&amp;" "&amp;C310&amp;" "&amp;D310&amp;" "&amp;E310&amp;" "&amp;G310&amp;" "&amp;H310&amp;" "&amp;J310&amp;" "&amp;N310</f>
        <v>Differentials Precursor     CIF Canada (Diff) </v>
      </c>
      <c r="S310" s="25"/>
      <c r="T310" s="8"/>
      <c r="U310" s="8"/>
      <c r="V310" s="27" t="s">
        <v>49</v>
      </c>
      <c r="W310" s="25"/>
      <c r="X310" s="25"/>
      <c r="Y310" s="25"/>
      <c r="Z310" s="25"/>
      <c r="AA310" s="25"/>
      <c r="AB310" s="25"/>
      <c r="AC310" s="25"/>
      <c r="AD310" s="25"/>
    </row>
    <row r="311" customFormat="false" ht="15.75" hidden="false" customHeight="false" outlineLevel="0" collapsed="false">
      <c r="A311" s="28" t="s">
        <v>667</v>
      </c>
      <c r="B311" s="27" t="s">
        <v>438</v>
      </c>
      <c r="C311" s="27" t="s">
        <v>383</v>
      </c>
      <c r="D311" s="25"/>
      <c r="E311" s="25"/>
      <c r="F311" s="25"/>
      <c r="G311" s="25"/>
      <c r="H311" s="25"/>
      <c r="I311" s="25"/>
      <c r="J311" s="27" t="s">
        <v>589</v>
      </c>
      <c r="K311" s="25" t="str">
        <f aca="false">IFERROR(__xludf.dummyfunction("SPLIT(J311,"" "")"),"CIF")</f>
        <v>CIF</v>
      </c>
      <c r="L311" s="28" t="str">
        <f aca="false">IFERROR(__xludf.dummyfunction("""COMPUTED_VALUE"""),"Canada")</f>
        <v>Canada</v>
      </c>
      <c r="M311" s="27" t="str">
        <f aca="false">IFERROR(__xludf.dummyfunction("""COMPUTED_VALUE"""),"(Diff)")</f>
        <v>(Diff)</v>
      </c>
      <c r="N311" s="25"/>
      <c r="O311" s="25"/>
      <c r="P311" s="25"/>
      <c r="Q311" s="29" t="s">
        <v>393</v>
      </c>
      <c r="R311" s="8" t="str">
        <f aca="false">B311&amp;" "&amp;C311&amp;" "&amp;D311&amp;" "&amp;E311&amp;" "&amp;G311&amp;" "&amp;H311&amp;" "&amp;J311&amp;" "&amp;N311</f>
        <v>Differentials Precursor     CIF Canada (Diff) </v>
      </c>
      <c r="S311" s="25"/>
      <c r="T311" s="8"/>
      <c r="U311" s="8"/>
      <c r="V311" s="27" t="s">
        <v>49</v>
      </c>
      <c r="W311" s="25"/>
      <c r="X311" s="25"/>
      <c r="Y311" s="25"/>
      <c r="Z311" s="25"/>
      <c r="AA311" s="25"/>
      <c r="AB311" s="25"/>
      <c r="AC311" s="25"/>
      <c r="AD311" s="25"/>
    </row>
    <row r="312" customFormat="false" ht="15.75" hidden="false" customHeight="false" outlineLevel="0" collapsed="false">
      <c r="A312" s="28" t="s">
        <v>668</v>
      </c>
      <c r="B312" s="27" t="s">
        <v>438</v>
      </c>
      <c r="C312" s="27" t="s">
        <v>383</v>
      </c>
      <c r="D312" s="25"/>
      <c r="E312" s="25"/>
      <c r="F312" s="25"/>
      <c r="G312" s="25"/>
      <c r="H312" s="25"/>
      <c r="I312" s="25"/>
      <c r="J312" s="27" t="s">
        <v>589</v>
      </c>
      <c r="K312" s="25" t="str">
        <f aca="false">IFERROR(__xludf.dummyfunction("SPLIT(J312,"" "")"),"CIF")</f>
        <v>CIF</v>
      </c>
      <c r="L312" s="28" t="str">
        <f aca="false">IFERROR(__xludf.dummyfunction("""COMPUTED_VALUE"""),"Canada")</f>
        <v>Canada</v>
      </c>
      <c r="M312" s="27" t="str">
        <f aca="false">IFERROR(__xludf.dummyfunction("""COMPUTED_VALUE"""),"(Diff)")</f>
        <v>(Diff)</v>
      </c>
      <c r="N312" s="25"/>
      <c r="O312" s="25"/>
      <c r="P312" s="25"/>
      <c r="Q312" s="29" t="s">
        <v>391</v>
      </c>
      <c r="R312" s="8" t="str">
        <f aca="false">B312&amp;" "&amp;C312&amp;" "&amp;D312&amp;" "&amp;E312&amp;" "&amp;G312&amp;" "&amp;H312&amp;" "&amp;J312&amp;" "&amp;N312</f>
        <v>Differentials Precursor     CIF Canada (Diff) </v>
      </c>
      <c r="S312" s="25"/>
      <c r="T312" s="8"/>
      <c r="U312" s="8"/>
      <c r="V312" s="27" t="s">
        <v>49</v>
      </c>
      <c r="W312" s="25"/>
      <c r="X312" s="25"/>
      <c r="Y312" s="25"/>
      <c r="Z312" s="25"/>
      <c r="AA312" s="25"/>
      <c r="AB312" s="25"/>
      <c r="AC312" s="25"/>
      <c r="AD312" s="25"/>
    </row>
    <row r="313" customFormat="false" ht="15.75" hidden="false" customHeight="false" outlineLevel="0" collapsed="false">
      <c r="A313" s="28" t="s">
        <v>669</v>
      </c>
      <c r="B313" s="27" t="s">
        <v>438</v>
      </c>
      <c r="C313" s="27" t="s">
        <v>383</v>
      </c>
      <c r="D313" s="25"/>
      <c r="E313" s="25"/>
      <c r="F313" s="25"/>
      <c r="G313" s="25"/>
      <c r="H313" s="25"/>
      <c r="I313" s="25"/>
      <c r="J313" s="27" t="s">
        <v>589</v>
      </c>
      <c r="K313" s="25" t="str">
        <f aca="false">IFERROR(__xludf.dummyfunction("SPLIT(J313,"" "")"),"CIF")</f>
        <v>CIF</v>
      </c>
      <c r="L313" s="28" t="str">
        <f aca="false">IFERROR(__xludf.dummyfunction("""COMPUTED_VALUE"""),"Canada")</f>
        <v>Canada</v>
      </c>
      <c r="M313" s="27" t="str">
        <f aca="false">IFERROR(__xludf.dummyfunction("""COMPUTED_VALUE"""),"(Diff)")</f>
        <v>(Diff)</v>
      </c>
      <c r="N313" s="25"/>
      <c r="O313" s="25"/>
      <c r="P313" s="25"/>
      <c r="Q313" s="29" t="s">
        <v>389</v>
      </c>
      <c r="R313" s="8" t="str">
        <f aca="false">B313&amp;" "&amp;C313&amp;" "&amp;D313&amp;" "&amp;E313&amp;" "&amp;G313&amp;" "&amp;H313&amp;" "&amp;J313&amp;" "&amp;N313</f>
        <v>Differentials Precursor     CIF Canada (Diff) </v>
      </c>
      <c r="S313" s="25"/>
      <c r="T313" s="8"/>
      <c r="U313" s="8"/>
      <c r="V313" s="27" t="s">
        <v>49</v>
      </c>
      <c r="W313" s="25"/>
      <c r="X313" s="25"/>
      <c r="Y313" s="25"/>
      <c r="Z313" s="25"/>
      <c r="AA313" s="25"/>
      <c r="AB313" s="25"/>
      <c r="AC313" s="25"/>
      <c r="AD313" s="25"/>
    </row>
    <row r="314" customFormat="false" ht="15.75" hidden="false" customHeight="false" outlineLevel="0" collapsed="false">
      <c r="A314" s="28" t="s">
        <v>670</v>
      </c>
      <c r="B314" s="27" t="s">
        <v>438</v>
      </c>
      <c r="C314" s="27" t="s">
        <v>383</v>
      </c>
      <c r="D314" s="25"/>
      <c r="E314" s="25"/>
      <c r="F314" s="25"/>
      <c r="G314" s="25"/>
      <c r="H314" s="25"/>
      <c r="I314" s="25"/>
      <c r="J314" s="27" t="s">
        <v>589</v>
      </c>
      <c r="K314" s="25" t="str">
        <f aca="false">IFERROR(__xludf.dummyfunction("SPLIT(J314,"" "")"),"CIF")</f>
        <v>CIF</v>
      </c>
      <c r="L314" s="28" t="str">
        <f aca="false">IFERROR(__xludf.dummyfunction("""COMPUTED_VALUE"""),"Canada")</f>
        <v>Canada</v>
      </c>
      <c r="M314" s="27" t="str">
        <f aca="false">IFERROR(__xludf.dummyfunction("""COMPUTED_VALUE"""),"(Diff)")</f>
        <v>(Diff)</v>
      </c>
      <c r="N314" s="25"/>
      <c r="O314" s="25"/>
      <c r="P314" s="25"/>
      <c r="Q314" s="29" t="s">
        <v>387</v>
      </c>
      <c r="R314" s="8" t="str">
        <f aca="false">B314&amp;" "&amp;C314&amp;" "&amp;D314&amp;" "&amp;E314&amp;" "&amp;G314&amp;" "&amp;H314&amp;" "&amp;J314&amp;" "&amp;N314</f>
        <v>Differentials Precursor     CIF Canada (Diff) </v>
      </c>
      <c r="S314" s="25"/>
      <c r="T314" s="8"/>
      <c r="U314" s="8"/>
      <c r="V314" s="27" t="s">
        <v>49</v>
      </c>
      <c r="W314" s="25"/>
      <c r="X314" s="25"/>
      <c r="Y314" s="25"/>
      <c r="Z314" s="25"/>
      <c r="AA314" s="25"/>
      <c r="AB314" s="25"/>
      <c r="AC314" s="25"/>
      <c r="AD314" s="25"/>
    </row>
    <row r="315" customFormat="false" ht="15.75" hidden="false" customHeight="false" outlineLevel="0" collapsed="false">
      <c r="A315" s="28" t="s">
        <v>671</v>
      </c>
      <c r="B315" s="27" t="s">
        <v>438</v>
      </c>
      <c r="C315" s="27" t="s">
        <v>383</v>
      </c>
      <c r="D315" s="25"/>
      <c r="E315" s="25"/>
      <c r="F315" s="25"/>
      <c r="G315" s="25"/>
      <c r="H315" s="25"/>
      <c r="I315" s="25"/>
      <c r="J315" s="27" t="s">
        <v>589</v>
      </c>
      <c r="K315" s="25" t="str">
        <f aca="false">IFERROR(__xludf.dummyfunction("SPLIT(J315,"" "")"),"CIF")</f>
        <v>CIF</v>
      </c>
      <c r="L315" s="28" t="str">
        <f aca="false">IFERROR(__xludf.dummyfunction("""COMPUTED_VALUE"""),"Canada")</f>
        <v>Canada</v>
      </c>
      <c r="M315" s="27" t="str">
        <f aca="false">IFERROR(__xludf.dummyfunction("""COMPUTED_VALUE"""),"(Diff)")</f>
        <v>(Diff)</v>
      </c>
      <c r="N315" s="25"/>
      <c r="O315" s="25"/>
      <c r="P315" s="25"/>
      <c r="Q315" s="29" t="s">
        <v>385</v>
      </c>
      <c r="R315" s="8" t="str">
        <f aca="false">B315&amp;" "&amp;C315&amp;" "&amp;D315&amp;" "&amp;E315&amp;" "&amp;G315&amp;" "&amp;H315&amp;" "&amp;J315&amp;" "&amp;N315</f>
        <v>Differentials Precursor     CIF Canada (Diff) </v>
      </c>
      <c r="S315" s="25"/>
      <c r="T315" s="8"/>
      <c r="U315" s="8"/>
      <c r="V315" s="27" t="s">
        <v>49</v>
      </c>
      <c r="W315" s="25"/>
      <c r="X315" s="25"/>
      <c r="Y315" s="25"/>
      <c r="Z315" s="25"/>
      <c r="AA315" s="25"/>
      <c r="AB315" s="25"/>
      <c r="AC315" s="25"/>
      <c r="AD315" s="25"/>
    </row>
    <row r="316" customFormat="false" ht="15.75" hidden="false" customHeight="false" outlineLevel="0" collapsed="false">
      <c r="A316" s="28" t="s">
        <v>672</v>
      </c>
      <c r="B316" s="27" t="s">
        <v>438</v>
      </c>
      <c r="C316" s="27" t="s">
        <v>408</v>
      </c>
      <c r="D316" s="25"/>
      <c r="E316" s="25"/>
      <c r="F316" s="25"/>
      <c r="G316" s="25"/>
      <c r="H316" s="25"/>
      <c r="I316" s="25"/>
      <c r="J316" s="27" t="s">
        <v>589</v>
      </c>
      <c r="K316" s="25" t="str">
        <f aca="false">IFERROR(__xludf.dummyfunction("SPLIT(J316,"" "")"),"CIF")</f>
        <v>CIF</v>
      </c>
      <c r="L316" s="28" t="str">
        <f aca="false">IFERROR(__xludf.dummyfunction("""COMPUTED_VALUE"""),"Canada")</f>
        <v>Canada</v>
      </c>
      <c r="M316" s="27" t="str">
        <f aca="false">IFERROR(__xludf.dummyfunction("""COMPUTED_VALUE"""),"(Diff)")</f>
        <v>(Diff)</v>
      </c>
      <c r="N316" s="25"/>
      <c r="O316" s="25"/>
      <c r="P316" s="25"/>
      <c r="Q316" s="29" t="s">
        <v>415</v>
      </c>
      <c r="R316" s="8" t="str">
        <f aca="false">B316&amp;" "&amp;C316&amp;" "&amp;D316&amp;" "&amp;E316&amp;" "&amp;G316&amp;" "&amp;H316&amp;" "&amp;J316&amp;" "&amp;N316</f>
        <v>Differentials Rare Earths     CIF Canada (Diff) </v>
      </c>
      <c r="S316" s="25"/>
      <c r="T316" s="8"/>
      <c r="U316" s="8"/>
      <c r="V316" s="27" t="s">
        <v>49</v>
      </c>
      <c r="W316" s="25"/>
      <c r="X316" s="25"/>
      <c r="Y316" s="25"/>
      <c r="Z316" s="25"/>
      <c r="AA316" s="25"/>
      <c r="AB316" s="25"/>
      <c r="AC316" s="25"/>
      <c r="AD316" s="25"/>
    </row>
    <row r="317" customFormat="false" ht="15.75" hidden="false" customHeight="false" outlineLevel="0" collapsed="false">
      <c r="A317" s="28" t="s">
        <v>673</v>
      </c>
      <c r="B317" s="27" t="s">
        <v>438</v>
      </c>
      <c r="C317" s="27" t="s">
        <v>408</v>
      </c>
      <c r="D317" s="25"/>
      <c r="E317" s="25"/>
      <c r="F317" s="25"/>
      <c r="G317" s="25"/>
      <c r="H317" s="25"/>
      <c r="I317" s="25"/>
      <c r="J317" s="27" t="s">
        <v>589</v>
      </c>
      <c r="K317" s="25" t="str">
        <f aca="false">IFERROR(__xludf.dummyfunction("SPLIT(J317,"" "")"),"CIF")</f>
        <v>CIF</v>
      </c>
      <c r="L317" s="28" t="str">
        <f aca="false">IFERROR(__xludf.dummyfunction("""COMPUTED_VALUE"""),"Canada")</f>
        <v>Canada</v>
      </c>
      <c r="M317" s="27" t="str">
        <f aca="false">IFERROR(__xludf.dummyfunction("""COMPUTED_VALUE"""),"(Diff)")</f>
        <v>(Diff)</v>
      </c>
      <c r="N317" s="25"/>
      <c r="O317" s="25"/>
      <c r="P317" s="25"/>
      <c r="Q317" s="29" t="s">
        <v>413</v>
      </c>
      <c r="R317" s="8" t="str">
        <f aca="false">B317&amp;" "&amp;C317&amp;" "&amp;D317&amp;" "&amp;E317&amp;" "&amp;G317&amp;" "&amp;H317&amp;" "&amp;J317&amp;" "&amp;N317</f>
        <v>Differentials Rare Earths     CIF Canada (Diff) </v>
      </c>
      <c r="S317" s="25"/>
      <c r="T317" s="8"/>
      <c r="U317" s="8"/>
      <c r="V317" s="27" t="s">
        <v>49</v>
      </c>
      <c r="W317" s="25"/>
      <c r="X317" s="25"/>
      <c r="Y317" s="25"/>
      <c r="Z317" s="25"/>
      <c r="AA317" s="25"/>
      <c r="AB317" s="25"/>
      <c r="AC317" s="25"/>
      <c r="AD317" s="25"/>
    </row>
    <row r="318" customFormat="false" ht="15.75" hidden="false" customHeight="false" outlineLevel="0" collapsed="false">
      <c r="A318" s="28" t="s">
        <v>674</v>
      </c>
      <c r="B318" s="27" t="s">
        <v>438</v>
      </c>
      <c r="C318" s="27" t="s">
        <v>408</v>
      </c>
      <c r="D318" s="25"/>
      <c r="E318" s="25"/>
      <c r="F318" s="25"/>
      <c r="G318" s="25"/>
      <c r="H318" s="25"/>
      <c r="I318" s="25"/>
      <c r="J318" s="27" t="s">
        <v>589</v>
      </c>
      <c r="K318" s="25" t="str">
        <f aca="false">IFERROR(__xludf.dummyfunction("SPLIT(J318,"" "")"),"CIF")</f>
        <v>CIF</v>
      </c>
      <c r="L318" s="28" t="str">
        <f aca="false">IFERROR(__xludf.dummyfunction("""COMPUTED_VALUE"""),"Canada")</f>
        <v>Canada</v>
      </c>
      <c r="M318" s="27" t="str">
        <f aca="false">IFERROR(__xludf.dummyfunction("""COMPUTED_VALUE"""),"(Diff)")</f>
        <v>(Diff)</v>
      </c>
      <c r="N318" s="25"/>
      <c r="O318" s="25"/>
      <c r="P318" s="25"/>
      <c r="Q318" s="29" t="s">
        <v>411</v>
      </c>
      <c r="R318" s="8" t="str">
        <f aca="false">B318&amp;" "&amp;C318&amp;" "&amp;D318&amp;" "&amp;E318&amp;" "&amp;G318&amp;" "&amp;H318&amp;" "&amp;J318&amp;" "&amp;N318</f>
        <v>Differentials Rare Earths     CIF Canada (Diff) </v>
      </c>
      <c r="S318" s="25"/>
      <c r="T318" s="8"/>
      <c r="U318" s="8"/>
      <c r="V318" s="27" t="s">
        <v>49</v>
      </c>
      <c r="W318" s="25"/>
      <c r="X318" s="25"/>
      <c r="Y318" s="25"/>
      <c r="Z318" s="25"/>
      <c r="AA318" s="25"/>
      <c r="AB318" s="25"/>
      <c r="AC318" s="25"/>
      <c r="AD318" s="25"/>
    </row>
    <row r="319" customFormat="false" ht="15.75" hidden="false" customHeight="false" outlineLevel="0" collapsed="false">
      <c r="A319" s="28" t="s">
        <v>675</v>
      </c>
      <c r="B319" s="27" t="s">
        <v>438</v>
      </c>
      <c r="C319" s="27" t="s">
        <v>408</v>
      </c>
      <c r="D319" s="25"/>
      <c r="E319" s="25"/>
      <c r="F319" s="25"/>
      <c r="G319" s="25"/>
      <c r="H319" s="25"/>
      <c r="I319" s="25"/>
      <c r="J319" s="27" t="s">
        <v>589</v>
      </c>
      <c r="K319" s="25" t="str">
        <f aca="false">IFERROR(__xludf.dummyfunction("SPLIT(J319,"" "")"),"CIF")</f>
        <v>CIF</v>
      </c>
      <c r="L319" s="28" t="str">
        <f aca="false">IFERROR(__xludf.dummyfunction("""COMPUTED_VALUE"""),"Canada")</f>
        <v>Canada</v>
      </c>
      <c r="M319" s="27" t="str">
        <f aca="false">IFERROR(__xludf.dummyfunction("""COMPUTED_VALUE"""),"(Diff)")</f>
        <v>(Diff)</v>
      </c>
      <c r="N319" s="25"/>
      <c r="O319" s="25"/>
      <c r="P319" s="25"/>
      <c r="Q319" s="29" t="s">
        <v>409</v>
      </c>
      <c r="R319" s="8" t="str">
        <f aca="false">B319&amp;" "&amp;C319&amp;" "&amp;D319&amp;" "&amp;E319&amp;" "&amp;G319&amp;" "&amp;H319&amp;" "&amp;J319&amp;" "&amp;N319</f>
        <v>Differentials Rare Earths     CIF Canada (Diff) </v>
      </c>
      <c r="S319" s="25"/>
      <c r="T319" s="8"/>
      <c r="U319" s="8"/>
      <c r="V319" s="27" t="s">
        <v>49</v>
      </c>
      <c r="W319" s="25"/>
      <c r="X319" s="25"/>
      <c r="Y319" s="25"/>
      <c r="Z319" s="25"/>
      <c r="AA319" s="25"/>
      <c r="AB319" s="25"/>
      <c r="AC319" s="25"/>
      <c r="AD319" s="25"/>
    </row>
    <row r="320" customFormat="false" ht="15.75" hidden="false" customHeight="false" outlineLevel="0" collapsed="false">
      <c r="A320" s="28" t="s">
        <v>676</v>
      </c>
      <c r="B320" s="27" t="s">
        <v>438</v>
      </c>
      <c r="C320" s="27" t="s">
        <v>417</v>
      </c>
      <c r="D320" s="25"/>
      <c r="E320" s="25"/>
      <c r="F320" s="25"/>
      <c r="G320" s="25"/>
      <c r="H320" s="25"/>
      <c r="I320" s="25"/>
      <c r="J320" s="27" t="s">
        <v>589</v>
      </c>
      <c r="K320" s="25" t="str">
        <f aca="false">IFERROR(__xludf.dummyfunction("SPLIT(J320,"" "")"),"CIF")</f>
        <v>CIF</v>
      </c>
      <c r="L320" s="28" t="str">
        <f aca="false">IFERROR(__xludf.dummyfunction("""COMPUTED_VALUE"""),"Canada")</f>
        <v>Canada</v>
      </c>
      <c r="M320" s="27" t="str">
        <f aca="false">IFERROR(__xludf.dummyfunction("""COMPUTED_VALUE"""),"(Diff)")</f>
        <v>(Diff)</v>
      </c>
      <c r="N320" s="25"/>
      <c r="O320" s="25"/>
      <c r="P320" s="25"/>
      <c r="Q320" s="29" t="s">
        <v>436</v>
      </c>
      <c r="R320" s="8" t="str">
        <f aca="false">B320&amp;" "&amp;C320&amp;" "&amp;D320&amp;" "&amp;E320&amp;" "&amp;G320&amp;" "&amp;H320&amp;" "&amp;J320&amp;" "&amp;N320</f>
        <v>Differentials Solvent     CIF Canada (Diff) </v>
      </c>
      <c r="S320" s="25"/>
      <c r="T320" s="8"/>
      <c r="U320" s="8"/>
      <c r="V320" s="27" t="s">
        <v>49</v>
      </c>
      <c r="W320" s="25"/>
      <c r="X320" s="25"/>
      <c r="Y320" s="25"/>
      <c r="Z320" s="25"/>
      <c r="AA320" s="25"/>
      <c r="AB320" s="25"/>
      <c r="AC320" s="25"/>
      <c r="AD320" s="25"/>
    </row>
    <row r="321" customFormat="false" ht="15.75" hidden="false" customHeight="false" outlineLevel="0" collapsed="false">
      <c r="A321" s="28" t="s">
        <v>677</v>
      </c>
      <c r="B321" s="27" t="s">
        <v>438</v>
      </c>
      <c r="C321" s="27" t="s">
        <v>417</v>
      </c>
      <c r="D321" s="25"/>
      <c r="E321" s="25"/>
      <c r="F321" s="25"/>
      <c r="G321" s="25"/>
      <c r="H321" s="25"/>
      <c r="I321" s="25"/>
      <c r="J321" s="27" t="s">
        <v>589</v>
      </c>
      <c r="K321" s="25" t="str">
        <f aca="false">IFERROR(__xludf.dummyfunction("SPLIT(J321,"" "")"),"CIF")</f>
        <v>CIF</v>
      </c>
      <c r="L321" s="28" t="str">
        <f aca="false">IFERROR(__xludf.dummyfunction("""COMPUTED_VALUE"""),"Canada")</f>
        <v>Canada</v>
      </c>
      <c r="M321" s="27" t="str">
        <f aca="false">IFERROR(__xludf.dummyfunction("""COMPUTED_VALUE"""),"(Diff)")</f>
        <v>(Diff)</v>
      </c>
      <c r="N321" s="25"/>
      <c r="O321" s="25"/>
      <c r="P321" s="25"/>
      <c r="Q321" s="29" t="s">
        <v>434</v>
      </c>
      <c r="R321" s="8" t="str">
        <f aca="false">B321&amp;" "&amp;C321&amp;" "&amp;D321&amp;" "&amp;E321&amp;" "&amp;G321&amp;" "&amp;H321&amp;" "&amp;J321&amp;" "&amp;N321</f>
        <v>Differentials Solvent     CIF Canada (Diff) </v>
      </c>
      <c r="S321" s="25"/>
      <c r="T321" s="8"/>
      <c r="U321" s="8"/>
      <c r="V321" s="27" t="s">
        <v>49</v>
      </c>
      <c r="W321" s="25"/>
      <c r="X321" s="25"/>
      <c r="Y321" s="25"/>
      <c r="Z321" s="25"/>
      <c r="AA321" s="25"/>
      <c r="AB321" s="25"/>
      <c r="AC321" s="25"/>
      <c r="AD321" s="25"/>
    </row>
    <row r="322" customFormat="false" ht="15.75" hidden="false" customHeight="false" outlineLevel="0" collapsed="false">
      <c r="A322" s="28" t="s">
        <v>678</v>
      </c>
      <c r="B322" s="27" t="s">
        <v>438</v>
      </c>
      <c r="C322" s="27" t="s">
        <v>417</v>
      </c>
      <c r="D322" s="25"/>
      <c r="E322" s="25"/>
      <c r="F322" s="25"/>
      <c r="G322" s="25"/>
      <c r="H322" s="25"/>
      <c r="I322" s="25"/>
      <c r="J322" s="27" t="s">
        <v>589</v>
      </c>
      <c r="K322" s="25" t="str">
        <f aca="false">IFERROR(__xludf.dummyfunction("SPLIT(J322,"" "")"),"CIF")</f>
        <v>CIF</v>
      </c>
      <c r="L322" s="28" t="str">
        <f aca="false">IFERROR(__xludf.dummyfunction("""COMPUTED_VALUE"""),"Canada")</f>
        <v>Canada</v>
      </c>
      <c r="M322" s="27" t="str">
        <f aca="false">IFERROR(__xludf.dummyfunction("""COMPUTED_VALUE"""),"(Diff)")</f>
        <v>(Diff)</v>
      </c>
      <c r="N322" s="25"/>
      <c r="O322" s="25"/>
      <c r="P322" s="25"/>
      <c r="Q322" s="29" t="s">
        <v>432</v>
      </c>
      <c r="R322" s="8" t="str">
        <f aca="false">B322&amp;" "&amp;C322&amp;" "&amp;D322&amp;" "&amp;E322&amp;" "&amp;G322&amp;" "&amp;H322&amp;" "&amp;J322&amp;" "&amp;N322</f>
        <v>Differentials Solvent     CIF Canada (Diff) </v>
      </c>
      <c r="S322" s="25"/>
      <c r="T322" s="8"/>
      <c r="U322" s="8"/>
      <c r="V322" s="27" t="s">
        <v>49</v>
      </c>
      <c r="W322" s="25"/>
      <c r="X322" s="25"/>
      <c r="Y322" s="25"/>
      <c r="Z322" s="25"/>
      <c r="AA322" s="25"/>
      <c r="AB322" s="25"/>
      <c r="AC322" s="25"/>
      <c r="AD322" s="25"/>
    </row>
    <row r="323" customFormat="false" ht="15.75" hidden="false" customHeight="false" outlineLevel="0" collapsed="false">
      <c r="A323" s="28" t="s">
        <v>679</v>
      </c>
      <c r="B323" s="27" t="s">
        <v>438</v>
      </c>
      <c r="C323" s="27" t="s">
        <v>417</v>
      </c>
      <c r="D323" s="25"/>
      <c r="E323" s="25"/>
      <c r="F323" s="25"/>
      <c r="G323" s="25"/>
      <c r="H323" s="25"/>
      <c r="I323" s="25"/>
      <c r="J323" s="27" t="s">
        <v>589</v>
      </c>
      <c r="K323" s="25" t="str">
        <f aca="false">IFERROR(__xludf.dummyfunction("SPLIT(J323,"" "")"),"CIF")</f>
        <v>CIF</v>
      </c>
      <c r="L323" s="28" t="str">
        <f aca="false">IFERROR(__xludf.dummyfunction("""COMPUTED_VALUE"""),"Canada")</f>
        <v>Canada</v>
      </c>
      <c r="M323" s="27" t="str">
        <f aca="false">IFERROR(__xludf.dummyfunction("""COMPUTED_VALUE"""),"(Diff)")</f>
        <v>(Diff)</v>
      </c>
      <c r="N323" s="25"/>
      <c r="O323" s="25"/>
      <c r="P323" s="25"/>
      <c r="Q323" s="29" t="s">
        <v>430</v>
      </c>
      <c r="R323" s="8" t="str">
        <f aca="false">B323&amp;" "&amp;C323&amp;" "&amp;D323&amp;" "&amp;E323&amp;" "&amp;G323&amp;" "&amp;H323&amp;" "&amp;J323&amp;" "&amp;N323</f>
        <v>Differentials Solvent     CIF Canada (Diff) </v>
      </c>
      <c r="S323" s="25"/>
      <c r="T323" s="8"/>
      <c r="U323" s="8"/>
      <c r="V323" s="27" t="s">
        <v>49</v>
      </c>
      <c r="W323" s="25"/>
      <c r="X323" s="25"/>
      <c r="Y323" s="25"/>
      <c r="Z323" s="25"/>
      <c r="AA323" s="25"/>
      <c r="AB323" s="25"/>
      <c r="AC323" s="25"/>
      <c r="AD323" s="25"/>
    </row>
    <row r="324" customFormat="false" ht="15.75" hidden="false" customHeight="false" outlineLevel="0" collapsed="false">
      <c r="A324" s="28" t="s">
        <v>680</v>
      </c>
      <c r="B324" s="27" t="s">
        <v>438</v>
      </c>
      <c r="C324" s="27" t="s">
        <v>417</v>
      </c>
      <c r="D324" s="25"/>
      <c r="E324" s="25"/>
      <c r="F324" s="25"/>
      <c r="G324" s="25"/>
      <c r="H324" s="25"/>
      <c r="I324" s="25"/>
      <c r="J324" s="27" t="s">
        <v>589</v>
      </c>
      <c r="K324" s="25" t="str">
        <f aca="false">IFERROR(__xludf.dummyfunction("SPLIT(J324,"" "")"),"CIF")</f>
        <v>CIF</v>
      </c>
      <c r="L324" s="28" t="str">
        <f aca="false">IFERROR(__xludf.dummyfunction("""COMPUTED_VALUE"""),"Canada")</f>
        <v>Canada</v>
      </c>
      <c r="M324" s="27" t="str">
        <f aca="false">IFERROR(__xludf.dummyfunction("""COMPUTED_VALUE"""),"(Diff)")</f>
        <v>(Diff)</v>
      </c>
      <c r="N324" s="25"/>
      <c r="O324" s="25"/>
      <c r="P324" s="25"/>
      <c r="Q324" s="29" t="s">
        <v>428</v>
      </c>
      <c r="R324" s="8" t="str">
        <f aca="false">B324&amp;" "&amp;C324&amp;" "&amp;D324&amp;" "&amp;E324&amp;" "&amp;G324&amp;" "&amp;H324&amp;" "&amp;J324&amp;" "&amp;N324</f>
        <v>Differentials Solvent     CIF Canada (Diff) </v>
      </c>
      <c r="S324" s="25"/>
      <c r="T324" s="8"/>
      <c r="U324" s="8"/>
      <c r="V324" s="27" t="s">
        <v>49</v>
      </c>
      <c r="W324" s="25"/>
      <c r="X324" s="25"/>
      <c r="Y324" s="25"/>
      <c r="Z324" s="25"/>
      <c r="AA324" s="25"/>
      <c r="AB324" s="25"/>
      <c r="AC324" s="25"/>
      <c r="AD324" s="25"/>
    </row>
    <row r="325" customFormat="false" ht="15.75" hidden="false" customHeight="false" outlineLevel="0" collapsed="false">
      <c r="A325" s="28" t="s">
        <v>681</v>
      </c>
      <c r="B325" s="27" t="s">
        <v>438</v>
      </c>
      <c r="C325" s="27" t="s">
        <v>417</v>
      </c>
      <c r="D325" s="25"/>
      <c r="E325" s="25"/>
      <c r="F325" s="25"/>
      <c r="G325" s="25"/>
      <c r="H325" s="25"/>
      <c r="I325" s="25"/>
      <c r="J325" s="27" t="s">
        <v>589</v>
      </c>
      <c r="K325" s="25" t="str">
        <f aca="false">IFERROR(__xludf.dummyfunction("SPLIT(J325,"" "")"),"CIF")</f>
        <v>CIF</v>
      </c>
      <c r="L325" s="28" t="str">
        <f aca="false">IFERROR(__xludf.dummyfunction("""COMPUTED_VALUE"""),"Canada")</f>
        <v>Canada</v>
      </c>
      <c r="M325" s="27" t="str">
        <f aca="false">IFERROR(__xludf.dummyfunction("""COMPUTED_VALUE"""),"(Diff)")</f>
        <v>(Diff)</v>
      </c>
      <c r="N325" s="25"/>
      <c r="O325" s="25"/>
      <c r="P325" s="25"/>
      <c r="Q325" s="29" t="s">
        <v>426</v>
      </c>
      <c r="R325" s="8" t="str">
        <f aca="false">B325&amp;" "&amp;C325&amp;" "&amp;D325&amp;" "&amp;E325&amp;" "&amp;G325&amp;" "&amp;H325&amp;" "&amp;J325&amp;" "&amp;N325</f>
        <v>Differentials Solvent     CIF Canada (Diff) </v>
      </c>
      <c r="S325" s="25"/>
      <c r="T325" s="8"/>
      <c r="U325" s="8"/>
      <c r="V325" s="27" t="s">
        <v>49</v>
      </c>
      <c r="W325" s="25"/>
      <c r="X325" s="25"/>
      <c r="Y325" s="25"/>
      <c r="Z325" s="25"/>
      <c r="AA325" s="25"/>
      <c r="AB325" s="25"/>
      <c r="AC325" s="25"/>
      <c r="AD325" s="25"/>
    </row>
    <row r="326" customFormat="false" ht="15.75" hidden="false" customHeight="false" outlineLevel="0" collapsed="false">
      <c r="A326" s="28" t="s">
        <v>682</v>
      </c>
      <c r="B326" s="27" t="s">
        <v>438</v>
      </c>
      <c r="C326" s="27" t="s">
        <v>417</v>
      </c>
      <c r="D326" s="25"/>
      <c r="E326" s="25"/>
      <c r="F326" s="25"/>
      <c r="G326" s="25"/>
      <c r="H326" s="25"/>
      <c r="I326" s="25"/>
      <c r="J326" s="27" t="s">
        <v>589</v>
      </c>
      <c r="K326" s="25" t="str">
        <f aca="false">IFERROR(__xludf.dummyfunction("SPLIT(J326,"" "")"),"CIF")</f>
        <v>CIF</v>
      </c>
      <c r="L326" s="28" t="str">
        <f aca="false">IFERROR(__xludf.dummyfunction("""COMPUTED_VALUE"""),"Canada")</f>
        <v>Canada</v>
      </c>
      <c r="M326" s="27" t="str">
        <f aca="false">IFERROR(__xludf.dummyfunction("""COMPUTED_VALUE"""),"(Diff)")</f>
        <v>(Diff)</v>
      </c>
      <c r="N326" s="25"/>
      <c r="O326" s="25"/>
      <c r="P326" s="25"/>
      <c r="Q326" s="29" t="s">
        <v>424</v>
      </c>
      <c r="R326" s="8" t="str">
        <f aca="false">B326&amp;" "&amp;C326&amp;" "&amp;D326&amp;" "&amp;E326&amp;" "&amp;G326&amp;" "&amp;H326&amp;" "&amp;J326&amp;" "&amp;N326</f>
        <v>Differentials Solvent     CIF Canada (Diff) </v>
      </c>
      <c r="S326" s="25"/>
      <c r="T326" s="8"/>
      <c r="U326" s="8"/>
      <c r="V326" s="27" t="s">
        <v>49</v>
      </c>
      <c r="W326" s="25"/>
      <c r="X326" s="25"/>
      <c r="Y326" s="25"/>
      <c r="Z326" s="25"/>
      <c r="AA326" s="25"/>
      <c r="AB326" s="25"/>
      <c r="AC326" s="25"/>
      <c r="AD326" s="25"/>
    </row>
    <row r="327" customFormat="false" ht="15.75" hidden="false" customHeight="false" outlineLevel="0" collapsed="false">
      <c r="A327" s="28" t="s">
        <v>683</v>
      </c>
      <c r="B327" s="27" t="s">
        <v>438</v>
      </c>
      <c r="C327" s="27" t="s">
        <v>417</v>
      </c>
      <c r="D327" s="25"/>
      <c r="E327" s="25"/>
      <c r="F327" s="25"/>
      <c r="G327" s="25"/>
      <c r="H327" s="25"/>
      <c r="I327" s="25"/>
      <c r="J327" s="27" t="s">
        <v>589</v>
      </c>
      <c r="K327" s="25" t="str">
        <f aca="false">IFERROR(__xludf.dummyfunction("SPLIT(J327,"" "")"),"CIF")</f>
        <v>CIF</v>
      </c>
      <c r="L327" s="28" t="str">
        <f aca="false">IFERROR(__xludf.dummyfunction("""COMPUTED_VALUE"""),"Canada")</f>
        <v>Canada</v>
      </c>
      <c r="M327" s="27" t="str">
        <f aca="false">IFERROR(__xludf.dummyfunction("""COMPUTED_VALUE"""),"(Diff)")</f>
        <v>(Diff)</v>
      </c>
      <c r="N327" s="25"/>
      <c r="O327" s="25"/>
      <c r="P327" s="25"/>
      <c r="Q327" s="29" t="s">
        <v>422</v>
      </c>
      <c r="R327" s="8" t="str">
        <f aca="false">B327&amp;" "&amp;C327&amp;" "&amp;D327&amp;" "&amp;E327&amp;" "&amp;G327&amp;" "&amp;H327&amp;" "&amp;J327&amp;" "&amp;N327</f>
        <v>Differentials Solvent     CIF Canada (Diff) </v>
      </c>
      <c r="S327" s="25"/>
      <c r="T327" s="8"/>
      <c r="U327" s="8"/>
      <c r="V327" s="27" t="s">
        <v>49</v>
      </c>
      <c r="W327" s="25"/>
      <c r="X327" s="25"/>
      <c r="Y327" s="25"/>
      <c r="Z327" s="25"/>
      <c r="AA327" s="25"/>
      <c r="AB327" s="25"/>
      <c r="AC327" s="25"/>
      <c r="AD327" s="25"/>
    </row>
    <row r="328" customFormat="false" ht="15.75" hidden="false" customHeight="false" outlineLevel="0" collapsed="false">
      <c r="A328" s="28" t="s">
        <v>684</v>
      </c>
      <c r="B328" s="27" t="s">
        <v>438</v>
      </c>
      <c r="C328" s="27" t="s">
        <v>417</v>
      </c>
      <c r="D328" s="25"/>
      <c r="E328" s="25"/>
      <c r="F328" s="25"/>
      <c r="G328" s="25"/>
      <c r="H328" s="25"/>
      <c r="I328" s="25"/>
      <c r="J328" s="27" t="s">
        <v>589</v>
      </c>
      <c r="K328" s="25" t="str">
        <f aca="false">IFERROR(__xludf.dummyfunction("SPLIT(J328,"" "")"),"CIF")</f>
        <v>CIF</v>
      </c>
      <c r="L328" s="28" t="str">
        <f aca="false">IFERROR(__xludf.dummyfunction("""COMPUTED_VALUE"""),"Canada")</f>
        <v>Canada</v>
      </c>
      <c r="M328" s="27" t="str">
        <f aca="false">IFERROR(__xludf.dummyfunction("""COMPUTED_VALUE"""),"(Diff)")</f>
        <v>(Diff)</v>
      </c>
      <c r="N328" s="25"/>
      <c r="O328" s="25"/>
      <c r="P328" s="25"/>
      <c r="Q328" s="29" t="s">
        <v>420</v>
      </c>
      <c r="R328" s="8" t="str">
        <f aca="false">B328&amp;" "&amp;C328&amp;" "&amp;D328&amp;" "&amp;E328&amp;" "&amp;G328&amp;" "&amp;H328&amp;" "&amp;J328&amp;" "&amp;N328</f>
        <v>Differentials Solvent     CIF Canada (Diff) </v>
      </c>
      <c r="S328" s="25"/>
      <c r="T328" s="8"/>
      <c r="U328" s="8"/>
      <c r="V328" s="27" t="s">
        <v>49</v>
      </c>
      <c r="W328" s="25"/>
      <c r="X328" s="25"/>
      <c r="Y328" s="25"/>
      <c r="Z328" s="25"/>
      <c r="AA328" s="25"/>
      <c r="AB328" s="25"/>
      <c r="AC328" s="25"/>
      <c r="AD328" s="25"/>
    </row>
    <row r="329" customFormat="false" ht="15.75" hidden="false" customHeight="false" outlineLevel="0" collapsed="false">
      <c r="A329" s="28" t="s">
        <v>685</v>
      </c>
      <c r="B329" s="27" t="s">
        <v>438</v>
      </c>
      <c r="C329" s="27" t="s">
        <v>417</v>
      </c>
      <c r="D329" s="25"/>
      <c r="E329" s="25"/>
      <c r="F329" s="25"/>
      <c r="G329" s="25"/>
      <c r="H329" s="25"/>
      <c r="I329" s="25"/>
      <c r="J329" s="27" t="s">
        <v>589</v>
      </c>
      <c r="K329" s="25" t="str">
        <f aca="false">IFERROR(__xludf.dummyfunction("SPLIT(J329,"" "")"),"CIF")</f>
        <v>CIF</v>
      </c>
      <c r="L329" s="28" t="str">
        <f aca="false">IFERROR(__xludf.dummyfunction("""COMPUTED_VALUE"""),"Canada")</f>
        <v>Canada</v>
      </c>
      <c r="M329" s="27" t="str">
        <f aca="false">IFERROR(__xludf.dummyfunction("""COMPUTED_VALUE"""),"(Diff)")</f>
        <v>(Diff)</v>
      </c>
      <c r="N329" s="25"/>
      <c r="O329" s="25"/>
      <c r="P329" s="25"/>
      <c r="Q329" s="29" t="s">
        <v>418</v>
      </c>
      <c r="R329" s="8" t="str">
        <f aca="false">B329&amp;" "&amp;C329&amp;" "&amp;D329&amp;" "&amp;E329&amp;" "&amp;G329&amp;" "&amp;H329&amp;" "&amp;J329&amp;" "&amp;N329</f>
        <v>Differentials Solvent     CIF Canada (Diff) </v>
      </c>
      <c r="S329" s="25"/>
      <c r="T329" s="8"/>
      <c r="U329" s="8"/>
      <c r="V329" s="27" t="s">
        <v>49</v>
      </c>
      <c r="W329" s="25"/>
      <c r="X329" s="25"/>
      <c r="Y329" s="25"/>
      <c r="Z329" s="25"/>
      <c r="AA329" s="25"/>
      <c r="AB329" s="25"/>
      <c r="AC329" s="25"/>
      <c r="AD329" s="25"/>
    </row>
    <row r="330" customFormat="false" ht="15.75" hidden="false" customHeight="false" outlineLevel="0" collapsed="false">
      <c r="A330" s="28" t="s">
        <v>686</v>
      </c>
      <c r="B330" s="27" t="s">
        <v>438</v>
      </c>
      <c r="C330" s="27" t="s">
        <v>168</v>
      </c>
      <c r="D330" s="25"/>
      <c r="E330" s="25"/>
      <c r="F330" s="25"/>
      <c r="G330" s="25"/>
      <c r="H330" s="25"/>
      <c r="I330" s="25"/>
      <c r="J330" s="27" t="s">
        <v>687</v>
      </c>
      <c r="K330" s="25" t="str">
        <f aca="false">IFERROR(__xludf.dummyfunction("SPLIT(J330,"" "")"),"CIF")</f>
        <v>CIF</v>
      </c>
      <c r="L330" s="28" t="str">
        <f aca="false">IFERROR(__xludf.dummyfunction("""COMPUTED_VALUE"""),"Chile")</f>
        <v>Chile</v>
      </c>
      <c r="M330" s="27" t="str">
        <f aca="false">IFERROR(__xludf.dummyfunction("""COMPUTED_VALUE"""),"(Diff)")</f>
        <v>(Diff)</v>
      </c>
      <c r="N330" s="25"/>
      <c r="O330" s="25"/>
      <c r="P330" s="25"/>
      <c r="Q330" s="29" t="s">
        <v>175</v>
      </c>
      <c r="R330" s="8" t="str">
        <f aca="false">B330&amp;" "&amp;C330&amp;" "&amp;D330&amp;" "&amp;E330&amp;" "&amp;G330&amp;" "&amp;H330&amp;" "&amp;J330&amp;" "&amp;N330</f>
        <v>Differentials Aluminium (Battery Grade)     CIF Chile (Diff) </v>
      </c>
      <c r="S330" s="25"/>
      <c r="T330" s="8"/>
      <c r="U330" s="8"/>
      <c r="V330" s="27" t="s">
        <v>49</v>
      </c>
      <c r="W330" s="25"/>
      <c r="X330" s="25"/>
      <c r="Y330" s="25"/>
      <c r="Z330" s="25"/>
      <c r="AA330" s="25"/>
      <c r="AB330" s="25"/>
      <c r="AC330" s="25"/>
      <c r="AD330" s="25"/>
    </row>
    <row r="331" customFormat="false" ht="15.75" hidden="false" customHeight="false" outlineLevel="0" collapsed="false">
      <c r="A331" s="28" t="s">
        <v>688</v>
      </c>
      <c r="B331" s="27" t="s">
        <v>438</v>
      </c>
      <c r="C331" s="27" t="s">
        <v>168</v>
      </c>
      <c r="D331" s="25"/>
      <c r="E331" s="25"/>
      <c r="F331" s="25"/>
      <c r="G331" s="25"/>
      <c r="H331" s="25"/>
      <c r="I331" s="25"/>
      <c r="J331" s="27" t="s">
        <v>687</v>
      </c>
      <c r="K331" s="25" t="str">
        <f aca="false">IFERROR(__xludf.dummyfunction("SPLIT(J331,"" "")"),"CIF")</f>
        <v>CIF</v>
      </c>
      <c r="L331" s="28" t="str">
        <f aca="false">IFERROR(__xludf.dummyfunction("""COMPUTED_VALUE"""),"Chile")</f>
        <v>Chile</v>
      </c>
      <c r="M331" s="27" t="str">
        <f aca="false">IFERROR(__xludf.dummyfunction("""COMPUTED_VALUE"""),"(Diff)")</f>
        <v>(Diff)</v>
      </c>
      <c r="N331" s="25"/>
      <c r="O331" s="25"/>
      <c r="P331" s="25"/>
      <c r="Q331" s="29" t="s">
        <v>173</v>
      </c>
      <c r="R331" s="8" t="str">
        <f aca="false">B331&amp;" "&amp;C331&amp;" "&amp;D331&amp;" "&amp;E331&amp;" "&amp;G331&amp;" "&amp;H331&amp;" "&amp;J331&amp;" "&amp;N331</f>
        <v>Differentials Aluminium (Battery Grade)     CIF Chile (Diff) </v>
      </c>
      <c r="S331" s="25"/>
      <c r="T331" s="8"/>
      <c r="U331" s="8"/>
      <c r="V331" s="27" t="s">
        <v>49</v>
      </c>
      <c r="W331" s="25"/>
      <c r="X331" s="25"/>
      <c r="Y331" s="25"/>
      <c r="Z331" s="25"/>
      <c r="AA331" s="25"/>
      <c r="AB331" s="25"/>
      <c r="AC331" s="25"/>
      <c r="AD331" s="25"/>
    </row>
    <row r="332" customFormat="false" ht="15.75" hidden="false" customHeight="false" outlineLevel="0" collapsed="false">
      <c r="A332" s="28" t="s">
        <v>689</v>
      </c>
      <c r="B332" s="27" t="s">
        <v>438</v>
      </c>
      <c r="C332" s="27" t="s">
        <v>168</v>
      </c>
      <c r="D332" s="25"/>
      <c r="E332" s="25"/>
      <c r="F332" s="25"/>
      <c r="G332" s="25"/>
      <c r="H332" s="25"/>
      <c r="I332" s="25"/>
      <c r="J332" s="27" t="s">
        <v>687</v>
      </c>
      <c r="K332" s="25" t="str">
        <f aca="false">IFERROR(__xludf.dummyfunction("SPLIT(J332,"" "")"),"CIF")</f>
        <v>CIF</v>
      </c>
      <c r="L332" s="28" t="str">
        <f aca="false">IFERROR(__xludf.dummyfunction("""COMPUTED_VALUE"""),"Chile")</f>
        <v>Chile</v>
      </c>
      <c r="M332" s="27" t="str">
        <f aca="false">IFERROR(__xludf.dummyfunction("""COMPUTED_VALUE"""),"(Diff)")</f>
        <v>(Diff)</v>
      </c>
      <c r="N332" s="25"/>
      <c r="O332" s="25"/>
      <c r="P332" s="25"/>
      <c r="Q332" s="29" t="s">
        <v>169</v>
      </c>
      <c r="R332" s="8" t="str">
        <f aca="false">B332&amp;" "&amp;C332&amp;" "&amp;D332&amp;" "&amp;E332&amp;" "&amp;G332&amp;" "&amp;H332&amp;" "&amp;J332&amp;" "&amp;N332</f>
        <v>Differentials Aluminium (Battery Grade)     CIF Chile (Diff) </v>
      </c>
      <c r="S332" s="25"/>
      <c r="T332" s="8"/>
      <c r="U332" s="8"/>
      <c r="V332" s="27" t="s">
        <v>49</v>
      </c>
      <c r="W332" s="25"/>
      <c r="X332" s="25"/>
      <c r="Y332" s="25"/>
      <c r="Z332" s="25"/>
      <c r="AA332" s="25"/>
      <c r="AB332" s="25"/>
      <c r="AC332" s="25"/>
      <c r="AD332" s="25"/>
    </row>
    <row r="333" customFormat="false" ht="15.75" hidden="false" customHeight="false" outlineLevel="0" collapsed="false">
      <c r="A333" s="28" t="s">
        <v>690</v>
      </c>
      <c r="B333" s="27" t="s">
        <v>438</v>
      </c>
      <c r="C333" s="27" t="s">
        <v>284</v>
      </c>
      <c r="D333" s="25"/>
      <c r="E333" s="25"/>
      <c r="F333" s="25"/>
      <c r="G333" s="25"/>
      <c r="H333" s="25"/>
      <c r="I333" s="25"/>
      <c r="J333" s="27" t="s">
        <v>687</v>
      </c>
      <c r="K333" s="25" t="str">
        <f aca="false">IFERROR(__xludf.dummyfunction("SPLIT(J333,"" "")"),"CIF")</f>
        <v>CIF</v>
      </c>
      <c r="L333" s="28" t="str">
        <f aca="false">IFERROR(__xludf.dummyfunction("""COMPUTED_VALUE"""),"Chile")</f>
        <v>Chile</v>
      </c>
      <c r="M333" s="27" t="str">
        <f aca="false">IFERROR(__xludf.dummyfunction("""COMPUTED_VALUE"""),"(Diff)")</f>
        <v>(Diff)</v>
      </c>
      <c r="N333" s="25"/>
      <c r="O333" s="25"/>
      <c r="P333" s="25"/>
      <c r="Q333" s="29" t="s">
        <v>287</v>
      </c>
      <c r="R333" s="8" t="str">
        <f aca="false">B333&amp;" "&amp;C333&amp;" "&amp;D333&amp;" "&amp;E333&amp;" "&amp;G333&amp;" "&amp;H333&amp;" "&amp;J333&amp;" "&amp;N333</f>
        <v>Differentials Copper (Battery Grade)     CIF Chile (Diff) </v>
      </c>
      <c r="S333" s="25"/>
      <c r="T333" s="8"/>
      <c r="U333" s="8"/>
      <c r="V333" s="27" t="s">
        <v>49</v>
      </c>
      <c r="W333" s="25"/>
      <c r="X333" s="25"/>
      <c r="Y333" s="25"/>
      <c r="Z333" s="25"/>
      <c r="AA333" s="25"/>
      <c r="AB333" s="25"/>
      <c r="AC333" s="25"/>
      <c r="AD333" s="25"/>
    </row>
    <row r="334" customFormat="false" ht="15.75" hidden="false" customHeight="false" outlineLevel="0" collapsed="false">
      <c r="A334" s="28" t="s">
        <v>691</v>
      </c>
      <c r="B334" s="27" t="s">
        <v>438</v>
      </c>
      <c r="C334" s="27" t="s">
        <v>284</v>
      </c>
      <c r="D334" s="25"/>
      <c r="E334" s="25"/>
      <c r="F334" s="25"/>
      <c r="G334" s="25"/>
      <c r="H334" s="25"/>
      <c r="I334" s="25"/>
      <c r="J334" s="27" t="s">
        <v>687</v>
      </c>
      <c r="K334" s="25" t="str">
        <f aca="false">IFERROR(__xludf.dummyfunction("SPLIT(J334,"" "")"),"CIF")</f>
        <v>CIF</v>
      </c>
      <c r="L334" s="28" t="str">
        <f aca="false">IFERROR(__xludf.dummyfunction("""COMPUTED_VALUE"""),"Chile")</f>
        <v>Chile</v>
      </c>
      <c r="M334" s="27" t="str">
        <f aca="false">IFERROR(__xludf.dummyfunction("""COMPUTED_VALUE"""),"(Diff)")</f>
        <v>(Diff)</v>
      </c>
      <c r="N334" s="25"/>
      <c r="O334" s="25"/>
      <c r="P334" s="25"/>
      <c r="Q334" s="29" t="s">
        <v>285</v>
      </c>
      <c r="R334" s="8" t="str">
        <f aca="false">B334&amp;" "&amp;C334&amp;" "&amp;D334&amp;" "&amp;E334&amp;" "&amp;G334&amp;" "&amp;H334&amp;" "&amp;J334&amp;" "&amp;N334</f>
        <v>Differentials Copper (Battery Grade)     CIF Chile (Diff) </v>
      </c>
      <c r="S334" s="25"/>
      <c r="T334" s="8"/>
      <c r="U334" s="8"/>
      <c r="V334" s="27" t="s">
        <v>49</v>
      </c>
      <c r="W334" s="25"/>
      <c r="X334" s="25"/>
      <c r="Y334" s="25"/>
      <c r="Z334" s="25"/>
      <c r="AA334" s="25"/>
      <c r="AB334" s="25"/>
      <c r="AC334" s="25"/>
      <c r="AD334" s="25"/>
    </row>
    <row r="335" customFormat="false" ht="15.75" hidden="false" customHeight="false" outlineLevel="0" collapsed="false">
      <c r="A335" s="28" t="s">
        <v>692</v>
      </c>
      <c r="B335" s="27" t="s">
        <v>438</v>
      </c>
      <c r="C335" s="27" t="s">
        <v>360</v>
      </c>
      <c r="D335" s="25"/>
      <c r="E335" s="25"/>
      <c r="F335" s="25"/>
      <c r="G335" s="25"/>
      <c r="H335" s="25"/>
      <c r="I335" s="25"/>
      <c r="J335" s="27" t="s">
        <v>687</v>
      </c>
      <c r="K335" s="25" t="str">
        <f aca="false">IFERROR(__xludf.dummyfunction("SPLIT(J335,"" "")"),"CIF")</f>
        <v>CIF</v>
      </c>
      <c r="L335" s="28" t="str">
        <f aca="false">IFERROR(__xludf.dummyfunction("""COMPUTED_VALUE"""),"Chile")</f>
        <v>Chile</v>
      </c>
      <c r="M335" s="27" t="str">
        <f aca="false">IFERROR(__xludf.dummyfunction("""COMPUTED_VALUE"""),"(Diff)")</f>
        <v>(Diff)</v>
      </c>
      <c r="N335" s="25"/>
      <c r="O335" s="25"/>
      <c r="P335" s="25"/>
      <c r="Q335" s="29" t="s">
        <v>368</v>
      </c>
      <c r="R335" s="8" t="str">
        <f aca="false">B335&amp;" "&amp;C335&amp;" "&amp;D335&amp;" "&amp;E335&amp;" "&amp;G335&amp;" "&amp;H335&amp;" "&amp;J335&amp;" "&amp;N335</f>
        <v>Differentials Lithium     CIF Chile (Diff) </v>
      </c>
      <c r="S335" s="25"/>
      <c r="T335" s="8"/>
      <c r="U335" s="8"/>
      <c r="V335" s="27" t="s">
        <v>49</v>
      </c>
      <c r="W335" s="25"/>
      <c r="X335" s="25"/>
      <c r="Y335" s="25"/>
      <c r="Z335" s="25"/>
      <c r="AA335" s="25"/>
      <c r="AB335" s="25"/>
      <c r="AC335" s="25"/>
      <c r="AD335" s="25"/>
    </row>
    <row r="336" customFormat="false" ht="15.75" hidden="false" customHeight="false" outlineLevel="0" collapsed="false">
      <c r="A336" s="28" t="s">
        <v>693</v>
      </c>
      <c r="B336" s="27" t="s">
        <v>438</v>
      </c>
      <c r="C336" s="27" t="s">
        <v>360</v>
      </c>
      <c r="D336" s="25"/>
      <c r="E336" s="25"/>
      <c r="F336" s="25"/>
      <c r="G336" s="25"/>
      <c r="H336" s="25"/>
      <c r="I336" s="25"/>
      <c r="J336" s="27" t="s">
        <v>687</v>
      </c>
      <c r="K336" s="25" t="str">
        <f aca="false">IFERROR(__xludf.dummyfunction("SPLIT(J336,"" "")"),"CIF")</f>
        <v>CIF</v>
      </c>
      <c r="L336" s="28" t="str">
        <f aca="false">IFERROR(__xludf.dummyfunction("""COMPUTED_VALUE"""),"Chile")</f>
        <v>Chile</v>
      </c>
      <c r="M336" s="27" t="str">
        <f aca="false">IFERROR(__xludf.dummyfunction("""COMPUTED_VALUE"""),"(Diff)")</f>
        <v>(Diff)</v>
      </c>
      <c r="N336" s="25"/>
      <c r="O336" s="25"/>
      <c r="P336" s="25"/>
      <c r="Q336" s="29" t="s">
        <v>366</v>
      </c>
      <c r="R336" s="8" t="str">
        <f aca="false">B336&amp;" "&amp;C336&amp;" "&amp;D336&amp;" "&amp;E336&amp;" "&amp;G336&amp;" "&amp;H336&amp;" "&amp;J336&amp;" "&amp;N336</f>
        <v>Differentials Lithium     CIF Chile (Diff) </v>
      </c>
      <c r="S336" s="25"/>
      <c r="T336" s="8"/>
      <c r="U336" s="8"/>
      <c r="V336" s="27" t="s">
        <v>49</v>
      </c>
      <c r="W336" s="25"/>
      <c r="X336" s="25"/>
      <c r="Y336" s="25"/>
      <c r="Z336" s="25"/>
      <c r="AA336" s="25"/>
      <c r="AB336" s="25"/>
      <c r="AC336" s="25"/>
      <c r="AD336" s="25"/>
    </row>
    <row r="337" customFormat="false" ht="15.75" hidden="false" customHeight="false" outlineLevel="0" collapsed="false">
      <c r="A337" s="28" t="s">
        <v>694</v>
      </c>
      <c r="B337" s="27" t="s">
        <v>438</v>
      </c>
      <c r="C337" s="27" t="s">
        <v>360</v>
      </c>
      <c r="D337" s="25"/>
      <c r="E337" s="25"/>
      <c r="F337" s="25"/>
      <c r="G337" s="25"/>
      <c r="H337" s="25"/>
      <c r="I337" s="25"/>
      <c r="J337" s="27" t="s">
        <v>687</v>
      </c>
      <c r="K337" s="25" t="str">
        <f aca="false">IFERROR(__xludf.dummyfunction("SPLIT(J337,"" "")"),"CIF")</f>
        <v>CIF</v>
      </c>
      <c r="L337" s="28" t="str">
        <f aca="false">IFERROR(__xludf.dummyfunction("""COMPUTED_VALUE"""),"Chile")</f>
        <v>Chile</v>
      </c>
      <c r="M337" s="27" t="str">
        <f aca="false">IFERROR(__xludf.dummyfunction("""COMPUTED_VALUE"""),"(Diff)")</f>
        <v>(Diff)</v>
      </c>
      <c r="N337" s="25"/>
      <c r="O337" s="25"/>
      <c r="P337" s="25"/>
      <c r="Q337" s="29" t="s">
        <v>361</v>
      </c>
      <c r="R337" s="8" t="str">
        <f aca="false">B337&amp;" "&amp;C337&amp;" "&amp;D337&amp;" "&amp;E337&amp;" "&amp;G337&amp;" "&amp;H337&amp;" "&amp;J337&amp;" "&amp;N337</f>
        <v>Differentials Lithium     CIF Chile (Diff) </v>
      </c>
      <c r="S337" s="25"/>
      <c r="T337" s="8"/>
      <c r="U337" s="8"/>
      <c r="V337" s="27" t="s">
        <v>49</v>
      </c>
      <c r="W337" s="25"/>
      <c r="X337" s="25"/>
      <c r="Y337" s="25"/>
      <c r="Z337" s="25"/>
      <c r="AA337" s="25"/>
      <c r="AB337" s="25"/>
      <c r="AC337" s="25"/>
      <c r="AD337" s="25"/>
    </row>
    <row r="338" customFormat="false" ht="15.75" hidden="false" customHeight="false" outlineLevel="0" collapsed="false">
      <c r="A338" s="28" t="s">
        <v>695</v>
      </c>
      <c r="B338" s="27" t="s">
        <v>438</v>
      </c>
      <c r="C338" s="27" t="s">
        <v>360</v>
      </c>
      <c r="D338" s="25"/>
      <c r="E338" s="25"/>
      <c r="F338" s="25"/>
      <c r="G338" s="25"/>
      <c r="H338" s="25"/>
      <c r="I338" s="25"/>
      <c r="J338" s="27" t="s">
        <v>687</v>
      </c>
      <c r="K338" s="25" t="str">
        <f aca="false">IFERROR(__xludf.dummyfunction("SPLIT(J338,"" "")"),"CIF")</f>
        <v>CIF</v>
      </c>
      <c r="L338" s="28" t="str">
        <f aca="false">IFERROR(__xludf.dummyfunction("""COMPUTED_VALUE"""),"Chile")</f>
        <v>Chile</v>
      </c>
      <c r="M338" s="27" t="str">
        <f aca="false">IFERROR(__xludf.dummyfunction("""COMPUTED_VALUE"""),"(Diff)")</f>
        <v>(Diff)</v>
      </c>
      <c r="N338" s="25"/>
      <c r="O338" s="25"/>
      <c r="P338" s="25"/>
      <c r="Q338" s="29" t="s">
        <v>363</v>
      </c>
      <c r="R338" s="8" t="str">
        <f aca="false">B338&amp;" "&amp;C338&amp;" "&amp;D338&amp;" "&amp;E338&amp;" "&amp;G338&amp;" "&amp;H338&amp;" "&amp;J338&amp;" "&amp;N338</f>
        <v>Differentials Lithium     CIF Chile (Diff) </v>
      </c>
      <c r="S338" s="25"/>
      <c r="T338" s="8"/>
      <c r="U338" s="8"/>
      <c r="V338" s="27" t="s">
        <v>49</v>
      </c>
      <c r="W338" s="25"/>
      <c r="X338" s="25"/>
      <c r="Y338" s="25"/>
      <c r="Z338" s="25"/>
      <c r="AA338" s="25"/>
      <c r="AB338" s="25"/>
      <c r="AC338" s="25"/>
      <c r="AD338" s="25"/>
    </row>
    <row r="339" customFormat="false" ht="15.75" hidden="false" customHeight="false" outlineLevel="0" collapsed="false">
      <c r="A339" s="28" t="s">
        <v>696</v>
      </c>
      <c r="B339" s="27" t="s">
        <v>438</v>
      </c>
      <c r="C339" s="27" t="s">
        <v>360</v>
      </c>
      <c r="D339" s="25"/>
      <c r="E339" s="25"/>
      <c r="F339" s="25"/>
      <c r="G339" s="25"/>
      <c r="H339" s="25"/>
      <c r="I339" s="25"/>
      <c r="J339" s="27" t="s">
        <v>687</v>
      </c>
      <c r="K339" s="25" t="str">
        <f aca="false">IFERROR(__xludf.dummyfunction("SPLIT(J339,"" "")"),"CIF")</f>
        <v>CIF</v>
      </c>
      <c r="L339" s="28" t="str">
        <f aca="false">IFERROR(__xludf.dummyfunction("""COMPUTED_VALUE"""),"Chile")</f>
        <v>Chile</v>
      </c>
      <c r="M339" s="27" t="str">
        <f aca="false">IFERROR(__xludf.dummyfunction("""COMPUTED_VALUE"""),"(Diff)")</f>
        <v>(Diff)</v>
      </c>
      <c r="N339" s="25"/>
      <c r="O339" s="25"/>
      <c r="P339" s="25"/>
      <c r="Q339" s="29" t="s">
        <v>361</v>
      </c>
      <c r="R339" s="8" t="str">
        <f aca="false">B339&amp;" "&amp;C339&amp;" "&amp;D339&amp;" "&amp;E339&amp;" "&amp;G339&amp;" "&amp;H339&amp;" "&amp;J339&amp;" "&amp;N339</f>
        <v>Differentials Lithium     CIF Chile (Diff) </v>
      </c>
      <c r="S339" s="25"/>
      <c r="T339" s="8"/>
      <c r="U339" s="8"/>
      <c r="V339" s="27" t="s">
        <v>49</v>
      </c>
      <c r="W339" s="25"/>
      <c r="X339" s="25"/>
      <c r="Y339" s="25"/>
      <c r="Z339" s="25"/>
      <c r="AA339" s="25"/>
      <c r="AB339" s="25"/>
      <c r="AC339" s="25"/>
      <c r="AD339" s="25"/>
    </row>
    <row r="340" customFormat="false" ht="15.75" hidden="false" customHeight="false" outlineLevel="0" collapsed="false">
      <c r="A340" s="28" t="s">
        <v>697</v>
      </c>
      <c r="B340" s="27" t="s">
        <v>438</v>
      </c>
      <c r="C340" s="27" t="s">
        <v>383</v>
      </c>
      <c r="D340" s="25"/>
      <c r="E340" s="25"/>
      <c r="F340" s="25"/>
      <c r="G340" s="25"/>
      <c r="H340" s="25"/>
      <c r="I340" s="25"/>
      <c r="J340" s="27" t="s">
        <v>687</v>
      </c>
      <c r="K340" s="25" t="str">
        <f aca="false">IFERROR(__xludf.dummyfunction("SPLIT(J340,"" "")"),"CIF")</f>
        <v>CIF</v>
      </c>
      <c r="L340" s="28" t="str">
        <f aca="false">IFERROR(__xludf.dummyfunction("""COMPUTED_VALUE"""),"Chile")</f>
        <v>Chile</v>
      </c>
      <c r="M340" s="27" t="str">
        <f aca="false">IFERROR(__xludf.dummyfunction("""COMPUTED_VALUE"""),"(Diff)")</f>
        <v>(Diff)</v>
      </c>
      <c r="N340" s="25"/>
      <c r="O340" s="25"/>
      <c r="P340" s="25"/>
      <c r="Q340" s="29" t="s">
        <v>406</v>
      </c>
      <c r="R340" s="8" t="str">
        <f aca="false">B340&amp;" "&amp;C340&amp;" "&amp;D340&amp;" "&amp;E340&amp;" "&amp;G340&amp;" "&amp;H340&amp;" "&amp;J340&amp;" "&amp;N340</f>
        <v>Differentials Precursor     CIF Chile (Diff) </v>
      </c>
      <c r="S340" s="25"/>
      <c r="T340" s="8"/>
      <c r="U340" s="8"/>
      <c r="V340" s="27" t="s">
        <v>49</v>
      </c>
      <c r="W340" s="25"/>
      <c r="X340" s="25"/>
      <c r="Y340" s="25"/>
      <c r="Z340" s="25"/>
      <c r="AA340" s="25"/>
      <c r="AB340" s="25"/>
      <c r="AC340" s="25"/>
      <c r="AD340" s="25"/>
    </row>
    <row r="341" customFormat="false" ht="15.75" hidden="false" customHeight="false" outlineLevel="0" collapsed="false">
      <c r="A341" s="28" t="s">
        <v>698</v>
      </c>
      <c r="B341" s="27" t="s">
        <v>438</v>
      </c>
      <c r="C341" s="27" t="s">
        <v>383</v>
      </c>
      <c r="D341" s="25"/>
      <c r="E341" s="25"/>
      <c r="F341" s="25"/>
      <c r="G341" s="25"/>
      <c r="H341" s="25"/>
      <c r="I341" s="25"/>
      <c r="J341" s="27" t="s">
        <v>687</v>
      </c>
      <c r="K341" s="25" t="str">
        <f aca="false">IFERROR(__xludf.dummyfunction("SPLIT(J341,"" "")"),"CIF")</f>
        <v>CIF</v>
      </c>
      <c r="L341" s="28" t="str">
        <f aca="false">IFERROR(__xludf.dummyfunction("""COMPUTED_VALUE"""),"Chile")</f>
        <v>Chile</v>
      </c>
      <c r="M341" s="27" t="str">
        <f aca="false">IFERROR(__xludf.dummyfunction("""COMPUTED_VALUE"""),"(Diff)")</f>
        <v>(Diff)</v>
      </c>
      <c r="N341" s="25"/>
      <c r="O341" s="25"/>
      <c r="P341" s="25"/>
      <c r="Q341" s="29" t="s">
        <v>404</v>
      </c>
      <c r="R341" s="8" t="str">
        <f aca="false">B341&amp;" "&amp;C341&amp;" "&amp;D341&amp;" "&amp;E341&amp;" "&amp;G341&amp;" "&amp;H341&amp;" "&amp;J341&amp;" "&amp;N341</f>
        <v>Differentials Precursor     CIF Chile (Diff) </v>
      </c>
      <c r="S341" s="25"/>
      <c r="T341" s="8"/>
      <c r="U341" s="8"/>
      <c r="V341" s="27" t="s">
        <v>49</v>
      </c>
      <c r="W341" s="25"/>
      <c r="X341" s="25"/>
      <c r="Y341" s="25"/>
      <c r="Z341" s="25"/>
      <c r="AA341" s="25"/>
      <c r="AB341" s="25"/>
      <c r="AC341" s="25"/>
      <c r="AD341" s="25"/>
    </row>
    <row r="342" customFormat="false" ht="15.75" hidden="false" customHeight="false" outlineLevel="0" collapsed="false">
      <c r="A342" s="28" t="s">
        <v>699</v>
      </c>
      <c r="B342" s="27" t="s">
        <v>438</v>
      </c>
      <c r="C342" s="27" t="s">
        <v>383</v>
      </c>
      <c r="D342" s="25"/>
      <c r="E342" s="25"/>
      <c r="F342" s="25"/>
      <c r="G342" s="25"/>
      <c r="H342" s="25"/>
      <c r="I342" s="25"/>
      <c r="J342" s="27" t="s">
        <v>687</v>
      </c>
      <c r="K342" s="25" t="str">
        <f aca="false">IFERROR(__xludf.dummyfunction("SPLIT(J342,"" "")"),"CIF")</f>
        <v>CIF</v>
      </c>
      <c r="L342" s="28" t="str">
        <f aca="false">IFERROR(__xludf.dummyfunction("""COMPUTED_VALUE"""),"Chile")</f>
        <v>Chile</v>
      </c>
      <c r="M342" s="27" t="str">
        <f aca="false">IFERROR(__xludf.dummyfunction("""COMPUTED_VALUE"""),"(Diff)")</f>
        <v>(Diff)</v>
      </c>
      <c r="N342" s="25"/>
      <c r="O342" s="25"/>
      <c r="P342" s="25"/>
      <c r="Q342" s="29" t="s">
        <v>402</v>
      </c>
      <c r="R342" s="8" t="str">
        <f aca="false">B342&amp;" "&amp;C342&amp;" "&amp;D342&amp;" "&amp;E342&amp;" "&amp;G342&amp;" "&amp;H342&amp;" "&amp;J342&amp;" "&amp;N342</f>
        <v>Differentials Precursor     CIF Chile (Diff) </v>
      </c>
      <c r="S342" s="25"/>
      <c r="T342" s="8"/>
      <c r="U342" s="8"/>
      <c r="V342" s="27" t="s">
        <v>49</v>
      </c>
      <c r="W342" s="25"/>
      <c r="X342" s="25"/>
      <c r="Y342" s="25"/>
      <c r="Z342" s="25"/>
      <c r="AA342" s="25"/>
      <c r="AB342" s="25"/>
      <c r="AC342" s="25"/>
      <c r="AD342" s="25"/>
    </row>
    <row r="343" customFormat="false" ht="15.75" hidden="false" customHeight="false" outlineLevel="0" collapsed="false">
      <c r="A343" s="28" t="s">
        <v>700</v>
      </c>
      <c r="B343" s="27" t="s">
        <v>438</v>
      </c>
      <c r="C343" s="27" t="s">
        <v>383</v>
      </c>
      <c r="D343" s="25"/>
      <c r="E343" s="25"/>
      <c r="F343" s="25"/>
      <c r="G343" s="25"/>
      <c r="H343" s="25"/>
      <c r="I343" s="25"/>
      <c r="J343" s="27" t="s">
        <v>687</v>
      </c>
      <c r="K343" s="25" t="str">
        <f aca="false">IFERROR(__xludf.dummyfunction("SPLIT(J343,"" "")"),"CIF")</f>
        <v>CIF</v>
      </c>
      <c r="L343" s="28" t="str">
        <f aca="false">IFERROR(__xludf.dummyfunction("""COMPUTED_VALUE"""),"Chile")</f>
        <v>Chile</v>
      </c>
      <c r="M343" s="27" t="str">
        <f aca="false">IFERROR(__xludf.dummyfunction("""COMPUTED_VALUE"""),"(Diff)")</f>
        <v>(Diff)</v>
      </c>
      <c r="N343" s="25"/>
      <c r="O343" s="25"/>
      <c r="P343" s="25"/>
      <c r="Q343" s="29" t="s">
        <v>400</v>
      </c>
      <c r="R343" s="8" t="str">
        <f aca="false">B343&amp;" "&amp;C343&amp;" "&amp;D343&amp;" "&amp;E343&amp;" "&amp;G343&amp;" "&amp;H343&amp;" "&amp;J343&amp;" "&amp;N343</f>
        <v>Differentials Precursor     CIF Chile (Diff) </v>
      </c>
      <c r="S343" s="25"/>
      <c r="T343" s="8"/>
      <c r="U343" s="8"/>
      <c r="V343" s="27" t="s">
        <v>49</v>
      </c>
      <c r="W343" s="25"/>
      <c r="X343" s="25"/>
      <c r="Y343" s="25"/>
      <c r="Z343" s="25"/>
      <c r="AA343" s="25"/>
      <c r="AB343" s="25"/>
      <c r="AC343" s="25"/>
      <c r="AD343" s="25"/>
    </row>
    <row r="344" customFormat="false" ht="15.75" hidden="false" customHeight="false" outlineLevel="0" collapsed="false">
      <c r="A344" s="28" t="s">
        <v>701</v>
      </c>
      <c r="B344" s="27" t="s">
        <v>438</v>
      </c>
      <c r="C344" s="27" t="s">
        <v>383</v>
      </c>
      <c r="D344" s="25"/>
      <c r="E344" s="25"/>
      <c r="F344" s="25"/>
      <c r="G344" s="25"/>
      <c r="H344" s="25"/>
      <c r="I344" s="25"/>
      <c r="J344" s="27" t="s">
        <v>687</v>
      </c>
      <c r="K344" s="25" t="str">
        <f aca="false">IFERROR(__xludf.dummyfunction("SPLIT(J344,"" "")"),"CIF")</f>
        <v>CIF</v>
      </c>
      <c r="L344" s="28" t="str">
        <f aca="false">IFERROR(__xludf.dummyfunction("""COMPUTED_VALUE"""),"Chile")</f>
        <v>Chile</v>
      </c>
      <c r="M344" s="27" t="str">
        <f aca="false">IFERROR(__xludf.dummyfunction("""COMPUTED_VALUE"""),"(Diff)")</f>
        <v>(Diff)</v>
      </c>
      <c r="N344" s="25"/>
      <c r="O344" s="25"/>
      <c r="P344" s="25"/>
      <c r="Q344" s="29" t="s">
        <v>398</v>
      </c>
      <c r="R344" s="8" t="str">
        <f aca="false">B344&amp;" "&amp;C344&amp;" "&amp;D344&amp;" "&amp;E344&amp;" "&amp;G344&amp;" "&amp;H344&amp;" "&amp;J344&amp;" "&amp;N344</f>
        <v>Differentials Precursor     CIF Chile (Diff) </v>
      </c>
      <c r="S344" s="25"/>
      <c r="T344" s="8"/>
      <c r="U344" s="8"/>
      <c r="V344" s="27" t="s">
        <v>49</v>
      </c>
      <c r="W344" s="25"/>
      <c r="X344" s="25"/>
      <c r="Y344" s="25"/>
      <c r="Z344" s="25"/>
      <c r="AA344" s="25"/>
      <c r="AB344" s="25"/>
      <c r="AC344" s="25"/>
      <c r="AD344" s="25"/>
    </row>
    <row r="345" customFormat="false" ht="15.75" hidden="false" customHeight="false" outlineLevel="0" collapsed="false">
      <c r="A345" s="28" t="s">
        <v>702</v>
      </c>
      <c r="B345" s="27" t="s">
        <v>438</v>
      </c>
      <c r="C345" s="27" t="s">
        <v>383</v>
      </c>
      <c r="D345" s="25"/>
      <c r="E345" s="25"/>
      <c r="F345" s="25"/>
      <c r="G345" s="25"/>
      <c r="H345" s="25"/>
      <c r="I345" s="25"/>
      <c r="J345" s="27" t="s">
        <v>687</v>
      </c>
      <c r="K345" s="25" t="str">
        <f aca="false">IFERROR(__xludf.dummyfunction("SPLIT(J345,"" "")"),"CIF")</f>
        <v>CIF</v>
      </c>
      <c r="L345" s="28" t="str">
        <f aca="false">IFERROR(__xludf.dummyfunction("""COMPUTED_VALUE"""),"Chile")</f>
        <v>Chile</v>
      </c>
      <c r="M345" s="27" t="str">
        <f aca="false">IFERROR(__xludf.dummyfunction("""COMPUTED_VALUE"""),"(Diff)")</f>
        <v>(Diff)</v>
      </c>
      <c r="N345" s="25"/>
      <c r="O345" s="25"/>
      <c r="P345" s="25"/>
      <c r="Q345" s="29" t="s">
        <v>259</v>
      </c>
      <c r="R345" s="8" t="str">
        <f aca="false">B345&amp;" "&amp;C345&amp;" "&amp;D345&amp;" "&amp;E345&amp;" "&amp;G345&amp;" "&amp;H345&amp;" "&amp;J345&amp;" "&amp;N345</f>
        <v>Differentials Precursor     CIF Chile (Diff) </v>
      </c>
      <c r="S345" s="25"/>
      <c r="T345" s="8"/>
      <c r="U345" s="8"/>
      <c r="V345" s="27" t="s">
        <v>49</v>
      </c>
      <c r="W345" s="25"/>
      <c r="X345" s="25"/>
      <c r="Y345" s="25"/>
      <c r="Z345" s="25"/>
      <c r="AA345" s="25"/>
      <c r="AB345" s="25"/>
      <c r="AC345" s="25"/>
      <c r="AD345" s="25"/>
    </row>
    <row r="346" customFormat="false" ht="15.75" hidden="false" customHeight="false" outlineLevel="0" collapsed="false">
      <c r="A346" s="28" t="s">
        <v>703</v>
      </c>
      <c r="B346" s="27" t="s">
        <v>438</v>
      </c>
      <c r="C346" s="27" t="s">
        <v>383</v>
      </c>
      <c r="D346" s="25"/>
      <c r="E346" s="25"/>
      <c r="F346" s="25"/>
      <c r="G346" s="25"/>
      <c r="H346" s="25"/>
      <c r="I346" s="25"/>
      <c r="J346" s="27" t="s">
        <v>687</v>
      </c>
      <c r="K346" s="25" t="str">
        <f aca="false">IFERROR(__xludf.dummyfunction("SPLIT(J346,"" "")"),"CIF")</f>
        <v>CIF</v>
      </c>
      <c r="L346" s="28" t="str">
        <f aca="false">IFERROR(__xludf.dummyfunction("""COMPUTED_VALUE"""),"Chile")</f>
        <v>Chile</v>
      </c>
      <c r="M346" s="27" t="str">
        <f aca="false">IFERROR(__xludf.dummyfunction("""COMPUTED_VALUE"""),"(Diff)")</f>
        <v>(Diff)</v>
      </c>
      <c r="N346" s="25"/>
      <c r="O346" s="25"/>
      <c r="P346" s="25"/>
      <c r="Q346" s="29" t="s">
        <v>395</v>
      </c>
      <c r="R346" s="8" t="str">
        <f aca="false">B346&amp;" "&amp;C346&amp;" "&amp;D346&amp;" "&amp;E346&amp;" "&amp;G346&amp;" "&amp;H346&amp;" "&amp;J346&amp;" "&amp;N346</f>
        <v>Differentials Precursor     CIF Chile (Diff) </v>
      </c>
      <c r="S346" s="25"/>
      <c r="T346" s="8"/>
      <c r="U346" s="8"/>
      <c r="V346" s="27" t="s">
        <v>49</v>
      </c>
      <c r="W346" s="25"/>
      <c r="X346" s="25"/>
      <c r="Y346" s="25"/>
      <c r="Z346" s="25"/>
      <c r="AA346" s="25"/>
      <c r="AB346" s="25"/>
      <c r="AC346" s="25"/>
      <c r="AD346" s="25"/>
    </row>
    <row r="347" customFormat="false" ht="15.75" hidden="false" customHeight="false" outlineLevel="0" collapsed="false">
      <c r="A347" s="28" t="s">
        <v>704</v>
      </c>
      <c r="B347" s="27" t="s">
        <v>438</v>
      </c>
      <c r="C347" s="27" t="s">
        <v>383</v>
      </c>
      <c r="D347" s="25"/>
      <c r="E347" s="25"/>
      <c r="F347" s="25"/>
      <c r="G347" s="25"/>
      <c r="H347" s="25"/>
      <c r="I347" s="25"/>
      <c r="J347" s="27" t="s">
        <v>687</v>
      </c>
      <c r="K347" s="25" t="str">
        <f aca="false">IFERROR(__xludf.dummyfunction("SPLIT(J347,"" "")"),"CIF")</f>
        <v>CIF</v>
      </c>
      <c r="L347" s="28" t="str">
        <f aca="false">IFERROR(__xludf.dummyfunction("""COMPUTED_VALUE"""),"Chile")</f>
        <v>Chile</v>
      </c>
      <c r="M347" s="27" t="str">
        <f aca="false">IFERROR(__xludf.dummyfunction("""COMPUTED_VALUE"""),"(Diff)")</f>
        <v>(Diff)</v>
      </c>
      <c r="N347" s="25"/>
      <c r="O347" s="25"/>
      <c r="P347" s="25"/>
      <c r="Q347" s="29" t="s">
        <v>393</v>
      </c>
      <c r="R347" s="8" t="str">
        <f aca="false">B347&amp;" "&amp;C347&amp;" "&amp;D347&amp;" "&amp;E347&amp;" "&amp;G347&amp;" "&amp;H347&amp;" "&amp;J347&amp;" "&amp;N347</f>
        <v>Differentials Precursor     CIF Chile (Diff) </v>
      </c>
      <c r="S347" s="25"/>
      <c r="T347" s="8"/>
      <c r="U347" s="8"/>
      <c r="V347" s="27" t="s">
        <v>49</v>
      </c>
      <c r="W347" s="25"/>
      <c r="X347" s="25"/>
      <c r="Y347" s="25"/>
      <c r="Z347" s="25"/>
      <c r="AA347" s="25"/>
      <c r="AB347" s="25"/>
      <c r="AC347" s="25"/>
      <c r="AD347" s="25"/>
    </row>
    <row r="348" customFormat="false" ht="15.75" hidden="false" customHeight="false" outlineLevel="0" collapsed="false">
      <c r="A348" s="28" t="s">
        <v>705</v>
      </c>
      <c r="B348" s="27" t="s">
        <v>438</v>
      </c>
      <c r="C348" s="27" t="s">
        <v>383</v>
      </c>
      <c r="D348" s="25"/>
      <c r="E348" s="25"/>
      <c r="F348" s="25"/>
      <c r="G348" s="25"/>
      <c r="H348" s="25"/>
      <c r="I348" s="25"/>
      <c r="J348" s="27" t="s">
        <v>687</v>
      </c>
      <c r="K348" s="25" t="str">
        <f aca="false">IFERROR(__xludf.dummyfunction("SPLIT(J348,"" "")"),"CIF")</f>
        <v>CIF</v>
      </c>
      <c r="L348" s="28" t="str">
        <f aca="false">IFERROR(__xludf.dummyfunction("""COMPUTED_VALUE"""),"Chile")</f>
        <v>Chile</v>
      </c>
      <c r="M348" s="27" t="str">
        <f aca="false">IFERROR(__xludf.dummyfunction("""COMPUTED_VALUE"""),"(Diff)")</f>
        <v>(Diff)</v>
      </c>
      <c r="N348" s="25"/>
      <c r="O348" s="25"/>
      <c r="P348" s="25"/>
      <c r="Q348" s="29" t="s">
        <v>391</v>
      </c>
      <c r="R348" s="8" t="str">
        <f aca="false">B348&amp;" "&amp;C348&amp;" "&amp;D348&amp;" "&amp;E348&amp;" "&amp;G348&amp;" "&amp;H348&amp;" "&amp;J348&amp;" "&amp;N348</f>
        <v>Differentials Precursor     CIF Chile (Diff) </v>
      </c>
      <c r="S348" s="25"/>
      <c r="T348" s="8"/>
      <c r="U348" s="8"/>
      <c r="V348" s="27" t="s">
        <v>49</v>
      </c>
      <c r="W348" s="25"/>
      <c r="X348" s="25"/>
      <c r="Y348" s="25"/>
      <c r="Z348" s="25"/>
      <c r="AA348" s="25"/>
      <c r="AB348" s="25"/>
      <c r="AC348" s="25"/>
      <c r="AD348" s="25"/>
    </row>
    <row r="349" customFormat="false" ht="15.75" hidden="false" customHeight="false" outlineLevel="0" collapsed="false">
      <c r="A349" s="28" t="s">
        <v>706</v>
      </c>
      <c r="B349" s="27" t="s">
        <v>438</v>
      </c>
      <c r="C349" s="27" t="s">
        <v>383</v>
      </c>
      <c r="D349" s="25"/>
      <c r="E349" s="25"/>
      <c r="F349" s="25"/>
      <c r="G349" s="25"/>
      <c r="H349" s="25"/>
      <c r="I349" s="25"/>
      <c r="J349" s="27" t="s">
        <v>687</v>
      </c>
      <c r="K349" s="25" t="str">
        <f aca="false">IFERROR(__xludf.dummyfunction("SPLIT(J349,"" "")"),"CIF")</f>
        <v>CIF</v>
      </c>
      <c r="L349" s="28" t="str">
        <f aca="false">IFERROR(__xludf.dummyfunction("""COMPUTED_VALUE"""),"Chile")</f>
        <v>Chile</v>
      </c>
      <c r="M349" s="27" t="str">
        <f aca="false">IFERROR(__xludf.dummyfunction("""COMPUTED_VALUE"""),"(Diff)")</f>
        <v>(Diff)</v>
      </c>
      <c r="N349" s="25"/>
      <c r="O349" s="25"/>
      <c r="P349" s="25"/>
      <c r="Q349" s="29" t="s">
        <v>389</v>
      </c>
      <c r="R349" s="8" t="str">
        <f aca="false">B349&amp;" "&amp;C349&amp;" "&amp;D349&amp;" "&amp;E349&amp;" "&amp;G349&amp;" "&amp;H349&amp;" "&amp;J349&amp;" "&amp;N349</f>
        <v>Differentials Precursor     CIF Chile (Diff) </v>
      </c>
      <c r="S349" s="25"/>
      <c r="T349" s="8"/>
      <c r="U349" s="8"/>
      <c r="V349" s="27" t="s">
        <v>49</v>
      </c>
      <c r="W349" s="25"/>
      <c r="X349" s="25"/>
      <c r="Y349" s="25"/>
      <c r="Z349" s="25"/>
      <c r="AA349" s="25"/>
      <c r="AB349" s="25"/>
      <c r="AC349" s="25"/>
      <c r="AD349" s="25"/>
    </row>
    <row r="350" customFormat="false" ht="15.75" hidden="false" customHeight="false" outlineLevel="0" collapsed="false">
      <c r="A350" s="28" t="s">
        <v>707</v>
      </c>
      <c r="B350" s="27" t="s">
        <v>438</v>
      </c>
      <c r="C350" s="27" t="s">
        <v>383</v>
      </c>
      <c r="D350" s="25"/>
      <c r="E350" s="25"/>
      <c r="F350" s="25"/>
      <c r="G350" s="25"/>
      <c r="H350" s="25"/>
      <c r="I350" s="25"/>
      <c r="J350" s="27" t="s">
        <v>687</v>
      </c>
      <c r="K350" s="25" t="str">
        <f aca="false">IFERROR(__xludf.dummyfunction("SPLIT(J350,"" "")"),"CIF")</f>
        <v>CIF</v>
      </c>
      <c r="L350" s="28" t="str">
        <f aca="false">IFERROR(__xludf.dummyfunction("""COMPUTED_VALUE"""),"Chile")</f>
        <v>Chile</v>
      </c>
      <c r="M350" s="27" t="str">
        <f aca="false">IFERROR(__xludf.dummyfunction("""COMPUTED_VALUE"""),"(Diff)")</f>
        <v>(Diff)</v>
      </c>
      <c r="N350" s="25"/>
      <c r="O350" s="25"/>
      <c r="P350" s="25"/>
      <c r="Q350" s="29" t="s">
        <v>387</v>
      </c>
      <c r="R350" s="8" t="str">
        <f aca="false">B350&amp;" "&amp;C350&amp;" "&amp;D350&amp;" "&amp;E350&amp;" "&amp;G350&amp;" "&amp;H350&amp;" "&amp;J350&amp;" "&amp;N350</f>
        <v>Differentials Precursor     CIF Chile (Diff) </v>
      </c>
      <c r="S350" s="25"/>
      <c r="T350" s="8"/>
      <c r="U350" s="8"/>
      <c r="V350" s="27" t="s">
        <v>49</v>
      </c>
      <c r="W350" s="25"/>
      <c r="X350" s="25"/>
      <c r="Y350" s="25"/>
      <c r="Z350" s="25"/>
      <c r="AA350" s="25"/>
      <c r="AB350" s="25"/>
      <c r="AC350" s="25"/>
      <c r="AD350" s="25"/>
    </row>
    <row r="351" customFormat="false" ht="15.75" hidden="false" customHeight="false" outlineLevel="0" collapsed="false">
      <c r="A351" s="28" t="s">
        <v>708</v>
      </c>
      <c r="B351" s="27" t="s">
        <v>438</v>
      </c>
      <c r="C351" s="27" t="s">
        <v>383</v>
      </c>
      <c r="D351" s="25"/>
      <c r="E351" s="25"/>
      <c r="F351" s="25"/>
      <c r="G351" s="25"/>
      <c r="H351" s="25"/>
      <c r="I351" s="25"/>
      <c r="J351" s="27" t="s">
        <v>687</v>
      </c>
      <c r="K351" s="25" t="str">
        <f aca="false">IFERROR(__xludf.dummyfunction("SPLIT(J351,"" "")"),"CIF")</f>
        <v>CIF</v>
      </c>
      <c r="L351" s="28" t="str">
        <f aca="false">IFERROR(__xludf.dummyfunction("""COMPUTED_VALUE"""),"Chile")</f>
        <v>Chile</v>
      </c>
      <c r="M351" s="27" t="str">
        <f aca="false">IFERROR(__xludf.dummyfunction("""COMPUTED_VALUE"""),"(Diff)")</f>
        <v>(Diff)</v>
      </c>
      <c r="N351" s="25"/>
      <c r="O351" s="25"/>
      <c r="P351" s="25"/>
      <c r="Q351" s="29" t="s">
        <v>385</v>
      </c>
      <c r="R351" s="8" t="str">
        <f aca="false">B351&amp;" "&amp;C351&amp;" "&amp;D351&amp;" "&amp;E351&amp;" "&amp;G351&amp;" "&amp;H351&amp;" "&amp;J351&amp;" "&amp;N351</f>
        <v>Differentials Precursor     CIF Chile (Diff) </v>
      </c>
      <c r="S351" s="25"/>
      <c r="T351" s="8"/>
      <c r="U351" s="8"/>
      <c r="V351" s="27" t="s">
        <v>49</v>
      </c>
      <c r="W351" s="25"/>
      <c r="X351" s="25"/>
      <c r="Y351" s="25"/>
      <c r="Z351" s="25"/>
      <c r="AA351" s="25"/>
      <c r="AB351" s="25"/>
      <c r="AC351" s="25"/>
      <c r="AD351" s="25"/>
    </row>
    <row r="352" customFormat="false" ht="15.75" hidden="false" customHeight="false" outlineLevel="0" collapsed="false">
      <c r="A352" s="28" t="s">
        <v>709</v>
      </c>
      <c r="B352" s="27" t="s">
        <v>438</v>
      </c>
      <c r="C352" s="27" t="s">
        <v>177</v>
      </c>
      <c r="D352" s="25"/>
      <c r="E352" s="25"/>
      <c r="F352" s="25"/>
      <c r="G352" s="25"/>
      <c r="H352" s="25"/>
      <c r="I352" s="25"/>
      <c r="J352" s="27" t="s">
        <v>710</v>
      </c>
      <c r="K352" s="25" t="str">
        <f aca="false">IFERROR(__xludf.dummyfunction("SPLIT(J352,"" "")"),"CIF")</f>
        <v>CIF</v>
      </c>
      <c r="L352" s="28" t="str">
        <f aca="false">IFERROR(__xludf.dummyfunction("""COMPUTED_VALUE"""),"China")</f>
        <v>China</v>
      </c>
      <c r="M352" s="27" t="str">
        <f aca="false">IFERROR(__xludf.dummyfunction("""COMPUTED_VALUE"""),"(Diff)")</f>
        <v>(Diff)</v>
      </c>
      <c r="N352" s="25"/>
      <c r="O352" s="25"/>
      <c r="P352" s="25"/>
      <c r="Q352" s="29" t="s">
        <v>209</v>
      </c>
      <c r="R352" s="8" t="str">
        <f aca="false">B352&amp;" "&amp;C352&amp;" "&amp;D352&amp;" "&amp;E352&amp;" "&amp;G352&amp;" "&amp;H352&amp;" "&amp;J352&amp;" "&amp;N352</f>
        <v>Differentials Anode     CIF China (Diff) </v>
      </c>
      <c r="S352" s="25"/>
      <c r="T352" s="8"/>
      <c r="U352" s="8"/>
      <c r="V352" s="27" t="s">
        <v>49</v>
      </c>
      <c r="W352" s="25"/>
      <c r="X352" s="25"/>
      <c r="Y352" s="25"/>
      <c r="Z352" s="25"/>
      <c r="AA352" s="25"/>
      <c r="AB352" s="25"/>
      <c r="AC352" s="25"/>
      <c r="AD352" s="25"/>
    </row>
    <row r="353" customFormat="false" ht="15.75" hidden="false" customHeight="false" outlineLevel="0" collapsed="false">
      <c r="A353" s="28" t="s">
        <v>711</v>
      </c>
      <c r="B353" s="27" t="s">
        <v>438</v>
      </c>
      <c r="C353" s="27" t="s">
        <v>177</v>
      </c>
      <c r="D353" s="25"/>
      <c r="E353" s="25"/>
      <c r="F353" s="25"/>
      <c r="G353" s="25"/>
      <c r="H353" s="25"/>
      <c r="I353" s="25"/>
      <c r="J353" s="27" t="s">
        <v>710</v>
      </c>
      <c r="K353" s="25" t="str">
        <f aca="false">IFERROR(__xludf.dummyfunction("SPLIT(J353,"" "")"),"CIF")</f>
        <v>CIF</v>
      </c>
      <c r="L353" s="28" t="str">
        <f aca="false">IFERROR(__xludf.dummyfunction("""COMPUTED_VALUE"""),"China")</f>
        <v>China</v>
      </c>
      <c r="M353" s="27" t="str">
        <f aca="false">IFERROR(__xludf.dummyfunction("""COMPUTED_VALUE"""),"(Diff)")</f>
        <v>(Diff)</v>
      </c>
      <c r="N353" s="25"/>
      <c r="O353" s="25"/>
      <c r="P353" s="25"/>
      <c r="Q353" s="29" t="s">
        <v>205</v>
      </c>
      <c r="R353" s="8" t="str">
        <f aca="false">B353&amp;" "&amp;C353&amp;" "&amp;D353&amp;" "&amp;E353&amp;" "&amp;G353&amp;" "&amp;H353&amp;" "&amp;J353&amp;" "&amp;N353</f>
        <v>Differentials Anode     CIF China (Diff) </v>
      </c>
      <c r="S353" s="25"/>
      <c r="T353" s="8"/>
      <c r="U353" s="8"/>
      <c r="V353" s="27" t="s">
        <v>49</v>
      </c>
      <c r="W353" s="25"/>
      <c r="X353" s="25"/>
      <c r="Y353" s="25"/>
      <c r="Z353" s="25"/>
      <c r="AA353" s="25"/>
      <c r="AB353" s="25"/>
      <c r="AC353" s="25"/>
      <c r="AD353" s="25"/>
    </row>
    <row r="354" customFormat="false" ht="15.75" hidden="false" customHeight="false" outlineLevel="0" collapsed="false">
      <c r="A354" s="28" t="s">
        <v>712</v>
      </c>
      <c r="B354" s="27" t="s">
        <v>438</v>
      </c>
      <c r="C354" s="27" t="s">
        <v>177</v>
      </c>
      <c r="D354" s="25"/>
      <c r="E354" s="25"/>
      <c r="F354" s="25"/>
      <c r="G354" s="25"/>
      <c r="H354" s="25"/>
      <c r="I354" s="25"/>
      <c r="J354" s="27" t="s">
        <v>710</v>
      </c>
      <c r="K354" s="25" t="str">
        <f aca="false">IFERROR(__xludf.dummyfunction("SPLIT(J354,"" "")"),"CIF")</f>
        <v>CIF</v>
      </c>
      <c r="L354" s="28" t="str">
        <f aca="false">IFERROR(__xludf.dummyfunction("""COMPUTED_VALUE"""),"China")</f>
        <v>China</v>
      </c>
      <c r="M354" s="27" t="str">
        <f aca="false">IFERROR(__xludf.dummyfunction("""COMPUTED_VALUE"""),"(Diff)")</f>
        <v>(Diff)</v>
      </c>
      <c r="N354" s="25"/>
      <c r="O354" s="25"/>
      <c r="P354" s="25"/>
      <c r="Q354" s="29" t="s">
        <v>202</v>
      </c>
      <c r="R354" s="8" t="str">
        <f aca="false">B354&amp;" "&amp;C354&amp;" "&amp;D354&amp;" "&amp;E354&amp;" "&amp;G354&amp;" "&amp;H354&amp;" "&amp;J354&amp;" "&amp;N354</f>
        <v>Differentials Anode     CIF China (Diff) </v>
      </c>
      <c r="S354" s="25"/>
      <c r="T354" s="8"/>
      <c r="U354" s="8"/>
      <c r="V354" s="27" t="s">
        <v>49</v>
      </c>
      <c r="W354" s="25"/>
      <c r="X354" s="25"/>
      <c r="Y354" s="25"/>
      <c r="Z354" s="25"/>
      <c r="AA354" s="25"/>
      <c r="AB354" s="25"/>
      <c r="AC354" s="25"/>
      <c r="AD354" s="25"/>
    </row>
    <row r="355" customFormat="false" ht="15.75" hidden="false" customHeight="false" outlineLevel="0" collapsed="false">
      <c r="A355" s="28" t="s">
        <v>713</v>
      </c>
      <c r="B355" s="27" t="s">
        <v>438</v>
      </c>
      <c r="C355" s="27" t="s">
        <v>177</v>
      </c>
      <c r="D355" s="25"/>
      <c r="E355" s="25"/>
      <c r="F355" s="25"/>
      <c r="G355" s="25"/>
      <c r="H355" s="25"/>
      <c r="I355" s="25"/>
      <c r="J355" s="27" t="s">
        <v>710</v>
      </c>
      <c r="K355" s="25" t="str">
        <f aca="false">IFERROR(__xludf.dummyfunction("SPLIT(J355,"" "")"),"CIF")</f>
        <v>CIF</v>
      </c>
      <c r="L355" s="28" t="str">
        <f aca="false">IFERROR(__xludf.dummyfunction("""COMPUTED_VALUE"""),"China")</f>
        <v>China</v>
      </c>
      <c r="M355" s="27" t="str">
        <f aca="false">IFERROR(__xludf.dummyfunction("""COMPUTED_VALUE"""),"(Diff)")</f>
        <v>(Diff)</v>
      </c>
      <c r="N355" s="25"/>
      <c r="O355" s="25"/>
      <c r="P355" s="25"/>
      <c r="Q355" s="29" t="s">
        <v>197</v>
      </c>
      <c r="R355" s="8" t="str">
        <f aca="false">B355&amp;" "&amp;C355&amp;" "&amp;D355&amp;" "&amp;E355&amp;" "&amp;G355&amp;" "&amp;H355&amp;" "&amp;J355&amp;" "&amp;N355</f>
        <v>Differentials Anode     CIF China (Diff) </v>
      </c>
      <c r="S355" s="25"/>
      <c r="T355" s="8"/>
      <c r="U355" s="8"/>
      <c r="V355" s="27" t="s">
        <v>49</v>
      </c>
      <c r="W355" s="25"/>
      <c r="X355" s="25"/>
      <c r="Y355" s="25"/>
      <c r="Z355" s="25"/>
      <c r="AA355" s="25"/>
      <c r="AB355" s="25"/>
      <c r="AC355" s="25"/>
      <c r="AD355" s="25"/>
    </row>
    <row r="356" customFormat="false" ht="15.75" hidden="false" customHeight="false" outlineLevel="0" collapsed="false">
      <c r="A356" s="28" t="s">
        <v>714</v>
      </c>
      <c r="B356" s="27" t="s">
        <v>438</v>
      </c>
      <c r="C356" s="27" t="s">
        <v>177</v>
      </c>
      <c r="D356" s="25"/>
      <c r="E356" s="25"/>
      <c r="F356" s="25"/>
      <c r="G356" s="25"/>
      <c r="H356" s="25"/>
      <c r="I356" s="25"/>
      <c r="J356" s="27" t="s">
        <v>710</v>
      </c>
      <c r="K356" s="25" t="str">
        <f aca="false">IFERROR(__xludf.dummyfunction("SPLIT(J356,"" "")"),"CIF")</f>
        <v>CIF</v>
      </c>
      <c r="L356" s="28" t="str">
        <f aca="false">IFERROR(__xludf.dummyfunction("""COMPUTED_VALUE"""),"China")</f>
        <v>China</v>
      </c>
      <c r="M356" s="27" t="str">
        <f aca="false">IFERROR(__xludf.dummyfunction("""COMPUTED_VALUE"""),"(Diff)")</f>
        <v>(Diff)</v>
      </c>
      <c r="N356" s="25"/>
      <c r="O356" s="25"/>
      <c r="P356" s="25"/>
      <c r="Q356" s="29" t="s">
        <v>193</v>
      </c>
      <c r="R356" s="8" t="str">
        <f aca="false">B356&amp;" "&amp;C356&amp;" "&amp;D356&amp;" "&amp;E356&amp;" "&amp;G356&amp;" "&amp;H356&amp;" "&amp;J356&amp;" "&amp;N356</f>
        <v>Differentials Anode     CIF China (Diff) </v>
      </c>
      <c r="S356" s="25"/>
      <c r="T356" s="8"/>
      <c r="U356" s="8"/>
      <c r="V356" s="27" t="s">
        <v>49</v>
      </c>
      <c r="W356" s="25"/>
      <c r="X356" s="25"/>
      <c r="Y356" s="25"/>
      <c r="Z356" s="25"/>
      <c r="AA356" s="25"/>
      <c r="AB356" s="25"/>
      <c r="AC356" s="25"/>
      <c r="AD356" s="25"/>
    </row>
    <row r="357" customFormat="false" ht="15.75" hidden="false" customHeight="false" outlineLevel="0" collapsed="false">
      <c r="A357" s="28" t="s">
        <v>715</v>
      </c>
      <c r="B357" s="27" t="s">
        <v>438</v>
      </c>
      <c r="C357" s="27" t="s">
        <v>177</v>
      </c>
      <c r="D357" s="25"/>
      <c r="E357" s="25"/>
      <c r="F357" s="25"/>
      <c r="G357" s="25"/>
      <c r="H357" s="25"/>
      <c r="I357" s="25"/>
      <c r="J357" s="27" t="s">
        <v>710</v>
      </c>
      <c r="K357" s="25" t="str">
        <f aca="false">IFERROR(__xludf.dummyfunction("SPLIT(J357,"" "")"),"CIF")</f>
        <v>CIF</v>
      </c>
      <c r="L357" s="28" t="str">
        <f aca="false">IFERROR(__xludf.dummyfunction("""COMPUTED_VALUE"""),"China")</f>
        <v>China</v>
      </c>
      <c r="M357" s="27" t="str">
        <f aca="false">IFERROR(__xludf.dummyfunction("""COMPUTED_VALUE"""),"(Diff)")</f>
        <v>(Diff)</v>
      </c>
      <c r="N357" s="25"/>
      <c r="O357" s="25"/>
      <c r="P357" s="25"/>
      <c r="Q357" s="29" t="s">
        <v>188</v>
      </c>
      <c r="R357" s="8" t="str">
        <f aca="false">B357&amp;" "&amp;C357&amp;" "&amp;D357&amp;" "&amp;E357&amp;" "&amp;G357&amp;" "&amp;H357&amp;" "&amp;J357&amp;" "&amp;N357</f>
        <v>Differentials Anode     CIF China (Diff) </v>
      </c>
      <c r="S357" s="25"/>
      <c r="T357" s="8"/>
      <c r="U357" s="8"/>
      <c r="V357" s="27" t="s">
        <v>49</v>
      </c>
      <c r="W357" s="25"/>
      <c r="X357" s="25"/>
      <c r="Y357" s="25"/>
      <c r="Z357" s="25"/>
      <c r="AA357" s="25"/>
      <c r="AB357" s="25"/>
      <c r="AC357" s="25"/>
      <c r="AD357" s="25"/>
    </row>
    <row r="358" customFormat="false" ht="15.75" hidden="false" customHeight="false" outlineLevel="0" collapsed="false">
      <c r="A358" s="28" t="s">
        <v>716</v>
      </c>
      <c r="B358" s="27" t="s">
        <v>438</v>
      </c>
      <c r="C358" s="27" t="s">
        <v>177</v>
      </c>
      <c r="D358" s="25"/>
      <c r="E358" s="25"/>
      <c r="F358" s="25"/>
      <c r="G358" s="25"/>
      <c r="H358" s="25"/>
      <c r="I358" s="25"/>
      <c r="J358" s="27" t="s">
        <v>710</v>
      </c>
      <c r="K358" s="25" t="str">
        <f aca="false">IFERROR(__xludf.dummyfunction("SPLIT(J358,"" "")"),"CIF")</f>
        <v>CIF</v>
      </c>
      <c r="L358" s="28" t="str">
        <f aca="false">IFERROR(__xludf.dummyfunction("""COMPUTED_VALUE"""),"China")</f>
        <v>China</v>
      </c>
      <c r="M358" s="27" t="str">
        <f aca="false">IFERROR(__xludf.dummyfunction("""COMPUTED_VALUE"""),"(Diff)")</f>
        <v>(Diff)</v>
      </c>
      <c r="N358" s="25"/>
      <c r="O358" s="25"/>
      <c r="P358" s="25"/>
      <c r="Q358" s="29" t="s">
        <v>180</v>
      </c>
      <c r="R358" s="8" t="str">
        <f aca="false">B358&amp;" "&amp;C358&amp;" "&amp;D358&amp;" "&amp;E358&amp;" "&amp;G358&amp;" "&amp;H358&amp;" "&amp;J358&amp;" "&amp;N358</f>
        <v>Differentials Anode     CIF China (Diff) </v>
      </c>
      <c r="S358" s="25"/>
      <c r="T358" s="8"/>
      <c r="U358" s="8"/>
      <c r="V358" s="27" t="s">
        <v>49</v>
      </c>
      <c r="W358" s="25"/>
      <c r="X358" s="25"/>
      <c r="Y358" s="25"/>
      <c r="Z358" s="25"/>
      <c r="AA358" s="25"/>
      <c r="AB358" s="25"/>
      <c r="AC358" s="25"/>
      <c r="AD358" s="25"/>
    </row>
    <row r="359" customFormat="false" ht="15.75" hidden="false" customHeight="false" outlineLevel="0" collapsed="false">
      <c r="A359" s="28" t="s">
        <v>717</v>
      </c>
      <c r="B359" s="27" t="s">
        <v>438</v>
      </c>
      <c r="C359" s="27" t="s">
        <v>211</v>
      </c>
      <c r="D359" s="25"/>
      <c r="E359" s="25"/>
      <c r="F359" s="25"/>
      <c r="G359" s="25"/>
      <c r="H359" s="25"/>
      <c r="I359" s="25"/>
      <c r="J359" s="27" t="s">
        <v>710</v>
      </c>
      <c r="K359" s="25" t="str">
        <f aca="false">IFERROR(__xludf.dummyfunction("SPLIT(J359,"" "")"),"CIF")</f>
        <v>CIF</v>
      </c>
      <c r="L359" s="28" t="str">
        <f aca="false">IFERROR(__xludf.dummyfunction("""COMPUTED_VALUE"""),"China")</f>
        <v>China</v>
      </c>
      <c r="M359" s="27" t="str">
        <f aca="false">IFERROR(__xludf.dummyfunction("""COMPUTED_VALUE"""),"(Diff)")</f>
        <v>(Diff)</v>
      </c>
      <c r="N359" s="25"/>
      <c r="O359" s="25"/>
      <c r="P359" s="25"/>
      <c r="Q359" s="29" t="s">
        <v>234</v>
      </c>
      <c r="R359" s="8" t="str">
        <f aca="false">B359&amp;" "&amp;C359&amp;" "&amp;D359&amp;" "&amp;E359&amp;" "&amp;G359&amp;" "&amp;H359&amp;" "&amp;J359&amp;" "&amp;N359</f>
        <v>Differentials Binders &amp; Additives     CIF China (Diff) </v>
      </c>
      <c r="S359" s="25"/>
      <c r="T359" s="8"/>
      <c r="U359" s="8"/>
      <c r="V359" s="27" t="s">
        <v>49</v>
      </c>
      <c r="W359" s="25"/>
      <c r="X359" s="25"/>
      <c r="Y359" s="25"/>
      <c r="Z359" s="25"/>
      <c r="AA359" s="25"/>
      <c r="AB359" s="25"/>
      <c r="AC359" s="25"/>
      <c r="AD359" s="25"/>
    </row>
    <row r="360" customFormat="false" ht="15.75" hidden="false" customHeight="false" outlineLevel="0" collapsed="false">
      <c r="A360" s="28" t="s">
        <v>718</v>
      </c>
      <c r="B360" s="27" t="s">
        <v>438</v>
      </c>
      <c r="C360" s="27" t="s">
        <v>211</v>
      </c>
      <c r="D360" s="25"/>
      <c r="E360" s="25"/>
      <c r="F360" s="25"/>
      <c r="G360" s="25"/>
      <c r="H360" s="25"/>
      <c r="I360" s="25"/>
      <c r="J360" s="27" t="s">
        <v>710</v>
      </c>
      <c r="K360" s="25" t="str">
        <f aca="false">IFERROR(__xludf.dummyfunction("SPLIT(J360,"" "")"),"CIF")</f>
        <v>CIF</v>
      </c>
      <c r="L360" s="28" t="str">
        <f aca="false">IFERROR(__xludf.dummyfunction("""COMPUTED_VALUE"""),"China")</f>
        <v>China</v>
      </c>
      <c r="M360" s="27" t="str">
        <f aca="false">IFERROR(__xludf.dummyfunction("""COMPUTED_VALUE"""),"(Diff)")</f>
        <v>(Diff)</v>
      </c>
      <c r="N360" s="25"/>
      <c r="O360" s="25"/>
      <c r="P360" s="25"/>
      <c r="Q360" s="29" t="s">
        <v>232</v>
      </c>
      <c r="R360" s="8" t="str">
        <f aca="false">B360&amp;" "&amp;C360&amp;" "&amp;D360&amp;" "&amp;E360&amp;" "&amp;G360&amp;" "&amp;H360&amp;" "&amp;J360&amp;" "&amp;N360</f>
        <v>Differentials Binders &amp; Additives     CIF China (Diff) </v>
      </c>
      <c r="S360" s="25"/>
      <c r="T360" s="8"/>
      <c r="U360" s="8"/>
      <c r="V360" s="27" t="s">
        <v>49</v>
      </c>
      <c r="W360" s="25"/>
      <c r="X360" s="25"/>
      <c r="Y360" s="25"/>
      <c r="Z360" s="25"/>
      <c r="AA360" s="25"/>
      <c r="AB360" s="25"/>
      <c r="AC360" s="25"/>
      <c r="AD360" s="25"/>
    </row>
    <row r="361" customFormat="false" ht="15.75" hidden="false" customHeight="false" outlineLevel="0" collapsed="false">
      <c r="A361" s="28" t="s">
        <v>719</v>
      </c>
      <c r="B361" s="27" t="s">
        <v>438</v>
      </c>
      <c r="C361" s="27" t="s">
        <v>211</v>
      </c>
      <c r="D361" s="25"/>
      <c r="E361" s="25"/>
      <c r="F361" s="25"/>
      <c r="G361" s="25"/>
      <c r="H361" s="25"/>
      <c r="I361" s="25"/>
      <c r="J361" s="27" t="s">
        <v>710</v>
      </c>
      <c r="K361" s="25" t="str">
        <f aca="false">IFERROR(__xludf.dummyfunction("SPLIT(J361,"" "")"),"CIF")</f>
        <v>CIF</v>
      </c>
      <c r="L361" s="28" t="str">
        <f aca="false">IFERROR(__xludf.dummyfunction("""COMPUTED_VALUE"""),"China")</f>
        <v>China</v>
      </c>
      <c r="M361" s="27" t="str">
        <f aca="false">IFERROR(__xludf.dummyfunction("""COMPUTED_VALUE"""),"(Diff)")</f>
        <v>(Diff)</v>
      </c>
      <c r="N361" s="25"/>
      <c r="O361" s="25"/>
      <c r="P361" s="25"/>
      <c r="Q361" s="29" t="s">
        <v>230</v>
      </c>
      <c r="R361" s="8" t="str">
        <f aca="false">B361&amp;" "&amp;C361&amp;" "&amp;D361&amp;" "&amp;E361&amp;" "&amp;G361&amp;" "&amp;H361&amp;" "&amp;J361&amp;" "&amp;N361</f>
        <v>Differentials Binders &amp; Additives     CIF China (Diff) </v>
      </c>
      <c r="S361" s="25"/>
      <c r="T361" s="8"/>
      <c r="U361" s="8"/>
      <c r="V361" s="27" t="s">
        <v>49</v>
      </c>
      <c r="W361" s="25"/>
      <c r="X361" s="25"/>
      <c r="Y361" s="25"/>
      <c r="Z361" s="25"/>
      <c r="AA361" s="25"/>
      <c r="AB361" s="25"/>
      <c r="AC361" s="25"/>
      <c r="AD361" s="25"/>
    </row>
    <row r="362" customFormat="false" ht="15.75" hidden="false" customHeight="false" outlineLevel="0" collapsed="false">
      <c r="A362" s="28" t="s">
        <v>720</v>
      </c>
      <c r="B362" s="27" t="s">
        <v>438</v>
      </c>
      <c r="C362" s="27" t="s">
        <v>211</v>
      </c>
      <c r="D362" s="25"/>
      <c r="E362" s="25"/>
      <c r="F362" s="25"/>
      <c r="G362" s="25"/>
      <c r="H362" s="25"/>
      <c r="I362" s="25"/>
      <c r="J362" s="27" t="s">
        <v>710</v>
      </c>
      <c r="K362" s="25" t="str">
        <f aca="false">IFERROR(__xludf.dummyfunction("SPLIT(J362,"" "")"),"CIF")</f>
        <v>CIF</v>
      </c>
      <c r="L362" s="28" t="str">
        <f aca="false">IFERROR(__xludf.dummyfunction("""COMPUTED_VALUE"""),"China")</f>
        <v>China</v>
      </c>
      <c r="M362" s="27" t="str">
        <f aca="false">IFERROR(__xludf.dummyfunction("""COMPUTED_VALUE"""),"(Diff)")</f>
        <v>(Diff)</v>
      </c>
      <c r="N362" s="25"/>
      <c r="O362" s="25"/>
      <c r="P362" s="25"/>
      <c r="Q362" s="29" t="s">
        <v>228</v>
      </c>
      <c r="R362" s="8" t="str">
        <f aca="false">B362&amp;" "&amp;C362&amp;" "&amp;D362&amp;" "&amp;E362&amp;" "&amp;G362&amp;" "&amp;H362&amp;" "&amp;J362&amp;" "&amp;N362</f>
        <v>Differentials Binders &amp; Additives     CIF China (Diff) </v>
      </c>
      <c r="S362" s="25"/>
      <c r="T362" s="8"/>
      <c r="U362" s="8"/>
      <c r="V362" s="27" t="s">
        <v>49</v>
      </c>
      <c r="W362" s="25"/>
      <c r="X362" s="25"/>
      <c r="Y362" s="25"/>
      <c r="Z362" s="25"/>
      <c r="AA362" s="25"/>
      <c r="AB362" s="25"/>
      <c r="AC362" s="25"/>
      <c r="AD362" s="25"/>
    </row>
    <row r="363" customFormat="false" ht="15.75" hidden="false" customHeight="false" outlineLevel="0" collapsed="false">
      <c r="A363" s="28" t="s">
        <v>721</v>
      </c>
      <c r="B363" s="27" t="s">
        <v>438</v>
      </c>
      <c r="C363" s="27" t="s">
        <v>211</v>
      </c>
      <c r="D363" s="25"/>
      <c r="E363" s="25"/>
      <c r="F363" s="25"/>
      <c r="G363" s="25"/>
      <c r="H363" s="25"/>
      <c r="I363" s="25"/>
      <c r="J363" s="27" t="s">
        <v>710</v>
      </c>
      <c r="K363" s="25" t="str">
        <f aca="false">IFERROR(__xludf.dummyfunction("SPLIT(J363,"" "")"),"CIF")</f>
        <v>CIF</v>
      </c>
      <c r="L363" s="28" t="str">
        <f aca="false">IFERROR(__xludf.dummyfunction("""COMPUTED_VALUE"""),"China")</f>
        <v>China</v>
      </c>
      <c r="M363" s="27" t="str">
        <f aca="false">IFERROR(__xludf.dummyfunction("""COMPUTED_VALUE"""),"(Diff)")</f>
        <v>(Diff)</v>
      </c>
      <c r="N363" s="25"/>
      <c r="O363" s="25"/>
      <c r="P363" s="25"/>
      <c r="Q363" s="29" t="s">
        <v>226</v>
      </c>
      <c r="R363" s="8" t="str">
        <f aca="false">B363&amp;" "&amp;C363&amp;" "&amp;D363&amp;" "&amp;E363&amp;" "&amp;G363&amp;" "&amp;H363&amp;" "&amp;J363&amp;" "&amp;N363</f>
        <v>Differentials Binders &amp; Additives     CIF China (Diff) </v>
      </c>
      <c r="S363" s="25"/>
      <c r="T363" s="8"/>
      <c r="U363" s="8"/>
      <c r="V363" s="27" t="s">
        <v>49</v>
      </c>
      <c r="W363" s="25"/>
      <c r="X363" s="25"/>
      <c r="Y363" s="25"/>
      <c r="Z363" s="25"/>
      <c r="AA363" s="25"/>
      <c r="AB363" s="25"/>
      <c r="AC363" s="25"/>
      <c r="AD363" s="25"/>
    </row>
    <row r="364" customFormat="false" ht="15.75" hidden="false" customHeight="false" outlineLevel="0" collapsed="false">
      <c r="A364" s="28" t="s">
        <v>722</v>
      </c>
      <c r="B364" s="27" t="s">
        <v>438</v>
      </c>
      <c r="C364" s="27" t="s">
        <v>211</v>
      </c>
      <c r="D364" s="25"/>
      <c r="E364" s="25"/>
      <c r="F364" s="25"/>
      <c r="G364" s="25"/>
      <c r="H364" s="25"/>
      <c r="I364" s="25"/>
      <c r="J364" s="27" t="s">
        <v>710</v>
      </c>
      <c r="K364" s="25" t="str">
        <f aca="false">IFERROR(__xludf.dummyfunction("SPLIT(J364,"" "")"),"CIF")</f>
        <v>CIF</v>
      </c>
      <c r="L364" s="28" t="str">
        <f aca="false">IFERROR(__xludf.dummyfunction("""COMPUTED_VALUE"""),"China")</f>
        <v>China</v>
      </c>
      <c r="M364" s="27" t="str">
        <f aca="false">IFERROR(__xludf.dummyfunction("""COMPUTED_VALUE"""),"(Diff)")</f>
        <v>(Diff)</v>
      </c>
      <c r="N364" s="25"/>
      <c r="O364" s="25"/>
      <c r="P364" s="25"/>
      <c r="Q364" s="29" t="s">
        <v>224</v>
      </c>
      <c r="R364" s="8" t="str">
        <f aca="false">B364&amp;" "&amp;C364&amp;" "&amp;D364&amp;" "&amp;E364&amp;" "&amp;G364&amp;" "&amp;H364&amp;" "&amp;J364&amp;" "&amp;N364</f>
        <v>Differentials Binders &amp; Additives     CIF China (Diff) </v>
      </c>
      <c r="S364" s="25"/>
      <c r="T364" s="8"/>
      <c r="U364" s="8"/>
      <c r="V364" s="27" t="s">
        <v>49</v>
      </c>
      <c r="W364" s="25"/>
      <c r="X364" s="25"/>
      <c r="Y364" s="25"/>
      <c r="Z364" s="25"/>
      <c r="AA364" s="25"/>
      <c r="AB364" s="25"/>
      <c r="AC364" s="25"/>
      <c r="AD364" s="25"/>
    </row>
    <row r="365" customFormat="false" ht="15.75" hidden="false" customHeight="false" outlineLevel="0" collapsed="false">
      <c r="A365" s="28" t="s">
        <v>723</v>
      </c>
      <c r="B365" s="27" t="s">
        <v>438</v>
      </c>
      <c r="C365" s="27" t="s">
        <v>211</v>
      </c>
      <c r="D365" s="25"/>
      <c r="E365" s="25"/>
      <c r="F365" s="25"/>
      <c r="G365" s="25"/>
      <c r="H365" s="25"/>
      <c r="I365" s="25"/>
      <c r="J365" s="27" t="s">
        <v>710</v>
      </c>
      <c r="K365" s="25" t="str">
        <f aca="false">IFERROR(__xludf.dummyfunction("SPLIT(J365,"" "")"),"CIF")</f>
        <v>CIF</v>
      </c>
      <c r="L365" s="28" t="str">
        <f aca="false">IFERROR(__xludf.dummyfunction("""COMPUTED_VALUE"""),"China")</f>
        <v>China</v>
      </c>
      <c r="M365" s="27" t="str">
        <f aca="false">IFERROR(__xludf.dummyfunction("""COMPUTED_VALUE"""),"(Diff)")</f>
        <v>(Diff)</v>
      </c>
      <c r="N365" s="25"/>
      <c r="O365" s="25"/>
      <c r="P365" s="25"/>
      <c r="Q365" s="29" t="s">
        <v>222</v>
      </c>
      <c r="R365" s="8" t="str">
        <f aca="false">B365&amp;" "&amp;C365&amp;" "&amp;D365&amp;" "&amp;E365&amp;" "&amp;G365&amp;" "&amp;H365&amp;" "&amp;J365&amp;" "&amp;N365</f>
        <v>Differentials Binders &amp; Additives     CIF China (Diff) </v>
      </c>
      <c r="S365" s="25"/>
      <c r="T365" s="8"/>
      <c r="U365" s="8"/>
      <c r="V365" s="27" t="s">
        <v>49</v>
      </c>
      <c r="W365" s="25"/>
      <c r="X365" s="25"/>
      <c r="Y365" s="25"/>
      <c r="Z365" s="25"/>
      <c r="AA365" s="25"/>
      <c r="AB365" s="25"/>
      <c r="AC365" s="25"/>
      <c r="AD365" s="25"/>
    </row>
    <row r="366" customFormat="false" ht="15.75" hidden="false" customHeight="false" outlineLevel="0" collapsed="false">
      <c r="A366" s="28" t="s">
        <v>724</v>
      </c>
      <c r="B366" s="27" t="s">
        <v>438</v>
      </c>
      <c r="C366" s="27" t="s">
        <v>211</v>
      </c>
      <c r="D366" s="25"/>
      <c r="E366" s="25"/>
      <c r="F366" s="25"/>
      <c r="G366" s="25"/>
      <c r="H366" s="25"/>
      <c r="I366" s="25"/>
      <c r="J366" s="27" t="s">
        <v>710</v>
      </c>
      <c r="K366" s="25" t="str">
        <f aca="false">IFERROR(__xludf.dummyfunction("SPLIT(J366,"" "")"),"CIF")</f>
        <v>CIF</v>
      </c>
      <c r="L366" s="28" t="str">
        <f aca="false">IFERROR(__xludf.dummyfunction("""COMPUTED_VALUE"""),"China")</f>
        <v>China</v>
      </c>
      <c r="M366" s="27" t="str">
        <f aca="false">IFERROR(__xludf.dummyfunction("""COMPUTED_VALUE"""),"(Diff)")</f>
        <v>(Diff)</v>
      </c>
      <c r="N366" s="25"/>
      <c r="O366" s="25"/>
      <c r="P366" s="25"/>
      <c r="Q366" s="29" t="s">
        <v>220</v>
      </c>
      <c r="R366" s="8" t="str">
        <f aca="false">B366&amp;" "&amp;C366&amp;" "&amp;D366&amp;" "&amp;E366&amp;" "&amp;G366&amp;" "&amp;H366&amp;" "&amp;J366&amp;" "&amp;N366</f>
        <v>Differentials Binders &amp; Additives     CIF China (Diff) </v>
      </c>
      <c r="S366" s="25"/>
      <c r="T366" s="8"/>
      <c r="U366" s="8"/>
      <c r="V366" s="27" t="s">
        <v>49</v>
      </c>
      <c r="W366" s="25"/>
      <c r="X366" s="25"/>
      <c r="Y366" s="25"/>
      <c r="Z366" s="25"/>
      <c r="AA366" s="25"/>
      <c r="AB366" s="25"/>
      <c r="AC366" s="25"/>
      <c r="AD366" s="25"/>
    </row>
    <row r="367" customFormat="false" ht="15.75" hidden="false" customHeight="false" outlineLevel="0" collapsed="false">
      <c r="A367" s="28" t="s">
        <v>725</v>
      </c>
      <c r="B367" s="27" t="s">
        <v>438</v>
      </c>
      <c r="C367" s="27" t="s">
        <v>211</v>
      </c>
      <c r="D367" s="25"/>
      <c r="E367" s="25"/>
      <c r="F367" s="25"/>
      <c r="G367" s="25"/>
      <c r="H367" s="25"/>
      <c r="I367" s="25"/>
      <c r="J367" s="27" t="s">
        <v>710</v>
      </c>
      <c r="K367" s="25" t="str">
        <f aca="false">IFERROR(__xludf.dummyfunction("SPLIT(J367,"" "")"),"CIF")</f>
        <v>CIF</v>
      </c>
      <c r="L367" s="28" t="str">
        <f aca="false">IFERROR(__xludf.dummyfunction("""COMPUTED_VALUE"""),"China")</f>
        <v>China</v>
      </c>
      <c r="M367" s="27" t="str">
        <f aca="false">IFERROR(__xludf.dummyfunction("""COMPUTED_VALUE"""),"(Diff)")</f>
        <v>(Diff)</v>
      </c>
      <c r="N367" s="25"/>
      <c r="O367" s="25"/>
      <c r="P367" s="25"/>
      <c r="Q367" s="29" t="s">
        <v>218</v>
      </c>
      <c r="R367" s="8" t="str">
        <f aca="false">B367&amp;" "&amp;C367&amp;" "&amp;D367&amp;" "&amp;E367&amp;" "&amp;G367&amp;" "&amp;H367&amp;" "&amp;J367&amp;" "&amp;N367</f>
        <v>Differentials Binders &amp; Additives     CIF China (Diff) </v>
      </c>
      <c r="S367" s="25"/>
      <c r="T367" s="8"/>
      <c r="U367" s="8"/>
      <c r="V367" s="27" t="s">
        <v>49</v>
      </c>
      <c r="W367" s="25"/>
      <c r="X367" s="25"/>
      <c r="Y367" s="25"/>
      <c r="Z367" s="25"/>
      <c r="AA367" s="25"/>
      <c r="AB367" s="25"/>
      <c r="AC367" s="25"/>
      <c r="AD367" s="25"/>
    </row>
    <row r="368" customFormat="false" ht="15.75" hidden="false" customHeight="false" outlineLevel="0" collapsed="false">
      <c r="A368" s="28" t="s">
        <v>726</v>
      </c>
      <c r="B368" s="27" t="s">
        <v>438</v>
      </c>
      <c r="C368" s="27" t="s">
        <v>211</v>
      </c>
      <c r="D368" s="25"/>
      <c r="E368" s="25"/>
      <c r="F368" s="25"/>
      <c r="G368" s="25"/>
      <c r="H368" s="25"/>
      <c r="I368" s="25"/>
      <c r="J368" s="27" t="s">
        <v>710</v>
      </c>
      <c r="K368" s="25" t="str">
        <f aca="false">IFERROR(__xludf.dummyfunction("SPLIT(J368,"" "")"),"CIF")</f>
        <v>CIF</v>
      </c>
      <c r="L368" s="28" t="str">
        <f aca="false">IFERROR(__xludf.dummyfunction("""COMPUTED_VALUE"""),"China")</f>
        <v>China</v>
      </c>
      <c r="M368" s="27" t="str">
        <f aca="false">IFERROR(__xludf.dummyfunction("""COMPUTED_VALUE"""),"(Diff)")</f>
        <v>(Diff)</v>
      </c>
      <c r="N368" s="25"/>
      <c r="O368" s="25"/>
      <c r="P368" s="25"/>
      <c r="Q368" s="29" t="s">
        <v>215</v>
      </c>
      <c r="R368" s="8" t="str">
        <f aca="false">B368&amp;" "&amp;C368&amp;" "&amp;D368&amp;" "&amp;E368&amp;" "&amp;G368&amp;" "&amp;H368&amp;" "&amp;J368&amp;" "&amp;N368</f>
        <v>Differentials Binders &amp; Additives     CIF China (Diff) </v>
      </c>
      <c r="S368" s="25"/>
      <c r="T368" s="8"/>
      <c r="U368" s="8"/>
      <c r="V368" s="27" t="s">
        <v>49</v>
      </c>
      <c r="W368" s="25"/>
      <c r="X368" s="25"/>
      <c r="Y368" s="25"/>
      <c r="Z368" s="25"/>
      <c r="AA368" s="25"/>
      <c r="AB368" s="25"/>
      <c r="AC368" s="25"/>
      <c r="AD368" s="25"/>
    </row>
    <row r="369" customFormat="false" ht="15.75" hidden="false" customHeight="false" outlineLevel="0" collapsed="false">
      <c r="A369" s="28" t="s">
        <v>727</v>
      </c>
      <c r="B369" s="27" t="s">
        <v>438</v>
      </c>
      <c r="C369" s="27" t="s">
        <v>211</v>
      </c>
      <c r="D369" s="25"/>
      <c r="E369" s="25"/>
      <c r="F369" s="25"/>
      <c r="G369" s="25"/>
      <c r="H369" s="25"/>
      <c r="I369" s="25"/>
      <c r="J369" s="27" t="s">
        <v>710</v>
      </c>
      <c r="K369" s="25" t="str">
        <f aca="false">IFERROR(__xludf.dummyfunction("SPLIT(J369,"" "")"),"CIF")</f>
        <v>CIF</v>
      </c>
      <c r="L369" s="28" t="str">
        <f aca="false">IFERROR(__xludf.dummyfunction("""COMPUTED_VALUE"""),"China")</f>
        <v>China</v>
      </c>
      <c r="M369" s="27" t="str">
        <f aca="false">IFERROR(__xludf.dummyfunction("""COMPUTED_VALUE"""),"(Diff)")</f>
        <v>(Diff)</v>
      </c>
      <c r="N369" s="25"/>
      <c r="O369" s="25"/>
      <c r="P369" s="25"/>
      <c r="Q369" s="29" t="s">
        <v>213</v>
      </c>
      <c r="R369" s="8" t="str">
        <f aca="false">B369&amp;" "&amp;C369&amp;" "&amp;D369&amp;" "&amp;E369&amp;" "&amp;G369&amp;" "&amp;H369&amp;" "&amp;J369&amp;" "&amp;N369</f>
        <v>Differentials Binders &amp; Additives     CIF China (Diff) </v>
      </c>
      <c r="S369" s="25"/>
      <c r="T369" s="8"/>
      <c r="U369" s="8"/>
      <c r="V369" s="27" t="s">
        <v>49</v>
      </c>
      <c r="W369" s="25"/>
      <c r="X369" s="25"/>
      <c r="Y369" s="25"/>
      <c r="Z369" s="25"/>
      <c r="AA369" s="25"/>
      <c r="AB369" s="25"/>
      <c r="AC369" s="25"/>
      <c r="AD369" s="25"/>
    </row>
    <row r="370" customFormat="false" ht="15.75" hidden="false" customHeight="false" outlineLevel="0" collapsed="false">
      <c r="A370" s="28" t="s">
        <v>728</v>
      </c>
      <c r="B370" s="27" t="s">
        <v>438</v>
      </c>
      <c r="C370" s="27" t="s">
        <v>236</v>
      </c>
      <c r="D370" s="25"/>
      <c r="E370" s="25"/>
      <c r="F370" s="25"/>
      <c r="G370" s="25"/>
      <c r="H370" s="25"/>
      <c r="I370" s="25"/>
      <c r="J370" s="27" t="s">
        <v>710</v>
      </c>
      <c r="K370" s="25" t="str">
        <f aca="false">IFERROR(__xludf.dummyfunction("SPLIT(J370,"" "")"),"CIF")</f>
        <v>CIF</v>
      </c>
      <c r="L370" s="28" t="str">
        <f aca="false">IFERROR(__xludf.dummyfunction("""COMPUTED_VALUE"""),"China")</f>
        <v>China</v>
      </c>
      <c r="M370" s="27" t="str">
        <f aca="false">IFERROR(__xludf.dummyfunction("""COMPUTED_VALUE"""),"(Diff)")</f>
        <v>(Diff)</v>
      </c>
      <c r="N370" s="25"/>
      <c r="O370" s="25"/>
      <c r="P370" s="25"/>
      <c r="Q370" s="29" t="s">
        <v>271</v>
      </c>
      <c r="R370" s="8" t="str">
        <f aca="false">B370&amp;" "&amp;C370&amp;" "&amp;D370&amp;" "&amp;E370&amp;" "&amp;G370&amp;" "&amp;H370&amp;" "&amp;J370&amp;" "&amp;N370</f>
        <v>Differentials Cathode     CIF China (Diff) </v>
      </c>
      <c r="S370" s="25"/>
      <c r="T370" s="8"/>
      <c r="U370" s="8"/>
      <c r="V370" s="27" t="s">
        <v>49</v>
      </c>
      <c r="W370" s="25"/>
      <c r="X370" s="25"/>
      <c r="Y370" s="25"/>
      <c r="Z370" s="25"/>
      <c r="AA370" s="25"/>
      <c r="AB370" s="25"/>
      <c r="AC370" s="25"/>
      <c r="AD370" s="25"/>
    </row>
    <row r="371" customFormat="false" ht="15.75" hidden="false" customHeight="false" outlineLevel="0" collapsed="false">
      <c r="A371" s="28" t="s">
        <v>729</v>
      </c>
      <c r="B371" s="27" t="s">
        <v>438</v>
      </c>
      <c r="C371" s="27" t="s">
        <v>236</v>
      </c>
      <c r="D371" s="25"/>
      <c r="E371" s="25"/>
      <c r="F371" s="25"/>
      <c r="G371" s="25"/>
      <c r="H371" s="25"/>
      <c r="I371" s="25"/>
      <c r="J371" s="27" t="s">
        <v>710</v>
      </c>
      <c r="K371" s="25" t="str">
        <f aca="false">IFERROR(__xludf.dummyfunction("SPLIT(J371,"" "")"),"CIF")</f>
        <v>CIF</v>
      </c>
      <c r="L371" s="28" t="str">
        <f aca="false">IFERROR(__xludf.dummyfunction("""COMPUTED_VALUE"""),"China")</f>
        <v>China</v>
      </c>
      <c r="M371" s="27" t="str">
        <f aca="false">IFERROR(__xludf.dummyfunction("""COMPUTED_VALUE"""),"(Diff)")</f>
        <v>(Diff)</v>
      </c>
      <c r="N371" s="25"/>
      <c r="O371" s="25"/>
      <c r="P371" s="25"/>
      <c r="Q371" s="29" t="s">
        <v>266</v>
      </c>
      <c r="R371" s="8" t="str">
        <f aca="false">B371&amp;" "&amp;C371&amp;" "&amp;D371&amp;" "&amp;E371&amp;" "&amp;G371&amp;" "&amp;H371&amp;" "&amp;J371&amp;" "&amp;N371</f>
        <v>Differentials Cathode     CIF China (Diff) </v>
      </c>
      <c r="S371" s="25"/>
      <c r="T371" s="8"/>
      <c r="U371" s="8"/>
      <c r="V371" s="27" t="s">
        <v>49</v>
      </c>
      <c r="W371" s="25"/>
      <c r="X371" s="25"/>
      <c r="Y371" s="25"/>
      <c r="Z371" s="25"/>
      <c r="AA371" s="25"/>
      <c r="AB371" s="25"/>
      <c r="AC371" s="25"/>
      <c r="AD371" s="25"/>
    </row>
    <row r="372" customFormat="false" ht="15.75" hidden="false" customHeight="false" outlineLevel="0" collapsed="false">
      <c r="A372" s="28" t="s">
        <v>730</v>
      </c>
      <c r="B372" s="27" t="s">
        <v>438</v>
      </c>
      <c r="C372" s="27" t="s">
        <v>236</v>
      </c>
      <c r="D372" s="25"/>
      <c r="E372" s="25"/>
      <c r="F372" s="25"/>
      <c r="G372" s="25"/>
      <c r="H372" s="25"/>
      <c r="I372" s="25"/>
      <c r="J372" s="27" t="s">
        <v>710</v>
      </c>
      <c r="K372" s="25" t="str">
        <f aca="false">IFERROR(__xludf.dummyfunction("SPLIT(J372,"" "")"),"CIF")</f>
        <v>CIF</v>
      </c>
      <c r="L372" s="28" t="str">
        <f aca="false">IFERROR(__xludf.dummyfunction("""COMPUTED_VALUE"""),"China")</f>
        <v>China</v>
      </c>
      <c r="M372" s="27" t="str">
        <f aca="false">IFERROR(__xludf.dummyfunction("""COMPUTED_VALUE"""),"(Diff)")</f>
        <v>(Diff)</v>
      </c>
      <c r="N372" s="25"/>
      <c r="O372" s="25"/>
      <c r="P372" s="25"/>
      <c r="Q372" s="29" t="s">
        <v>261</v>
      </c>
      <c r="R372" s="8" t="str">
        <f aca="false">B372&amp;" "&amp;C372&amp;" "&amp;D372&amp;" "&amp;E372&amp;" "&amp;G372&amp;" "&amp;H372&amp;" "&amp;J372&amp;" "&amp;N372</f>
        <v>Differentials Cathode     CIF China (Diff) </v>
      </c>
      <c r="S372" s="25"/>
      <c r="T372" s="8"/>
      <c r="U372" s="8"/>
      <c r="V372" s="27" t="s">
        <v>49</v>
      </c>
      <c r="W372" s="25"/>
      <c r="X372" s="25"/>
      <c r="Y372" s="25"/>
      <c r="Z372" s="25"/>
      <c r="AA372" s="25"/>
      <c r="AB372" s="25"/>
      <c r="AC372" s="25"/>
      <c r="AD372" s="25"/>
    </row>
    <row r="373" customFormat="false" ht="15.75" hidden="false" customHeight="false" outlineLevel="0" collapsed="false">
      <c r="A373" s="28" t="s">
        <v>731</v>
      </c>
      <c r="B373" s="27" t="s">
        <v>438</v>
      </c>
      <c r="C373" s="27" t="s">
        <v>236</v>
      </c>
      <c r="D373" s="25"/>
      <c r="E373" s="25"/>
      <c r="F373" s="25"/>
      <c r="G373" s="25"/>
      <c r="H373" s="25"/>
      <c r="I373" s="25"/>
      <c r="J373" s="27" t="s">
        <v>710</v>
      </c>
      <c r="K373" s="25" t="str">
        <f aca="false">IFERROR(__xludf.dummyfunction("SPLIT(J373,"" "")"),"CIF")</f>
        <v>CIF</v>
      </c>
      <c r="L373" s="28" t="str">
        <f aca="false">IFERROR(__xludf.dummyfunction("""COMPUTED_VALUE"""),"China")</f>
        <v>China</v>
      </c>
      <c r="M373" s="27" t="str">
        <f aca="false">IFERROR(__xludf.dummyfunction("""COMPUTED_VALUE"""),"(Diff)")</f>
        <v>(Diff)</v>
      </c>
      <c r="N373" s="25"/>
      <c r="O373" s="25"/>
      <c r="P373" s="25"/>
      <c r="Q373" s="29" t="s">
        <v>256</v>
      </c>
      <c r="R373" s="8" t="str">
        <f aca="false">B373&amp;" "&amp;C373&amp;" "&amp;D373&amp;" "&amp;E373&amp;" "&amp;G373&amp;" "&amp;H373&amp;" "&amp;J373&amp;" "&amp;N373</f>
        <v>Differentials Cathode     CIF China (Diff) </v>
      </c>
      <c r="S373" s="25"/>
      <c r="T373" s="8"/>
      <c r="U373" s="8"/>
      <c r="V373" s="27" t="s">
        <v>49</v>
      </c>
      <c r="W373" s="25"/>
      <c r="X373" s="25"/>
      <c r="Y373" s="25"/>
      <c r="Z373" s="25"/>
      <c r="AA373" s="25"/>
      <c r="AB373" s="25"/>
      <c r="AC373" s="25"/>
      <c r="AD373" s="25"/>
    </row>
    <row r="374" customFormat="false" ht="15.75" hidden="false" customHeight="false" outlineLevel="0" collapsed="false">
      <c r="A374" s="28" t="s">
        <v>732</v>
      </c>
      <c r="B374" s="27" t="s">
        <v>438</v>
      </c>
      <c r="C374" s="27" t="s">
        <v>236</v>
      </c>
      <c r="D374" s="25"/>
      <c r="E374" s="25"/>
      <c r="F374" s="25"/>
      <c r="G374" s="25"/>
      <c r="H374" s="25"/>
      <c r="I374" s="25"/>
      <c r="J374" s="27" t="s">
        <v>710</v>
      </c>
      <c r="K374" s="25" t="str">
        <f aca="false">IFERROR(__xludf.dummyfunction("SPLIT(J374,"" "")"),"CIF")</f>
        <v>CIF</v>
      </c>
      <c r="L374" s="28" t="str">
        <f aca="false">IFERROR(__xludf.dummyfunction("""COMPUTED_VALUE"""),"China")</f>
        <v>China</v>
      </c>
      <c r="M374" s="27" t="str">
        <f aca="false">IFERROR(__xludf.dummyfunction("""COMPUTED_VALUE"""),"(Diff)")</f>
        <v>(Diff)</v>
      </c>
      <c r="N374" s="25"/>
      <c r="O374" s="25"/>
      <c r="P374" s="25"/>
      <c r="Q374" s="29" t="s">
        <v>251</v>
      </c>
      <c r="R374" s="8" t="str">
        <f aca="false">B374&amp;" "&amp;C374&amp;" "&amp;D374&amp;" "&amp;E374&amp;" "&amp;G374&amp;" "&amp;H374&amp;" "&amp;J374&amp;" "&amp;N374</f>
        <v>Differentials Cathode     CIF China (Diff) </v>
      </c>
      <c r="S374" s="25"/>
      <c r="T374" s="8"/>
      <c r="U374" s="8"/>
      <c r="V374" s="27" t="s">
        <v>49</v>
      </c>
      <c r="W374" s="25"/>
      <c r="X374" s="25"/>
      <c r="Y374" s="25"/>
      <c r="Z374" s="25"/>
      <c r="AA374" s="25"/>
      <c r="AB374" s="25"/>
      <c r="AC374" s="25"/>
      <c r="AD374" s="25"/>
    </row>
    <row r="375" customFormat="false" ht="15.75" hidden="false" customHeight="false" outlineLevel="0" collapsed="false">
      <c r="A375" s="28" t="s">
        <v>733</v>
      </c>
      <c r="B375" s="27" t="s">
        <v>438</v>
      </c>
      <c r="C375" s="27" t="s">
        <v>236</v>
      </c>
      <c r="D375" s="25"/>
      <c r="E375" s="25"/>
      <c r="F375" s="25"/>
      <c r="G375" s="25"/>
      <c r="H375" s="25"/>
      <c r="I375" s="25"/>
      <c r="J375" s="27" t="s">
        <v>710</v>
      </c>
      <c r="K375" s="25" t="str">
        <f aca="false">IFERROR(__xludf.dummyfunction("SPLIT(J375,"" "")"),"CIF")</f>
        <v>CIF</v>
      </c>
      <c r="L375" s="28" t="str">
        <f aca="false">IFERROR(__xludf.dummyfunction("""COMPUTED_VALUE"""),"China")</f>
        <v>China</v>
      </c>
      <c r="M375" s="27" t="str">
        <f aca="false">IFERROR(__xludf.dummyfunction("""COMPUTED_VALUE"""),"(Diff)")</f>
        <v>(Diff)</v>
      </c>
      <c r="N375" s="25"/>
      <c r="O375" s="25"/>
      <c r="P375" s="25"/>
      <c r="Q375" s="29" t="s">
        <v>247</v>
      </c>
      <c r="R375" s="8" t="str">
        <f aca="false">B375&amp;" "&amp;C375&amp;" "&amp;D375&amp;" "&amp;E375&amp;" "&amp;G375&amp;" "&amp;H375&amp;" "&amp;J375&amp;" "&amp;N375</f>
        <v>Differentials Cathode     CIF China (Diff) </v>
      </c>
      <c r="S375" s="25"/>
      <c r="T375" s="8"/>
      <c r="U375" s="8"/>
      <c r="V375" s="27" t="s">
        <v>49</v>
      </c>
      <c r="W375" s="25"/>
      <c r="X375" s="25"/>
      <c r="Y375" s="25"/>
      <c r="Z375" s="25"/>
      <c r="AA375" s="25"/>
      <c r="AB375" s="25"/>
      <c r="AC375" s="25"/>
      <c r="AD375" s="25"/>
    </row>
    <row r="376" customFormat="false" ht="15.75" hidden="false" customHeight="false" outlineLevel="0" collapsed="false">
      <c r="A376" s="28" t="s">
        <v>734</v>
      </c>
      <c r="B376" s="27" t="s">
        <v>438</v>
      </c>
      <c r="C376" s="27" t="s">
        <v>236</v>
      </c>
      <c r="D376" s="25"/>
      <c r="E376" s="25"/>
      <c r="F376" s="25"/>
      <c r="G376" s="25"/>
      <c r="H376" s="25"/>
      <c r="I376" s="25"/>
      <c r="J376" s="27" t="s">
        <v>710</v>
      </c>
      <c r="K376" s="25" t="str">
        <f aca="false">IFERROR(__xludf.dummyfunction("SPLIT(J376,"" "")"),"CIF")</f>
        <v>CIF</v>
      </c>
      <c r="L376" s="28" t="str">
        <f aca="false">IFERROR(__xludf.dummyfunction("""COMPUTED_VALUE"""),"China")</f>
        <v>China</v>
      </c>
      <c r="M376" s="27" t="str">
        <f aca="false">IFERROR(__xludf.dummyfunction("""COMPUTED_VALUE"""),"(Diff)")</f>
        <v>(Diff)</v>
      </c>
      <c r="N376" s="25"/>
      <c r="O376" s="25"/>
      <c r="P376" s="25"/>
      <c r="Q376" s="29" t="s">
        <v>243</v>
      </c>
      <c r="R376" s="8" t="str">
        <f aca="false">B376&amp;" "&amp;C376&amp;" "&amp;D376&amp;" "&amp;E376&amp;" "&amp;G376&amp;" "&amp;H376&amp;" "&amp;J376&amp;" "&amp;N376</f>
        <v>Differentials Cathode     CIF China (Diff) </v>
      </c>
      <c r="S376" s="25"/>
      <c r="T376" s="8"/>
      <c r="U376" s="8"/>
      <c r="V376" s="27" t="s">
        <v>49</v>
      </c>
      <c r="W376" s="25"/>
      <c r="X376" s="25"/>
      <c r="Y376" s="25"/>
      <c r="Z376" s="25"/>
      <c r="AA376" s="25"/>
      <c r="AB376" s="25"/>
      <c r="AC376" s="25"/>
      <c r="AD376" s="25"/>
    </row>
    <row r="377" customFormat="false" ht="15.75" hidden="false" customHeight="false" outlineLevel="0" collapsed="false">
      <c r="A377" s="28" t="s">
        <v>735</v>
      </c>
      <c r="B377" s="27" t="s">
        <v>438</v>
      </c>
      <c r="C377" s="27" t="s">
        <v>236</v>
      </c>
      <c r="D377" s="25"/>
      <c r="E377" s="25"/>
      <c r="F377" s="25"/>
      <c r="G377" s="25"/>
      <c r="H377" s="25"/>
      <c r="I377" s="25"/>
      <c r="J377" s="27" t="s">
        <v>710</v>
      </c>
      <c r="K377" s="25" t="str">
        <f aca="false">IFERROR(__xludf.dummyfunction("SPLIT(J377,"" "")"),"CIF")</f>
        <v>CIF</v>
      </c>
      <c r="L377" s="28" t="str">
        <f aca="false">IFERROR(__xludf.dummyfunction("""COMPUTED_VALUE"""),"China")</f>
        <v>China</v>
      </c>
      <c r="M377" s="27" t="str">
        <f aca="false">IFERROR(__xludf.dummyfunction("""COMPUTED_VALUE"""),"(Diff)")</f>
        <v>(Diff)</v>
      </c>
      <c r="N377" s="25"/>
      <c r="O377" s="25"/>
      <c r="P377" s="25"/>
      <c r="Q377" s="29" t="s">
        <v>239</v>
      </c>
      <c r="R377" s="8" t="str">
        <f aca="false">B377&amp;" "&amp;C377&amp;" "&amp;D377&amp;" "&amp;E377&amp;" "&amp;G377&amp;" "&amp;H377&amp;" "&amp;J377&amp;" "&amp;N377</f>
        <v>Differentials Cathode     CIF China (Diff) </v>
      </c>
      <c r="S377" s="25"/>
      <c r="T377" s="8"/>
      <c r="U377" s="8"/>
      <c r="V377" s="27" t="s">
        <v>49</v>
      </c>
      <c r="W377" s="25"/>
      <c r="X377" s="25"/>
      <c r="Y377" s="25"/>
      <c r="Z377" s="25"/>
      <c r="AA377" s="25"/>
      <c r="AB377" s="25"/>
      <c r="AC377" s="25"/>
      <c r="AD377" s="25"/>
    </row>
    <row r="378" customFormat="false" ht="15.75" hidden="false" customHeight="false" outlineLevel="0" collapsed="false">
      <c r="A378" s="28" t="s">
        <v>736</v>
      </c>
      <c r="B378" s="27" t="s">
        <v>438</v>
      </c>
      <c r="C378" s="27" t="s">
        <v>289</v>
      </c>
      <c r="D378" s="25"/>
      <c r="E378" s="25"/>
      <c r="F378" s="25"/>
      <c r="G378" s="25"/>
      <c r="H378" s="25"/>
      <c r="I378" s="25"/>
      <c r="J378" s="27" t="s">
        <v>710</v>
      </c>
      <c r="K378" s="25" t="str">
        <f aca="false">IFERROR(__xludf.dummyfunction("SPLIT(J378,"" "")"),"CIF")</f>
        <v>CIF</v>
      </c>
      <c r="L378" s="28" t="str">
        <f aca="false">IFERROR(__xludf.dummyfunction("""COMPUTED_VALUE"""),"China")</f>
        <v>China</v>
      </c>
      <c r="M378" s="27" t="str">
        <f aca="false">IFERROR(__xludf.dummyfunction("""COMPUTED_VALUE"""),"(Diff)")</f>
        <v>(Diff)</v>
      </c>
      <c r="N378" s="25"/>
      <c r="O378" s="25"/>
      <c r="P378" s="25"/>
      <c r="Q378" s="29" t="s">
        <v>306</v>
      </c>
      <c r="R378" s="8" t="str">
        <f aca="false">B378&amp;" "&amp;C378&amp;" "&amp;D378&amp;" "&amp;E378&amp;" "&amp;G378&amp;" "&amp;H378&amp;" "&amp;J378&amp;" "&amp;N378</f>
        <v>Differentials Electrolyte     CIF China (Diff) </v>
      </c>
      <c r="S378" s="25"/>
      <c r="T378" s="8"/>
      <c r="U378" s="8"/>
      <c r="V378" s="27" t="s">
        <v>49</v>
      </c>
      <c r="W378" s="25"/>
      <c r="X378" s="25"/>
      <c r="Y378" s="25"/>
      <c r="Z378" s="25"/>
      <c r="AA378" s="25"/>
      <c r="AB378" s="25"/>
      <c r="AC378" s="25"/>
      <c r="AD378" s="25"/>
    </row>
    <row r="379" customFormat="false" ht="15.75" hidden="false" customHeight="false" outlineLevel="0" collapsed="false">
      <c r="A379" s="28" t="s">
        <v>737</v>
      </c>
      <c r="B379" s="27" t="s">
        <v>438</v>
      </c>
      <c r="C379" s="27" t="s">
        <v>289</v>
      </c>
      <c r="D379" s="25"/>
      <c r="E379" s="25"/>
      <c r="F379" s="25"/>
      <c r="G379" s="25"/>
      <c r="H379" s="25"/>
      <c r="I379" s="25"/>
      <c r="J379" s="27" t="s">
        <v>710</v>
      </c>
      <c r="K379" s="25" t="str">
        <f aca="false">IFERROR(__xludf.dummyfunction("SPLIT(J379,"" "")"),"CIF")</f>
        <v>CIF</v>
      </c>
      <c r="L379" s="28" t="str">
        <f aca="false">IFERROR(__xludf.dummyfunction("""COMPUTED_VALUE"""),"China")</f>
        <v>China</v>
      </c>
      <c r="M379" s="27" t="str">
        <f aca="false">IFERROR(__xludf.dummyfunction("""COMPUTED_VALUE"""),"(Diff)")</f>
        <v>(Diff)</v>
      </c>
      <c r="N379" s="25"/>
      <c r="O379" s="25"/>
      <c r="P379" s="25"/>
      <c r="Q379" s="29" t="s">
        <v>304</v>
      </c>
      <c r="R379" s="8" t="str">
        <f aca="false">B379&amp;" "&amp;C379&amp;" "&amp;D379&amp;" "&amp;E379&amp;" "&amp;G379&amp;" "&amp;H379&amp;" "&amp;J379&amp;" "&amp;N379</f>
        <v>Differentials Electrolyte     CIF China (Diff) </v>
      </c>
      <c r="S379" s="25"/>
      <c r="T379" s="8"/>
      <c r="U379" s="8"/>
      <c r="V379" s="27" t="s">
        <v>49</v>
      </c>
      <c r="W379" s="25"/>
      <c r="X379" s="25"/>
      <c r="Y379" s="25"/>
      <c r="Z379" s="25"/>
      <c r="AA379" s="25"/>
      <c r="AB379" s="25"/>
      <c r="AC379" s="25"/>
      <c r="AD379" s="25"/>
    </row>
    <row r="380" customFormat="false" ht="15.75" hidden="false" customHeight="false" outlineLevel="0" collapsed="false">
      <c r="A380" s="28" t="s">
        <v>738</v>
      </c>
      <c r="B380" s="27" t="s">
        <v>438</v>
      </c>
      <c r="C380" s="27" t="s">
        <v>289</v>
      </c>
      <c r="D380" s="25"/>
      <c r="E380" s="25"/>
      <c r="F380" s="25"/>
      <c r="G380" s="25"/>
      <c r="H380" s="25"/>
      <c r="I380" s="25"/>
      <c r="J380" s="27" t="s">
        <v>710</v>
      </c>
      <c r="K380" s="25" t="str">
        <f aca="false">IFERROR(__xludf.dummyfunction("SPLIT(J380,"" "")"),"CIF")</f>
        <v>CIF</v>
      </c>
      <c r="L380" s="28" t="str">
        <f aca="false">IFERROR(__xludf.dummyfunction("""COMPUTED_VALUE"""),"China")</f>
        <v>China</v>
      </c>
      <c r="M380" s="27" t="str">
        <f aca="false">IFERROR(__xludf.dummyfunction("""COMPUTED_VALUE"""),"(Diff)")</f>
        <v>(Diff)</v>
      </c>
      <c r="N380" s="25"/>
      <c r="O380" s="25"/>
      <c r="P380" s="25"/>
      <c r="Q380" s="29" t="s">
        <v>302</v>
      </c>
      <c r="R380" s="8" t="str">
        <f aca="false">B380&amp;" "&amp;C380&amp;" "&amp;D380&amp;" "&amp;E380&amp;" "&amp;G380&amp;" "&amp;H380&amp;" "&amp;J380&amp;" "&amp;N380</f>
        <v>Differentials Electrolyte     CIF China (Diff) </v>
      </c>
      <c r="S380" s="25"/>
      <c r="T380" s="8"/>
      <c r="U380" s="8"/>
      <c r="V380" s="27" t="s">
        <v>49</v>
      </c>
      <c r="W380" s="25"/>
      <c r="X380" s="25"/>
      <c r="Y380" s="25"/>
      <c r="Z380" s="25"/>
      <c r="AA380" s="25"/>
      <c r="AB380" s="25"/>
      <c r="AC380" s="25"/>
      <c r="AD380" s="25"/>
    </row>
    <row r="381" customFormat="false" ht="15.75" hidden="false" customHeight="false" outlineLevel="0" collapsed="false">
      <c r="A381" s="28" t="s">
        <v>739</v>
      </c>
      <c r="B381" s="27" t="s">
        <v>438</v>
      </c>
      <c r="C381" s="27" t="s">
        <v>289</v>
      </c>
      <c r="D381" s="25"/>
      <c r="E381" s="25"/>
      <c r="F381" s="25"/>
      <c r="G381" s="25"/>
      <c r="H381" s="25"/>
      <c r="I381" s="25"/>
      <c r="J381" s="27" t="s">
        <v>710</v>
      </c>
      <c r="K381" s="25" t="str">
        <f aca="false">IFERROR(__xludf.dummyfunction("SPLIT(J381,"" "")"),"CIF")</f>
        <v>CIF</v>
      </c>
      <c r="L381" s="28" t="str">
        <f aca="false">IFERROR(__xludf.dummyfunction("""COMPUTED_VALUE"""),"China")</f>
        <v>China</v>
      </c>
      <c r="M381" s="27" t="str">
        <f aca="false">IFERROR(__xludf.dummyfunction("""COMPUTED_VALUE"""),"(Diff)")</f>
        <v>(Diff)</v>
      </c>
      <c r="N381" s="25"/>
      <c r="O381" s="25"/>
      <c r="P381" s="25"/>
      <c r="Q381" s="29" t="s">
        <v>300</v>
      </c>
      <c r="R381" s="8" t="str">
        <f aca="false">B381&amp;" "&amp;C381&amp;" "&amp;D381&amp;" "&amp;E381&amp;" "&amp;G381&amp;" "&amp;H381&amp;" "&amp;J381&amp;" "&amp;N381</f>
        <v>Differentials Electrolyte     CIF China (Diff) </v>
      </c>
      <c r="S381" s="25"/>
      <c r="T381" s="8"/>
      <c r="U381" s="8"/>
      <c r="V381" s="27" t="s">
        <v>49</v>
      </c>
      <c r="W381" s="25"/>
      <c r="X381" s="25"/>
      <c r="Y381" s="25"/>
      <c r="Z381" s="25"/>
      <c r="AA381" s="25"/>
      <c r="AB381" s="25"/>
      <c r="AC381" s="25"/>
      <c r="AD381" s="25"/>
    </row>
    <row r="382" customFormat="false" ht="15.75" hidden="false" customHeight="false" outlineLevel="0" collapsed="false">
      <c r="A382" s="28" t="s">
        <v>740</v>
      </c>
      <c r="B382" s="27" t="s">
        <v>438</v>
      </c>
      <c r="C382" s="27" t="s">
        <v>289</v>
      </c>
      <c r="D382" s="25"/>
      <c r="E382" s="25"/>
      <c r="F382" s="25"/>
      <c r="G382" s="25"/>
      <c r="H382" s="25"/>
      <c r="I382" s="25"/>
      <c r="J382" s="27" t="s">
        <v>710</v>
      </c>
      <c r="K382" s="25" t="str">
        <f aca="false">IFERROR(__xludf.dummyfunction("SPLIT(J382,"" "")"),"CIF")</f>
        <v>CIF</v>
      </c>
      <c r="L382" s="28" t="str">
        <f aca="false">IFERROR(__xludf.dummyfunction("""COMPUTED_VALUE"""),"China")</f>
        <v>China</v>
      </c>
      <c r="M382" s="27" t="str">
        <f aca="false">IFERROR(__xludf.dummyfunction("""COMPUTED_VALUE"""),"(Diff)")</f>
        <v>(Diff)</v>
      </c>
      <c r="N382" s="25"/>
      <c r="O382" s="25"/>
      <c r="P382" s="25"/>
      <c r="Q382" s="29" t="s">
        <v>298</v>
      </c>
      <c r="R382" s="8" t="str">
        <f aca="false">B382&amp;" "&amp;C382&amp;" "&amp;D382&amp;" "&amp;E382&amp;" "&amp;G382&amp;" "&amp;H382&amp;" "&amp;J382&amp;" "&amp;N382</f>
        <v>Differentials Electrolyte     CIF China (Diff) </v>
      </c>
      <c r="S382" s="25"/>
      <c r="T382" s="8"/>
      <c r="U382" s="8"/>
      <c r="V382" s="27" t="s">
        <v>49</v>
      </c>
      <c r="W382" s="25"/>
      <c r="X382" s="25"/>
      <c r="Y382" s="25"/>
      <c r="Z382" s="25"/>
      <c r="AA382" s="25"/>
      <c r="AB382" s="25"/>
      <c r="AC382" s="25"/>
      <c r="AD382" s="25"/>
    </row>
    <row r="383" customFormat="false" ht="15.75" hidden="false" customHeight="false" outlineLevel="0" collapsed="false">
      <c r="A383" s="28" t="s">
        <v>741</v>
      </c>
      <c r="B383" s="27" t="s">
        <v>438</v>
      </c>
      <c r="C383" s="27" t="s">
        <v>289</v>
      </c>
      <c r="D383" s="25"/>
      <c r="E383" s="25"/>
      <c r="F383" s="25"/>
      <c r="G383" s="25"/>
      <c r="H383" s="25"/>
      <c r="I383" s="25"/>
      <c r="J383" s="27" t="s">
        <v>710</v>
      </c>
      <c r="K383" s="25" t="str">
        <f aca="false">IFERROR(__xludf.dummyfunction("SPLIT(J383,"" "")"),"CIF")</f>
        <v>CIF</v>
      </c>
      <c r="L383" s="28" t="str">
        <f aca="false">IFERROR(__xludf.dummyfunction("""COMPUTED_VALUE"""),"China")</f>
        <v>China</v>
      </c>
      <c r="M383" s="27" t="str">
        <f aca="false">IFERROR(__xludf.dummyfunction("""COMPUTED_VALUE"""),"(Diff)")</f>
        <v>(Diff)</v>
      </c>
      <c r="N383" s="25"/>
      <c r="O383" s="25"/>
      <c r="P383" s="25"/>
      <c r="Q383" s="29" t="s">
        <v>296</v>
      </c>
      <c r="R383" s="8" t="str">
        <f aca="false">B383&amp;" "&amp;C383&amp;" "&amp;D383&amp;" "&amp;E383&amp;" "&amp;G383&amp;" "&amp;H383&amp;" "&amp;J383&amp;" "&amp;N383</f>
        <v>Differentials Electrolyte     CIF China (Diff) </v>
      </c>
      <c r="S383" s="25"/>
      <c r="T383" s="8"/>
      <c r="U383" s="8"/>
      <c r="V383" s="27" t="s">
        <v>49</v>
      </c>
      <c r="W383" s="25"/>
      <c r="X383" s="25"/>
      <c r="Y383" s="25"/>
      <c r="Z383" s="25"/>
      <c r="AA383" s="25"/>
      <c r="AB383" s="25"/>
      <c r="AC383" s="25"/>
      <c r="AD383" s="25"/>
    </row>
    <row r="384" customFormat="false" ht="15.75" hidden="false" customHeight="false" outlineLevel="0" collapsed="false">
      <c r="A384" s="28" t="s">
        <v>742</v>
      </c>
      <c r="B384" s="27" t="s">
        <v>438</v>
      </c>
      <c r="C384" s="27" t="s">
        <v>289</v>
      </c>
      <c r="D384" s="25"/>
      <c r="E384" s="25"/>
      <c r="F384" s="25"/>
      <c r="G384" s="25"/>
      <c r="H384" s="25"/>
      <c r="I384" s="25"/>
      <c r="J384" s="27" t="s">
        <v>710</v>
      </c>
      <c r="K384" s="25" t="str">
        <f aca="false">IFERROR(__xludf.dummyfunction("SPLIT(J384,"" "")"),"CIF")</f>
        <v>CIF</v>
      </c>
      <c r="L384" s="28" t="str">
        <f aca="false">IFERROR(__xludf.dummyfunction("""COMPUTED_VALUE"""),"China")</f>
        <v>China</v>
      </c>
      <c r="M384" s="27" t="str">
        <f aca="false">IFERROR(__xludf.dummyfunction("""COMPUTED_VALUE"""),"(Diff)")</f>
        <v>(Diff)</v>
      </c>
      <c r="N384" s="25"/>
      <c r="O384" s="25"/>
      <c r="P384" s="25"/>
      <c r="Q384" s="29" t="s">
        <v>294</v>
      </c>
      <c r="R384" s="8" t="str">
        <f aca="false">B384&amp;" "&amp;C384&amp;" "&amp;D384&amp;" "&amp;E384&amp;" "&amp;G384&amp;" "&amp;H384&amp;" "&amp;J384&amp;" "&amp;N384</f>
        <v>Differentials Electrolyte     CIF China (Diff) </v>
      </c>
      <c r="S384" s="25"/>
      <c r="T384" s="8"/>
      <c r="U384" s="8"/>
      <c r="V384" s="27" t="s">
        <v>49</v>
      </c>
      <c r="W384" s="25"/>
      <c r="X384" s="25"/>
      <c r="Y384" s="25"/>
      <c r="Z384" s="25"/>
      <c r="AA384" s="25"/>
      <c r="AB384" s="25"/>
      <c r="AC384" s="25"/>
      <c r="AD384" s="25"/>
    </row>
    <row r="385" customFormat="false" ht="15.75" hidden="false" customHeight="false" outlineLevel="0" collapsed="false">
      <c r="A385" s="28" t="s">
        <v>743</v>
      </c>
      <c r="B385" s="27" t="s">
        <v>438</v>
      </c>
      <c r="C385" s="27" t="s">
        <v>289</v>
      </c>
      <c r="D385" s="25"/>
      <c r="E385" s="25"/>
      <c r="F385" s="25"/>
      <c r="G385" s="25"/>
      <c r="H385" s="25"/>
      <c r="I385" s="25"/>
      <c r="J385" s="27" t="s">
        <v>710</v>
      </c>
      <c r="K385" s="25" t="str">
        <f aca="false">IFERROR(__xludf.dummyfunction("SPLIT(J385,"" "")"),"CIF")</f>
        <v>CIF</v>
      </c>
      <c r="L385" s="28" t="str">
        <f aca="false">IFERROR(__xludf.dummyfunction("""COMPUTED_VALUE"""),"China")</f>
        <v>China</v>
      </c>
      <c r="M385" s="27" t="str">
        <f aca="false">IFERROR(__xludf.dummyfunction("""COMPUTED_VALUE"""),"(Diff)")</f>
        <v>(Diff)</v>
      </c>
      <c r="N385" s="25"/>
      <c r="O385" s="25"/>
      <c r="P385" s="25"/>
      <c r="Q385" s="29" t="s">
        <v>291</v>
      </c>
      <c r="R385" s="8" t="str">
        <f aca="false">B385&amp;" "&amp;C385&amp;" "&amp;D385&amp;" "&amp;E385&amp;" "&amp;G385&amp;" "&amp;H385&amp;" "&amp;J385&amp;" "&amp;N385</f>
        <v>Differentials Electrolyte     CIF China (Diff) </v>
      </c>
      <c r="S385" s="25"/>
      <c r="T385" s="8"/>
      <c r="U385" s="8"/>
      <c r="V385" s="27" t="s">
        <v>49</v>
      </c>
      <c r="W385" s="25"/>
      <c r="X385" s="25"/>
      <c r="Y385" s="25"/>
      <c r="Z385" s="25"/>
      <c r="AA385" s="25"/>
      <c r="AB385" s="25"/>
      <c r="AC385" s="25"/>
      <c r="AD385" s="25"/>
    </row>
    <row r="386" customFormat="false" ht="15.75" hidden="false" customHeight="false" outlineLevel="0" collapsed="false">
      <c r="A386" s="28" t="s">
        <v>744</v>
      </c>
      <c r="B386" s="27" t="s">
        <v>438</v>
      </c>
      <c r="C386" s="27" t="s">
        <v>308</v>
      </c>
      <c r="D386" s="25"/>
      <c r="E386" s="25"/>
      <c r="F386" s="25"/>
      <c r="G386" s="25"/>
      <c r="H386" s="25"/>
      <c r="I386" s="25"/>
      <c r="J386" s="27" t="s">
        <v>710</v>
      </c>
      <c r="K386" s="25" t="str">
        <f aca="false">IFERROR(__xludf.dummyfunction("SPLIT(J386,"" "")"),"CIF")</f>
        <v>CIF</v>
      </c>
      <c r="L386" s="28" t="str">
        <f aca="false">IFERROR(__xludf.dummyfunction("""COMPUTED_VALUE"""),"China")</f>
        <v>China</v>
      </c>
      <c r="M386" s="27" t="str">
        <f aca="false">IFERROR(__xludf.dummyfunction("""COMPUTED_VALUE"""),"(Diff)")</f>
        <v>(Diff)</v>
      </c>
      <c r="N386" s="25"/>
      <c r="O386" s="25"/>
      <c r="P386" s="25"/>
      <c r="Q386" s="29" t="s">
        <v>358</v>
      </c>
      <c r="R386" s="8" t="str">
        <f aca="false">B386&amp;" "&amp;C386&amp;" "&amp;D386&amp;" "&amp;E386&amp;" "&amp;G386&amp;" "&amp;H386&amp;" "&amp;J386&amp;" "&amp;N386</f>
        <v>Differentials Graphite     CIF China (Diff) </v>
      </c>
      <c r="S386" s="25"/>
      <c r="T386" s="8"/>
      <c r="U386" s="8"/>
      <c r="V386" s="27" t="s">
        <v>49</v>
      </c>
      <c r="W386" s="25"/>
      <c r="X386" s="25"/>
      <c r="Y386" s="25"/>
      <c r="Z386" s="25"/>
      <c r="AA386" s="25"/>
      <c r="AB386" s="25"/>
      <c r="AC386" s="25"/>
      <c r="AD386" s="25"/>
    </row>
    <row r="387" customFormat="false" ht="15.75" hidden="false" customHeight="false" outlineLevel="0" collapsed="false">
      <c r="A387" s="28" t="s">
        <v>745</v>
      </c>
      <c r="B387" s="27" t="s">
        <v>438</v>
      </c>
      <c r="C387" s="27" t="s">
        <v>308</v>
      </c>
      <c r="D387" s="25"/>
      <c r="E387" s="25"/>
      <c r="F387" s="25"/>
      <c r="G387" s="25"/>
      <c r="H387" s="25"/>
      <c r="I387" s="25"/>
      <c r="J387" s="27" t="s">
        <v>710</v>
      </c>
      <c r="K387" s="25" t="str">
        <f aca="false">IFERROR(__xludf.dummyfunction("SPLIT(J387,"" "")"),"CIF")</f>
        <v>CIF</v>
      </c>
      <c r="L387" s="28" t="str">
        <f aca="false">IFERROR(__xludf.dummyfunction("""COMPUTED_VALUE"""),"China")</f>
        <v>China</v>
      </c>
      <c r="M387" s="27" t="str">
        <f aca="false">IFERROR(__xludf.dummyfunction("""COMPUTED_VALUE"""),"(Diff)")</f>
        <v>(Diff)</v>
      </c>
      <c r="N387" s="25"/>
      <c r="O387" s="25"/>
      <c r="P387" s="25"/>
      <c r="Q387" s="29" t="s">
        <v>356</v>
      </c>
      <c r="R387" s="8" t="str">
        <f aca="false">B387&amp;" "&amp;C387&amp;" "&amp;D387&amp;" "&amp;E387&amp;" "&amp;G387&amp;" "&amp;H387&amp;" "&amp;J387&amp;" "&amp;N387</f>
        <v>Differentials Graphite     CIF China (Diff) </v>
      </c>
      <c r="S387" s="25"/>
      <c r="T387" s="8"/>
      <c r="U387" s="8"/>
      <c r="V387" s="27" t="s">
        <v>49</v>
      </c>
      <c r="W387" s="25"/>
      <c r="X387" s="25"/>
      <c r="Y387" s="25"/>
      <c r="Z387" s="25"/>
      <c r="AA387" s="25"/>
      <c r="AB387" s="25"/>
      <c r="AC387" s="25"/>
      <c r="AD387" s="25"/>
    </row>
    <row r="388" customFormat="false" ht="15.75" hidden="false" customHeight="false" outlineLevel="0" collapsed="false">
      <c r="A388" s="28" t="s">
        <v>746</v>
      </c>
      <c r="B388" s="27" t="s">
        <v>438</v>
      </c>
      <c r="C388" s="27" t="s">
        <v>308</v>
      </c>
      <c r="D388" s="25"/>
      <c r="E388" s="25"/>
      <c r="F388" s="25"/>
      <c r="G388" s="25"/>
      <c r="H388" s="25"/>
      <c r="I388" s="25"/>
      <c r="J388" s="27" t="s">
        <v>710</v>
      </c>
      <c r="K388" s="25" t="str">
        <f aca="false">IFERROR(__xludf.dummyfunction("SPLIT(J388,"" "")"),"CIF")</f>
        <v>CIF</v>
      </c>
      <c r="L388" s="28" t="str">
        <f aca="false">IFERROR(__xludf.dummyfunction("""COMPUTED_VALUE"""),"China")</f>
        <v>China</v>
      </c>
      <c r="M388" s="27" t="str">
        <f aca="false">IFERROR(__xludf.dummyfunction("""COMPUTED_VALUE"""),"(Diff)")</f>
        <v>(Diff)</v>
      </c>
      <c r="N388" s="25"/>
      <c r="O388" s="25"/>
      <c r="P388" s="25"/>
      <c r="Q388" s="29" t="s">
        <v>354</v>
      </c>
      <c r="R388" s="8" t="str">
        <f aca="false">B388&amp;" "&amp;C388&amp;" "&amp;D388&amp;" "&amp;E388&amp;" "&amp;G388&amp;" "&amp;H388&amp;" "&amp;J388&amp;" "&amp;N388</f>
        <v>Differentials Graphite     CIF China (Diff) </v>
      </c>
      <c r="S388" s="25"/>
      <c r="T388" s="8"/>
      <c r="U388" s="8"/>
      <c r="V388" s="27" t="s">
        <v>49</v>
      </c>
      <c r="W388" s="25"/>
      <c r="X388" s="25"/>
      <c r="Y388" s="25"/>
      <c r="Z388" s="25"/>
      <c r="AA388" s="25"/>
      <c r="AB388" s="25"/>
      <c r="AC388" s="25"/>
      <c r="AD388" s="25"/>
    </row>
    <row r="389" customFormat="false" ht="15.75" hidden="false" customHeight="false" outlineLevel="0" collapsed="false">
      <c r="A389" s="28" t="s">
        <v>747</v>
      </c>
      <c r="B389" s="27" t="s">
        <v>438</v>
      </c>
      <c r="C389" s="27" t="s">
        <v>308</v>
      </c>
      <c r="D389" s="25"/>
      <c r="E389" s="25"/>
      <c r="F389" s="25"/>
      <c r="G389" s="25"/>
      <c r="H389" s="25"/>
      <c r="I389" s="25"/>
      <c r="J389" s="27" t="s">
        <v>710</v>
      </c>
      <c r="K389" s="25" t="str">
        <f aca="false">IFERROR(__xludf.dummyfunction("SPLIT(J389,"" "")"),"CIF")</f>
        <v>CIF</v>
      </c>
      <c r="L389" s="28" t="str">
        <f aca="false">IFERROR(__xludf.dummyfunction("""COMPUTED_VALUE"""),"China")</f>
        <v>China</v>
      </c>
      <c r="M389" s="27" t="str">
        <f aca="false">IFERROR(__xludf.dummyfunction("""COMPUTED_VALUE"""),"(Diff)")</f>
        <v>(Diff)</v>
      </c>
      <c r="N389" s="25"/>
      <c r="O389" s="25"/>
      <c r="P389" s="25"/>
      <c r="Q389" s="29" t="s">
        <v>352</v>
      </c>
      <c r="R389" s="8" t="str">
        <f aca="false">B389&amp;" "&amp;C389&amp;" "&amp;D389&amp;" "&amp;E389&amp;" "&amp;G389&amp;" "&amp;H389&amp;" "&amp;J389&amp;" "&amp;N389</f>
        <v>Differentials Graphite     CIF China (Diff) </v>
      </c>
      <c r="S389" s="25"/>
      <c r="T389" s="8"/>
      <c r="U389" s="8"/>
      <c r="V389" s="27" t="s">
        <v>49</v>
      </c>
      <c r="W389" s="25"/>
      <c r="X389" s="25"/>
      <c r="Y389" s="25"/>
      <c r="Z389" s="25"/>
      <c r="AA389" s="25"/>
      <c r="AB389" s="25"/>
      <c r="AC389" s="25"/>
      <c r="AD389" s="25"/>
    </row>
    <row r="390" customFormat="false" ht="15.75" hidden="false" customHeight="false" outlineLevel="0" collapsed="false">
      <c r="A390" s="28" t="s">
        <v>748</v>
      </c>
      <c r="B390" s="27" t="s">
        <v>438</v>
      </c>
      <c r="C390" s="27" t="s">
        <v>308</v>
      </c>
      <c r="D390" s="25"/>
      <c r="E390" s="25"/>
      <c r="F390" s="25"/>
      <c r="G390" s="25"/>
      <c r="H390" s="25"/>
      <c r="I390" s="25"/>
      <c r="J390" s="27" t="s">
        <v>710</v>
      </c>
      <c r="K390" s="25" t="str">
        <f aca="false">IFERROR(__xludf.dummyfunction("SPLIT(J390,"" "")"),"CIF")</f>
        <v>CIF</v>
      </c>
      <c r="L390" s="28" t="str">
        <f aca="false">IFERROR(__xludf.dummyfunction("""COMPUTED_VALUE"""),"China")</f>
        <v>China</v>
      </c>
      <c r="M390" s="27" t="str">
        <f aca="false">IFERROR(__xludf.dummyfunction("""COMPUTED_VALUE"""),"(Diff)")</f>
        <v>(Diff)</v>
      </c>
      <c r="N390" s="25"/>
      <c r="O390" s="25"/>
      <c r="P390" s="25"/>
      <c r="Q390" s="29" t="s">
        <v>350</v>
      </c>
      <c r="R390" s="8" t="str">
        <f aca="false">B390&amp;" "&amp;C390&amp;" "&amp;D390&amp;" "&amp;E390&amp;" "&amp;G390&amp;" "&amp;H390&amp;" "&amp;J390&amp;" "&amp;N390</f>
        <v>Differentials Graphite     CIF China (Diff) </v>
      </c>
      <c r="S390" s="25"/>
      <c r="T390" s="8"/>
      <c r="U390" s="8"/>
      <c r="V390" s="27" t="s">
        <v>49</v>
      </c>
      <c r="W390" s="25"/>
      <c r="X390" s="25"/>
      <c r="Y390" s="25"/>
      <c r="Z390" s="25"/>
      <c r="AA390" s="25"/>
      <c r="AB390" s="25"/>
      <c r="AC390" s="25"/>
      <c r="AD390" s="25"/>
    </row>
    <row r="391" customFormat="false" ht="15.75" hidden="false" customHeight="false" outlineLevel="0" collapsed="false">
      <c r="A391" s="28" t="s">
        <v>749</v>
      </c>
      <c r="B391" s="27" t="s">
        <v>438</v>
      </c>
      <c r="C391" s="27" t="s">
        <v>308</v>
      </c>
      <c r="D391" s="25"/>
      <c r="E391" s="25"/>
      <c r="F391" s="25"/>
      <c r="G391" s="25"/>
      <c r="H391" s="25"/>
      <c r="I391" s="25"/>
      <c r="J391" s="27" t="s">
        <v>710</v>
      </c>
      <c r="K391" s="25" t="str">
        <f aca="false">IFERROR(__xludf.dummyfunction("SPLIT(J391,"" "")"),"CIF")</f>
        <v>CIF</v>
      </c>
      <c r="L391" s="28" t="str">
        <f aca="false">IFERROR(__xludf.dummyfunction("""COMPUTED_VALUE"""),"China")</f>
        <v>China</v>
      </c>
      <c r="M391" s="27" t="str">
        <f aca="false">IFERROR(__xludf.dummyfunction("""COMPUTED_VALUE"""),"(Diff)")</f>
        <v>(Diff)</v>
      </c>
      <c r="N391" s="25"/>
      <c r="O391" s="25"/>
      <c r="P391" s="25"/>
      <c r="Q391" s="29" t="s">
        <v>347</v>
      </c>
      <c r="R391" s="8" t="str">
        <f aca="false">B391&amp;" "&amp;C391&amp;" "&amp;D391&amp;" "&amp;E391&amp;" "&amp;G391&amp;" "&amp;H391&amp;" "&amp;J391&amp;" "&amp;N391</f>
        <v>Differentials Graphite     CIF China (Diff) </v>
      </c>
      <c r="S391" s="25"/>
      <c r="T391" s="8"/>
      <c r="U391" s="8"/>
      <c r="V391" s="27" t="s">
        <v>49</v>
      </c>
      <c r="W391" s="25"/>
      <c r="X391" s="25"/>
      <c r="Y391" s="25"/>
      <c r="Z391" s="25"/>
      <c r="AA391" s="25"/>
      <c r="AB391" s="25"/>
      <c r="AC391" s="25"/>
      <c r="AD391" s="25"/>
    </row>
    <row r="392" customFormat="false" ht="15.75" hidden="false" customHeight="false" outlineLevel="0" collapsed="false">
      <c r="A392" s="28" t="s">
        <v>750</v>
      </c>
      <c r="B392" s="27" t="s">
        <v>438</v>
      </c>
      <c r="C392" s="27" t="s">
        <v>308</v>
      </c>
      <c r="D392" s="25"/>
      <c r="E392" s="25"/>
      <c r="F392" s="25"/>
      <c r="G392" s="25"/>
      <c r="H392" s="25"/>
      <c r="I392" s="25"/>
      <c r="J392" s="27" t="s">
        <v>710</v>
      </c>
      <c r="K392" s="25" t="str">
        <f aca="false">IFERROR(__xludf.dummyfunction("SPLIT(J392,"" "")"),"CIF")</f>
        <v>CIF</v>
      </c>
      <c r="L392" s="28" t="str">
        <f aca="false">IFERROR(__xludf.dummyfunction("""COMPUTED_VALUE"""),"China")</f>
        <v>China</v>
      </c>
      <c r="M392" s="27" t="str">
        <f aca="false">IFERROR(__xludf.dummyfunction("""COMPUTED_VALUE"""),"(Diff)")</f>
        <v>(Diff)</v>
      </c>
      <c r="N392" s="25"/>
      <c r="O392" s="25"/>
      <c r="P392" s="25"/>
      <c r="Q392" s="29" t="s">
        <v>344</v>
      </c>
      <c r="R392" s="8" t="str">
        <f aca="false">B392&amp;" "&amp;C392&amp;" "&amp;D392&amp;" "&amp;E392&amp;" "&amp;G392&amp;" "&amp;H392&amp;" "&amp;J392&amp;" "&amp;N392</f>
        <v>Differentials Graphite     CIF China (Diff) </v>
      </c>
      <c r="S392" s="25"/>
      <c r="T392" s="8"/>
      <c r="U392" s="8"/>
      <c r="V392" s="27" t="s">
        <v>49</v>
      </c>
      <c r="W392" s="25"/>
      <c r="X392" s="25"/>
      <c r="Y392" s="25"/>
      <c r="Z392" s="25"/>
      <c r="AA392" s="25"/>
      <c r="AB392" s="25"/>
      <c r="AC392" s="25"/>
      <c r="AD392" s="25"/>
    </row>
    <row r="393" customFormat="false" ht="15.75" hidden="false" customHeight="false" outlineLevel="0" collapsed="false">
      <c r="A393" s="28" t="s">
        <v>751</v>
      </c>
      <c r="B393" s="27" t="s">
        <v>438</v>
      </c>
      <c r="C393" s="27" t="s">
        <v>308</v>
      </c>
      <c r="D393" s="25"/>
      <c r="E393" s="25"/>
      <c r="F393" s="25"/>
      <c r="G393" s="25"/>
      <c r="H393" s="25"/>
      <c r="I393" s="25"/>
      <c r="J393" s="27" t="s">
        <v>710</v>
      </c>
      <c r="K393" s="25" t="str">
        <f aca="false">IFERROR(__xludf.dummyfunction("SPLIT(J393,"" "")"),"CIF")</f>
        <v>CIF</v>
      </c>
      <c r="L393" s="28" t="str">
        <f aca="false">IFERROR(__xludf.dummyfunction("""COMPUTED_VALUE"""),"China")</f>
        <v>China</v>
      </c>
      <c r="M393" s="27" t="str">
        <f aca="false">IFERROR(__xludf.dummyfunction("""COMPUTED_VALUE"""),"(Diff)")</f>
        <v>(Diff)</v>
      </c>
      <c r="N393" s="25"/>
      <c r="O393" s="25"/>
      <c r="P393" s="25"/>
      <c r="Q393" s="29" t="s">
        <v>340</v>
      </c>
      <c r="R393" s="8" t="str">
        <f aca="false">B393&amp;" "&amp;C393&amp;" "&amp;D393&amp;" "&amp;E393&amp;" "&amp;G393&amp;" "&amp;H393&amp;" "&amp;J393&amp;" "&amp;N393</f>
        <v>Differentials Graphite     CIF China (Diff) </v>
      </c>
      <c r="S393" s="25"/>
      <c r="T393" s="8"/>
      <c r="U393" s="8"/>
      <c r="V393" s="27" t="s">
        <v>49</v>
      </c>
      <c r="W393" s="25"/>
      <c r="X393" s="25"/>
      <c r="Y393" s="25"/>
      <c r="Z393" s="25"/>
      <c r="AA393" s="25"/>
      <c r="AB393" s="25"/>
      <c r="AC393" s="25"/>
      <c r="AD393" s="25"/>
    </row>
    <row r="394" customFormat="false" ht="15.75" hidden="false" customHeight="false" outlineLevel="0" collapsed="false">
      <c r="A394" s="28" t="s">
        <v>752</v>
      </c>
      <c r="B394" s="27" t="s">
        <v>438</v>
      </c>
      <c r="C394" s="27" t="s">
        <v>308</v>
      </c>
      <c r="D394" s="25"/>
      <c r="E394" s="25"/>
      <c r="F394" s="25"/>
      <c r="G394" s="25"/>
      <c r="H394" s="25"/>
      <c r="I394" s="25"/>
      <c r="J394" s="27" t="s">
        <v>710</v>
      </c>
      <c r="K394" s="25" t="str">
        <f aca="false">IFERROR(__xludf.dummyfunction("SPLIT(J394,"" "")"),"CIF")</f>
        <v>CIF</v>
      </c>
      <c r="L394" s="28" t="str">
        <f aca="false">IFERROR(__xludf.dummyfunction("""COMPUTED_VALUE"""),"China")</f>
        <v>China</v>
      </c>
      <c r="M394" s="27" t="str">
        <f aca="false">IFERROR(__xludf.dummyfunction("""COMPUTED_VALUE"""),"(Diff)")</f>
        <v>(Diff)</v>
      </c>
      <c r="N394" s="25"/>
      <c r="O394" s="25"/>
      <c r="P394" s="25"/>
      <c r="Q394" s="29" t="s">
        <v>338</v>
      </c>
      <c r="R394" s="8" t="str">
        <f aca="false">B394&amp;" "&amp;C394&amp;" "&amp;D394&amp;" "&amp;E394&amp;" "&amp;G394&amp;" "&amp;H394&amp;" "&amp;J394&amp;" "&amp;N394</f>
        <v>Differentials Graphite     CIF China (Diff) </v>
      </c>
      <c r="S394" s="25"/>
      <c r="T394" s="8"/>
      <c r="U394" s="8"/>
      <c r="V394" s="27" t="s">
        <v>49</v>
      </c>
      <c r="W394" s="25"/>
      <c r="X394" s="25"/>
      <c r="Y394" s="25"/>
      <c r="Z394" s="25"/>
      <c r="AA394" s="25"/>
      <c r="AB394" s="25"/>
      <c r="AC394" s="25"/>
      <c r="AD394" s="25"/>
    </row>
    <row r="395" customFormat="false" ht="15.75" hidden="false" customHeight="false" outlineLevel="0" collapsed="false">
      <c r="A395" s="28" t="s">
        <v>753</v>
      </c>
      <c r="B395" s="27" t="s">
        <v>438</v>
      </c>
      <c r="C395" s="27" t="s">
        <v>308</v>
      </c>
      <c r="D395" s="25"/>
      <c r="E395" s="25"/>
      <c r="F395" s="25"/>
      <c r="G395" s="25"/>
      <c r="H395" s="25"/>
      <c r="I395" s="25"/>
      <c r="J395" s="27" t="s">
        <v>710</v>
      </c>
      <c r="K395" s="25" t="str">
        <f aca="false">IFERROR(__xludf.dummyfunction("SPLIT(J395,"" "")"),"CIF")</f>
        <v>CIF</v>
      </c>
      <c r="L395" s="28" t="str">
        <f aca="false">IFERROR(__xludf.dummyfunction("""COMPUTED_VALUE"""),"China")</f>
        <v>China</v>
      </c>
      <c r="M395" s="27" t="str">
        <f aca="false">IFERROR(__xludf.dummyfunction("""COMPUTED_VALUE"""),"(Diff)")</f>
        <v>(Diff)</v>
      </c>
      <c r="N395" s="25"/>
      <c r="O395" s="25"/>
      <c r="P395" s="25"/>
      <c r="Q395" s="29" t="s">
        <v>335</v>
      </c>
      <c r="R395" s="8" t="str">
        <f aca="false">B395&amp;" "&amp;C395&amp;" "&amp;D395&amp;" "&amp;E395&amp;" "&amp;G395&amp;" "&amp;H395&amp;" "&amp;J395&amp;" "&amp;N395</f>
        <v>Differentials Graphite     CIF China (Diff) </v>
      </c>
      <c r="S395" s="25"/>
      <c r="T395" s="8"/>
      <c r="U395" s="8"/>
      <c r="V395" s="27" t="s">
        <v>49</v>
      </c>
      <c r="W395" s="25"/>
      <c r="X395" s="25"/>
      <c r="Y395" s="25"/>
      <c r="Z395" s="25"/>
      <c r="AA395" s="25"/>
      <c r="AB395" s="25"/>
      <c r="AC395" s="25"/>
      <c r="AD395" s="25"/>
    </row>
    <row r="396" customFormat="false" ht="15.75" hidden="false" customHeight="false" outlineLevel="0" collapsed="false">
      <c r="A396" s="28" t="s">
        <v>754</v>
      </c>
      <c r="B396" s="27" t="s">
        <v>438</v>
      </c>
      <c r="C396" s="27" t="s">
        <v>308</v>
      </c>
      <c r="D396" s="25"/>
      <c r="E396" s="25"/>
      <c r="F396" s="25"/>
      <c r="G396" s="25"/>
      <c r="H396" s="25"/>
      <c r="I396" s="25"/>
      <c r="J396" s="27" t="s">
        <v>710</v>
      </c>
      <c r="K396" s="25" t="str">
        <f aca="false">IFERROR(__xludf.dummyfunction("SPLIT(J396,"" "")"),"CIF")</f>
        <v>CIF</v>
      </c>
      <c r="L396" s="28" t="str">
        <f aca="false">IFERROR(__xludf.dummyfunction("""COMPUTED_VALUE"""),"China")</f>
        <v>China</v>
      </c>
      <c r="M396" s="27" t="str">
        <f aca="false">IFERROR(__xludf.dummyfunction("""COMPUTED_VALUE"""),"(Diff)")</f>
        <v>(Diff)</v>
      </c>
      <c r="N396" s="25"/>
      <c r="O396" s="25"/>
      <c r="P396" s="25"/>
      <c r="Q396" s="29" t="s">
        <v>332</v>
      </c>
      <c r="R396" s="8" t="str">
        <f aca="false">B396&amp;" "&amp;C396&amp;" "&amp;D396&amp;" "&amp;E396&amp;" "&amp;G396&amp;" "&amp;H396&amp;" "&amp;J396&amp;" "&amp;N396</f>
        <v>Differentials Graphite     CIF China (Diff) </v>
      </c>
      <c r="S396" s="25"/>
      <c r="T396" s="8"/>
      <c r="U396" s="8"/>
      <c r="V396" s="27" t="s">
        <v>49</v>
      </c>
      <c r="W396" s="25"/>
      <c r="X396" s="25"/>
      <c r="Y396" s="25"/>
      <c r="Z396" s="25"/>
      <c r="AA396" s="25"/>
      <c r="AB396" s="25"/>
      <c r="AC396" s="25"/>
      <c r="AD396" s="25"/>
    </row>
    <row r="397" customFormat="false" ht="15.75" hidden="false" customHeight="false" outlineLevel="0" collapsed="false">
      <c r="A397" s="28" t="s">
        <v>755</v>
      </c>
      <c r="B397" s="27" t="s">
        <v>438</v>
      </c>
      <c r="C397" s="27" t="s">
        <v>308</v>
      </c>
      <c r="D397" s="25"/>
      <c r="E397" s="25"/>
      <c r="F397" s="25"/>
      <c r="G397" s="25"/>
      <c r="H397" s="25"/>
      <c r="I397" s="25"/>
      <c r="J397" s="27" t="s">
        <v>710</v>
      </c>
      <c r="K397" s="25" t="str">
        <f aca="false">IFERROR(__xludf.dummyfunction("SPLIT(J397,"" "")"),"CIF")</f>
        <v>CIF</v>
      </c>
      <c r="L397" s="28" t="str">
        <f aca="false">IFERROR(__xludf.dummyfunction("""COMPUTED_VALUE"""),"China")</f>
        <v>China</v>
      </c>
      <c r="M397" s="27" t="str">
        <f aca="false">IFERROR(__xludf.dummyfunction("""COMPUTED_VALUE"""),"(Diff)")</f>
        <v>(Diff)</v>
      </c>
      <c r="N397" s="25"/>
      <c r="O397" s="25"/>
      <c r="P397" s="25"/>
      <c r="Q397" s="29" t="s">
        <v>329</v>
      </c>
      <c r="R397" s="8" t="str">
        <f aca="false">B397&amp;" "&amp;C397&amp;" "&amp;D397&amp;" "&amp;E397&amp;" "&amp;G397&amp;" "&amp;H397&amp;" "&amp;J397&amp;" "&amp;N397</f>
        <v>Differentials Graphite     CIF China (Diff) </v>
      </c>
      <c r="S397" s="25"/>
      <c r="T397" s="8"/>
      <c r="U397" s="8"/>
      <c r="V397" s="27" t="s">
        <v>49</v>
      </c>
      <c r="W397" s="25"/>
      <c r="X397" s="25"/>
      <c r="Y397" s="25"/>
      <c r="Z397" s="25"/>
      <c r="AA397" s="25"/>
      <c r="AB397" s="25"/>
      <c r="AC397" s="25"/>
      <c r="AD397" s="25"/>
    </row>
    <row r="398" customFormat="false" ht="15.75" hidden="false" customHeight="false" outlineLevel="0" collapsed="false">
      <c r="A398" s="28" t="s">
        <v>756</v>
      </c>
      <c r="B398" s="27" t="s">
        <v>438</v>
      </c>
      <c r="C398" s="27" t="s">
        <v>308</v>
      </c>
      <c r="D398" s="25"/>
      <c r="E398" s="25"/>
      <c r="F398" s="25"/>
      <c r="G398" s="25"/>
      <c r="H398" s="25"/>
      <c r="I398" s="25"/>
      <c r="J398" s="27" t="s">
        <v>710</v>
      </c>
      <c r="K398" s="25" t="str">
        <f aca="false">IFERROR(__xludf.dummyfunction("SPLIT(J398,"" "")"),"CIF")</f>
        <v>CIF</v>
      </c>
      <c r="L398" s="28" t="str">
        <f aca="false">IFERROR(__xludf.dummyfunction("""COMPUTED_VALUE"""),"China")</f>
        <v>China</v>
      </c>
      <c r="M398" s="27" t="str">
        <f aca="false">IFERROR(__xludf.dummyfunction("""COMPUTED_VALUE"""),"(Diff)")</f>
        <v>(Diff)</v>
      </c>
      <c r="N398" s="25"/>
      <c r="O398" s="25"/>
      <c r="P398" s="25"/>
      <c r="Q398" s="29" t="s">
        <v>326</v>
      </c>
      <c r="R398" s="8" t="str">
        <f aca="false">B398&amp;" "&amp;C398&amp;" "&amp;D398&amp;" "&amp;E398&amp;" "&amp;G398&amp;" "&amp;H398&amp;" "&amp;J398&amp;" "&amp;N398</f>
        <v>Differentials Graphite     CIF China (Diff) </v>
      </c>
      <c r="S398" s="25"/>
      <c r="T398" s="8"/>
      <c r="U398" s="8"/>
      <c r="V398" s="27" t="s">
        <v>49</v>
      </c>
      <c r="W398" s="25"/>
      <c r="X398" s="25"/>
      <c r="Y398" s="25"/>
      <c r="Z398" s="25"/>
      <c r="AA398" s="25"/>
      <c r="AB398" s="25"/>
      <c r="AC398" s="25"/>
      <c r="AD398" s="25"/>
    </row>
    <row r="399" customFormat="false" ht="15.75" hidden="false" customHeight="false" outlineLevel="0" collapsed="false">
      <c r="A399" s="28" t="s">
        <v>757</v>
      </c>
      <c r="B399" s="27" t="s">
        <v>438</v>
      </c>
      <c r="C399" s="27" t="s">
        <v>308</v>
      </c>
      <c r="D399" s="25"/>
      <c r="E399" s="25"/>
      <c r="F399" s="25"/>
      <c r="G399" s="25"/>
      <c r="H399" s="25"/>
      <c r="I399" s="25"/>
      <c r="J399" s="27" t="s">
        <v>710</v>
      </c>
      <c r="K399" s="25" t="str">
        <f aca="false">IFERROR(__xludf.dummyfunction("SPLIT(J399,"" "")"),"CIF")</f>
        <v>CIF</v>
      </c>
      <c r="L399" s="28" t="str">
        <f aca="false">IFERROR(__xludf.dummyfunction("""COMPUTED_VALUE"""),"China")</f>
        <v>China</v>
      </c>
      <c r="M399" s="27" t="str">
        <f aca="false">IFERROR(__xludf.dummyfunction("""COMPUTED_VALUE"""),"(Diff)")</f>
        <v>(Diff)</v>
      </c>
      <c r="N399" s="25"/>
      <c r="O399" s="25"/>
      <c r="P399" s="25"/>
      <c r="Q399" s="29" t="s">
        <v>323</v>
      </c>
      <c r="R399" s="8" t="str">
        <f aca="false">B399&amp;" "&amp;C399&amp;" "&amp;D399&amp;" "&amp;E399&amp;" "&amp;G399&amp;" "&amp;H399&amp;" "&amp;J399&amp;" "&amp;N399</f>
        <v>Differentials Graphite     CIF China (Diff) </v>
      </c>
      <c r="S399" s="25"/>
      <c r="T399" s="8"/>
      <c r="U399" s="8"/>
      <c r="V399" s="27" t="s">
        <v>49</v>
      </c>
      <c r="W399" s="25"/>
      <c r="X399" s="25"/>
      <c r="Y399" s="25"/>
      <c r="Z399" s="25"/>
      <c r="AA399" s="25"/>
      <c r="AB399" s="25"/>
      <c r="AC399" s="25"/>
      <c r="AD399" s="25"/>
    </row>
    <row r="400" customFormat="false" ht="15.75" hidden="false" customHeight="false" outlineLevel="0" collapsed="false">
      <c r="A400" s="28" t="s">
        <v>758</v>
      </c>
      <c r="B400" s="27" t="s">
        <v>438</v>
      </c>
      <c r="C400" s="27" t="s">
        <v>308</v>
      </c>
      <c r="D400" s="25"/>
      <c r="E400" s="25"/>
      <c r="F400" s="25"/>
      <c r="G400" s="25"/>
      <c r="H400" s="25"/>
      <c r="I400" s="25"/>
      <c r="J400" s="27" t="s">
        <v>710</v>
      </c>
      <c r="K400" s="25" t="str">
        <f aca="false">IFERROR(__xludf.dummyfunction("SPLIT(J400,"" "")"),"CIF")</f>
        <v>CIF</v>
      </c>
      <c r="L400" s="28" t="str">
        <f aca="false">IFERROR(__xludf.dummyfunction("""COMPUTED_VALUE"""),"China")</f>
        <v>China</v>
      </c>
      <c r="M400" s="27" t="str">
        <f aca="false">IFERROR(__xludf.dummyfunction("""COMPUTED_VALUE"""),"(Diff)")</f>
        <v>(Diff)</v>
      </c>
      <c r="N400" s="25"/>
      <c r="O400" s="25"/>
      <c r="P400" s="25"/>
      <c r="Q400" s="29" t="s">
        <v>319</v>
      </c>
      <c r="R400" s="8" t="str">
        <f aca="false">B400&amp;" "&amp;C400&amp;" "&amp;D400&amp;" "&amp;E400&amp;" "&amp;G400&amp;" "&amp;H400&amp;" "&amp;J400&amp;" "&amp;N400</f>
        <v>Differentials Graphite     CIF China (Diff) </v>
      </c>
      <c r="S400" s="25"/>
      <c r="T400" s="8"/>
      <c r="U400" s="8"/>
      <c r="V400" s="27" t="s">
        <v>49</v>
      </c>
      <c r="W400" s="25"/>
      <c r="X400" s="25"/>
      <c r="Y400" s="25"/>
      <c r="Z400" s="25"/>
      <c r="AA400" s="25"/>
      <c r="AB400" s="25"/>
      <c r="AC400" s="25"/>
      <c r="AD400" s="25"/>
    </row>
    <row r="401" customFormat="false" ht="15.75" hidden="false" customHeight="false" outlineLevel="0" collapsed="false">
      <c r="A401" s="28" t="s">
        <v>759</v>
      </c>
      <c r="B401" s="27" t="s">
        <v>438</v>
      </c>
      <c r="C401" s="27" t="s">
        <v>308</v>
      </c>
      <c r="D401" s="25"/>
      <c r="E401" s="25"/>
      <c r="F401" s="25"/>
      <c r="G401" s="25"/>
      <c r="H401" s="25"/>
      <c r="I401" s="25"/>
      <c r="J401" s="27" t="s">
        <v>710</v>
      </c>
      <c r="K401" s="25" t="str">
        <f aca="false">IFERROR(__xludf.dummyfunction("SPLIT(J401,"" "")"),"CIF")</f>
        <v>CIF</v>
      </c>
      <c r="L401" s="28" t="str">
        <f aca="false">IFERROR(__xludf.dummyfunction("""COMPUTED_VALUE"""),"China")</f>
        <v>China</v>
      </c>
      <c r="M401" s="27" t="str">
        <f aca="false">IFERROR(__xludf.dummyfunction("""COMPUTED_VALUE"""),"(Diff)")</f>
        <v>(Diff)</v>
      </c>
      <c r="N401" s="25"/>
      <c r="O401" s="25"/>
      <c r="P401" s="25"/>
      <c r="Q401" s="29" t="s">
        <v>315</v>
      </c>
      <c r="R401" s="8" t="str">
        <f aca="false">B401&amp;" "&amp;C401&amp;" "&amp;D401&amp;" "&amp;E401&amp;" "&amp;G401&amp;" "&amp;H401&amp;" "&amp;J401&amp;" "&amp;N401</f>
        <v>Differentials Graphite     CIF China (Diff) </v>
      </c>
      <c r="S401" s="25"/>
      <c r="T401" s="8"/>
      <c r="U401" s="8"/>
      <c r="V401" s="27" t="s">
        <v>49</v>
      </c>
      <c r="W401" s="25"/>
      <c r="X401" s="25"/>
      <c r="Y401" s="25"/>
      <c r="Z401" s="25"/>
      <c r="AA401" s="25"/>
      <c r="AB401" s="25"/>
      <c r="AC401" s="25"/>
      <c r="AD401" s="25"/>
    </row>
    <row r="402" customFormat="false" ht="15.75" hidden="false" customHeight="false" outlineLevel="0" collapsed="false">
      <c r="A402" s="28" t="s">
        <v>760</v>
      </c>
      <c r="B402" s="27" t="s">
        <v>438</v>
      </c>
      <c r="C402" s="27" t="s">
        <v>308</v>
      </c>
      <c r="D402" s="25"/>
      <c r="E402" s="25"/>
      <c r="F402" s="25"/>
      <c r="G402" s="25"/>
      <c r="H402" s="25"/>
      <c r="I402" s="25"/>
      <c r="J402" s="27" t="s">
        <v>710</v>
      </c>
      <c r="K402" s="25" t="str">
        <f aca="false">IFERROR(__xludf.dummyfunction("SPLIT(J402,"" "")"),"CIF")</f>
        <v>CIF</v>
      </c>
      <c r="L402" s="28" t="str">
        <f aca="false">IFERROR(__xludf.dummyfunction("""COMPUTED_VALUE"""),"China")</f>
        <v>China</v>
      </c>
      <c r="M402" s="27" t="str">
        <f aca="false">IFERROR(__xludf.dummyfunction("""COMPUTED_VALUE"""),"(Diff)")</f>
        <v>(Diff)</v>
      </c>
      <c r="N402" s="25"/>
      <c r="O402" s="25"/>
      <c r="P402" s="25"/>
      <c r="Q402" s="29" t="s">
        <v>311</v>
      </c>
      <c r="R402" s="8" t="str">
        <f aca="false">B402&amp;" "&amp;C402&amp;" "&amp;D402&amp;" "&amp;E402&amp;" "&amp;G402&amp;" "&amp;H402&amp;" "&amp;J402&amp;" "&amp;N402</f>
        <v>Differentials Graphite     CIF China (Diff) </v>
      </c>
      <c r="S402" s="25"/>
      <c r="T402" s="8"/>
      <c r="U402" s="8"/>
      <c r="V402" s="27" t="s">
        <v>49</v>
      </c>
      <c r="W402" s="25"/>
      <c r="X402" s="25"/>
      <c r="Y402" s="25"/>
      <c r="Z402" s="25"/>
      <c r="AA402" s="25"/>
      <c r="AB402" s="25"/>
      <c r="AC402" s="25"/>
      <c r="AD402" s="25"/>
    </row>
    <row r="403" customFormat="false" ht="15.75" hidden="false" customHeight="false" outlineLevel="0" collapsed="false">
      <c r="A403" s="28" t="s">
        <v>761</v>
      </c>
      <c r="B403" s="27" t="s">
        <v>438</v>
      </c>
      <c r="C403" s="27" t="s">
        <v>417</v>
      </c>
      <c r="D403" s="25"/>
      <c r="E403" s="25"/>
      <c r="F403" s="25"/>
      <c r="G403" s="25"/>
      <c r="H403" s="25"/>
      <c r="I403" s="25"/>
      <c r="J403" s="27" t="s">
        <v>710</v>
      </c>
      <c r="K403" s="25" t="str">
        <f aca="false">IFERROR(__xludf.dummyfunction("SPLIT(J403,"" "")"),"CIF")</f>
        <v>CIF</v>
      </c>
      <c r="L403" s="28" t="str">
        <f aca="false">IFERROR(__xludf.dummyfunction("""COMPUTED_VALUE"""),"China")</f>
        <v>China</v>
      </c>
      <c r="M403" s="27" t="str">
        <f aca="false">IFERROR(__xludf.dummyfunction("""COMPUTED_VALUE"""),"(Diff)")</f>
        <v>(Diff)</v>
      </c>
      <c r="N403" s="25"/>
      <c r="O403" s="25"/>
      <c r="P403" s="25"/>
      <c r="Q403" s="29" t="s">
        <v>436</v>
      </c>
      <c r="R403" s="8" t="str">
        <f aca="false">B403&amp;" "&amp;C403&amp;" "&amp;D403&amp;" "&amp;E403&amp;" "&amp;G403&amp;" "&amp;H403&amp;" "&amp;J403&amp;" "&amp;N403</f>
        <v>Differentials Solvent     CIF China (Diff) </v>
      </c>
      <c r="S403" s="25"/>
      <c r="T403" s="8"/>
      <c r="U403" s="8"/>
      <c r="V403" s="27" t="s">
        <v>49</v>
      </c>
      <c r="W403" s="25"/>
      <c r="X403" s="25"/>
      <c r="Y403" s="25"/>
      <c r="Z403" s="25"/>
      <c r="AA403" s="25"/>
      <c r="AB403" s="25"/>
      <c r="AC403" s="25"/>
      <c r="AD403" s="25"/>
    </row>
    <row r="404" customFormat="false" ht="15.75" hidden="false" customHeight="false" outlineLevel="0" collapsed="false">
      <c r="A404" s="28" t="s">
        <v>762</v>
      </c>
      <c r="B404" s="27" t="s">
        <v>438</v>
      </c>
      <c r="C404" s="27" t="s">
        <v>417</v>
      </c>
      <c r="D404" s="25"/>
      <c r="E404" s="25"/>
      <c r="F404" s="25"/>
      <c r="G404" s="25"/>
      <c r="H404" s="25"/>
      <c r="I404" s="25"/>
      <c r="J404" s="27" t="s">
        <v>710</v>
      </c>
      <c r="K404" s="25" t="str">
        <f aca="false">IFERROR(__xludf.dummyfunction("SPLIT(J404,"" "")"),"CIF")</f>
        <v>CIF</v>
      </c>
      <c r="L404" s="28" t="str">
        <f aca="false">IFERROR(__xludf.dummyfunction("""COMPUTED_VALUE"""),"China")</f>
        <v>China</v>
      </c>
      <c r="M404" s="27" t="str">
        <f aca="false">IFERROR(__xludf.dummyfunction("""COMPUTED_VALUE"""),"(Diff)")</f>
        <v>(Diff)</v>
      </c>
      <c r="N404" s="25"/>
      <c r="O404" s="25"/>
      <c r="P404" s="25"/>
      <c r="Q404" s="29" t="s">
        <v>434</v>
      </c>
      <c r="R404" s="8" t="str">
        <f aca="false">B404&amp;" "&amp;C404&amp;" "&amp;D404&amp;" "&amp;E404&amp;" "&amp;G404&amp;" "&amp;H404&amp;" "&amp;J404&amp;" "&amp;N404</f>
        <v>Differentials Solvent     CIF China (Diff) </v>
      </c>
      <c r="S404" s="25"/>
      <c r="T404" s="8"/>
      <c r="U404" s="8"/>
      <c r="V404" s="27" t="s">
        <v>49</v>
      </c>
      <c r="W404" s="25"/>
      <c r="X404" s="25"/>
      <c r="Y404" s="25"/>
      <c r="Z404" s="25"/>
      <c r="AA404" s="25"/>
      <c r="AB404" s="25"/>
      <c r="AC404" s="25"/>
      <c r="AD404" s="25"/>
    </row>
    <row r="405" customFormat="false" ht="15.75" hidden="false" customHeight="false" outlineLevel="0" collapsed="false">
      <c r="A405" s="28" t="s">
        <v>763</v>
      </c>
      <c r="B405" s="27" t="s">
        <v>438</v>
      </c>
      <c r="C405" s="27" t="s">
        <v>417</v>
      </c>
      <c r="D405" s="25"/>
      <c r="E405" s="25"/>
      <c r="F405" s="25"/>
      <c r="G405" s="25"/>
      <c r="H405" s="25"/>
      <c r="I405" s="25"/>
      <c r="J405" s="27" t="s">
        <v>710</v>
      </c>
      <c r="K405" s="25" t="str">
        <f aca="false">IFERROR(__xludf.dummyfunction("SPLIT(J405,"" "")"),"CIF")</f>
        <v>CIF</v>
      </c>
      <c r="L405" s="28" t="str">
        <f aca="false">IFERROR(__xludf.dummyfunction("""COMPUTED_VALUE"""),"China")</f>
        <v>China</v>
      </c>
      <c r="M405" s="27" t="str">
        <f aca="false">IFERROR(__xludf.dummyfunction("""COMPUTED_VALUE"""),"(Diff)")</f>
        <v>(Diff)</v>
      </c>
      <c r="N405" s="25"/>
      <c r="O405" s="25"/>
      <c r="P405" s="25"/>
      <c r="Q405" s="29" t="s">
        <v>432</v>
      </c>
      <c r="R405" s="8" t="str">
        <f aca="false">B405&amp;" "&amp;C405&amp;" "&amp;D405&amp;" "&amp;E405&amp;" "&amp;G405&amp;" "&amp;H405&amp;" "&amp;J405&amp;" "&amp;N405</f>
        <v>Differentials Solvent     CIF China (Diff) </v>
      </c>
      <c r="S405" s="25"/>
      <c r="T405" s="8"/>
      <c r="U405" s="8"/>
      <c r="V405" s="27" t="s">
        <v>49</v>
      </c>
      <c r="W405" s="25"/>
      <c r="X405" s="25"/>
      <c r="Y405" s="25"/>
      <c r="Z405" s="25"/>
      <c r="AA405" s="25"/>
      <c r="AB405" s="25"/>
      <c r="AC405" s="25"/>
      <c r="AD405" s="25"/>
    </row>
    <row r="406" customFormat="false" ht="15.75" hidden="false" customHeight="false" outlineLevel="0" collapsed="false">
      <c r="A406" s="28" t="s">
        <v>764</v>
      </c>
      <c r="B406" s="27" t="s">
        <v>438</v>
      </c>
      <c r="C406" s="27" t="s">
        <v>417</v>
      </c>
      <c r="D406" s="25"/>
      <c r="E406" s="25"/>
      <c r="F406" s="25"/>
      <c r="G406" s="25"/>
      <c r="H406" s="25"/>
      <c r="I406" s="25"/>
      <c r="J406" s="27" t="s">
        <v>710</v>
      </c>
      <c r="K406" s="25" t="str">
        <f aca="false">IFERROR(__xludf.dummyfunction("SPLIT(J406,"" "")"),"CIF")</f>
        <v>CIF</v>
      </c>
      <c r="L406" s="28" t="str">
        <f aca="false">IFERROR(__xludf.dummyfunction("""COMPUTED_VALUE"""),"China")</f>
        <v>China</v>
      </c>
      <c r="M406" s="27" t="str">
        <f aca="false">IFERROR(__xludf.dummyfunction("""COMPUTED_VALUE"""),"(Diff)")</f>
        <v>(Diff)</v>
      </c>
      <c r="N406" s="25"/>
      <c r="O406" s="25"/>
      <c r="P406" s="25"/>
      <c r="Q406" s="29" t="s">
        <v>430</v>
      </c>
      <c r="R406" s="8" t="str">
        <f aca="false">B406&amp;" "&amp;C406&amp;" "&amp;D406&amp;" "&amp;E406&amp;" "&amp;G406&amp;" "&amp;H406&amp;" "&amp;J406&amp;" "&amp;N406</f>
        <v>Differentials Solvent     CIF China (Diff) </v>
      </c>
      <c r="S406" s="25"/>
      <c r="T406" s="8"/>
      <c r="U406" s="8"/>
      <c r="V406" s="27" t="s">
        <v>49</v>
      </c>
      <c r="W406" s="25"/>
      <c r="X406" s="25"/>
      <c r="Y406" s="25"/>
      <c r="Z406" s="25"/>
      <c r="AA406" s="25"/>
      <c r="AB406" s="25"/>
      <c r="AC406" s="25"/>
      <c r="AD406" s="25"/>
    </row>
    <row r="407" customFormat="false" ht="15.75" hidden="false" customHeight="false" outlineLevel="0" collapsed="false">
      <c r="A407" s="28" t="s">
        <v>765</v>
      </c>
      <c r="B407" s="27" t="s">
        <v>438</v>
      </c>
      <c r="C407" s="27" t="s">
        <v>417</v>
      </c>
      <c r="D407" s="25"/>
      <c r="E407" s="25"/>
      <c r="F407" s="25"/>
      <c r="G407" s="25"/>
      <c r="H407" s="25"/>
      <c r="I407" s="25"/>
      <c r="J407" s="27" t="s">
        <v>710</v>
      </c>
      <c r="K407" s="25" t="str">
        <f aca="false">IFERROR(__xludf.dummyfunction("SPLIT(J407,"" "")"),"CIF")</f>
        <v>CIF</v>
      </c>
      <c r="L407" s="28" t="str">
        <f aca="false">IFERROR(__xludf.dummyfunction("""COMPUTED_VALUE"""),"China")</f>
        <v>China</v>
      </c>
      <c r="M407" s="27" t="str">
        <f aca="false">IFERROR(__xludf.dummyfunction("""COMPUTED_VALUE"""),"(Diff)")</f>
        <v>(Diff)</v>
      </c>
      <c r="N407" s="25"/>
      <c r="O407" s="25"/>
      <c r="P407" s="25"/>
      <c r="Q407" s="29" t="s">
        <v>428</v>
      </c>
      <c r="R407" s="8" t="str">
        <f aca="false">B407&amp;" "&amp;C407&amp;" "&amp;D407&amp;" "&amp;E407&amp;" "&amp;G407&amp;" "&amp;H407&amp;" "&amp;J407&amp;" "&amp;N407</f>
        <v>Differentials Solvent     CIF China (Diff) </v>
      </c>
      <c r="S407" s="25"/>
      <c r="T407" s="8"/>
      <c r="U407" s="8"/>
      <c r="V407" s="27" t="s">
        <v>49</v>
      </c>
      <c r="W407" s="25"/>
      <c r="X407" s="25"/>
      <c r="Y407" s="25"/>
      <c r="Z407" s="25"/>
      <c r="AA407" s="25"/>
      <c r="AB407" s="25"/>
      <c r="AC407" s="25"/>
      <c r="AD407" s="25"/>
    </row>
    <row r="408" customFormat="false" ht="15.75" hidden="false" customHeight="false" outlineLevel="0" collapsed="false">
      <c r="A408" s="28" t="s">
        <v>766</v>
      </c>
      <c r="B408" s="27" t="s">
        <v>438</v>
      </c>
      <c r="C408" s="27" t="s">
        <v>417</v>
      </c>
      <c r="D408" s="25"/>
      <c r="E408" s="25"/>
      <c r="F408" s="25"/>
      <c r="G408" s="25"/>
      <c r="H408" s="25"/>
      <c r="I408" s="25"/>
      <c r="J408" s="27" t="s">
        <v>710</v>
      </c>
      <c r="K408" s="25" t="str">
        <f aca="false">IFERROR(__xludf.dummyfunction("SPLIT(J408,"" "")"),"CIF")</f>
        <v>CIF</v>
      </c>
      <c r="L408" s="28" t="str">
        <f aca="false">IFERROR(__xludf.dummyfunction("""COMPUTED_VALUE"""),"China")</f>
        <v>China</v>
      </c>
      <c r="M408" s="27" t="str">
        <f aca="false">IFERROR(__xludf.dummyfunction("""COMPUTED_VALUE"""),"(Diff)")</f>
        <v>(Diff)</v>
      </c>
      <c r="N408" s="25"/>
      <c r="O408" s="25"/>
      <c r="P408" s="25"/>
      <c r="Q408" s="29" t="s">
        <v>426</v>
      </c>
      <c r="R408" s="8" t="str">
        <f aca="false">B408&amp;" "&amp;C408&amp;" "&amp;D408&amp;" "&amp;E408&amp;" "&amp;G408&amp;" "&amp;H408&amp;" "&amp;J408&amp;" "&amp;N408</f>
        <v>Differentials Solvent     CIF China (Diff) </v>
      </c>
      <c r="S408" s="25"/>
      <c r="T408" s="8"/>
      <c r="U408" s="8"/>
      <c r="V408" s="27" t="s">
        <v>49</v>
      </c>
      <c r="W408" s="25"/>
      <c r="X408" s="25"/>
      <c r="Y408" s="25"/>
      <c r="Z408" s="25"/>
      <c r="AA408" s="25"/>
      <c r="AB408" s="25"/>
      <c r="AC408" s="25"/>
      <c r="AD408" s="25"/>
    </row>
    <row r="409" customFormat="false" ht="15.75" hidden="false" customHeight="false" outlineLevel="0" collapsed="false">
      <c r="A409" s="28" t="s">
        <v>767</v>
      </c>
      <c r="B409" s="27" t="s">
        <v>438</v>
      </c>
      <c r="C409" s="27" t="s">
        <v>417</v>
      </c>
      <c r="D409" s="25"/>
      <c r="E409" s="25"/>
      <c r="F409" s="25"/>
      <c r="G409" s="25"/>
      <c r="H409" s="25"/>
      <c r="I409" s="25"/>
      <c r="J409" s="27" t="s">
        <v>710</v>
      </c>
      <c r="K409" s="25" t="str">
        <f aca="false">IFERROR(__xludf.dummyfunction("SPLIT(J409,"" "")"),"CIF")</f>
        <v>CIF</v>
      </c>
      <c r="L409" s="28" t="str">
        <f aca="false">IFERROR(__xludf.dummyfunction("""COMPUTED_VALUE"""),"China")</f>
        <v>China</v>
      </c>
      <c r="M409" s="27" t="str">
        <f aca="false">IFERROR(__xludf.dummyfunction("""COMPUTED_VALUE"""),"(Diff)")</f>
        <v>(Diff)</v>
      </c>
      <c r="N409" s="25"/>
      <c r="O409" s="25"/>
      <c r="P409" s="25"/>
      <c r="Q409" s="29" t="s">
        <v>424</v>
      </c>
      <c r="R409" s="8" t="str">
        <f aca="false">B409&amp;" "&amp;C409&amp;" "&amp;D409&amp;" "&amp;E409&amp;" "&amp;G409&amp;" "&amp;H409&amp;" "&amp;J409&amp;" "&amp;N409</f>
        <v>Differentials Solvent     CIF China (Diff) </v>
      </c>
      <c r="S409" s="25"/>
      <c r="T409" s="8"/>
      <c r="U409" s="8"/>
      <c r="V409" s="27" t="s">
        <v>49</v>
      </c>
      <c r="W409" s="25"/>
      <c r="X409" s="25"/>
      <c r="Y409" s="25"/>
      <c r="Z409" s="25"/>
      <c r="AA409" s="25"/>
      <c r="AB409" s="25"/>
      <c r="AC409" s="25"/>
      <c r="AD409" s="25"/>
    </row>
    <row r="410" customFormat="false" ht="15.75" hidden="false" customHeight="false" outlineLevel="0" collapsed="false">
      <c r="A410" s="28" t="s">
        <v>768</v>
      </c>
      <c r="B410" s="27" t="s">
        <v>438</v>
      </c>
      <c r="C410" s="27" t="s">
        <v>417</v>
      </c>
      <c r="D410" s="25"/>
      <c r="E410" s="25"/>
      <c r="F410" s="25"/>
      <c r="G410" s="25"/>
      <c r="H410" s="25"/>
      <c r="I410" s="25"/>
      <c r="J410" s="27" t="s">
        <v>710</v>
      </c>
      <c r="K410" s="25" t="str">
        <f aca="false">IFERROR(__xludf.dummyfunction("SPLIT(J410,"" "")"),"CIF")</f>
        <v>CIF</v>
      </c>
      <c r="L410" s="28" t="str">
        <f aca="false">IFERROR(__xludf.dummyfunction("""COMPUTED_VALUE"""),"China")</f>
        <v>China</v>
      </c>
      <c r="M410" s="27" t="str">
        <f aca="false">IFERROR(__xludf.dummyfunction("""COMPUTED_VALUE"""),"(Diff)")</f>
        <v>(Diff)</v>
      </c>
      <c r="N410" s="25"/>
      <c r="O410" s="25"/>
      <c r="P410" s="25"/>
      <c r="Q410" s="29" t="s">
        <v>422</v>
      </c>
      <c r="R410" s="8" t="str">
        <f aca="false">B410&amp;" "&amp;C410&amp;" "&amp;D410&amp;" "&amp;E410&amp;" "&amp;G410&amp;" "&amp;H410&amp;" "&amp;J410&amp;" "&amp;N410</f>
        <v>Differentials Solvent     CIF China (Diff) </v>
      </c>
      <c r="S410" s="25"/>
      <c r="T410" s="8"/>
      <c r="U410" s="8"/>
      <c r="V410" s="27" t="s">
        <v>49</v>
      </c>
      <c r="W410" s="25"/>
      <c r="X410" s="25"/>
      <c r="Y410" s="25"/>
      <c r="Z410" s="25"/>
      <c r="AA410" s="25"/>
      <c r="AB410" s="25"/>
      <c r="AC410" s="25"/>
      <c r="AD410" s="25"/>
    </row>
    <row r="411" customFormat="false" ht="15.75" hidden="false" customHeight="false" outlineLevel="0" collapsed="false">
      <c r="A411" s="28" t="s">
        <v>769</v>
      </c>
      <c r="B411" s="27" t="s">
        <v>438</v>
      </c>
      <c r="C411" s="27" t="s">
        <v>417</v>
      </c>
      <c r="D411" s="25"/>
      <c r="E411" s="25"/>
      <c r="F411" s="25"/>
      <c r="G411" s="25"/>
      <c r="H411" s="25"/>
      <c r="I411" s="25"/>
      <c r="J411" s="27" t="s">
        <v>710</v>
      </c>
      <c r="K411" s="25" t="str">
        <f aca="false">IFERROR(__xludf.dummyfunction("SPLIT(J411,"" "")"),"CIF")</f>
        <v>CIF</v>
      </c>
      <c r="L411" s="28" t="str">
        <f aca="false">IFERROR(__xludf.dummyfunction("""COMPUTED_VALUE"""),"China")</f>
        <v>China</v>
      </c>
      <c r="M411" s="27" t="str">
        <f aca="false">IFERROR(__xludf.dummyfunction("""COMPUTED_VALUE"""),"(Diff)")</f>
        <v>(Diff)</v>
      </c>
      <c r="N411" s="25"/>
      <c r="O411" s="25"/>
      <c r="P411" s="25"/>
      <c r="Q411" s="29" t="s">
        <v>420</v>
      </c>
      <c r="R411" s="8" t="str">
        <f aca="false">B411&amp;" "&amp;C411&amp;" "&amp;D411&amp;" "&amp;E411&amp;" "&amp;G411&amp;" "&amp;H411&amp;" "&amp;J411&amp;" "&amp;N411</f>
        <v>Differentials Solvent     CIF China (Diff) </v>
      </c>
      <c r="S411" s="25"/>
      <c r="T411" s="8"/>
      <c r="U411" s="8"/>
      <c r="V411" s="27" t="s">
        <v>49</v>
      </c>
      <c r="W411" s="25"/>
      <c r="X411" s="25"/>
      <c r="Y411" s="25"/>
      <c r="Z411" s="25"/>
      <c r="AA411" s="25"/>
      <c r="AB411" s="25"/>
      <c r="AC411" s="25"/>
      <c r="AD411" s="25"/>
    </row>
    <row r="412" customFormat="false" ht="15.75" hidden="false" customHeight="false" outlineLevel="0" collapsed="false">
      <c r="A412" s="28" t="s">
        <v>770</v>
      </c>
      <c r="B412" s="27" t="s">
        <v>438</v>
      </c>
      <c r="C412" s="27" t="s">
        <v>417</v>
      </c>
      <c r="D412" s="25"/>
      <c r="E412" s="25"/>
      <c r="F412" s="25"/>
      <c r="G412" s="25"/>
      <c r="H412" s="25"/>
      <c r="I412" s="25"/>
      <c r="J412" s="27" t="s">
        <v>710</v>
      </c>
      <c r="K412" s="25" t="str">
        <f aca="false">IFERROR(__xludf.dummyfunction("SPLIT(J412,"" "")"),"CIF")</f>
        <v>CIF</v>
      </c>
      <c r="L412" s="28" t="str">
        <f aca="false">IFERROR(__xludf.dummyfunction("""COMPUTED_VALUE"""),"China")</f>
        <v>China</v>
      </c>
      <c r="M412" s="27" t="str">
        <f aca="false">IFERROR(__xludf.dummyfunction("""COMPUTED_VALUE"""),"(Diff)")</f>
        <v>(Diff)</v>
      </c>
      <c r="N412" s="25"/>
      <c r="O412" s="25"/>
      <c r="P412" s="25"/>
      <c r="Q412" s="29" t="s">
        <v>418</v>
      </c>
      <c r="R412" s="8" t="str">
        <f aca="false">B412&amp;" "&amp;C412&amp;" "&amp;D412&amp;" "&amp;E412&amp;" "&amp;G412&amp;" "&amp;H412&amp;" "&amp;J412&amp;" "&amp;N412</f>
        <v>Differentials Solvent     CIF China (Diff) </v>
      </c>
      <c r="S412" s="25"/>
      <c r="T412" s="8"/>
      <c r="U412" s="8"/>
      <c r="V412" s="27" t="s">
        <v>49</v>
      </c>
      <c r="W412" s="25"/>
      <c r="X412" s="25"/>
      <c r="Y412" s="25"/>
      <c r="Z412" s="25"/>
      <c r="AA412" s="25"/>
      <c r="AB412" s="25"/>
      <c r="AC412" s="25"/>
      <c r="AD412" s="25"/>
    </row>
    <row r="413" customFormat="false" ht="15.75" hidden="false" customHeight="false" outlineLevel="0" collapsed="false">
      <c r="A413" s="28" t="s">
        <v>771</v>
      </c>
      <c r="B413" s="27" t="s">
        <v>438</v>
      </c>
      <c r="C413" s="27" t="s">
        <v>177</v>
      </c>
      <c r="D413" s="25"/>
      <c r="E413" s="25"/>
      <c r="F413" s="25"/>
      <c r="G413" s="25"/>
      <c r="H413" s="25"/>
      <c r="I413" s="25"/>
      <c r="J413" s="27" t="s">
        <v>772</v>
      </c>
      <c r="K413" s="25" t="str">
        <f aca="false">IFERROR(__xludf.dummyfunction("SPLIT(J413,"" "")"),"CIF")</f>
        <v>CIF</v>
      </c>
      <c r="L413" s="28" t="str">
        <f aca="false">IFERROR(__xludf.dummyfunction("""COMPUTED_VALUE"""),"Czechia")</f>
        <v>Czechia</v>
      </c>
      <c r="M413" s="27" t="str">
        <f aca="false">IFERROR(__xludf.dummyfunction("""COMPUTED_VALUE"""),"(Diff)")</f>
        <v>(Diff)</v>
      </c>
      <c r="N413" s="25"/>
      <c r="O413" s="25"/>
      <c r="P413" s="25"/>
      <c r="Q413" s="29" t="s">
        <v>209</v>
      </c>
      <c r="R413" s="8" t="str">
        <f aca="false">B413&amp;" "&amp;C413&amp;" "&amp;D413&amp;" "&amp;E413&amp;" "&amp;G413&amp;" "&amp;H413&amp;" "&amp;J413&amp;" "&amp;N413</f>
        <v>Differentials Anode     CIF Czechia (Diff) </v>
      </c>
      <c r="S413" s="25"/>
      <c r="T413" s="8"/>
      <c r="U413" s="8"/>
      <c r="V413" s="27" t="s">
        <v>49</v>
      </c>
      <c r="W413" s="25"/>
      <c r="X413" s="25"/>
      <c r="Y413" s="25"/>
      <c r="Z413" s="25"/>
      <c r="AA413" s="25"/>
      <c r="AB413" s="25"/>
      <c r="AC413" s="25"/>
      <c r="AD413" s="25"/>
    </row>
    <row r="414" customFormat="false" ht="15.75" hidden="false" customHeight="false" outlineLevel="0" collapsed="false">
      <c r="A414" s="28" t="s">
        <v>773</v>
      </c>
      <c r="B414" s="27" t="s">
        <v>438</v>
      </c>
      <c r="C414" s="27" t="s">
        <v>177</v>
      </c>
      <c r="D414" s="25"/>
      <c r="E414" s="25"/>
      <c r="F414" s="25"/>
      <c r="G414" s="25"/>
      <c r="H414" s="25"/>
      <c r="I414" s="25"/>
      <c r="J414" s="27" t="s">
        <v>772</v>
      </c>
      <c r="K414" s="25" t="str">
        <f aca="false">IFERROR(__xludf.dummyfunction("SPLIT(J414,"" "")"),"CIF")</f>
        <v>CIF</v>
      </c>
      <c r="L414" s="28" t="str">
        <f aca="false">IFERROR(__xludf.dummyfunction("""COMPUTED_VALUE"""),"Czechia")</f>
        <v>Czechia</v>
      </c>
      <c r="M414" s="27" t="str">
        <f aca="false">IFERROR(__xludf.dummyfunction("""COMPUTED_VALUE"""),"(Diff)")</f>
        <v>(Diff)</v>
      </c>
      <c r="N414" s="25"/>
      <c r="O414" s="25"/>
      <c r="P414" s="25"/>
      <c r="Q414" s="29" t="s">
        <v>205</v>
      </c>
      <c r="R414" s="8" t="str">
        <f aca="false">B414&amp;" "&amp;C414&amp;" "&amp;D414&amp;" "&amp;E414&amp;" "&amp;G414&amp;" "&amp;H414&amp;" "&amp;J414&amp;" "&amp;N414</f>
        <v>Differentials Anode     CIF Czechia (Diff) </v>
      </c>
      <c r="S414" s="25"/>
      <c r="T414" s="8"/>
      <c r="U414" s="8"/>
      <c r="V414" s="27" t="s">
        <v>49</v>
      </c>
      <c r="W414" s="25"/>
      <c r="X414" s="25"/>
      <c r="Y414" s="25"/>
      <c r="Z414" s="25"/>
      <c r="AA414" s="25"/>
      <c r="AB414" s="25"/>
      <c r="AC414" s="25"/>
      <c r="AD414" s="25"/>
    </row>
    <row r="415" customFormat="false" ht="15.75" hidden="false" customHeight="false" outlineLevel="0" collapsed="false">
      <c r="A415" s="28" t="s">
        <v>774</v>
      </c>
      <c r="B415" s="27" t="s">
        <v>438</v>
      </c>
      <c r="C415" s="27" t="s">
        <v>177</v>
      </c>
      <c r="D415" s="25"/>
      <c r="E415" s="25"/>
      <c r="F415" s="25"/>
      <c r="G415" s="25"/>
      <c r="H415" s="25"/>
      <c r="I415" s="25"/>
      <c r="J415" s="27" t="s">
        <v>772</v>
      </c>
      <c r="K415" s="25" t="str">
        <f aca="false">IFERROR(__xludf.dummyfunction("SPLIT(J415,"" "")"),"CIF")</f>
        <v>CIF</v>
      </c>
      <c r="L415" s="28" t="str">
        <f aca="false">IFERROR(__xludf.dummyfunction("""COMPUTED_VALUE"""),"Czechia")</f>
        <v>Czechia</v>
      </c>
      <c r="M415" s="27" t="str">
        <f aca="false">IFERROR(__xludf.dummyfunction("""COMPUTED_VALUE"""),"(Diff)")</f>
        <v>(Diff)</v>
      </c>
      <c r="N415" s="25"/>
      <c r="O415" s="25"/>
      <c r="P415" s="25"/>
      <c r="Q415" s="29" t="s">
        <v>202</v>
      </c>
      <c r="R415" s="8" t="str">
        <f aca="false">B415&amp;" "&amp;C415&amp;" "&amp;D415&amp;" "&amp;E415&amp;" "&amp;G415&amp;" "&amp;H415&amp;" "&amp;J415&amp;" "&amp;N415</f>
        <v>Differentials Anode     CIF Czechia (Diff) </v>
      </c>
      <c r="S415" s="25"/>
      <c r="T415" s="8"/>
      <c r="U415" s="8"/>
      <c r="V415" s="27" t="s">
        <v>49</v>
      </c>
      <c r="W415" s="25"/>
      <c r="X415" s="25"/>
      <c r="Y415" s="25"/>
      <c r="Z415" s="25"/>
      <c r="AA415" s="25"/>
      <c r="AB415" s="25"/>
      <c r="AC415" s="25"/>
      <c r="AD415" s="25"/>
    </row>
    <row r="416" customFormat="false" ht="15.75" hidden="false" customHeight="false" outlineLevel="0" collapsed="false">
      <c r="A416" s="28" t="s">
        <v>775</v>
      </c>
      <c r="B416" s="27" t="s">
        <v>438</v>
      </c>
      <c r="C416" s="27" t="s">
        <v>177</v>
      </c>
      <c r="D416" s="25"/>
      <c r="E416" s="25"/>
      <c r="F416" s="25"/>
      <c r="G416" s="25"/>
      <c r="H416" s="25"/>
      <c r="I416" s="25"/>
      <c r="J416" s="27" t="s">
        <v>772</v>
      </c>
      <c r="K416" s="25" t="str">
        <f aca="false">IFERROR(__xludf.dummyfunction("SPLIT(J416,"" "")"),"CIF")</f>
        <v>CIF</v>
      </c>
      <c r="L416" s="28" t="str">
        <f aca="false">IFERROR(__xludf.dummyfunction("""COMPUTED_VALUE"""),"Czechia")</f>
        <v>Czechia</v>
      </c>
      <c r="M416" s="27" t="str">
        <f aca="false">IFERROR(__xludf.dummyfunction("""COMPUTED_VALUE"""),"(Diff)")</f>
        <v>(Diff)</v>
      </c>
      <c r="N416" s="25"/>
      <c r="O416" s="25"/>
      <c r="P416" s="25"/>
      <c r="Q416" s="29" t="s">
        <v>197</v>
      </c>
      <c r="R416" s="8" t="str">
        <f aca="false">B416&amp;" "&amp;C416&amp;" "&amp;D416&amp;" "&amp;E416&amp;" "&amp;G416&amp;" "&amp;H416&amp;" "&amp;J416&amp;" "&amp;N416</f>
        <v>Differentials Anode     CIF Czechia (Diff) </v>
      </c>
      <c r="S416" s="25"/>
      <c r="T416" s="8"/>
      <c r="U416" s="8"/>
      <c r="V416" s="27" t="s">
        <v>49</v>
      </c>
      <c r="W416" s="25"/>
      <c r="X416" s="25"/>
      <c r="Y416" s="25"/>
      <c r="Z416" s="25"/>
      <c r="AA416" s="25"/>
      <c r="AB416" s="25"/>
      <c r="AC416" s="25"/>
      <c r="AD416" s="25"/>
    </row>
    <row r="417" customFormat="false" ht="15.75" hidden="false" customHeight="false" outlineLevel="0" collapsed="false">
      <c r="A417" s="28" t="s">
        <v>776</v>
      </c>
      <c r="B417" s="27" t="s">
        <v>438</v>
      </c>
      <c r="C417" s="27" t="s">
        <v>177</v>
      </c>
      <c r="D417" s="25"/>
      <c r="E417" s="25"/>
      <c r="F417" s="25"/>
      <c r="G417" s="25"/>
      <c r="H417" s="25"/>
      <c r="I417" s="25"/>
      <c r="J417" s="27" t="s">
        <v>772</v>
      </c>
      <c r="K417" s="25" t="str">
        <f aca="false">IFERROR(__xludf.dummyfunction("SPLIT(J417,"" "")"),"CIF")</f>
        <v>CIF</v>
      </c>
      <c r="L417" s="28" t="str">
        <f aca="false">IFERROR(__xludf.dummyfunction("""COMPUTED_VALUE"""),"Czechia")</f>
        <v>Czechia</v>
      </c>
      <c r="M417" s="27" t="str">
        <f aca="false">IFERROR(__xludf.dummyfunction("""COMPUTED_VALUE"""),"(Diff)")</f>
        <v>(Diff)</v>
      </c>
      <c r="N417" s="25"/>
      <c r="O417" s="25"/>
      <c r="P417" s="25"/>
      <c r="Q417" s="29" t="s">
        <v>193</v>
      </c>
      <c r="R417" s="8" t="str">
        <f aca="false">B417&amp;" "&amp;C417&amp;" "&amp;D417&amp;" "&amp;E417&amp;" "&amp;G417&amp;" "&amp;H417&amp;" "&amp;J417&amp;" "&amp;N417</f>
        <v>Differentials Anode     CIF Czechia (Diff) </v>
      </c>
      <c r="S417" s="25"/>
      <c r="T417" s="8"/>
      <c r="U417" s="8"/>
      <c r="V417" s="27" t="s">
        <v>49</v>
      </c>
      <c r="W417" s="25"/>
      <c r="X417" s="25"/>
      <c r="Y417" s="25"/>
      <c r="Z417" s="25"/>
      <c r="AA417" s="25"/>
      <c r="AB417" s="25"/>
      <c r="AC417" s="25"/>
      <c r="AD417" s="25"/>
    </row>
    <row r="418" customFormat="false" ht="15.75" hidden="false" customHeight="false" outlineLevel="0" collapsed="false">
      <c r="A418" s="28" t="s">
        <v>777</v>
      </c>
      <c r="B418" s="27" t="s">
        <v>438</v>
      </c>
      <c r="C418" s="27" t="s">
        <v>177</v>
      </c>
      <c r="D418" s="25"/>
      <c r="E418" s="25"/>
      <c r="F418" s="25"/>
      <c r="G418" s="25"/>
      <c r="H418" s="25"/>
      <c r="I418" s="25"/>
      <c r="J418" s="27" t="s">
        <v>772</v>
      </c>
      <c r="K418" s="25" t="str">
        <f aca="false">IFERROR(__xludf.dummyfunction("SPLIT(J418,"" "")"),"CIF")</f>
        <v>CIF</v>
      </c>
      <c r="L418" s="28" t="str">
        <f aca="false">IFERROR(__xludf.dummyfunction("""COMPUTED_VALUE"""),"Czechia")</f>
        <v>Czechia</v>
      </c>
      <c r="M418" s="27" t="str">
        <f aca="false">IFERROR(__xludf.dummyfunction("""COMPUTED_VALUE"""),"(Diff)")</f>
        <v>(Diff)</v>
      </c>
      <c r="N418" s="25"/>
      <c r="O418" s="25"/>
      <c r="P418" s="25"/>
      <c r="Q418" s="29" t="s">
        <v>188</v>
      </c>
      <c r="R418" s="8" t="str">
        <f aca="false">B418&amp;" "&amp;C418&amp;" "&amp;D418&amp;" "&amp;E418&amp;" "&amp;G418&amp;" "&amp;H418&amp;" "&amp;J418&amp;" "&amp;N418</f>
        <v>Differentials Anode     CIF Czechia (Diff) </v>
      </c>
      <c r="S418" s="25"/>
      <c r="T418" s="8"/>
      <c r="U418" s="8"/>
      <c r="V418" s="27" t="s">
        <v>49</v>
      </c>
      <c r="W418" s="25"/>
      <c r="X418" s="25"/>
      <c r="Y418" s="25"/>
      <c r="Z418" s="25"/>
      <c r="AA418" s="25"/>
      <c r="AB418" s="25"/>
      <c r="AC418" s="25"/>
      <c r="AD418" s="25"/>
    </row>
    <row r="419" customFormat="false" ht="15.75" hidden="false" customHeight="false" outlineLevel="0" collapsed="false">
      <c r="A419" s="28" t="s">
        <v>778</v>
      </c>
      <c r="B419" s="27" t="s">
        <v>438</v>
      </c>
      <c r="C419" s="27" t="s">
        <v>177</v>
      </c>
      <c r="D419" s="25"/>
      <c r="E419" s="25"/>
      <c r="F419" s="25"/>
      <c r="G419" s="25"/>
      <c r="H419" s="25"/>
      <c r="I419" s="25"/>
      <c r="J419" s="27" t="s">
        <v>772</v>
      </c>
      <c r="K419" s="25" t="str">
        <f aca="false">IFERROR(__xludf.dummyfunction("SPLIT(J419,"" "")"),"CIF")</f>
        <v>CIF</v>
      </c>
      <c r="L419" s="28" t="str">
        <f aca="false">IFERROR(__xludf.dummyfunction("""COMPUTED_VALUE"""),"Czechia")</f>
        <v>Czechia</v>
      </c>
      <c r="M419" s="27" t="str">
        <f aca="false">IFERROR(__xludf.dummyfunction("""COMPUTED_VALUE"""),"(Diff)")</f>
        <v>(Diff)</v>
      </c>
      <c r="N419" s="25"/>
      <c r="O419" s="25"/>
      <c r="P419" s="25"/>
      <c r="Q419" s="29" t="s">
        <v>180</v>
      </c>
      <c r="R419" s="8" t="str">
        <f aca="false">B419&amp;" "&amp;C419&amp;" "&amp;D419&amp;" "&amp;E419&amp;" "&amp;G419&amp;" "&amp;H419&amp;" "&amp;J419&amp;" "&amp;N419</f>
        <v>Differentials Anode     CIF Czechia (Diff) </v>
      </c>
      <c r="S419" s="25"/>
      <c r="T419" s="8"/>
      <c r="U419" s="8"/>
      <c r="V419" s="27" t="s">
        <v>49</v>
      </c>
      <c r="W419" s="25"/>
      <c r="X419" s="25"/>
      <c r="Y419" s="25"/>
      <c r="Z419" s="25"/>
      <c r="AA419" s="25"/>
      <c r="AB419" s="25"/>
      <c r="AC419" s="25"/>
      <c r="AD419" s="25"/>
    </row>
    <row r="420" customFormat="false" ht="15.75" hidden="false" customHeight="false" outlineLevel="0" collapsed="false">
      <c r="A420" s="28" t="s">
        <v>779</v>
      </c>
      <c r="B420" s="27" t="s">
        <v>438</v>
      </c>
      <c r="C420" s="27" t="s">
        <v>211</v>
      </c>
      <c r="D420" s="25"/>
      <c r="E420" s="25"/>
      <c r="F420" s="25"/>
      <c r="G420" s="25"/>
      <c r="H420" s="25"/>
      <c r="I420" s="25"/>
      <c r="J420" s="27" t="s">
        <v>772</v>
      </c>
      <c r="K420" s="25" t="str">
        <f aca="false">IFERROR(__xludf.dummyfunction("SPLIT(J420,"" "")"),"CIF")</f>
        <v>CIF</v>
      </c>
      <c r="L420" s="28" t="str">
        <f aca="false">IFERROR(__xludf.dummyfunction("""COMPUTED_VALUE"""),"Czechia")</f>
        <v>Czechia</v>
      </c>
      <c r="M420" s="27" t="str">
        <f aca="false">IFERROR(__xludf.dummyfunction("""COMPUTED_VALUE"""),"(Diff)")</f>
        <v>(Diff)</v>
      </c>
      <c r="N420" s="25"/>
      <c r="O420" s="25"/>
      <c r="P420" s="25"/>
      <c r="Q420" s="29" t="s">
        <v>234</v>
      </c>
      <c r="R420" s="8" t="str">
        <f aca="false">B420&amp;" "&amp;C420&amp;" "&amp;D420&amp;" "&amp;E420&amp;" "&amp;G420&amp;" "&amp;H420&amp;" "&amp;J420&amp;" "&amp;N420</f>
        <v>Differentials Binders &amp; Additives     CIF Czechia (Diff) </v>
      </c>
      <c r="S420" s="25"/>
      <c r="T420" s="8"/>
      <c r="U420" s="8"/>
      <c r="V420" s="27" t="s">
        <v>49</v>
      </c>
      <c r="W420" s="25"/>
      <c r="X420" s="25"/>
      <c r="Y420" s="25"/>
      <c r="Z420" s="25"/>
      <c r="AA420" s="25"/>
      <c r="AB420" s="25"/>
      <c r="AC420" s="25"/>
      <c r="AD420" s="25"/>
    </row>
    <row r="421" customFormat="false" ht="15.75" hidden="false" customHeight="false" outlineLevel="0" collapsed="false">
      <c r="A421" s="28" t="s">
        <v>780</v>
      </c>
      <c r="B421" s="27" t="s">
        <v>438</v>
      </c>
      <c r="C421" s="27" t="s">
        <v>211</v>
      </c>
      <c r="D421" s="25"/>
      <c r="E421" s="25"/>
      <c r="F421" s="25"/>
      <c r="G421" s="25"/>
      <c r="H421" s="25"/>
      <c r="I421" s="25"/>
      <c r="J421" s="27" t="s">
        <v>772</v>
      </c>
      <c r="K421" s="25" t="str">
        <f aca="false">IFERROR(__xludf.dummyfunction("SPLIT(J421,"" "")"),"CIF")</f>
        <v>CIF</v>
      </c>
      <c r="L421" s="28" t="str">
        <f aca="false">IFERROR(__xludf.dummyfunction("""COMPUTED_VALUE"""),"Czechia")</f>
        <v>Czechia</v>
      </c>
      <c r="M421" s="27" t="str">
        <f aca="false">IFERROR(__xludf.dummyfunction("""COMPUTED_VALUE"""),"(Diff)")</f>
        <v>(Diff)</v>
      </c>
      <c r="N421" s="25"/>
      <c r="O421" s="25"/>
      <c r="P421" s="25"/>
      <c r="Q421" s="29" t="s">
        <v>232</v>
      </c>
      <c r="R421" s="8" t="str">
        <f aca="false">B421&amp;" "&amp;C421&amp;" "&amp;D421&amp;" "&amp;E421&amp;" "&amp;G421&amp;" "&amp;H421&amp;" "&amp;J421&amp;" "&amp;N421</f>
        <v>Differentials Binders &amp; Additives     CIF Czechia (Diff) </v>
      </c>
      <c r="S421" s="25"/>
      <c r="T421" s="8"/>
      <c r="U421" s="8"/>
      <c r="V421" s="27" t="s">
        <v>49</v>
      </c>
      <c r="W421" s="25"/>
      <c r="X421" s="25"/>
      <c r="Y421" s="25"/>
      <c r="Z421" s="25"/>
      <c r="AA421" s="25"/>
      <c r="AB421" s="25"/>
      <c r="AC421" s="25"/>
      <c r="AD421" s="25"/>
    </row>
    <row r="422" customFormat="false" ht="15.75" hidden="false" customHeight="false" outlineLevel="0" collapsed="false">
      <c r="A422" s="28" t="s">
        <v>781</v>
      </c>
      <c r="B422" s="27" t="s">
        <v>438</v>
      </c>
      <c r="C422" s="27" t="s">
        <v>211</v>
      </c>
      <c r="D422" s="25"/>
      <c r="E422" s="25"/>
      <c r="F422" s="25"/>
      <c r="G422" s="25"/>
      <c r="H422" s="25"/>
      <c r="I422" s="25"/>
      <c r="J422" s="27" t="s">
        <v>772</v>
      </c>
      <c r="K422" s="25" t="str">
        <f aca="false">IFERROR(__xludf.dummyfunction("SPLIT(J422,"" "")"),"CIF")</f>
        <v>CIF</v>
      </c>
      <c r="L422" s="28" t="str">
        <f aca="false">IFERROR(__xludf.dummyfunction("""COMPUTED_VALUE"""),"Czechia")</f>
        <v>Czechia</v>
      </c>
      <c r="M422" s="27" t="str">
        <f aca="false">IFERROR(__xludf.dummyfunction("""COMPUTED_VALUE"""),"(Diff)")</f>
        <v>(Diff)</v>
      </c>
      <c r="N422" s="25"/>
      <c r="O422" s="25"/>
      <c r="P422" s="25"/>
      <c r="Q422" s="29" t="s">
        <v>230</v>
      </c>
      <c r="R422" s="8" t="str">
        <f aca="false">B422&amp;" "&amp;C422&amp;" "&amp;D422&amp;" "&amp;E422&amp;" "&amp;G422&amp;" "&amp;H422&amp;" "&amp;J422&amp;" "&amp;N422</f>
        <v>Differentials Binders &amp; Additives     CIF Czechia (Diff) </v>
      </c>
      <c r="S422" s="25"/>
      <c r="T422" s="8"/>
      <c r="U422" s="8"/>
      <c r="V422" s="27" t="s">
        <v>49</v>
      </c>
      <c r="W422" s="25"/>
      <c r="X422" s="25"/>
      <c r="Y422" s="25"/>
      <c r="Z422" s="25"/>
      <c r="AA422" s="25"/>
      <c r="AB422" s="25"/>
      <c r="AC422" s="25"/>
      <c r="AD422" s="25"/>
    </row>
    <row r="423" customFormat="false" ht="15.75" hidden="false" customHeight="false" outlineLevel="0" collapsed="false">
      <c r="A423" s="28" t="s">
        <v>782</v>
      </c>
      <c r="B423" s="27" t="s">
        <v>438</v>
      </c>
      <c r="C423" s="27" t="s">
        <v>211</v>
      </c>
      <c r="D423" s="25"/>
      <c r="E423" s="25"/>
      <c r="F423" s="25"/>
      <c r="G423" s="25"/>
      <c r="H423" s="25"/>
      <c r="I423" s="25"/>
      <c r="J423" s="27" t="s">
        <v>772</v>
      </c>
      <c r="K423" s="25" t="str">
        <f aca="false">IFERROR(__xludf.dummyfunction("SPLIT(J423,"" "")"),"CIF")</f>
        <v>CIF</v>
      </c>
      <c r="L423" s="28" t="str">
        <f aca="false">IFERROR(__xludf.dummyfunction("""COMPUTED_VALUE"""),"Czechia")</f>
        <v>Czechia</v>
      </c>
      <c r="M423" s="27" t="str">
        <f aca="false">IFERROR(__xludf.dummyfunction("""COMPUTED_VALUE"""),"(Diff)")</f>
        <v>(Diff)</v>
      </c>
      <c r="N423" s="25"/>
      <c r="O423" s="25"/>
      <c r="P423" s="25"/>
      <c r="Q423" s="29" t="s">
        <v>228</v>
      </c>
      <c r="R423" s="8" t="str">
        <f aca="false">B423&amp;" "&amp;C423&amp;" "&amp;D423&amp;" "&amp;E423&amp;" "&amp;G423&amp;" "&amp;H423&amp;" "&amp;J423&amp;" "&amp;N423</f>
        <v>Differentials Binders &amp; Additives     CIF Czechia (Diff) </v>
      </c>
      <c r="S423" s="25"/>
      <c r="T423" s="8"/>
      <c r="U423" s="8"/>
      <c r="V423" s="27" t="s">
        <v>49</v>
      </c>
      <c r="W423" s="25"/>
      <c r="X423" s="25"/>
      <c r="Y423" s="25"/>
      <c r="Z423" s="25"/>
      <c r="AA423" s="25"/>
      <c r="AB423" s="25"/>
      <c r="AC423" s="25"/>
      <c r="AD423" s="25"/>
    </row>
    <row r="424" customFormat="false" ht="15.75" hidden="false" customHeight="false" outlineLevel="0" collapsed="false">
      <c r="A424" s="28" t="s">
        <v>783</v>
      </c>
      <c r="B424" s="27" t="s">
        <v>438</v>
      </c>
      <c r="C424" s="27" t="s">
        <v>211</v>
      </c>
      <c r="D424" s="25"/>
      <c r="E424" s="25"/>
      <c r="F424" s="25"/>
      <c r="G424" s="25"/>
      <c r="H424" s="25"/>
      <c r="I424" s="25"/>
      <c r="J424" s="27" t="s">
        <v>772</v>
      </c>
      <c r="K424" s="25" t="str">
        <f aca="false">IFERROR(__xludf.dummyfunction("SPLIT(J424,"" "")"),"CIF")</f>
        <v>CIF</v>
      </c>
      <c r="L424" s="28" t="str">
        <f aca="false">IFERROR(__xludf.dummyfunction("""COMPUTED_VALUE"""),"Czechia")</f>
        <v>Czechia</v>
      </c>
      <c r="M424" s="27" t="str">
        <f aca="false">IFERROR(__xludf.dummyfunction("""COMPUTED_VALUE"""),"(Diff)")</f>
        <v>(Diff)</v>
      </c>
      <c r="N424" s="25"/>
      <c r="O424" s="25"/>
      <c r="P424" s="25"/>
      <c r="Q424" s="29" t="s">
        <v>226</v>
      </c>
      <c r="R424" s="8" t="str">
        <f aca="false">B424&amp;" "&amp;C424&amp;" "&amp;D424&amp;" "&amp;E424&amp;" "&amp;G424&amp;" "&amp;H424&amp;" "&amp;J424&amp;" "&amp;N424</f>
        <v>Differentials Binders &amp; Additives     CIF Czechia (Diff) </v>
      </c>
      <c r="S424" s="25"/>
      <c r="T424" s="8"/>
      <c r="U424" s="8"/>
      <c r="V424" s="27" t="s">
        <v>49</v>
      </c>
      <c r="W424" s="25"/>
      <c r="X424" s="25"/>
      <c r="Y424" s="25"/>
      <c r="Z424" s="25"/>
      <c r="AA424" s="25"/>
      <c r="AB424" s="25"/>
      <c r="AC424" s="25"/>
      <c r="AD424" s="25"/>
    </row>
    <row r="425" customFormat="false" ht="15.75" hidden="false" customHeight="false" outlineLevel="0" collapsed="false">
      <c r="A425" s="28" t="s">
        <v>784</v>
      </c>
      <c r="B425" s="27" t="s">
        <v>438</v>
      </c>
      <c r="C425" s="27" t="s">
        <v>211</v>
      </c>
      <c r="D425" s="25"/>
      <c r="E425" s="25"/>
      <c r="F425" s="25"/>
      <c r="G425" s="25"/>
      <c r="H425" s="25"/>
      <c r="I425" s="25"/>
      <c r="J425" s="27" t="s">
        <v>772</v>
      </c>
      <c r="K425" s="25" t="str">
        <f aca="false">IFERROR(__xludf.dummyfunction("SPLIT(J425,"" "")"),"CIF")</f>
        <v>CIF</v>
      </c>
      <c r="L425" s="28" t="str">
        <f aca="false">IFERROR(__xludf.dummyfunction("""COMPUTED_VALUE"""),"Czechia")</f>
        <v>Czechia</v>
      </c>
      <c r="M425" s="27" t="str">
        <f aca="false">IFERROR(__xludf.dummyfunction("""COMPUTED_VALUE"""),"(Diff)")</f>
        <v>(Diff)</v>
      </c>
      <c r="N425" s="25"/>
      <c r="O425" s="25"/>
      <c r="P425" s="25"/>
      <c r="Q425" s="29" t="s">
        <v>224</v>
      </c>
      <c r="R425" s="8" t="str">
        <f aca="false">B425&amp;" "&amp;C425&amp;" "&amp;D425&amp;" "&amp;E425&amp;" "&amp;G425&amp;" "&amp;H425&amp;" "&amp;J425&amp;" "&amp;N425</f>
        <v>Differentials Binders &amp; Additives     CIF Czechia (Diff) </v>
      </c>
      <c r="S425" s="25"/>
      <c r="T425" s="8"/>
      <c r="U425" s="8"/>
      <c r="V425" s="27" t="s">
        <v>49</v>
      </c>
      <c r="W425" s="25"/>
      <c r="X425" s="25"/>
      <c r="Y425" s="25"/>
      <c r="Z425" s="25"/>
      <c r="AA425" s="25"/>
      <c r="AB425" s="25"/>
      <c r="AC425" s="25"/>
      <c r="AD425" s="25"/>
    </row>
    <row r="426" customFormat="false" ht="15.75" hidden="false" customHeight="false" outlineLevel="0" collapsed="false">
      <c r="A426" s="28" t="s">
        <v>785</v>
      </c>
      <c r="B426" s="27" t="s">
        <v>438</v>
      </c>
      <c r="C426" s="27" t="s">
        <v>211</v>
      </c>
      <c r="D426" s="25"/>
      <c r="E426" s="25"/>
      <c r="F426" s="25"/>
      <c r="G426" s="25"/>
      <c r="H426" s="25"/>
      <c r="I426" s="25"/>
      <c r="J426" s="27" t="s">
        <v>772</v>
      </c>
      <c r="K426" s="25" t="str">
        <f aca="false">IFERROR(__xludf.dummyfunction("SPLIT(J426,"" "")"),"CIF")</f>
        <v>CIF</v>
      </c>
      <c r="L426" s="28" t="str">
        <f aca="false">IFERROR(__xludf.dummyfunction("""COMPUTED_VALUE"""),"Czechia")</f>
        <v>Czechia</v>
      </c>
      <c r="M426" s="27" t="str">
        <f aca="false">IFERROR(__xludf.dummyfunction("""COMPUTED_VALUE"""),"(Diff)")</f>
        <v>(Diff)</v>
      </c>
      <c r="N426" s="25"/>
      <c r="O426" s="25"/>
      <c r="P426" s="25"/>
      <c r="Q426" s="29" t="s">
        <v>222</v>
      </c>
      <c r="R426" s="8" t="str">
        <f aca="false">B426&amp;" "&amp;C426&amp;" "&amp;D426&amp;" "&amp;E426&amp;" "&amp;G426&amp;" "&amp;H426&amp;" "&amp;J426&amp;" "&amp;N426</f>
        <v>Differentials Binders &amp; Additives     CIF Czechia (Diff) </v>
      </c>
      <c r="S426" s="25"/>
      <c r="T426" s="8"/>
      <c r="U426" s="8"/>
      <c r="V426" s="27" t="s">
        <v>49</v>
      </c>
      <c r="W426" s="25"/>
      <c r="X426" s="25"/>
      <c r="Y426" s="25"/>
      <c r="Z426" s="25"/>
      <c r="AA426" s="25"/>
      <c r="AB426" s="25"/>
      <c r="AC426" s="25"/>
      <c r="AD426" s="25"/>
    </row>
    <row r="427" customFormat="false" ht="15.75" hidden="false" customHeight="false" outlineLevel="0" collapsed="false">
      <c r="A427" s="28" t="s">
        <v>786</v>
      </c>
      <c r="B427" s="27" t="s">
        <v>438</v>
      </c>
      <c r="C427" s="27" t="s">
        <v>211</v>
      </c>
      <c r="D427" s="25"/>
      <c r="E427" s="25"/>
      <c r="F427" s="25"/>
      <c r="G427" s="25"/>
      <c r="H427" s="25"/>
      <c r="I427" s="25"/>
      <c r="J427" s="27" t="s">
        <v>772</v>
      </c>
      <c r="K427" s="25" t="str">
        <f aca="false">IFERROR(__xludf.dummyfunction("SPLIT(J427,"" "")"),"CIF")</f>
        <v>CIF</v>
      </c>
      <c r="L427" s="28" t="str">
        <f aca="false">IFERROR(__xludf.dummyfunction("""COMPUTED_VALUE"""),"Czechia")</f>
        <v>Czechia</v>
      </c>
      <c r="M427" s="27" t="str">
        <f aca="false">IFERROR(__xludf.dummyfunction("""COMPUTED_VALUE"""),"(Diff)")</f>
        <v>(Diff)</v>
      </c>
      <c r="N427" s="25"/>
      <c r="O427" s="25"/>
      <c r="P427" s="25"/>
      <c r="Q427" s="29" t="s">
        <v>220</v>
      </c>
      <c r="R427" s="8" t="str">
        <f aca="false">B427&amp;" "&amp;C427&amp;" "&amp;D427&amp;" "&amp;E427&amp;" "&amp;G427&amp;" "&amp;H427&amp;" "&amp;J427&amp;" "&amp;N427</f>
        <v>Differentials Binders &amp; Additives     CIF Czechia (Diff) </v>
      </c>
      <c r="S427" s="25"/>
      <c r="T427" s="8"/>
      <c r="U427" s="8"/>
      <c r="V427" s="27" t="s">
        <v>49</v>
      </c>
      <c r="W427" s="25"/>
      <c r="X427" s="25"/>
      <c r="Y427" s="25"/>
      <c r="Z427" s="25"/>
      <c r="AA427" s="25"/>
      <c r="AB427" s="25"/>
      <c r="AC427" s="25"/>
      <c r="AD427" s="25"/>
    </row>
    <row r="428" customFormat="false" ht="15.75" hidden="false" customHeight="false" outlineLevel="0" collapsed="false">
      <c r="A428" s="28" t="s">
        <v>787</v>
      </c>
      <c r="B428" s="27" t="s">
        <v>438</v>
      </c>
      <c r="C428" s="27" t="s">
        <v>211</v>
      </c>
      <c r="D428" s="25"/>
      <c r="E428" s="25"/>
      <c r="F428" s="25"/>
      <c r="G428" s="25"/>
      <c r="H428" s="25"/>
      <c r="I428" s="25"/>
      <c r="J428" s="27" t="s">
        <v>772</v>
      </c>
      <c r="K428" s="25" t="str">
        <f aca="false">IFERROR(__xludf.dummyfunction("SPLIT(J428,"" "")"),"CIF")</f>
        <v>CIF</v>
      </c>
      <c r="L428" s="28" t="str">
        <f aca="false">IFERROR(__xludf.dummyfunction("""COMPUTED_VALUE"""),"Czechia")</f>
        <v>Czechia</v>
      </c>
      <c r="M428" s="27" t="str">
        <f aca="false">IFERROR(__xludf.dummyfunction("""COMPUTED_VALUE"""),"(Diff)")</f>
        <v>(Diff)</v>
      </c>
      <c r="N428" s="25"/>
      <c r="O428" s="25"/>
      <c r="P428" s="25"/>
      <c r="Q428" s="29" t="s">
        <v>218</v>
      </c>
      <c r="R428" s="8" t="str">
        <f aca="false">B428&amp;" "&amp;C428&amp;" "&amp;D428&amp;" "&amp;E428&amp;" "&amp;G428&amp;" "&amp;H428&amp;" "&amp;J428&amp;" "&amp;N428</f>
        <v>Differentials Binders &amp; Additives     CIF Czechia (Diff) </v>
      </c>
      <c r="S428" s="25"/>
      <c r="T428" s="8"/>
      <c r="U428" s="8"/>
      <c r="V428" s="27" t="s">
        <v>49</v>
      </c>
      <c r="W428" s="25"/>
      <c r="X428" s="25"/>
      <c r="Y428" s="25"/>
      <c r="Z428" s="25"/>
      <c r="AA428" s="25"/>
      <c r="AB428" s="25"/>
      <c r="AC428" s="25"/>
      <c r="AD428" s="25"/>
    </row>
    <row r="429" customFormat="false" ht="15.75" hidden="false" customHeight="false" outlineLevel="0" collapsed="false">
      <c r="A429" s="28" t="s">
        <v>788</v>
      </c>
      <c r="B429" s="27" t="s">
        <v>438</v>
      </c>
      <c r="C429" s="27" t="s">
        <v>211</v>
      </c>
      <c r="D429" s="25"/>
      <c r="E429" s="25"/>
      <c r="F429" s="25"/>
      <c r="G429" s="25"/>
      <c r="H429" s="25"/>
      <c r="I429" s="25"/>
      <c r="J429" s="27" t="s">
        <v>772</v>
      </c>
      <c r="K429" s="25" t="str">
        <f aca="false">IFERROR(__xludf.dummyfunction("SPLIT(J429,"" "")"),"CIF")</f>
        <v>CIF</v>
      </c>
      <c r="L429" s="28" t="str">
        <f aca="false">IFERROR(__xludf.dummyfunction("""COMPUTED_VALUE"""),"Czechia")</f>
        <v>Czechia</v>
      </c>
      <c r="M429" s="27" t="str">
        <f aca="false">IFERROR(__xludf.dummyfunction("""COMPUTED_VALUE"""),"(Diff)")</f>
        <v>(Diff)</v>
      </c>
      <c r="N429" s="25"/>
      <c r="O429" s="25"/>
      <c r="P429" s="25"/>
      <c r="Q429" s="29" t="s">
        <v>215</v>
      </c>
      <c r="R429" s="8" t="str">
        <f aca="false">B429&amp;" "&amp;C429&amp;" "&amp;D429&amp;" "&amp;E429&amp;" "&amp;G429&amp;" "&amp;H429&amp;" "&amp;J429&amp;" "&amp;N429</f>
        <v>Differentials Binders &amp; Additives     CIF Czechia (Diff) </v>
      </c>
      <c r="S429" s="25"/>
      <c r="T429" s="8"/>
      <c r="U429" s="8"/>
      <c r="V429" s="27" t="s">
        <v>49</v>
      </c>
      <c r="W429" s="25"/>
      <c r="X429" s="25"/>
      <c r="Y429" s="25"/>
      <c r="Z429" s="25"/>
      <c r="AA429" s="25"/>
      <c r="AB429" s="25"/>
      <c r="AC429" s="25"/>
      <c r="AD429" s="25"/>
    </row>
    <row r="430" customFormat="false" ht="15.75" hidden="false" customHeight="false" outlineLevel="0" collapsed="false">
      <c r="A430" s="28" t="s">
        <v>789</v>
      </c>
      <c r="B430" s="27" t="s">
        <v>438</v>
      </c>
      <c r="C430" s="27" t="s">
        <v>211</v>
      </c>
      <c r="D430" s="25"/>
      <c r="E430" s="25"/>
      <c r="F430" s="25"/>
      <c r="G430" s="25"/>
      <c r="H430" s="25"/>
      <c r="I430" s="25"/>
      <c r="J430" s="27" t="s">
        <v>772</v>
      </c>
      <c r="K430" s="25" t="str">
        <f aca="false">IFERROR(__xludf.dummyfunction("SPLIT(J430,"" "")"),"CIF")</f>
        <v>CIF</v>
      </c>
      <c r="L430" s="28" t="str">
        <f aca="false">IFERROR(__xludf.dummyfunction("""COMPUTED_VALUE"""),"Czechia")</f>
        <v>Czechia</v>
      </c>
      <c r="M430" s="27" t="str">
        <f aca="false">IFERROR(__xludf.dummyfunction("""COMPUTED_VALUE"""),"(Diff)")</f>
        <v>(Diff)</v>
      </c>
      <c r="N430" s="25"/>
      <c r="O430" s="25"/>
      <c r="P430" s="25"/>
      <c r="Q430" s="29" t="s">
        <v>213</v>
      </c>
      <c r="R430" s="8" t="str">
        <f aca="false">B430&amp;" "&amp;C430&amp;" "&amp;D430&amp;" "&amp;E430&amp;" "&amp;G430&amp;" "&amp;H430&amp;" "&amp;J430&amp;" "&amp;N430</f>
        <v>Differentials Binders &amp; Additives     CIF Czechia (Diff) </v>
      </c>
      <c r="S430" s="25"/>
      <c r="T430" s="8"/>
      <c r="U430" s="8"/>
      <c r="V430" s="27" t="s">
        <v>49</v>
      </c>
      <c r="W430" s="25"/>
      <c r="X430" s="25"/>
      <c r="Y430" s="25"/>
      <c r="Z430" s="25"/>
      <c r="AA430" s="25"/>
      <c r="AB430" s="25"/>
      <c r="AC430" s="25"/>
      <c r="AD430" s="25"/>
    </row>
    <row r="431" customFormat="false" ht="15.75" hidden="false" customHeight="false" outlineLevel="0" collapsed="false">
      <c r="A431" s="28" t="s">
        <v>790</v>
      </c>
      <c r="B431" s="27" t="s">
        <v>438</v>
      </c>
      <c r="C431" s="27" t="s">
        <v>236</v>
      </c>
      <c r="D431" s="25"/>
      <c r="E431" s="25"/>
      <c r="F431" s="25"/>
      <c r="G431" s="25"/>
      <c r="H431" s="25"/>
      <c r="I431" s="25"/>
      <c r="J431" s="27" t="s">
        <v>772</v>
      </c>
      <c r="K431" s="25" t="str">
        <f aca="false">IFERROR(__xludf.dummyfunction("SPLIT(J431,"" "")"),"CIF")</f>
        <v>CIF</v>
      </c>
      <c r="L431" s="28" t="str">
        <f aca="false">IFERROR(__xludf.dummyfunction("""COMPUTED_VALUE"""),"Czechia")</f>
        <v>Czechia</v>
      </c>
      <c r="M431" s="27" t="str">
        <f aca="false">IFERROR(__xludf.dummyfunction("""COMPUTED_VALUE"""),"(Diff)")</f>
        <v>(Diff)</v>
      </c>
      <c r="N431" s="25"/>
      <c r="O431" s="25"/>
      <c r="P431" s="25"/>
      <c r="Q431" s="29" t="s">
        <v>271</v>
      </c>
      <c r="R431" s="8" t="str">
        <f aca="false">B431&amp;" "&amp;C431&amp;" "&amp;D431&amp;" "&amp;E431&amp;" "&amp;G431&amp;" "&amp;H431&amp;" "&amp;J431&amp;" "&amp;N431</f>
        <v>Differentials Cathode     CIF Czechia (Diff) </v>
      </c>
      <c r="S431" s="25"/>
      <c r="T431" s="8"/>
      <c r="U431" s="8"/>
      <c r="V431" s="27" t="s">
        <v>49</v>
      </c>
      <c r="W431" s="25"/>
      <c r="X431" s="25"/>
      <c r="Y431" s="25"/>
      <c r="Z431" s="25"/>
      <c r="AA431" s="25"/>
      <c r="AB431" s="25"/>
      <c r="AC431" s="25"/>
      <c r="AD431" s="25"/>
    </row>
    <row r="432" customFormat="false" ht="15.75" hidden="false" customHeight="false" outlineLevel="0" collapsed="false">
      <c r="A432" s="28" t="s">
        <v>791</v>
      </c>
      <c r="B432" s="27" t="s">
        <v>438</v>
      </c>
      <c r="C432" s="27" t="s">
        <v>236</v>
      </c>
      <c r="D432" s="25"/>
      <c r="E432" s="25"/>
      <c r="F432" s="25"/>
      <c r="G432" s="25"/>
      <c r="H432" s="25"/>
      <c r="I432" s="25"/>
      <c r="J432" s="27" t="s">
        <v>772</v>
      </c>
      <c r="K432" s="25" t="str">
        <f aca="false">IFERROR(__xludf.dummyfunction("SPLIT(J432,"" "")"),"CIF")</f>
        <v>CIF</v>
      </c>
      <c r="L432" s="28" t="str">
        <f aca="false">IFERROR(__xludf.dummyfunction("""COMPUTED_VALUE"""),"Czechia")</f>
        <v>Czechia</v>
      </c>
      <c r="M432" s="27" t="str">
        <f aca="false">IFERROR(__xludf.dummyfunction("""COMPUTED_VALUE"""),"(Diff)")</f>
        <v>(Diff)</v>
      </c>
      <c r="N432" s="25"/>
      <c r="O432" s="25"/>
      <c r="P432" s="25"/>
      <c r="Q432" s="29" t="s">
        <v>266</v>
      </c>
      <c r="R432" s="8" t="str">
        <f aca="false">B432&amp;" "&amp;C432&amp;" "&amp;D432&amp;" "&amp;E432&amp;" "&amp;G432&amp;" "&amp;H432&amp;" "&amp;J432&amp;" "&amp;N432</f>
        <v>Differentials Cathode     CIF Czechia (Diff) </v>
      </c>
      <c r="S432" s="25"/>
      <c r="T432" s="8"/>
      <c r="U432" s="8"/>
      <c r="V432" s="27" t="s">
        <v>49</v>
      </c>
      <c r="W432" s="25"/>
      <c r="X432" s="25"/>
      <c r="Y432" s="25"/>
      <c r="Z432" s="25"/>
      <c r="AA432" s="25"/>
      <c r="AB432" s="25"/>
      <c r="AC432" s="25"/>
      <c r="AD432" s="25"/>
    </row>
    <row r="433" customFormat="false" ht="15.75" hidden="false" customHeight="false" outlineLevel="0" collapsed="false">
      <c r="A433" s="28" t="s">
        <v>792</v>
      </c>
      <c r="B433" s="27" t="s">
        <v>438</v>
      </c>
      <c r="C433" s="27" t="s">
        <v>236</v>
      </c>
      <c r="D433" s="25"/>
      <c r="E433" s="25"/>
      <c r="F433" s="25"/>
      <c r="G433" s="25"/>
      <c r="H433" s="25"/>
      <c r="I433" s="25"/>
      <c r="J433" s="27" t="s">
        <v>772</v>
      </c>
      <c r="K433" s="25" t="str">
        <f aca="false">IFERROR(__xludf.dummyfunction("SPLIT(J433,"" "")"),"CIF")</f>
        <v>CIF</v>
      </c>
      <c r="L433" s="28" t="str">
        <f aca="false">IFERROR(__xludf.dummyfunction("""COMPUTED_VALUE"""),"Czechia")</f>
        <v>Czechia</v>
      </c>
      <c r="M433" s="27" t="str">
        <f aca="false">IFERROR(__xludf.dummyfunction("""COMPUTED_VALUE"""),"(Diff)")</f>
        <v>(Diff)</v>
      </c>
      <c r="N433" s="25"/>
      <c r="O433" s="25"/>
      <c r="P433" s="25"/>
      <c r="Q433" s="29" t="s">
        <v>261</v>
      </c>
      <c r="R433" s="8" t="str">
        <f aca="false">B433&amp;" "&amp;C433&amp;" "&amp;D433&amp;" "&amp;E433&amp;" "&amp;G433&amp;" "&amp;H433&amp;" "&amp;J433&amp;" "&amp;N433</f>
        <v>Differentials Cathode     CIF Czechia (Diff) </v>
      </c>
      <c r="S433" s="25"/>
      <c r="T433" s="8"/>
      <c r="U433" s="8"/>
      <c r="V433" s="27" t="s">
        <v>49</v>
      </c>
      <c r="W433" s="25"/>
      <c r="X433" s="25"/>
      <c r="Y433" s="25"/>
      <c r="Z433" s="25"/>
      <c r="AA433" s="25"/>
      <c r="AB433" s="25"/>
      <c r="AC433" s="25"/>
      <c r="AD433" s="25"/>
    </row>
    <row r="434" customFormat="false" ht="15.75" hidden="false" customHeight="false" outlineLevel="0" collapsed="false">
      <c r="A434" s="28" t="s">
        <v>793</v>
      </c>
      <c r="B434" s="27" t="s">
        <v>438</v>
      </c>
      <c r="C434" s="27" t="s">
        <v>236</v>
      </c>
      <c r="D434" s="25"/>
      <c r="E434" s="25"/>
      <c r="F434" s="25"/>
      <c r="G434" s="25"/>
      <c r="H434" s="25"/>
      <c r="I434" s="25"/>
      <c r="J434" s="27" t="s">
        <v>772</v>
      </c>
      <c r="K434" s="25" t="str">
        <f aca="false">IFERROR(__xludf.dummyfunction("SPLIT(J434,"" "")"),"CIF")</f>
        <v>CIF</v>
      </c>
      <c r="L434" s="28" t="str">
        <f aca="false">IFERROR(__xludf.dummyfunction("""COMPUTED_VALUE"""),"Czechia")</f>
        <v>Czechia</v>
      </c>
      <c r="M434" s="27" t="str">
        <f aca="false">IFERROR(__xludf.dummyfunction("""COMPUTED_VALUE"""),"(Diff)")</f>
        <v>(Diff)</v>
      </c>
      <c r="N434" s="25"/>
      <c r="O434" s="25"/>
      <c r="P434" s="25"/>
      <c r="Q434" s="29" t="s">
        <v>256</v>
      </c>
      <c r="R434" s="8" t="str">
        <f aca="false">B434&amp;" "&amp;C434&amp;" "&amp;D434&amp;" "&amp;E434&amp;" "&amp;G434&amp;" "&amp;H434&amp;" "&amp;J434&amp;" "&amp;N434</f>
        <v>Differentials Cathode     CIF Czechia (Diff) </v>
      </c>
      <c r="S434" s="25"/>
      <c r="T434" s="8"/>
      <c r="U434" s="8"/>
      <c r="V434" s="27" t="s">
        <v>49</v>
      </c>
      <c r="W434" s="25"/>
      <c r="X434" s="25"/>
      <c r="Y434" s="25"/>
      <c r="Z434" s="25"/>
      <c r="AA434" s="25"/>
      <c r="AB434" s="25"/>
      <c r="AC434" s="25"/>
      <c r="AD434" s="25"/>
    </row>
    <row r="435" customFormat="false" ht="15.75" hidden="false" customHeight="false" outlineLevel="0" collapsed="false">
      <c r="A435" s="28" t="s">
        <v>794</v>
      </c>
      <c r="B435" s="27" t="s">
        <v>438</v>
      </c>
      <c r="C435" s="27" t="s">
        <v>236</v>
      </c>
      <c r="D435" s="25"/>
      <c r="E435" s="25"/>
      <c r="F435" s="25"/>
      <c r="G435" s="25"/>
      <c r="H435" s="25"/>
      <c r="I435" s="25"/>
      <c r="J435" s="27" t="s">
        <v>772</v>
      </c>
      <c r="K435" s="25" t="str">
        <f aca="false">IFERROR(__xludf.dummyfunction("SPLIT(J435,"" "")"),"CIF")</f>
        <v>CIF</v>
      </c>
      <c r="L435" s="28" t="str">
        <f aca="false">IFERROR(__xludf.dummyfunction("""COMPUTED_VALUE"""),"Czechia")</f>
        <v>Czechia</v>
      </c>
      <c r="M435" s="27" t="str">
        <f aca="false">IFERROR(__xludf.dummyfunction("""COMPUTED_VALUE"""),"(Diff)")</f>
        <v>(Diff)</v>
      </c>
      <c r="N435" s="25"/>
      <c r="O435" s="25"/>
      <c r="P435" s="25"/>
      <c r="Q435" s="29" t="s">
        <v>251</v>
      </c>
      <c r="R435" s="8" t="str">
        <f aca="false">B435&amp;" "&amp;C435&amp;" "&amp;D435&amp;" "&amp;E435&amp;" "&amp;G435&amp;" "&amp;H435&amp;" "&amp;J435&amp;" "&amp;N435</f>
        <v>Differentials Cathode     CIF Czechia (Diff) </v>
      </c>
      <c r="S435" s="25"/>
      <c r="T435" s="8"/>
      <c r="U435" s="8"/>
      <c r="V435" s="27" t="s">
        <v>49</v>
      </c>
      <c r="W435" s="25"/>
      <c r="X435" s="25"/>
      <c r="Y435" s="25"/>
      <c r="Z435" s="25"/>
      <c r="AA435" s="25"/>
      <c r="AB435" s="25"/>
      <c r="AC435" s="25"/>
      <c r="AD435" s="25"/>
    </row>
    <row r="436" customFormat="false" ht="15.75" hidden="false" customHeight="false" outlineLevel="0" collapsed="false">
      <c r="A436" s="28" t="s">
        <v>795</v>
      </c>
      <c r="B436" s="27" t="s">
        <v>438</v>
      </c>
      <c r="C436" s="27" t="s">
        <v>236</v>
      </c>
      <c r="D436" s="25"/>
      <c r="E436" s="25"/>
      <c r="F436" s="25"/>
      <c r="G436" s="25"/>
      <c r="H436" s="25"/>
      <c r="I436" s="25"/>
      <c r="J436" s="27" t="s">
        <v>772</v>
      </c>
      <c r="K436" s="25" t="str">
        <f aca="false">IFERROR(__xludf.dummyfunction("SPLIT(J436,"" "")"),"CIF")</f>
        <v>CIF</v>
      </c>
      <c r="L436" s="28" t="str">
        <f aca="false">IFERROR(__xludf.dummyfunction("""COMPUTED_VALUE"""),"Czechia")</f>
        <v>Czechia</v>
      </c>
      <c r="M436" s="27" t="str">
        <f aca="false">IFERROR(__xludf.dummyfunction("""COMPUTED_VALUE"""),"(Diff)")</f>
        <v>(Diff)</v>
      </c>
      <c r="N436" s="25"/>
      <c r="O436" s="25"/>
      <c r="P436" s="25"/>
      <c r="Q436" s="29" t="s">
        <v>247</v>
      </c>
      <c r="R436" s="8" t="str">
        <f aca="false">B436&amp;" "&amp;C436&amp;" "&amp;D436&amp;" "&amp;E436&amp;" "&amp;G436&amp;" "&amp;H436&amp;" "&amp;J436&amp;" "&amp;N436</f>
        <v>Differentials Cathode     CIF Czechia (Diff) </v>
      </c>
      <c r="S436" s="25"/>
      <c r="T436" s="8"/>
      <c r="U436" s="8"/>
      <c r="V436" s="27" t="s">
        <v>49</v>
      </c>
      <c r="W436" s="25"/>
      <c r="X436" s="25"/>
      <c r="Y436" s="25"/>
      <c r="Z436" s="25"/>
      <c r="AA436" s="25"/>
      <c r="AB436" s="25"/>
      <c r="AC436" s="25"/>
      <c r="AD436" s="25"/>
    </row>
    <row r="437" customFormat="false" ht="15.75" hidden="false" customHeight="false" outlineLevel="0" collapsed="false">
      <c r="A437" s="28" t="s">
        <v>796</v>
      </c>
      <c r="B437" s="27" t="s">
        <v>438</v>
      </c>
      <c r="C437" s="27" t="s">
        <v>236</v>
      </c>
      <c r="D437" s="25"/>
      <c r="E437" s="25"/>
      <c r="F437" s="25"/>
      <c r="G437" s="25"/>
      <c r="H437" s="25"/>
      <c r="I437" s="25"/>
      <c r="J437" s="27" t="s">
        <v>772</v>
      </c>
      <c r="K437" s="25" t="str">
        <f aca="false">IFERROR(__xludf.dummyfunction("SPLIT(J437,"" "")"),"CIF")</f>
        <v>CIF</v>
      </c>
      <c r="L437" s="28" t="str">
        <f aca="false">IFERROR(__xludf.dummyfunction("""COMPUTED_VALUE"""),"Czechia")</f>
        <v>Czechia</v>
      </c>
      <c r="M437" s="27" t="str">
        <f aca="false">IFERROR(__xludf.dummyfunction("""COMPUTED_VALUE"""),"(Diff)")</f>
        <v>(Diff)</v>
      </c>
      <c r="N437" s="25"/>
      <c r="O437" s="25"/>
      <c r="P437" s="25"/>
      <c r="Q437" s="29" t="s">
        <v>243</v>
      </c>
      <c r="R437" s="8" t="str">
        <f aca="false">B437&amp;" "&amp;C437&amp;" "&amp;D437&amp;" "&amp;E437&amp;" "&amp;G437&amp;" "&amp;H437&amp;" "&amp;J437&amp;" "&amp;N437</f>
        <v>Differentials Cathode     CIF Czechia (Diff) </v>
      </c>
      <c r="S437" s="25"/>
      <c r="T437" s="8"/>
      <c r="U437" s="8"/>
      <c r="V437" s="27" t="s">
        <v>49</v>
      </c>
      <c r="W437" s="25"/>
      <c r="X437" s="25"/>
      <c r="Y437" s="25"/>
      <c r="Z437" s="25"/>
      <c r="AA437" s="25"/>
      <c r="AB437" s="25"/>
      <c r="AC437" s="25"/>
      <c r="AD437" s="25"/>
    </row>
    <row r="438" customFormat="false" ht="15.75" hidden="false" customHeight="false" outlineLevel="0" collapsed="false">
      <c r="A438" s="28" t="s">
        <v>797</v>
      </c>
      <c r="B438" s="27" t="s">
        <v>438</v>
      </c>
      <c r="C438" s="27" t="s">
        <v>236</v>
      </c>
      <c r="D438" s="25"/>
      <c r="E438" s="25"/>
      <c r="F438" s="25"/>
      <c r="G438" s="25"/>
      <c r="H438" s="25"/>
      <c r="I438" s="25"/>
      <c r="J438" s="27" t="s">
        <v>772</v>
      </c>
      <c r="K438" s="25" t="str">
        <f aca="false">IFERROR(__xludf.dummyfunction("SPLIT(J438,"" "")"),"CIF")</f>
        <v>CIF</v>
      </c>
      <c r="L438" s="28" t="str">
        <f aca="false">IFERROR(__xludf.dummyfunction("""COMPUTED_VALUE"""),"Czechia")</f>
        <v>Czechia</v>
      </c>
      <c r="M438" s="27" t="str">
        <f aca="false">IFERROR(__xludf.dummyfunction("""COMPUTED_VALUE"""),"(Diff)")</f>
        <v>(Diff)</v>
      </c>
      <c r="N438" s="25"/>
      <c r="O438" s="25"/>
      <c r="P438" s="25"/>
      <c r="Q438" s="29" t="s">
        <v>239</v>
      </c>
      <c r="R438" s="8" t="str">
        <f aca="false">B438&amp;" "&amp;C438&amp;" "&amp;D438&amp;" "&amp;E438&amp;" "&amp;G438&amp;" "&amp;H438&amp;" "&amp;J438&amp;" "&amp;N438</f>
        <v>Differentials Cathode     CIF Czechia (Diff) </v>
      </c>
      <c r="S438" s="25"/>
      <c r="T438" s="8"/>
      <c r="U438" s="8"/>
      <c r="V438" s="27" t="s">
        <v>49</v>
      </c>
      <c r="W438" s="25"/>
      <c r="X438" s="25"/>
      <c r="Y438" s="25"/>
      <c r="Z438" s="25"/>
      <c r="AA438" s="25"/>
      <c r="AB438" s="25"/>
      <c r="AC438" s="25"/>
      <c r="AD438" s="25"/>
    </row>
    <row r="439" customFormat="false" ht="15.75" hidden="false" customHeight="false" outlineLevel="0" collapsed="false">
      <c r="A439" s="28" t="s">
        <v>798</v>
      </c>
      <c r="B439" s="27" t="s">
        <v>438</v>
      </c>
      <c r="C439" s="27" t="s">
        <v>289</v>
      </c>
      <c r="D439" s="25"/>
      <c r="E439" s="25"/>
      <c r="F439" s="25"/>
      <c r="G439" s="25"/>
      <c r="H439" s="25"/>
      <c r="I439" s="25"/>
      <c r="J439" s="27" t="s">
        <v>772</v>
      </c>
      <c r="K439" s="25" t="str">
        <f aca="false">IFERROR(__xludf.dummyfunction("SPLIT(J439,"" "")"),"CIF")</f>
        <v>CIF</v>
      </c>
      <c r="L439" s="28" t="str">
        <f aca="false">IFERROR(__xludf.dummyfunction("""COMPUTED_VALUE"""),"Czechia")</f>
        <v>Czechia</v>
      </c>
      <c r="M439" s="27" t="str">
        <f aca="false">IFERROR(__xludf.dummyfunction("""COMPUTED_VALUE"""),"(Diff)")</f>
        <v>(Diff)</v>
      </c>
      <c r="N439" s="25"/>
      <c r="O439" s="25"/>
      <c r="P439" s="25"/>
      <c r="Q439" s="29" t="s">
        <v>306</v>
      </c>
      <c r="R439" s="8" t="str">
        <f aca="false">B439&amp;" "&amp;C439&amp;" "&amp;D439&amp;" "&amp;E439&amp;" "&amp;G439&amp;" "&amp;H439&amp;" "&amp;J439&amp;" "&amp;N439</f>
        <v>Differentials Electrolyte     CIF Czechia (Diff) </v>
      </c>
      <c r="S439" s="25"/>
      <c r="T439" s="8"/>
      <c r="U439" s="8"/>
      <c r="V439" s="27" t="s">
        <v>49</v>
      </c>
      <c r="W439" s="25"/>
      <c r="X439" s="25"/>
      <c r="Y439" s="25"/>
      <c r="Z439" s="25"/>
      <c r="AA439" s="25"/>
      <c r="AB439" s="25"/>
      <c r="AC439" s="25"/>
      <c r="AD439" s="25"/>
    </row>
    <row r="440" customFormat="false" ht="15.75" hidden="false" customHeight="false" outlineLevel="0" collapsed="false">
      <c r="A440" s="28" t="s">
        <v>799</v>
      </c>
      <c r="B440" s="27" t="s">
        <v>438</v>
      </c>
      <c r="C440" s="27" t="s">
        <v>289</v>
      </c>
      <c r="D440" s="25"/>
      <c r="E440" s="25"/>
      <c r="F440" s="25"/>
      <c r="G440" s="25"/>
      <c r="H440" s="25"/>
      <c r="I440" s="25"/>
      <c r="J440" s="27" t="s">
        <v>772</v>
      </c>
      <c r="K440" s="25" t="str">
        <f aca="false">IFERROR(__xludf.dummyfunction("SPLIT(J440,"" "")"),"CIF")</f>
        <v>CIF</v>
      </c>
      <c r="L440" s="28" t="str">
        <f aca="false">IFERROR(__xludf.dummyfunction("""COMPUTED_VALUE"""),"Czechia")</f>
        <v>Czechia</v>
      </c>
      <c r="M440" s="27" t="str">
        <f aca="false">IFERROR(__xludf.dummyfunction("""COMPUTED_VALUE"""),"(Diff)")</f>
        <v>(Diff)</v>
      </c>
      <c r="N440" s="25"/>
      <c r="O440" s="25"/>
      <c r="P440" s="25"/>
      <c r="Q440" s="29" t="s">
        <v>304</v>
      </c>
      <c r="R440" s="8" t="str">
        <f aca="false">B440&amp;" "&amp;C440&amp;" "&amp;D440&amp;" "&amp;E440&amp;" "&amp;G440&amp;" "&amp;H440&amp;" "&amp;J440&amp;" "&amp;N440</f>
        <v>Differentials Electrolyte     CIF Czechia (Diff) </v>
      </c>
      <c r="S440" s="25"/>
      <c r="T440" s="8"/>
      <c r="U440" s="8"/>
      <c r="V440" s="27" t="s">
        <v>49</v>
      </c>
      <c r="W440" s="25"/>
      <c r="X440" s="25"/>
      <c r="Y440" s="25"/>
      <c r="Z440" s="25"/>
      <c r="AA440" s="25"/>
      <c r="AB440" s="25"/>
      <c r="AC440" s="25"/>
      <c r="AD440" s="25"/>
    </row>
    <row r="441" customFormat="false" ht="15.75" hidden="false" customHeight="false" outlineLevel="0" collapsed="false">
      <c r="A441" s="28" t="s">
        <v>800</v>
      </c>
      <c r="B441" s="27" t="s">
        <v>438</v>
      </c>
      <c r="C441" s="27" t="s">
        <v>289</v>
      </c>
      <c r="D441" s="25"/>
      <c r="E441" s="25"/>
      <c r="F441" s="25"/>
      <c r="G441" s="25"/>
      <c r="H441" s="25"/>
      <c r="I441" s="25"/>
      <c r="J441" s="27" t="s">
        <v>772</v>
      </c>
      <c r="K441" s="25" t="str">
        <f aca="false">IFERROR(__xludf.dummyfunction("SPLIT(J441,"" "")"),"CIF")</f>
        <v>CIF</v>
      </c>
      <c r="L441" s="28" t="str">
        <f aca="false">IFERROR(__xludf.dummyfunction("""COMPUTED_VALUE"""),"Czechia")</f>
        <v>Czechia</v>
      </c>
      <c r="M441" s="27" t="str">
        <f aca="false">IFERROR(__xludf.dummyfunction("""COMPUTED_VALUE"""),"(Diff)")</f>
        <v>(Diff)</v>
      </c>
      <c r="N441" s="25"/>
      <c r="O441" s="25"/>
      <c r="P441" s="25"/>
      <c r="Q441" s="29" t="s">
        <v>302</v>
      </c>
      <c r="R441" s="8" t="str">
        <f aca="false">B441&amp;" "&amp;C441&amp;" "&amp;D441&amp;" "&amp;E441&amp;" "&amp;G441&amp;" "&amp;H441&amp;" "&amp;J441&amp;" "&amp;N441</f>
        <v>Differentials Electrolyte     CIF Czechia (Diff) </v>
      </c>
      <c r="S441" s="25"/>
      <c r="T441" s="8"/>
      <c r="U441" s="8"/>
      <c r="V441" s="27" t="s">
        <v>49</v>
      </c>
      <c r="W441" s="25"/>
      <c r="X441" s="25"/>
      <c r="Y441" s="25"/>
      <c r="Z441" s="25"/>
      <c r="AA441" s="25"/>
      <c r="AB441" s="25"/>
      <c r="AC441" s="25"/>
      <c r="AD441" s="25"/>
    </row>
    <row r="442" customFormat="false" ht="15.75" hidden="false" customHeight="false" outlineLevel="0" collapsed="false">
      <c r="A442" s="28" t="s">
        <v>801</v>
      </c>
      <c r="B442" s="27" t="s">
        <v>438</v>
      </c>
      <c r="C442" s="27" t="s">
        <v>289</v>
      </c>
      <c r="D442" s="25"/>
      <c r="E442" s="25"/>
      <c r="F442" s="25"/>
      <c r="G442" s="25"/>
      <c r="H442" s="25"/>
      <c r="I442" s="25"/>
      <c r="J442" s="27" t="s">
        <v>772</v>
      </c>
      <c r="K442" s="25" t="str">
        <f aca="false">IFERROR(__xludf.dummyfunction("SPLIT(J442,"" "")"),"CIF")</f>
        <v>CIF</v>
      </c>
      <c r="L442" s="28" t="str">
        <f aca="false">IFERROR(__xludf.dummyfunction("""COMPUTED_VALUE"""),"Czechia")</f>
        <v>Czechia</v>
      </c>
      <c r="M442" s="27" t="str">
        <f aca="false">IFERROR(__xludf.dummyfunction("""COMPUTED_VALUE"""),"(Diff)")</f>
        <v>(Diff)</v>
      </c>
      <c r="N442" s="25"/>
      <c r="O442" s="25"/>
      <c r="P442" s="25"/>
      <c r="Q442" s="29" t="s">
        <v>300</v>
      </c>
      <c r="R442" s="8" t="str">
        <f aca="false">B442&amp;" "&amp;C442&amp;" "&amp;D442&amp;" "&amp;E442&amp;" "&amp;G442&amp;" "&amp;H442&amp;" "&amp;J442&amp;" "&amp;N442</f>
        <v>Differentials Electrolyte     CIF Czechia (Diff) </v>
      </c>
      <c r="S442" s="25"/>
      <c r="T442" s="8"/>
      <c r="U442" s="8"/>
      <c r="V442" s="27" t="s">
        <v>49</v>
      </c>
      <c r="W442" s="25"/>
      <c r="X442" s="25"/>
      <c r="Y442" s="25"/>
      <c r="Z442" s="25"/>
      <c r="AA442" s="25"/>
      <c r="AB442" s="25"/>
      <c r="AC442" s="25"/>
      <c r="AD442" s="25"/>
    </row>
    <row r="443" customFormat="false" ht="15.75" hidden="false" customHeight="false" outlineLevel="0" collapsed="false">
      <c r="A443" s="28" t="s">
        <v>802</v>
      </c>
      <c r="B443" s="27" t="s">
        <v>438</v>
      </c>
      <c r="C443" s="27" t="s">
        <v>289</v>
      </c>
      <c r="D443" s="25"/>
      <c r="E443" s="25"/>
      <c r="F443" s="25"/>
      <c r="G443" s="25"/>
      <c r="H443" s="25"/>
      <c r="I443" s="25"/>
      <c r="J443" s="27" t="s">
        <v>772</v>
      </c>
      <c r="K443" s="25" t="str">
        <f aca="false">IFERROR(__xludf.dummyfunction("SPLIT(J443,"" "")"),"CIF")</f>
        <v>CIF</v>
      </c>
      <c r="L443" s="28" t="str">
        <f aca="false">IFERROR(__xludf.dummyfunction("""COMPUTED_VALUE"""),"Czechia")</f>
        <v>Czechia</v>
      </c>
      <c r="M443" s="27" t="str">
        <f aca="false">IFERROR(__xludf.dummyfunction("""COMPUTED_VALUE"""),"(Diff)")</f>
        <v>(Diff)</v>
      </c>
      <c r="N443" s="25"/>
      <c r="O443" s="25"/>
      <c r="P443" s="25"/>
      <c r="Q443" s="29" t="s">
        <v>298</v>
      </c>
      <c r="R443" s="8" t="str">
        <f aca="false">B443&amp;" "&amp;C443&amp;" "&amp;D443&amp;" "&amp;E443&amp;" "&amp;G443&amp;" "&amp;H443&amp;" "&amp;J443&amp;" "&amp;N443</f>
        <v>Differentials Electrolyte     CIF Czechia (Diff) </v>
      </c>
      <c r="S443" s="25"/>
      <c r="T443" s="8"/>
      <c r="U443" s="8"/>
      <c r="V443" s="27" t="s">
        <v>49</v>
      </c>
      <c r="W443" s="25"/>
      <c r="X443" s="25"/>
      <c r="Y443" s="25"/>
      <c r="Z443" s="25"/>
      <c r="AA443" s="25"/>
      <c r="AB443" s="25"/>
      <c r="AC443" s="25"/>
      <c r="AD443" s="25"/>
    </row>
    <row r="444" customFormat="false" ht="15.75" hidden="false" customHeight="false" outlineLevel="0" collapsed="false">
      <c r="A444" s="28" t="s">
        <v>803</v>
      </c>
      <c r="B444" s="27" t="s">
        <v>438</v>
      </c>
      <c r="C444" s="27" t="s">
        <v>289</v>
      </c>
      <c r="D444" s="25"/>
      <c r="E444" s="25"/>
      <c r="F444" s="25"/>
      <c r="G444" s="25"/>
      <c r="H444" s="25"/>
      <c r="I444" s="25"/>
      <c r="J444" s="27" t="s">
        <v>772</v>
      </c>
      <c r="K444" s="25" t="str">
        <f aca="false">IFERROR(__xludf.dummyfunction("SPLIT(J444,"" "")"),"CIF")</f>
        <v>CIF</v>
      </c>
      <c r="L444" s="28" t="str">
        <f aca="false">IFERROR(__xludf.dummyfunction("""COMPUTED_VALUE"""),"Czechia")</f>
        <v>Czechia</v>
      </c>
      <c r="M444" s="27" t="str">
        <f aca="false">IFERROR(__xludf.dummyfunction("""COMPUTED_VALUE"""),"(Diff)")</f>
        <v>(Diff)</v>
      </c>
      <c r="N444" s="25"/>
      <c r="O444" s="25"/>
      <c r="P444" s="25"/>
      <c r="Q444" s="29" t="s">
        <v>296</v>
      </c>
      <c r="R444" s="8" t="str">
        <f aca="false">B444&amp;" "&amp;C444&amp;" "&amp;D444&amp;" "&amp;E444&amp;" "&amp;G444&amp;" "&amp;H444&amp;" "&amp;J444&amp;" "&amp;N444</f>
        <v>Differentials Electrolyte     CIF Czechia (Diff) </v>
      </c>
      <c r="S444" s="25"/>
      <c r="T444" s="8"/>
      <c r="U444" s="8"/>
      <c r="V444" s="27" t="s">
        <v>49</v>
      </c>
      <c r="W444" s="25"/>
      <c r="X444" s="25"/>
      <c r="Y444" s="25"/>
      <c r="Z444" s="25"/>
      <c r="AA444" s="25"/>
      <c r="AB444" s="25"/>
      <c r="AC444" s="25"/>
      <c r="AD444" s="25"/>
    </row>
    <row r="445" customFormat="false" ht="15.75" hidden="false" customHeight="false" outlineLevel="0" collapsed="false">
      <c r="A445" s="28" t="s">
        <v>804</v>
      </c>
      <c r="B445" s="27" t="s">
        <v>438</v>
      </c>
      <c r="C445" s="27" t="s">
        <v>289</v>
      </c>
      <c r="D445" s="25"/>
      <c r="E445" s="25"/>
      <c r="F445" s="25"/>
      <c r="G445" s="25"/>
      <c r="H445" s="25"/>
      <c r="I445" s="25"/>
      <c r="J445" s="27" t="s">
        <v>772</v>
      </c>
      <c r="K445" s="25" t="str">
        <f aca="false">IFERROR(__xludf.dummyfunction("SPLIT(J445,"" "")"),"CIF")</f>
        <v>CIF</v>
      </c>
      <c r="L445" s="28" t="str">
        <f aca="false">IFERROR(__xludf.dummyfunction("""COMPUTED_VALUE"""),"Czechia")</f>
        <v>Czechia</v>
      </c>
      <c r="M445" s="27" t="str">
        <f aca="false">IFERROR(__xludf.dummyfunction("""COMPUTED_VALUE"""),"(Diff)")</f>
        <v>(Diff)</v>
      </c>
      <c r="N445" s="25"/>
      <c r="O445" s="25"/>
      <c r="P445" s="25"/>
      <c r="Q445" s="29" t="s">
        <v>294</v>
      </c>
      <c r="R445" s="8" t="str">
        <f aca="false">B445&amp;" "&amp;C445&amp;" "&amp;D445&amp;" "&amp;E445&amp;" "&amp;G445&amp;" "&amp;H445&amp;" "&amp;J445&amp;" "&amp;N445</f>
        <v>Differentials Electrolyte     CIF Czechia (Diff) </v>
      </c>
      <c r="S445" s="25"/>
      <c r="T445" s="8"/>
      <c r="U445" s="8"/>
      <c r="V445" s="27" t="s">
        <v>49</v>
      </c>
      <c r="W445" s="25"/>
      <c r="X445" s="25"/>
      <c r="Y445" s="25"/>
      <c r="Z445" s="25"/>
      <c r="AA445" s="25"/>
      <c r="AB445" s="25"/>
      <c r="AC445" s="25"/>
      <c r="AD445" s="25"/>
    </row>
    <row r="446" customFormat="false" ht="15.75" hidden="false" customHeight="false" outlineLevel="0" collapsed="false">
      <c r="A446" s="28" t="s">
        <v>805</v>
      </c>
      <c r="B446" s="27" t="s">
        <v>438</v>
      </c>
      <c r="C446" s="27" t="s">
        <v>289</v>
      </c>
      <c r="D446" s="25"/>
      <c r="E446" s="25"/>
      <c r="F446" s="25"/>
      <c r="G446" s="25"/>
      <c r="H446" s="25"/>
      <c r="I446" s="25"/>
      <c r="J446" s="27" t="s">
        <v>772</v>
      </c>
      <c r="K446" s="25" t="str">
        <f aca="false">IFERROR(__xludf.dummyfunction("SPLIT(J446,"" "")"),"CIF")</f>
        <v>CIF</v>
      </c>
      <c r="L446" s="28" t="str">
        <f aca="false">IFERROR(__xludf.dummyfunction("""COMPUTED_VALUE"""),"Czechia")</f>
        <v>Czechia</v>
      </c>
      <c r="M446" s="27" t="str">
        <f aca="false">IFERROR(__xludf.dummyfunction("""COMPUTED_VALUE"""),"(Diff)")</f>
        <v>(Diff)</v>
      </c>
      <c r="N446" s="25"/>
      <c r="O446" s="25"/>
      <c r="P446" s="25"/>
      <c r="Q446" s="29" t="s">
        <v>291</v>
      </c>
      <c r="R446" s="8" t="str">
        <f aca="false">B446&amp;" "&amp;C446&amp;" "&amp;D446&amp;" "&amp;E446&amp;" "&amp;G446&amp;" "&amp;H446&amp;" "&amp;J446&amp;" "&amp;N446</f>
        <v>Differentials Electrolyte     CIF Czechia (Diff) </v>
      </c>
      <c r="S446" s="25"/>
      <c r="T446" s="8"/>
      <c r="U446" s="8"/>
      <c r="V446" s="27" t="s">
        <v>49</v>
      </c>
      <c r="W446" s="25"/>
      <c r="X446" s="25"/>
      <c r="Y446" s="25"/>
      <c r="Z446" s="25"/>
      <c r="AA446" s="25"/>
      <c r="AB446" s="25"/>
      <c r="AC446" s="25"/>
      <c r="AD446" s="25"/>
    </row>
    <row r="447" customFormat="false" ht="15.75" hidden="false" customHeight="false" outlineLevel="0" collapsed="false">
      <c r="A447" s="28" t="s">
        <v>806</v>
      </c>
      <c r="B447" s="27" t="s">
        <v>438</v>
      </c>
      <c r="C447" s="27" t="s">
        <v>308</v>
      </c>
      <c r="D447" s="25"/>
      <c r="E447" s="25"/>
      <c r="F447" s="25"/>
      <c r="G447" s="25"/>
      <c r="H447" s="25"/>
      <c r="I447" s="25"/>
      <c r="J447" s="27" t="s">
        <v>772</v>
      </c>
      <c r="K447" s="25" t="str">
        <f aca="false">IFERROR(__xludf.dummyfunction("SPLIT(J447,"" "")"),"CIF")</f>
        <v>CIF</v>
      </c>
      <c r="L447" s="28" t="str">
        <f aca="false">IFERROR(__xludf.dummyfunction("""COMPUTED_VALUE"""),"Czechia")</f>
        <v>Czechia</v>
      </c>
      <c r="M447" s="27" t="str">
        <f aca="false">IFERROR(__xludf.dummyfunction("""COMPUTED_VALUE"""),"(Diff)")</f>
        <v>(Diff)</v>
      </c>
      <c r="N447" s="25"/>
      <c r="O447" s="25"/>
      <c r="P447" s="25"/>
      <c r="Q447" s="29" t="s">
        <v>358</v>
      </c>
      <c r="R447" s="8" t="str">
        <f aca="false">B447&amp;" "&amp;C447&amp;" "&amp;D447&amp;" "&amp;E447&amp;" "&amp;G447&amp;" "&amp;H447&amp;" "&amp;J447&amp;" "&amp;N447</f>
        <v>Differentials Graphite     CIF Czechia (Diff) </v>
      </c>
      <c r="S447" s="25"/>
      <c r="T447" s="8"/>
      <c r="U447" s="8"/>
      <c r="V447" s="27" t="s">
        <v>49</v>
      </c>
      <c r="W447" s="25"/>
      <c r="X447" s="25"/>
      <c r="Y447" s="25"/>
      <c r="Z447" s="25"/>
      <c r="AA447" s="25"/>
      <c r="AB447" s="25"/>
      <c r="AC447" s="25"/>
      <c r="AD447" s="25"/>
    </row>
    <row r="448" customFormat="false" ht="15.75" hidden="false" customHeight="false" outlineLevel="0" collapsed="false">
      <c r="A448" s="28" t="s">
        <v>807</v>
      </c>
      <c r="B448" s="27" t="s">
        <v>438</v>
      </c>
      <c r="C448" s="27" t="s">
        <v>308</v>
      </c>
      <c r="D448" s="25"/>
      <c r="E448" s="25"/>
      <c r="F448" s="25"/>
      <c r="G448" s="25"/>
      <c r="H448" s="25"/>
      <c r="I448" s="25"/>
      <c r="J448" s="27" t="s">
        <v>772</v>
      </c>
      <c r="K448" s="25" t="str">
        <f aca="false">IFERROR(__xludf.dummyfunction("SPLIT(J448,"" "")"),"CIF")</f>
        <v>CIF</v>
      </c>
      <c r="L448" s="28" t="str">
        <f aca="false">IFERROR(__xludf.dummyfunction("""COMPUTED_VALUE"""),"Czechia")</f>
        <v>Czechia</v>
      </c>
      <c r="M448" s="27" t="str">
        <f aca="false">IFERROR(__xludf.dummyfunction("""COMPUTED_VALUE"""),"(Diff)")</f>
        <v>(Diff)</v>
      </c>
      <c r="N448" s="25"/>
      <c r="O448" s="25"/>
      <c r="P448" s="25"/>
      <c r="Q448" s="29" t="s">
        <v>356</v>
      </c>
      <c r="R448" s="8" t="str">
        <f aca="false">B448&amp;" "&amp;C448&amp;" "&amp;D448&amp;" "&amp;E448&amp;" "&amp;G448&amp;" "&amp;H448&amp;" "&amp;J448&amp;" "&amp;N448</f>
        <v>Differentials Graphite     CIF Czechia (Diff) </v>
      </c>
      <c r="S448" s="25"/>
      <c r="T448" s="8"/>
      <c r="U448" s="8"/>
      <c r="V448" s="27" t="s">
        <v>49</v>
      </c>
      <c r="W448" s="25"/>
      <c r="X448" s="25"/>
      <c r="Y448" s="25"/>
      <c r="Z448" s="25"/>
      <c r="AA448" s="25"/>
      <c r="AB448" s="25"/>
      <c r="AC448" s="25"/>
      <c r="AD448" s="25"/>
    </row>
    <row r="449" customFormat="false" ht="15.75" hidden="false" customHeight="false" outlineLevel="0" collapsed="false">
      <c r="A449" s="28" t="s">
        <v>808</v>
      </c>
      <c r="B449" s="27" t="s">
        <v>438</v>
      </c>
      <c r="C449" s="27" t="s">
        <v>308</v>
      </c>
      <c r="D449" s="25"/>
      <c r="E449" s="25"/>
      <c r="F449" s="25"/>
      <c r="G449" s="25"/>
      <c r="H449" s="25"/>
      <c r="I449" s="25"/>
      <c r="J449" s="27" t="s">
        <v>772</v>
      </c>
      <c r="K449" s="25" t="str">
        <f aca="false">IFERROR(__xludf.dummyfunction("SPLIT(J449,"" "")"),"CIF")</f>
        <v>CIF</v>
      </c>
      <c r="L449" s="28" t="str">
        <f aca="false">IFERROR(__xludf.dummyfunction("""COMPUTED_VALUE"""),"Czechia")</f>
        <v>Czechia</v>
      </c>
      <c r="M449" s="27" t="str">
        <f aca="false">IFERROR(__xludf.dummyfunction("""COMPUTED_VALUE"""),"(Diff)")</f>
        <v>(Diff)</v>
      </c>
      <c r="N449" s="25"/>
      <c r="O449" s="25"/>
      <c r="P449" s="25"/>
      <c r="Q449" s="29" t="s">
        <v>354</v>
      </c>
      <c r="R449" s="8" t="str">
        <f aca="false">B449&amp;" "&amp;C449&amp;" "&amp;D449&amp;" "&amp;E449&amp;" "&amp;G449&amp;" "&amp;H449&amp;" "&amp;J449&amp;" "&amp;N449</f>
        <v>Differentials Graphite     CIF Czechia (Diff) </v>
      </c>
      <c r="S449" s="25"/>
      <c r="T449" s="8"/>
      <c r="U449" s="8"/>
      <c r="V449" s="27" t="s">
        <v>49</v>
      </c>
      <c r="W449" s="25"/>
      <c r="X449" s="25"/>
      <c r="Y449" s="25"/>
      <c r="Z449" s="25"/>
      <c r="AA449" s="25"/>
      <c r="AB449" s="25"/>
      <c r="AC449" s="25"/>
      <c r="AD449" s="25"/>
    </row>
    <row r="450" customFormat="false" ht="15.75" hidden="false" customHeight="false" outlineLevel="0" collapsed="false">
      <c r="A450" s="28" t="s">
        <v>809</v>
      </c>
      <c r="B450" s="27" t="s">
        <v>438</v>
      </c>
      <c r="C450" s="27" t="s">
        <v>308</v>
      </c>
      <c r="D450" s="25"/>
      <c r="E450" s="25"/>
      <c r="F450" s="25"/>
      <c r="G450" s="25"/>
      <c r="H450" s="25"/>
      <c r="I450" s="25"/>
      <c r="J450" s="27" t="s">
        <v>772</v>
      </c>
      <c r="K450" s="25" t="str">
        <f aca="false">IFERROR(__xludf.dummyfunction("SPLIT(J450,"" "")"),"CIF")</f>
        <v>CIF</v>
      </c>
      <c r="L450" s="28" t="str">
        <f aca="false">IFERROR(__xludf.dummyfunction("""COMPUTED_VALUE"""),"Czechia")</f>
        <v>Czechia</v>
      </c>
      <c r="M450" s="27" t="str">
        <f aca="false">IFERROR(__xludf.dummyfunction("""COMPUTED_VALUE"""),"(Diff)")</f>
        <v>(Diff)</v>
      </c>
      <c r="N450" s="25"/>
      <c r="O450" s="25"/>
      <c r="P450" s="25"/>
      <c r="Q450" s="29" t="s">
        <v>352</v>
      </c>
      <c r="R450" s="8" t="str">
        <f aca="false">B450&amp;" "&amp;C450&amp;" "&amp;D450&amp;" "&amp;E450&amp;" "&amp;G450&amp;" "&amp;H450&amp;" "&amp;J450&amp;" "&amp;N450</f>
        <v>Differentials Graphite     CIF Czechia (Diff) </v>
      </c>
      <c r="S450" s="25"/>
      <c r="T450" s="8"/>
      <c r="U450" s="8"/>
      <c r="V450" s="27" t="s">
        <v>49</v>
      </c>
      <c r="W450" s="25"/>
      <c r="X450" s="25"/>
      <c r="Y450" s="25"/>
      <c r="Z450" s="25"/>
      <c r="AA450" s="25"/>
      <c r="AB450" s="25"/>
      <c r="AC450" s="25"/>
      <c r="AD450" s="25"/>
    </row>
    <row r="451" customFormat="false" ht="15.75" hidden="false" customHeight="false" outlineLevel="0" collapsed="false">
      <c r="A451" s="28" t="s">
        <v>810</v>
      </c>
      <c r="B451" s="27" t="s">
        <v>438</v>
      </c>
      <c r="C451" s="27" t="s">
        <v>308</v>
      </c>
      <c r="D451" s="25"/>
      <c r="E451" s="25"/>
      <c r="F451" s="25"/>
      <c r="G451" s="25"/>
      <c r="H451" s="25"/>
      <c r="I451" s="25"/>
      <c r="J451" s="27" t="s">
        <v>772</v>
      </c>
      <c r="K451" s="25" t="str">
        <f aca="false">IFERROR(__xludf.dummyfunction("SPLIT(J451,"" "")"),"CIF")</f>
        <v>CIF</v>
      </c>
      <c r="L451" s="28" t="str">
        <f aca="false">IFERROR(__xludf.dummyfunction("""COMPUTED_VALUE"""),"Czechia")</f>
        <v>Czechia</v>
      </c>
      <c r="M451" s="27" t="str">
        <f aca="false">IFERROR(__xludf.dummyfunction("""COMPUTED_VALUE"""),"(Diff)")</f>
        <v>(Diff)</v>
      </c>
      <c r="N451" s="25"/>
      <c r="O451" s="25"/>
      <c r="P451" s="25"/>
      <c r="Q451" s="29" t="s">
        <v>350</v>
      </c>
      <c r="R451" s="8" t="str">
        <f aca="false">B451&amp;" "&amp;C451&amp;" "&amp;D451&amp;" "&amp;E451&amp;" "&amp;G451&amp;" "&amp;H451&amp;" "&amp;J451&amp;" "&amp;N451</f>
        <v>Differentials Graphite     CIF Czechia (Diff) </v>
      </c>
      <c r="S451" s="25"/>
      <c r="T451" s="8"/>
      <c r="U451" s="8"/>
      <c r="V451" s="27" t="s">
        <v>49</v>
      </c>
      <c r="W451" s="25"/>
      <c r="X451" s="25"/>
      <c r="Y451" s="25"/>
      <c r="Z451" s="25"/>
      <c r="AA451" s="25"/>
      <c r="AB451" s="25"/>
      <c r="AC451" s="25"/>
      <c r="AD451" s="25"/>
    </row>
    <row r="452" customFormat="false" ht="15.75" hidden="false" customHeight="false" outlineLevel="0" collapsed="false">
      <c r="A452" s="28" t="s">
        <v>811</v>
      </c>
      <c r="B452" s="27" t="s">
        <v>438</v>
      </c>
      <c r="C452" s="27" t="s">
        <v>308</v>
      </c>
      <c r="D452" s="25"/>
      <c r="E452" s="25"/>
      <c r="F452" s="25"/>
      <c r="G452" s="25"/>
      <c r="H452" s="25"/>
      <c r="I452" s="25"/>
      <c r="J452" s="27" t="s">
        <v>772</v>
      </c>
      <c r="K452" s="25" t="str">
        <f aca="false">IFERROR(__xludf.dummyfunction("SPLIT(J452,"" "")"),"CIF")</f>
        <v>CIF</v>
      </c>
      <c r="L452" s="28" t="str">
        <f aca="false">IFERROR(__xludf.dummyfunction("""COMPUTED_VALUE"""),"Czechia")</f>
        <v>Czechia</v>
      </c>
      <c r="M452" s="27" t="str">
        <f aca="false">IFERROR(__xludf.dummyfunction("""COMPUTED_VALUE"""),"(Diff)")</f>
        <v>(Diff)</v>
      </c>
      <c r="N452" s="25"/>
      <c r="O452" s="25"/>
      <c r="P452" s="25"/>
      <c r="Q452" s="29" t="s">
        <v>347</v>
      </c>
      <c r="R452" s="8" t="str">
        <f aca="false">B452&amp;" "&amp;C452&amp;" "&amp;D452&amp;" "&amp;E452&amp;" "&amp;G452&amp;" "&amp;H452&amp;" "&amp;J452&amp;" "&amp;N452</f>
        <v>Differentials Graphite     CIF Czechia (Diff) </v>
      </c>
      <c r="S452" s="25"/>
      <c r="T452" s="8"/>
      <c r="U452" s="8"/>
      <c r="V452" s="27" t="s">
        <v>49</v>
      </c>
      <c r="W452" s="25"/>
      <c r="X452" s="25"/>
      <c r="Y452" s="25"/>
      <c r="Z452" s="25"/>
      <c r="AA452" s="25"/>
      <c r="AB452" s="25"/>
      <c r="AC452" s="25"/>
      <c r="AD452" s="25"/>
    </row>
    <row r="453" customFormat="false" ht="15.75" hidden="false" customHeight="false" outlineLevel="0" collapsed="false">
      <c r="A453" s="28" t="s">
        <v>812</v>
      </c>
      <c r="B453" s="27" t="s">
        <v>438</v>
      </c>
      <c r="C453" s="27" t="s">
        <v>308</v>
      </c>
      <c r="D453" s="25"/>
      <c r="E453" s="25"/>
      <c r="F453" s="25"/>
      <c r="G453" s="25"/>
      <c r="H453" s="25"/>
      <c r="I453" s="25"/>
      <c r="J453" s="27" t="s">
        <v>772</v>
      </c>
      <c r="K453" s="25" t="str">
        <f aca="false">IFERROR(__xludf.dummyfunction("SPLIT(J453,"" "")"),"CIF")</f>
        <v>CIF</v>
      </c>
      <c r="L453" s="28" t="str">
        <f aca="false">IFERROR(__xludf.dummyfunction("""COMPUTED_VALUE"""),"Czechia")</f>
        <v>Czechia</v>
      </c>
      <c r="M453" s="27" t="str">
        <f aca="false">IFERROR(__xludf.dummyfunction("""COMPUTED_VALUE"""),"(Diff)")</f>
        <v>(Diff)</v>
      </c>
      <c r="N453" s="25"/>
      <c r="O453" s="25"/>
      <c r="P453" s="25"/>
      <c r="Q453" s="29" t="s">
        <v>344</v>
      </c>
      <c r="R453" s="8" t="str">
        <f aca="false">B453&amp;" "&amp;C453&amp;" "&amp;D453&amp;" "&amp;E453&amp;" "&amp;G453&amp;" "&amp;H453&amp;" "&amp;J453&amp;" "&amp;N453</f>
        <v>Differentials Graphite     CIF Czechia (Diff) </v>
      </c>
      <c r="S453" s="25"/>
      <c r="T453" s="8"/>
      <c r="U453" s="8"/>
      <c r="V453" s="27" t="s">
        <v>49</v>
      </c>
      <c r="W453" s="25"/>
      <c r="X453" s="25"/>
      <c r="Y453" s="25"/>
      <c r="Z453" s="25"/>
      <c r="AA453" s="25"/>
      <c r="AB453" s="25"/>
      <c r="AC453" s="25"/>
      <c r="AD453" s="25"/>
    </row>
    <row r="454" customFormat="false" ht="15.75" hidden="false" customHeight="false" outlineLevel="0" collapsed="false">
      <c r="A454" s="28" t="s">
        <v>813</v>
      </c>
      <c r="B454" s="27" t="s">
        <v>438</v>
      </c>
      <c r="C454" s="27" t="s">
        <v>308</v>
      </c>
      <c r="D454" s="25"/>
      <c r="E454" s="25"/>
      <c r="F454" s="25"/>
      <c r="G454" s="25"/>
      <c r="H454" s="25"/>
      <c r="I454" s="25"/>
      <c r="J454" s="27" t="s">
        <v>772</v>
      </c>
      <c r="K454" s="25" t="str">
        <f aca="false">IFERROR(__xludf.dummyfunction("SPLIT(J454,"" "")"),"CIF")</f>
        <v>CIF</v>
      </c>
      <c r="L454" s="28" t="str">
        <f aca="false">IFERROR(__xludf.dummyfunction("""COMPUTED_VALUE"""),"Czechia")</f>
        <v>Czechia</v>
      </c>
      <c r="M454" s="27" t="str">
        <f aca="false">IFERROR(__xludf.dummyfunction("""COMPUTED_VALUE"""),"(Diff)")</f>
        <v>(Diff)</v>
      </c>
      <c r="N454" s="25"/>
      <c r="O454" s="25"/>
      <c r="P454" s="25"/>
      <c r="Q454" s="29" t="s">
        <v>340</v>
      </c>
      <c r="R454" s="8" t="str">
        <f aca="false">B454&amp;" "&amp;C454&amp;" "&amp;D454&amp;" "&amp;E454&amp;" "&amp;G454&amp;" "&amp;H454&amp;" "&amp;J454&amp;" "&amp;N454</f>
        <v>Differentials Graphite     CIF Czechia (Diff) </v>
      </c>
      <c r="S454" s="25"/>
      <c r="T454" s="8"/>
      <c r="U454" s="8"/>
      <c r="V454" s="27" t="s">
        <v>49</v>
      </c>
      <c r="W454" s="25"/>
      <c r="X454" s="25"/>
      <c r="Y454" s="25"/>
      <c r="Z454" s="25"/>
      <c r="AA454" s="25"/>
      <c r="AB454" s="25"/>
      <c r="AC454" s="25"/>
      <c r="AD454" s="25"/>
    </row>
    <row r="455" customFormat="false" ht="15.75" hidden="false" customHeight="false" outlineLevel="0" collapsed="false">
      <c r="A455" s="28" t="s">
        <v>814</v>
      </c>
      <c r="B455" s="27" t="s">
        <v>438</v>
      </c>
      <c r="C455" s="27" t="s">
        <v>308</v>
      </c>
      <c r="D455" s="25"/>
      <c r="E455" s="25"/>
      <c r="F455" s="25"/>
      <c r="G455" s="25"/>
      <c r="H455" s="25"/>
      <c r="I455" s="25"/>
      <c r="J455" s="27" t="s">
        <v>772</v>
      </c>
      <c r="K455" s="25" t="str">
        <f aca="false">IFERROR(__xludf.dummyfunction("SPLIT(J455,"" "")"),"CIF")</f>
        <v>CIF</v>
      </c>
      <c r="L455" s="28" t="str">
        <f aca="false">IFERROR(__xludf.dummyfunction("""COMPUTED_VALUE"""),"Czechia")</f>
        <v>Czechia</v>
      </c>
      <c r="M455" s="27" t="str">
        <f aca="false">IFERROR(__xludf.dummyfunction("""COMPUTED_VALUE"""),"(Diff)")</f>
        <v>(Diff)</v>
      </c>
      <c r="N455" s="25"/>
      <c r="O455" s="25"/>
      <c r="P455" s="25"/>
      <c r="Q455" s="29" t="s">
        <v>338</v>
      </c>
      <c r="R455" s="8" t="str">
        <f aca="false">B455&amp;" "&amp;C455&amp;" "&amp;D455&amp;" "&amp;E455&amp;" "&amp;G455&amp;" "&amp;H455&amp;" "&amp;J455&amp;" "&amp;N455</f>
        <v>Differentials Graphite     CIF Czechia (Diff) </v>
      </c>
      <c r="S455" s="25"/>
      <c r="T455" s="8"/>
      <c r="U455" s="8"/>
      <c r="V455" s="27" t="s">
        <v>49</v>
      </c>
      <c r="W455" s="25"/>
      <c r="X455" s="25"/>
      <c r="Y455" s="25"/>
      <c r="Z455" s="25"/>
      <c r="AA455" s="25"/>
      <c r="AB455" s="25"/>
      <c r="AC455" s="25"/>
      <c r="AD455" s="25"/>
    </row>
    <row r="456" customFormat="false" ht="15.75" hidden="false" customHeight="false" outlineLevel="0" collapsed="false">
      <c r="A456" s="28" t="s">
        <v>815</v>
      </c>
      <c r="B456" s="27" t="s">
        <v>438</v>
      </c>
      <c r="C456" s="27" t="s">
        <v>308</v>
      </c>
      <c r="D456" s="25"/>
      <c r="E456" s="25"/>
      <c r="F456" s="25"/>
      <c r="G456" s="25"/>
      <c r="H456" s="25"/>
      <c r="I456" s="25"/>
      <c r="J456" s="27" t="s">
        <v>772</v>
      </c>
      <c r="K456" s="25" t="str">
        <f aca="false">IFERROR(__xludf.dummyfunction("SPLIT(J456,"" "")"),"CIF")</f>
        <v>CIF</v>
      </c>
      <c r="L456" s="28" t="str">
        <f aca="false">IFERROR(__xludf.dummyfunction("""COMPUTED_VALUE"""),"Czechia")</f>
        <v>Czechia</v>
      </c>
      <c r="M456" s="27" t="str">
        <f aca="false">IFERROR(__xludf.dummyfunction("""COMPUTED_VALUE"""),"(Diff)")</f>
        <v>(Diff)</v>
      </c>
      <c r="N456" s="25"/>
      <c r="O456" s="25"/>
      <c r="P456" s="25"/>
      <c r="Q456" s="29" t="s">
        <v>335</v>
      </c>
      <c r="R456" s="8" t="str">
        <f aca="false">B456&amp;" "&amp;C456&amp;" "&amp;D456&amp;" "&amp;E456&amp;" "&amp;G456&amp;" "&amp;H456&amp;" "&amp;J456&amp;" "&amp;N456</f>
        <v>Differentials Graphite     CIF Czechia (Diff) </v>
      </c>
      <c r="S456" s="25"/>
      <c r="T456" s="8"/>
      <c r="U456" s="8"/>
      <c r="V456" s="27" t="s">
        <v>49</v>
      </c>
      <c r="W456" s="25"/>
      <c r="X456" s="25"/>
      <c r="Y456" s="25"/>
      <c r="Z456" s="25"/>
      <c r="AA456" s="25"/>
      <c r="AB456" s="25"/>
      <c r="AC456" s="25"/>
      <c r="AD456" s="25"/>
    </row>
    <row r="457" customFormat="false" ht="15.75" hidden="false" customHeight="false" outlineLevel="0" collapsed="false">
      <c r="A457" s="28" t="s">
        <v>816</v>
      </c>
      <c r="B457" s="27" t="s">
        <v>438</v>
      </c>
      <c r="C457" s="27" t="s">
        <v>308</v>
      </c>
      <c r="D457" s="25"/>
      <c r="E457" s="25"/>
      <c r="F457" s="25"/>
      <c r="G457" s="25"/>
      <c r="H457" s="25"/>
      <c r="I457" s="25"/>
      <c r="J457" s="27" t="s">
        <v>772</v>
      </c>
      <c r="K457" s="25" t="str">
        <f aca="false">IFERROR(__xludf.dummyfunction("SPLIT(J457,"" "")"),"CIF")</f>
        <v>CIF</v>
      </c>
      <c r="L457" s="28" t="str">
        <f aca="false">IFERROR(__xludf.dummyfunction("""COMPUTED_VALUE"""),"Czechia")</f>
        <v>Czechia</v>
      </c>
      <c r="M457" s="27" t="str">
        <f aca="false">IFERROR(__xludf.dummyfunction("""COMPUTED_VALUE"""),"(Diff)")</f>
        <v>(Diff)</v>
      </c>
      <c r="N457" s="25"/>
      <c r="O457" s="25"/>
      <c r="P457" s="25"/>
      <c r="Q457" s="29" t="s">
        <v>332</v>
      </c>
      <c r="R457" s="8" t="str">
        <f aca="false">B457&amp;" "&amp;C457&amp;" "&amp;D457&amp;" "&amp;E457&amp;" "&amp;G457&amp;" "&amp;H457&amp;" "&amp;J457&amp;" "&amp;N457</f>
        <v>Differentials Graphite     CIF Czechia (Diff) </v>
      </c>
      <c r="S457" s="25"/>
      <c r="T457" s="8"/>
      <c r="U457" s="8"/>
      <c r="V457" s="27" t="s">
        <v>49</v>
      </c>
      <c r="W457" s="25"/>
      <c r="X457" s="25"/>
      <c r="Y457" s="25"/>
      <c r="Z457" s="25"/>
      <c r="AA457" s="25"/>
      <c r="AB457" s="25"/>
      <c r="AC457" s="25"/>
      <c r="AD457" s="25"/>
    </row>
    <row r="458" customFormat="false" ht="15.75" hidden="false" customHeight="false" outlineLevel="0" collapsed="false">
      <c r="A458" s="28" t="s">
        <v>817</v>
      </c>
      <c r="B458" s="27" t="s">
        <v>438</v>
      </c>
      <c r="C458" s="27" t="s">
        <v>308</v>
      </c>
      <c r="D458" s="25"/>
      <c r="E458" s="25"/>
      <c r="F458" s="25"/>
      <c r="G458" s="25"/>
      <c r="H458" s="25"/>
      <c r="I458" s="25"/>
      <c r="J458" s="27" t="s">
        <v>772</v>
      </c>
      <c r="K458" s="25" t="str">
        <f aca="false">IFERROR(__xludf.dummyfunction("SPLIT(J458,"" "")"),"CIF")</f>
        <v>CIF</v>
      </c>
      <c r="L458" s="28" t="str">
        <f aca="false">IFERROR(__xludf.dummyfunction("""COMPUTED_VALUE"""),"Czechia")</f>
        <v>Czechia</v>
      </c>
      <c r="M458" s="27" t="str">
        <f aca="false">IFERROR(__xludf.dummyfunction("""COMPUTED_VALUE"""),"(Diff)")</f>
        <v>(Diff)</v>
      </c>
      <c r="N458" s="25"/>
      <c r="O458" s="25"/>
      <c r="P458" s="25"/>
      <c r="Q458" s="29" t="s">
        <v>329</v>
      </c>
      <c r="R458" s="8" t="str">
        <f aca="false">B458&amp;" "&amp;C458&amp;" "&amp;D458&amp;" "&amp;E458&amp;" "&amp;G458&amp;" "&amp;H458&amp;" "&amp;J458&amp;" "&amp;N458</f>
        <v>Differentials Graphite     CIF Czechia (Diff) </v>
      </c>
      <c r="S458" s="25"/>
      <c r="T458" s="8"/>
      <c r="U458" s="8"/>
      <c r="V458" s="27" t="s">
        <v>49</v>
      </c>
      <c r="W458" s="25"/>
      <c r="X458" s="25"/>
      <c r="Y458" s="25"/>
      <c r="Z458" s="25"/>
      <c r="AA458" s="25"/>
      <c r="AB458" s="25"/>
      <c r="AC458" s="25"/>
      <c r="AD458" s="25"/>
    </row>
    <row r="459" customFormat="false" ht="15.75" hidden="false" customHeight="false" outlineLevel="0" collapsed="false">
      <c r="A459" s="28" t="s">
        <v>818</v>
      </c>
      <c r="B459" s="27" t="s">
        <v>438</v>
      </c>
      <c r="C459" s="27" t="s">
        <v>308</v>
      </c>
      <c r="D459" s="25"/>
      <c r="E459" s="25"/>
      <c r="F459" s="25"/>
      <c r="G459" s="25"/>
      <c r="H459" s="25"/>
      <c r="I459" s="25"/>
      <c r="J459" s="27" t="s">
        <v>772</v>
      </c>
      <c r="K459" s="25" t="str">
        <f aca="false">IFERROR(__xludf.dummyfunction("SPLIT(J459,"" "")"),"CIF")</f>
        <v>CIF</v>
      </c>
      <c r="L459" s="28" t="str">
        <f aca="false">IFERROR(__xludf.dummyfunction("""COMPUTED_VALUE"""),"Czechia")</f>
        <v>Czechia</v>
      </c>
      <c r="M459" s="27" t="str">
        <f aca="false">IFERROR(__xludf.dummyfunction("""COMPUTED_VALUE"""),"(Diff)")</f>
        <v>(Diff)</v>
      </c>
      <c r="N459" s="25"/>
      <c r="O459" s="25"/>
      <c r="P459" s="25"/>
      <c r="Q459" s="29" t="s">
        <v>326</v>
      </c>
      <c r="R459" s="8" t="str">
        <f aca="false">B459&amp;" "&amp;C459&amp;" "&amp;D459&amp;" "&amp;E459&amp;" "&amp;G459&amp;" "&amp;H459&amp;" "&amp;J459&amp;" "&amp;N459</f>
        <v>Differentials Graphite     CIF Czechia (Diff) </v>
      </c>
      <c r="S459" s="25"/>
      <c r="T459" s="8"/>
      <c r="U459" s="8"/>
      <c r="V459" s="27" t="s">
        <v>49</v>
      </c>
      <c r="W459" s="25"/>
      <c r="X459" s="25"/>
      <c r="Y459" s="25"/>
      <c r="Z459" s="25"/>
      <c r="AA459" s="25"/>
      <c r="AB459" s="25"/>
      <c r="AC459" s="25"/>
      <c r="AD459" s="25"/>
    </row>
    <row r="460" customFormat="false" ht="15.75" hidden="false" customHeight="false" outlineLevel="0" collapsed="false">
      <c r="A460" s="28" t="s">
        <v>819</v>
      </c>
      <c r="B460" s="27" t="s">
        <v>438</v>
      </c>
      <c r="C460" s="27" t="s">
        <v>308</v>
      </c>
      <c r="D460" s="25"/>
      <c r="E460" s="25"/>
      <c r="F460" s="25"/>
      <c r="G460" s="25"/>
      <c r="H460" s="25"/>
      <c r="I460" s="25"/>
      <c r="J460" s="27" t="s">
        <v>772</v>
      </c>
      <c r="K460" s="25" t="str">
        <f aca="false">IFERROR(__xludf.dummyfunction("SPLIT(J460,"" "")"),"CIF")</f>
        <v>CIF</v>
      </c>
      <c r="L460" s="28" t="str">
        <f aca="false">IFERROR(__xludf.dummyfunction("""COMPUTED_VALUE"""),"Czechia")</f>
        <v>Czechia</v>
      </c>
      <c r="M460" s="27" t="str">
        <f aca="false">IFERROR(__xludf.dummyfunction("""COMPUTED_VALUE"""),"(Diff)")</f>
        <v>(Diff)</v>
      </c>
      <c r="N460" s="25"/>
      <c r="O460" s="25"/>
      <c r="P460" s="25"/>
      <c r="Q460" s="29" t="s">
        <v>323</v>
      </c>
      <c r="R460" s="8" t="str">
        <f aca="false">B460&amp;" "&amp;C460&amp;" "&amp;D460&amp;" "&amp;E460&amp;" "&amp;G460&amp;" "&amp;H460&amp;" "&amp;J460&amp;" "&amp;N460</f>
        <v>Differentials Graphite     CIF Czechia (Diff) </v>
      </c>
      <c r="S460" s="25"/>
      <c r="T460" s="8"/>
      <c r="U460" s="8"/>
      <c r="V460" s="27" t="s">
        <v>49</v>
      </c>
      <c r="W460" s="25"/>
      <c r="X460" s="25"/>
      <c r="Y460" s="25"/>
      <c r="Z460" s="25"/>
      <c r="AA460" s="25"/>
      <c r="AB460" s="25"/>
      <c r="AC460" s="25"/>
      <c r="AD460" s="25"/>
    </row>
    <row r="461" customFormat="false" ht="15.75" hidden="false" customHeight="false" outlineLevel="0" collapsed="false">
      <c r="A461" s="28" t="s">
        <v>820</v>
      </c>
      <c r="B461" s="27" t="s">
        <v>438</v>
      </c>
      <c r="C461" s="27" t="s">
        <v>308</v>
      </c>
      <c r="D461" s="25"/>
      <c r="E461" s="25"/>
      <c r="F461" s="25"/>
      <c r="G461" s="25"/>
      <c r="H461" s="25"/>
      <c r="I461" s="25"/>
      <c r="J461" s="27" t="s">
        <v>772</v>
      </c>
      <c r="K461" s="25" t="str">
        <f aca="false">IFERROR(__xludf.dummyfunction("SPLIT(J461,"" "")"),"CIF")</f>
        <v>CIF</v>
      </c>
      <c r="L461" s="28" t="str">
        <f aca="false">IFERROR(__xludf.dummyfunction("""COMPUTED_VALUE"""),"Czechia")</f>
        <v>Czechia</v>
      </c>
      <c r="M461" s="27" t="str">
        <f aca="false">IFERROR(__xludf.dummyfunction("""COMPUTED_VALUE"""),"(Diff)")</f>
        <v>(Diff)</v>
      </c>
      <c r="N461" s="25"/>
      <c r="O461" s="25"/>
      <c r="P461" s="25"/>
      <c r="Q461" s="29" t="s">
        <v>319</v>
      </c>
      <c r="R461" s="8" t="str">
        <f aca="false">B461&amp;" "&amp;C461&amp;" "&amp;D461&amp;" "&amp;E461&amp;" "&amp;G461&amp;" "&amp;H461&amp;" "&amp;J461&amp;" "&amp;N461</f>
        <v>Differentials Graphite     CIF Czechia (Diff) </v>
      </c>
      <c r="S461" s="25"/>
      <c r="T461" s="8"/>
      <c r="U461" s="8"/>
      <c r="V461" s="27" t="s">
        <v>49</v>
      </c>
      <c r="W461" s="25"/>
      <c r="X461" s="25"/>
      <c r="Y461" s="25"/>
      <c r="Z461" s="25"/>
      <c r="AA461" s="25"/>
      <c r="AB461" s="25"/>
      <c r="AC461" s="25"/>
      <c r="AD461" s="25"/>
    </row>
    <row r="462" customFormat="false" ht="15.75" hidden="false" customHeight="false" outlineLevel="0" collapsed="false">
      <c r="A462" s="28" t="s">
        <v>821</v>
      </c>
      <c r="B462" s="27" t="s">
        <v>438</v>
      </c>
      <c r="C462" s="27" t="s">
        <v>308</v>
      </c>
      <c r="D462" s="25"/>
      <c r="E462" s="25"/>
      <c r="F462" s="25"/>
      <c r="G462" s="25"/>
      <c r="H462" s="25"/>
      <c r="I462" s="25"/>
      <c r="J462" s="27" t="s">
        <v>772</v>
      </c>
      <c r="K462" s="25" t="str">
        <f aca="false">IFERROR(__xludf.dummyfunction("SPLIT(J462,"" "")"),"CIF")</f>
        <v>CIF</v>
      </c>
      <c r="L462" s="28" t="str">
        <f aca="false">IFERROR(__xludf.dummyfunction("""COMPUTED_VALUE"""),"Czechia")</f>
        <v>Czechia</v>
      </c>
      <c r="M462" s="27" t="str">
        <f aca="false">IFERROR(__xludf.dummyfunction("""COMPUTED_VALUE"""),"(Diff)")</f>
        <v>(Diff)</v>
      </c>
      <c r="N462" s="25"/>
      <c r="O462" s="25"/>
      <c r="P462" s="25"/>
      <c r="Q462" s="29" t="s">
        <v>315</v>
      </c>
      <c r="R462" s="8" t="str">
        <f aca="false">B462&amp;" "&amp;C462&amp;" "&amp;D462&amp;" "&amp;E462&amp;" "&amp;G462&amp;" "&amp;H462&amp;" "&amp;J462&amp;" "&amp;N462</f>
        <v>Differentials Graphite     CIF Czechia (Diff) </v>
      </c>
      <c r="S462" s="25"/>
      <c r="T462" s="8"/>
      <c r="U462" s="8"/>
      <c r="V462" s="27" t="s">
        <v>49</v>
      </c>
      <c r="W462" s="25"/>
      <c r="X462" s="25"/>
      <c r="Y462" s="25"/>
      <c r="Z462" s="25"/>
      <c r="AA462" s="25"/>
      <c r="AB462" s="25"/>
      <c r="AC462" s="25"/>
      <c r="AD462" s="25"/>
    </row>
    <row r="463" customFormat="false" ht="15.75" hidden="false" customHeight="false" outlineLevel="0" collapsed="false">
      <c r="A463" s="28" t="s">
        <v>822</v>
      </c>
      <c r="B463" s="27" t="s">
        <v>438</v>
      </c>
      <c r="C463" s="27" t="s">
        <v>308</v>
      </c>
      <c r="D463" s="25"/>
      <c r="E463" s="25"/>
      <c r="F463" s="25"/>
      <c r="G463" s="25"/>
      <c r="H463" s="25"/>
      <c r="I463" s="25"/>
      <c r="J463" s="27" t="s">
        <v>772</v>
      </c>
      <c r="K463" s="25" t="str">
        <f aca="false">IFERROR(__xludf.dummyfunction("SPLIT(J463,"" "")"),"CIF")</f>
        <v>CIF</v>
      </c>
      <c r="L463" s="28" t="str">
        <f aca="false">IFERROR(__xludf.dummyfunction("""COMPUTED_VALUE"""),"Czechia")</f>
        <v>Czechia</v>
      </c>
      <c r="M463" s="27" t="str">
        <f aca="false">IFERROR(__xludf.dummyfunction("""COMPUTED_VALUE"""),"(Diff)")</f>
        <v>(Diff)</v>
      </c>
      <c r="N463" s="25"/>
      <c r="O463" s="25"/>
      <c r="P463" s="25"/>
      <c r="Q463" s="29" t="s">
        <v>311</v>
      </c>
      <c r="R463" s="8" t="str">
        <f aca="false">B463&amp;" "&amp;C463&amp;" "&amp;D463&amp;" "&amp;E463&amp;" "&amp;G463&amp;" "&amp;H463&amp;" "&amp;J463&amp;" "&amp;N463</f>
        <v>Differentials Graphite     CIF Czechia (Diff) </v>
      </c>
      <c r="S463" s="25"/>
      <c r="T463" s="8"/>
      <c r="U463" s="8"/>
      <c r="V463" s="27" t="s">
        <v>49</v>
      </c>
      <c r="W463" s="25"/>
      <c r="X463" s="25"/>
      <c r="Y463" s="25"/>
      <c r="Z463" s="25"/>
      <c r="AA463" s="25"/>
      <c r="AB463" s="25"/>
      <c r="AC463" s="25"/>
      <c r="AD463" s="25"/>
    </row>
    <row r="464" customFormat="false" ht="15.75" hidden="false" customHeight="false" outlineLevel="0" collapsed="false">
      <c r="A464" s="28" t="s">
        <v>823</v>
      </c>
      <c r="B464" s="27" t="s">
        <v>438</v>
      </c>
      <c r="C464" s="27" t="s">
        <v>417</v>
      </c>
      <c r="D464" s="25"/>
      <c r="E464" s="25"/>
      <c r="F464" s="25"/>
      <c r="G464" s="25"/>
      <c r="H464" s="25"/>
      <c r="I464" s="25"/>
      <c r="J464" s="27" t="s">
        <v>772</v>
      </c>
      <c r="K464" s="25" t="str">
        <f aca="false">IFERROR(__xludf.dummyfunction("SPLIT(J464,"" "")"),"CIF")</f>
        <v>CIF</v>
      </c>
      <c r="L464" s="28" t="str">
        <f aca="false">IFERROR(__xludf.dummyfunction("""COMPUTED_VALUE"""),"Czechia")</f>
        <v>Czechia</v>
      </c>
      <c r="M464" s="27" t="str">
        <f aca="false">IFERROR(__xludf.dummyfunction("""COMPUTED_VALUE"""),"(Diff)")</f>
        <v>(Diff)</v>
      </c>
      <c r="N464" s="25"/>
      <c r="O464" s="25"/>
      <c r="P464" s="25"/>
      <c r="Q464" s="29" t="s">
        <v>436</v>
      </c>
      <c r="R464" s="8" t="str">
        <f aca="false">B464&amp;" "&amp;C464&amp;" "&amp;D464&amp;" "&amp;E464&amp;" "&amp;G464&amp;" "&amp;H464&amp;" "&amp;J464&amp;" "&amp;N464</f>
        <v>Differentials Solvent     CIF Czechia (Diff) </v>
      </c>
      <c r="S464" s="25"/>
      <c r="T464" s="8"/>
      <c r="U464" s="8"/>
      <c r="V464" s="27" t="s">
        <v>49</v>
      </c>
      <c r="W464" s="25"/>
      <c r="X464" s="25"/>
      <c r="Y464" s="25"/>
      <c r="Z464" s="25"/>
      <c r="AA464" s="25"/>
      <c r="AB464" s="25"/>
      <c r="AC464" s="25"/>
      <c r="AD464" s="25"/>
    </row>
    <row r="465" customFormat="false" ht="15.75" hidden="false" customHeight="false" outlineLevel="0" collapsed="false">
      <c r="A465" s="28" t="s">
        <v>824</v>
      </c>
      <c r="B465" s="27" t="s">
        <v>438</v>
      </c>
      <c r="C465" s="27" t="s">
        <v>417</v>
      </c>
      <c r="D465" s="25"/>
      <c r="E465" s="25"/>
      <c r="F465" s="25"/>
      <c r="G465" s="25"/>
      <c r="H465" s="25"/>
      <c r="I465" s="25"/>
      <c r="J465" s="27" t="s">
        <v>772</v>
      </c>
      <c r="K465" s="25" t="str">
        <f aca="false">IFERROR(__xludf.dummyfunction("SPLIT(J465,"" "")"),"CIF")</f>
        <v>CIF</v>
      </c>
      <c r="L465" s="28" t="str">
        <f aca="false">IFERROR(__xludf.dummyfunction("""COMPUTED_VALUE"""),"Czechia")</f>
        <v>Czechia</v>
      </c>
      <c r="M465" s="27" t="str">
        <f aca="false">IFERROR(__xludf.dummyfunction("""COMPUTED_VALUE"""),"(Diff)")</f>
        <v>(Diff)</v>
      </c>
      <c r="N465" s="25"/>
      <c r="O465" s="25"/>
      <c r="P465" s="25"/>
      <c r="Q465" s="29" t="s">
        <v>434</v>
      </c>
      <c r="R465" s="8" t="str">
        <f aca="false">B465&amp;" "&amp;C465&amp;" "&amp;D465&amp;" "&amp;E465&amp;" "&amp;G465&amp;" "&amp;H465&amp;" "&amp;J465&amp;" "&amp;N465</f>
        <v>Differentials Solvent     CIF Czechia (Diff) </v>
      </c>
      <c r="S465" s="25"/>
      <c r="T465" s="8"/>
      <c r="U465" s="8"/>
      <c r="V465" s="27" t="s">
        <v>49</v>
      </c>
      <c r="W465" s="25"/>
      <c r="X465" s="25"/>
      <c r="Y465" s="25"/>
      <c r="Z465" s="25"/>
      <c r="AA465" s="25"/>
      <c r="AB465" s="25"/>
      <c r="AC465" s="25"/>
      <c r="AD465" s="25"/>
    </row>
    <row r="466" customFormat="false" ht="15.75" hidden="false" customHeight="false" outlineLevel="0" collapsed="false">
      <c r="A466" s="28" t="s">
        <v>825</v>
      </c>
      <c r="B466" s="27" t="s">
        <v>438</v>
      </c>
      <c r="C466" s="27" t="s">
        <v>417</v>
      </c>
      <c r="D466" s="25"/>
      <c r="E466" s="25"/>
      <c r="F466" s="25"/>
      <c r="G466" s="25"/>
      <c r="H466" s="25"/>
      <c r="I466" s="25"/>
      <c r="J466" s="27" t="s">
        <v>772</v>
      </c>
      <c r="K466" s="25" t="str">
        <f aca="false">IFERROR(__xludf.dummyfunction("SPLIT(J466,"" "")"),"CIF")</f>
        <v>CIF</v>
      </c>
      <c r="L466" s="28" t="str">
        <f aca="false">IFERROR(__xludf.dummyfunction("""COMPUTED_VALUE"""),"Czechia")</f>
        <v>Czechia</v>
      </c>
      <c r="M466" s="27" t="str">
        <f aca="false">IFERROR(__xludf.dummyfunction("""COMPUTED_VALUE"""),"(Diff)")</f>
        <v>(Diff)</v>
      </c>
      <c r="N466" s="25"/>
      <c r="O466" s="25"/>
      <c r="P466" s="25"/>
      <c r="Q466" s="29" t="s">
        <v>432</v>
      </c>
      <c r="R466" s="8" t="str">
        <f aca="false">B466&amp;" "&amp;C466&amp;" "&amp;D466&amp;" "&amp;E466&amp;" "&amp;G466&amp;" "&amp;H466&amp;" "&amp;J466&amp;" "&amp;N466</f>
        <v>Differentials Solvent     CIF Czechia (Diff) </v>
      </c>
      <c r="S466" s="25"/>
      <c r="T466" s="8"/>
      <c r="U466" s="8"/>
      <c r="V466" s="27" t="s">
        <v>49</v>
      </c>
      <c r="W466" s="25"/>
      <c r="X466" s="25"/>
      <c r="Y466" s="25"/>
      <c r="Z466" s="25"/>
      <c r="AA466" s="25"/>
      <c r="AB466" s="25"/>
      <c r="AC466" s="25"/>
      <c r="AD466" s="25"/>
    </row>
    <row r="467" customFormat="false" ht="15.75" hidden="false" customHeight="false" outlineLevel="0" collapsed="false">
      <c r="A467" s="28" t="s">
        <v>826</v>
      </c>
      <c r="B467" s="27" t="s">
        <v>438</v>
      </c>
      <c r="C467" s="27" t="s">
        <v>417</v>
      </c>
      <c r="D467" s="25"/>
      <c r="E467" s="25"/>
      <c r="F467" s="25"/>
      <c r="G467" s="25"/>
      <c r="H467" s="25"/>
      <c r="I467" s="25"/>
      <c r="J467" s="27" t="s">
        <v>772</v>
      </c>
      <c r="K467" s="25" t="str">
        <f aca="false">IFERROR(__xludf.dummyfunction("SPLIT(J467,"" "")"),"CIF")</f>
        <v>CIF</v>
      </c>
      <c r="L467" s="28" t="str">
        <f aca="false">IFERROR(__xludf.dummyfunction("""COMPUTED_VALUE"""),"Czechia")</f>
        <v>Czechia</v>
      </c>
      <c r="M467" s="27" t="str">
        <f aca="false">IFERROR(__xludf.dummyfunction("""COMPUTED_VALUE"""),"(Diff)")</f>
        <v>(Diff)</v>
      </c>
      <c r="N467" s="25"/>
      <c r="O467" s="25"/>
      <c r="P467" s="25"/>
      <c r="Q467" s="29" t="s">
        <v>430</v>
      </c>
      <c r="R467" s="8" t="str">
        <f aca="false">B467&amp;" "&amp;C467&amp;" "&amp;D467&amp;" "&amp;E467&amp;" "&amp;G467&amp;" "&amp;H467&amp;" "&amp;J467&amp;" "&amp;N467</f>
        <v>Differentials Solvent     CIF Czechia (Diff) </v>
      </c>
      <c r="S467" s="25"/>
      <c r="T467" s="8"/>
      <c r="U467" s="8"/>
      <c r="V467" s="27" t="s">
        <v>49</v>
      </c>
      <c r="W467" s="25"/>
      <c r="X467" s="25"/>
      <c r="Y467" s="25"/>
      <c r="Z467" s="25"/>
      <c r="AA467" s="25"/>
      <c r="AB467" s="25"/>
      <c r="AC467" s="25"/>
      <c r="AD467" s="25"/>
    </row>
    <row r="468" customFormat="false" ht="15.75" hidden="false" customHeight="false" outlineLevel="0" collapsed="false">
      <c r="A468" s="28" t="s">
        <v>827</v>
      </c>
      <c r="B468" s="27" t="s">
        <v>438</v>
      </c>
      <c r="C468" s="27" t="s">
        <v>417</v>
      </c>
      <c r="D468" s="25"/>
      <c r="E468" s="25"/>
      <c r="F468" s="25"/>
      <c r="G468" s="25"/>
      <c r="H468" s="25"/>
      <c r="I468" s="25"/>
      <c r="J468" s="27" t="s">
        <v>772</v>
      </c>
      <c r="K468" s="25" t="str">
        <f aca="false">IFERROR(__xludf.dummyfunction("SPLIT(J468,"" "")"),"CIF")</f>
        <v>CIF</v>
      </c>
      <c r="L468" s="28" t="str">
        <f aca="false">IFERROR(__xludf.dummyfunction("""COMPUTED_VALUE"""),"Czechia")</f>
        <v>Czechia</v>
      </c>
      <c r="M468" s="27" t="str">
        <f aca="false">IFERROR(__xludf.dummyfunction("""COMPUTED_VALUE"""),"(Diff)")</f>
        <v>(Diff)</v>
      </c>
      <c r="N468" s="25"/>
      <c r="O468" s="25"/>
      <c r="P468" s="25"/>
      <c r="Q468" s="29" t="s">
        <v>428</v>
      </c>
      <c r="R468" s="8" t="str">
        <f aca="false">B468&amp;" "&amp;C468&amp;" "&amp;D468&amp;" "&amp;E468&amp;" "&amp;G468&amp;" "&amp;H468&amp;" "&amp;J468&amp;" "&amp;N468</f>
        <v>Differentials Solvent     CIF Czechia (Diff) </v>
      </c>
      <c r="S468" s="25"/>
      <c r="T468" s="8"/>
      <c r="U468" s="8"/>
      <c r="V468" s="27" t="s">
        <v>49</v>
      </c>
      <c r="W468" s="25"/>
      <c r="X468" s="25"/>
      <c r="Y468" s="25"/>
      <c r="Z468" s="25"/>
      <c r="AA468" s="25"/>
      <c r="AB468" s="25"/>
      <c r="AC468" s="25"/>
      <c r="AD468" s="25"/>
    </row>
    <row r="469" customFormat="false" ht="15.75" hidden="false" customHeight="false" outlineLevel="0" collapsed="false">
      <c r="A469" s="28" t="s">
        <v>828</v>
      </c>
      <c r="B469" s="27" t="s">
        <v>438</v>
      </c>
      <c r="C469" s="27" t="s">
        <v>417</v>
      </c>
      <c r="D469" s="25"/>
      <c r="E469" s="25"/>
      <c r="F469" s="25"/>
      <c r="G469" s="25"/>
      <c r="H469" s="25"/>
      <c r="I469" s="25"/>
      <c r="J469" s="27" t="s">
        <v>772</v>
      </c>
      <c r="K469" s="25" t="str">
        <f aca="false">IFERROR(__xludf.dummyfunction("SPLIT(J469,"" "")"),"CIF")</f>
        <v>CIF</v>
      </c>
      <c r="L469" s="28" t="str">
        <f aca="false">IFERROR(__xludf.dummyfunction("""COMPUTED_VALUE"""),"Czechia")</f>
        <v>Czechia</v>
      </c>
      <c r="M469" s="27" t="str">
        <f aca="false">IFERROR(__xludf.dummyfunction("""COMPUTED_VALUE"""),"(Diff)")</f>
        <v>(Diff)</v>
      </c>
      <c r="N469" s="25"/>
      <c r="O469" s="25"/>
      <c r="P469" s="25"/>
      <c r="Q469" s="29" t="s">
        <v>426</v>
      </c>
      <c r="R469" s="8" t="str">
        <f aca="false">B469&amp;" "&amp;C469&amp;" "&amp;D469&amp;" "&amp;E469&amp;" "&amp;G469&amp;" "&amp;H469&amp;" "&amp;J469&amp;" "&amp;N469</f>
        <v>Differentials Solvent     CIF Czechia (Diff) </v>
      </c>
      <c r="S469" s="25"/>
      <c r="T469" s="8"/>
      <c r="U469" s="8"/>
      <c r="V469" s="27" t="s">
        <v>49</v>
      </c>
      <c r="W469" s="25"/>
      <c r="X469" s="25"/>
      <c r="Y469" s="25"/>
      <c r="Z469" s="25"/>
      <c r="AA469" s="25"/>
      <c r="AB469" s="25"/>
      <c r="AC469" s="25"/>
      <c r="AD469" s="25"/>
    </row>
    <row r="470" customFormat="false" ht="15.75" hidden="false" customHeight="false" outlineLevel="0" collapsed="false">
      <c r="A470" s="28" t="s">
        <v>829</v>
      </c>
      <c r="B470" s="27" t="s">
        <v>438</v>
      </c>
      <c r="C470" s="27" t="s">
        <v>417</v>
      </c>
      <c r="D470" s="25"/>
      <c r="E470" s="25"/>
      <c r="F470" s="25"/>
      <c r="G470" s="25"/>
      <c r="H470" s="25"/>
      <c r="I470" s="25"/>
      <c r="J470" s="27" t="s">
        <v>772</v>
      </c>
      <c r="K470" s="25" t="str">
        <f aca="false">IFERROR(__xludf.dummyfunction("SPLIT(J470,"" "")"),"CIF")</f>
        <v>CIF</v>
      </c>
      <c r="L470" s="28" t="str">
        <f aca="false">IFERROR(__xludf.dummyfunction("""COMPUTED_VALUE"""),"Czechia")</f>
        <v>Czechia</v>
      </c>
      <c r="M470" s="27" t="str">
        <f aca="false">IFERROR(__xludf.dummyfunction("""COMPUTED_VALUE"""),"(Diff)")</f>
        <v>(Diff)</v>
      </c>
      <c r="N470" s="25"/>
      <c r="O470" s="25"/>
      <c r="P470" s="25"/>
      <c r="Q470" s="29" t="s">
        <v>424</v>
      </c>
      <c r="R470" s="8" t="str">
        <f aca="false">B470&amp;" "&amp;C470&amp;" "&amp;D470&amp;" "&amp;E470&amp;" "&amp;G470&amp;" "&amp;H470&amp;" "&amp;J470&amp;" "&amp;N470</f>
        <v>Differentials Solvent     CIF Czechia (Diff) </v>
      </c>
      <c r="S470" s="25"/>
      <c r="T470" s="8"/>
      <c r="U470" s="8"/>
      <c r="V470" s="27" t="s">
        <v>49</v>
      </c>
      <c r="W470" s="25"/>
      <c r="X470" s="25"/>
      <c r="Y470" s="25"/>
      <c r="Z470" s="25"/>
      <c r="AA470" s="25"/>
      <c r="AB470" s="25"/>
      <c r="AC470" s="25"/>
      <c r="AD470" s="25"/>
    </row>
    <row r="471" customFormat="false" ht="15.75" hidden="false" customHeight="false" outlineLevel="0" collapsed="false">
      <c r="A471" s="28" t="s">
        <v>830</v>
      </c>
      <c r="B471" s="27" t="s">
        <v>438</v>
      </c>
      <c r="C471" s="27" t="s">
        <v>417</v>
      </c>
      <c r="D471" s="25"/>
      <c r="E471" s="25"/>
      <c r="F471" s="25"/>
      <c r="G471" s="25"/>
      <c r="H471" s="25"/>
      <c r="I471" s="25"/>
      <c r="J471" s="27" t="s">
        <v>772</v>
      </c>
      <c r="K471" s="25" t="str">
        <f aca="false">IFERROR(__xludf.dummyfunction("SPLIT(J471,"" "")"),"CIF")</f>
        <v>CIF</v>
      </c>
      <c r="L471" s="28" t="str">
        <f aca="false">IFERROR(__xludf.dummyfunction("""COMPUTED_VALUE"""),"Czechia")</f>
        <v>Czechia</v>
      </c>
      <c r="M471" s="27" t="str">
        <f aca="false">IFERROR(__xludf.dummyfunction("""COMPUTED_VALUE"""),"(Diff)")</f>
        <v>(Diff)</v>
      </c>
      <c r="N471" s="25"/>
      <c r="O471" s="25"/>
      <c r="P471" s="25"/>
      <c r="Q471" s="29" t="s">
        <v>422</v>
      </c>
      <c r="R471" s="8" t="str">
        <f aca="false">B471&amp;" "&amp;C471&amp;" "&amp;D471&amp;" "&amp;E471&amp;" "&amp;G471&amp;" "&amp;H471&amp;" "&amp;J471&amp;" "&amp;N471</f>
        <v>Differentials Solvent     CIF Czechia (Diff) </v>
      </c>
      <c r="S471" s="25"/>
      <c r="T471" s="8"/>
      <c r="U471" s="8"/>
      <c r="V471" s="27" t="s">
        <v>49</v>
      </c>
      <c r="W471" s="25"/>
      <c r="X471" s="25"/>
      <c r="Y471" s="25"/>
      <c r="Z471" s="25"/>
      <c r="AA471" s="25"/>
      <c r="AB471" s="25"/>
      <c r="AC471" s="25"/>
      <c r="AD471" s="25"/>
    </row>
    <row r="472" customFormat="false" ht="15.75" hidden="false" customHeight="false" outlineLevel="0" collapsed="false">
      <c r="A472" s="28" t="s">
        <v>831</v>
      </c>
      <c r="B472" s="27" t="s">
        <v>438</v>
      </c>
      <c r="C472" s="27" t="s">
        <v>417</v>
      </c>
      <c r="D472" s="25"/>
      <c r="E472" s="25"/>
      <c r="F472" s="25"/>
      <c r="G472" s="25"/>
      <c r="H472" s="25"/>
      <c r="I472" s="25"/>
      <c r="J472" s="27" t="s">
        <v>772</v>
      </c>
      <c r="K472" s="25" t="str">
        <f aca="false">IFERROR(__xludf.dummyfunction("SPLIT(J472,"" "")"),"CIF")</f>
        <v>CIF</v>
      </c>
      <c r="L472" s="28" t="str">
        <f aca="false">IFERROR(__xludf.dummyfunction("""COMPUTED_VALUE"""),"Czechia")</f>
        <v>Czechia</v>
      </c>
      <c r="M472" s="27" t="str">
        <f aca="false">IFERROR(__xludf.dummyfunction("""COMPUTED_VALUE"""),"(Diff)")</f>
        <v>(Diff)</v>
      </c>
      <c r="N472" s="25"/>
      <c r="O472" s="25"/>
      <c r="P472" s="25"/>
      <c r="Q472" s="29" t="s">
        <v>420</v>
      </c>
      <c r="R472" s="8" t="str">
        <f aca="false">B472&amp;" "&amp;C472&amp;" "&amp;D472&amp;" "&amp;E472&amp;" "&amp;G472&amp;" "&amp;H472&amp;" "&amp;J472&amp;" "&amp;N472</f>
        <v>Differentials Solvent     CIF Czechia (Diff) </v>
      </c>
      <c r="S472" s="25"/>
      <c r="T472" s="8"/>
      <c r="U472" s="8"/>
      <c r="V472" s="27" t="s">
        <v>49</v>
      </c>
      <c r="W472" s="25"/>
      <c r="X472" s="25"/>
      <c r="Y472" s="25"/>
      <c r="Z472" s="25"/>
      <c r="AA472" s="25"/>
      <c r="AB472" s="25"/>
      <c r="AC472" s="25"/>
      <c r="AD472" s="25"/>
    </row>
    <row r="473" customFormat="false" ht="15.75" hidden="false" customHeight="false" outlineLevel="0" collapsed="false">
      <c r="A473" s="28" t="s">
        <v>832</v>
      </c>
      <c r="B473" s="27" t="s">
        <v>438</v>
      </c>
      <c r="C473" s="27" t="s">
        <v>417</v>
      </c>
      <c r="D473" s="25"/>
      <c r="E473" s="25"/>
      <c r="F473" s="25"/>
      <c r="G473" s="25"/>
      <c r="H473" s="25"/>
      <c r="I473" s="25"/>
      <c r="J473" s="27" t="s">
        <v>772</v>
      </c>
      <c r="K473" s="25" t="str">
        <f aca="false">IFERROR(__xludf.dummyfunction("SPLIT(J473,"" "")"),"CIF")</f>
        <v>CIF</v>
      </c>
      <c r="L473" s="28" t="str">
        <f aca="false">IFERROR(__xludf.dummyfunction("""COMPUTED_VALUE"""),"Czechia")</f>
        <v>Czechia</v>
      </c>
      <c r="M473" s="27" t="str">
        <f aca="false">IFERROR(__xludf.dummyfunction("""COMPUTED_VALUE"""),"(Diff)")</f>
        <v>(Diff)</v>
      </c>
      <c r="N473" s="25"/>
      <c r="O473" s="25"/>
      <c r="P473" s="25"/>
      <c r="Q473" s="29" t="s">
        <v>418</v>
      </c>
      <c r="R473" s="8" t="str">
        <f aca="false">B473&amp;" "&amp;C473&amp;" "&amp;D473&amp;" "&amp;E473&amp;" "&amp;G473&amp;" "&amp;H473&amp;" "&amp;J473&amp;" "&amp;N473</f>
        <v>Differentials Solvent     CIF Czechia (Diff) </v>
      </c>
      <c r="S473" s="25"/>
      <c r="T473" s="8"/>
      <c r="U473" s="8"/>
      <c r="V473" s="27" t="s">
        <v>49</v>
      </c>
      <c r="W473" s="25"/>
      <c r="X473" s="25"/>
      <c r="Y473" s="25"/>
      <c r="Z473" s="25"/>
      <c r="AA473" s="25"/>
      <c r="AB473" s="25"/>
      <c r="AC473" s="25"/>
      <c r="AD473" s="25"/>
    </row>
    <row r="474" customFormat="false" ht="15.75" hidden="false" customHeight="false" outlineLevel="0" collapsed="false">
      <c r="A474" s="28" t="s">
        <v>833</v>
      </c>
      <c r="B474" s="27" t="s">
        <v>438</v>
      </c>
      <c r="C474" s="27" t="s">
        <v>408</v>
      </c>
      <c r="D474" s="25"/>
      <c r="E474" s="25"/>
      <c r="F474" s="25"/>
      <c r="G474" s="25"/>
      <c r="H474" s="25"/>
      <c r="I474" s="25"/>
      <c r="J474" s="27" t="s">
        <v>834</v>
      </c>
      <c r="K474" s="25" t="str">
        <f aca="false">IFERROR(__xludf.dummyfunction("SPLIT(J474,"" "")"),"CIF")</f>
        <v>CIF</v>
      </c>
      <c r="L474" s="8" t="str">
        <f aca="false">IFERROR(__xludf.dummyfunction("""COMPUTED_VALUE"""),"Europe")</f>
        <v>Europe</v>
      </c>
      <c r="M474" s="25" t="s">
        <v>835</v>
      </c>
      <c r="N474" s="25"/>
      <c r="O474" s="25"/>
      <c r="P474" s="25"/>
      <c r="Q474" s="29" t="s">
        <v>836</v>
      </c>
      <c r="R474" s="8" t="str">
        <f aca="false">B474&amp;" "&amp;C474&amp;" "&amp;D474&amp;" "&amp;E474&amp;" "&amp;G474&amp;" "&amp;H474&amp;" "&amp;J474&amp;" "&amp;N474</f>
        <v>Differentials Rare Earths     CIF Europe </v>
      </c>
      <c r="S474" s="25"/>
      <c r="T474" s="8"/>
      <c r="U474" s="8"/>
      <c r="V474" s="27" t="s">
        <v>49</v>
      </c>
      <c r="W474" s="25"/>
      <c r="X474" s="25"/>
      <c r="Y474" s="25"/>
      <c r="Z474" s="25"/>
      <c r="AA474" s="25"/>
      <c r="AB474" s="25"/>
      <c r="AC474" s="25"/>
      <c r="AD474" s="25"/>
    </row>
    <row r="475" customFormat="false" ht="15.75" hidden="false" customHeight="false" outlineLevel="0" collapsed="false">
      <c r="A475" s="28" t="s">
        <v>837</v>
      </c>
      <c r="B475" s="27" t="s">
        <v>438</v>
      </c>
      <c r="C475" s="27" t="s">
        <v>408</v>
      </c>
      <c r="D475" s="25"/>
      <c r="E475" s="25"/>
      <c r="F475" s="25"/>
      <c r="G475" s="25"/>
      <c r="H475" s="25"/>
      <c r="I475" s="25"/>
      <c r="J475" s="27" t="s">
        <v>834</v>
      </c>
      <c r="K475" s="25" t="str">
        <f aca="false">IFERROR(__xludf.dummyfunction("SPLIT(J475,"" "")"),"CIF")</f>
        <v>CIF</v>
      </c>
      <c r="L475" s="8" t="str">
        <f aca="false">IFERROR(__xludf.dummyfunction("""COMPUTED_VALUE"""),"Europe")</f>
        <v>Europe</v>
      </c>
      <c r="M475" s="25" t="s">
        <v>835</v>
      </c>
      <c r="N475" s="25"/>
      <c r="O475" s="25"/>
      <c r="P475" s="25"/>
      <c r="Q475" s="29" t="s">
        <v>413</v>
      </c>
      <c r="R475" s="8" t="str">
        <f aca="false">B475&amp;" "&amp;C475&amp;" "&amp;D475&amp;" "&amp;E475&amp;" "&amp;G475&amp;" "&amp;H475&amp;" "&amp;J475&amp;" "&amp;N475</f>
        <v>Differentials Rare Earths     CIF Europe </v>
      </c>
      <c r="S475" s="25"/>
      <c r="T475" s="8"/>
      <c r="U475" s="8"/>
      <c r="V475" s="27" t="s">
        <v>49</v>
      </c>
      <c r="W475" s="25"/>
      <c r="X475" s="25"/>
      <c r="Y475" s="25"/>
      <c r="Z475" s="25"/>
      <c r="AA475" s="25"/>
      <c r="AB475" s="25"/>
      <c r="AC475" s="25"/>
      <c r="AD475" s="25"/>
    </row>
    <row r="476" customFormat="false" ht="15.75" hidden="false" customHeight="false" outlineLevel="0" collapsed="false">
      <c r="A476" s="28" t="s">
        <v>838</v>
      </c>
      <c r="B476" s="27" t="s">
        <v>438</v>
      </c>
      <c r="C476" s="27" t="s">
        <v>408</v>
      </c>
      <c r="D476" s="25"/>
      <c r="E476" s="25"/>
      <c r="F476" s="25"/>
      <c r="G476" s="25"/>
      <c r="H476" s="25"/>
      <c r="I476" s="25"/>
      <c r="J476" s="27" t="s">
        <v>834</v>
      </c>
      <c r="K476" s="25" t="str">
        <f aca="false">IFERROR(__xludf.dummyfunction("SPLIT(J476,"" "")"),"CIF")</f>
        <v>CIF</v>
      </c>
      <c r="L476" s="8" t="str">
        <f aca="false">IFERROR(__xludf.dummyfunction("""COMPUTED_VALUE"""),"Europe")</f>
        <v>Europe</v>
      </c>
      <c r="M476" s="25" t="s">
        <v>835</v>
      </c>
      <c r="N476" s="25"/>
      <c r="O476" s="25"/>
      <c r="P476" s="25"/>
      <c r="Q476" s="29" t="s">
        <v>409</v>
      </c>
      <c r="R476" s="8" t="str">
        <f aca="false">B476&amp;" "&amp;C476&amp;" "&amp;D476&amp;" "&amp;E476&amp;" "&amp;G476&amp;" "&amp;H476&amp;" "&amp;J476&amp;" "&amp;N476</f>
        <v>Differentials Rare Earths     CIF Europe </v>
      </c>
      <c r="S476" s="25"/>
      <c r="T476" s="8"/>
      <c r="U476" s="8"/>
      <c r="V476" s="27" t="s">
        <v>49</v>
      </c>
      <c r="W476" s="25"/>
      <c r="X476" s="25"/>
      <c r="Y476" s="25"/>
      <c r="Z476" s="25"/>
      <c r="AA476" s="25"/>
      <c r="AB476" s="25"/>
      <c r="AC476" s="25"/>
      <c r="AD476" s="25"/>
    </row>
    <row r="477" customFormat="false" ht="15.75" hidden="false" customHeight="false" outlineLevel="0" collapsed="false">
      <c r="A477" s="28" t="s">
        <v>839</v>
      </c>
      <c r="B477" s="27" t="s">
        <v>438</v>
      </c>
      <c r="C477" s="27" t="s">
        <v>273</v>
      </c>
      <c r="D477" s="25"/>
      <c r="E477" s="25"/>
      <c r="F477" s="25"/>
      <c r="G477" s="25"/>
      <c r="H477" s="25"/>
      <c r="I477" s="25"/>
      <c r="J477" s="27" t="s">
        <v>840</v>
      </c>
      <c r="K477" s="35" t="str">
        <f aca="false">IFERROR(__xludf.dummyfunction("SPLIT(J477,"" "")"),"#REF!")</f>
        <v>#REF!</v>
      </c>
      <c r="L477" s="8"/>
      <c r="M477" s="25" t="s">
        <v>835</v>
      </c>
      <c r="N477" s="25"/>
      <c r="O477" s="25"/>
      <c r="P477" s="25"/>
      <c r="Q477" s="29" t="s">
        <v>274</v>
      </c>
      <c r="R477" s="8" t="str">
        <f aca="false">B477&amp;" "&amp;C477&amp;" "&amp;D477&amp;" "&amp;E477&amp;" "&amp;G477&amp;" "&amp;H477&amp;" "&amp;J477&amp;" "&amp;N477</f>
        <v>Differentials Cobalt     CIF Europe (Diff) </v>
      </c>
      <c r="S477" s="25"/>
      <c r="T477" s="8"/>
      <c r="U477" s="8"/>
      <c r="V477" s="27" t="s">
        <v>49</v>
      </c>
      <c r="W477" s="25"/>
      <c r="X477" s="25"/>
      <c r="Y477" s="25"/>
      <c r="Z477" s="25"/>
      <c r="AA477" s="25"/>
      <c r="AB477" s="25"/>
      <c r="AC477" s="25"/>
      <c r="AD477" s="25"/>
    </row>
    <row r="478" customFormat="false" ht="15.75" hidden="false" customHeight="false" outlineLevel="0" collapsed="false">
      <c r="A478" s="28" t="s">
        <v>841</v>
      </c>
      <c r="B478" s="27" t="s">
        <v>438</v>
      </c>
      <c r="C478" s="27" t="s">
        <v>273</v>
      </c>
      <c r="D478" s="25"/>
      <c r="E478" s="25"/>
      <c r="F478" s="25"/>
      <c r="G478" s="25"/>
      <c r="H478" s="25"/>
      <c r="I478" s="25"/>
      <c r="J478" s="27" t="s">
        <v>840</v>
      </c>
      <c r="K478" s="35" t="str">
        <f aca="false">IFERROR(__xludf.dummyfunction("SPLIT(J478,"" "")"),"#REF!")</f>
        <v>#REF!</v>
      </c>
      <c r="L478" s="8"/>
      <c r="M478" s="25" t="s">
        <v>835</v>
      </c>
      <c r="N478" s="25"/>
      <c r="O478" s="25"/>
      <c r="P478" s="25"/>
      <c r="Q478" s="29" t="s">
        <v>282</v>
      </c>
      <c r="R478" s="8" t="str">
        <f aca="false">B478&amp;" "&amp;C478&amp;" "&amp;D478&amp;" "&amp;E478&amp;" "&amp;G478&amp;" "&amp;H478&amp;" "&amp;J478&amp;" "&amp;N478</f>
        <v>Differentials Cobalt     CIF Europe (Diff) </v>
      </c>
      <c r="S478" s="25"/>
      <c r="T478" s="8"/>
      <c r="U478" s="8"/>
      <c r="V478" s="27" t="s">
        <v>49</v>
      </c>
      <c r="W478" s="25"/>
      <c r="X478" s="25"/>
      <c r="Y478" s="25"/>
      <c r="Z478" s="25"/>
      <c r="AA478" s="25"/>
      <c r="AB478" s="25"/>
      <c r="AC478" s="25"/>
      <c r="AD478" s="25"/>
    </row>
    <row r="479" customFormat="false" ht="15.75" hidden="false" customHeight="false" outlineLevel="0" collapsed="false">
      <c r="A479" s="28" t="s">
        <v>842</v>
      </c>
      <c r="B479" s="27" t="s">
        <v>438</v>
      </c>
      <c r="C479" s="27" t="s">
        <v>273</v>
      </c>
      <c r="D479" s="25"/>
      <c r="E479" s="25"/>
      <c r="F479" s="25"/>
      <c r="G479" s="25"/>
      <c r="H479" s="25"/>
      <c r="I479" s="25"/>
      <c r="J479" s="27" t="s">
        <v>840</v>
      </c>
      <c r="K479" s="35" t="str">
        <f aca="false">IFERROR(__xludf.dummyfunction("SPLIT(J479,"" "")"),"#REF!")</f>
        <v>#REF!</v>
      </c>
      <c r="L479" s="8"/>
      <c r="M479" s="25" t="s">
        <v>835</v>
      </c>
      <c r="N479" s="25"/>
      <c r="O479" s="25"/>
      <c r="P479" s="25"/>
      <c r="Q479" s="29" t="s">
        <v>280</v>
      </c>
      <c r="R479" s="8" t="str">
        <f aca="false">B479&amp;" "&amp;C479&amp;" "&amp;D479&amp;" "&amp;E479&amp;" "&amp;G479&amp;" "&amp;H479&amp;" "&amp;J479&amp;" "&amp;N479</f>
        <v>Differentials Cobalt     CIF Europe (Diff) </v>
      </c>
      <c r="S479" s="25"/>
      <c r="T479" s="8"/>
      <c r="U479" s="8"/>
      <c r="V479" s="27" t="s">
        <v>49</v>
      </c>
      <c r="W479" s="25"/>
      <c r="X479" s="25"/>
      <c r="Y479" s="25"/>
      <c r="Z479" s="25"/>
      <c r="AA479" s="25"/>
      <c r="AB479" s="25"/>
      <c r="AC479" s="25"/>
      <c r="AD479" s="25"/>
    </row>
    <row r="480" customFormat="false" ht="15.75" hidden="false" customHeight="false" outlineLevel="0" collapsed="false">
      <c r="A480" s="28" t="s">
        <v>843</v>
      </c>
      <c r="B480" s="27" t="s">
        <v>438</v>
      </c>
      <c r="C480" s="27" t="s">
        <v>273</v>
      </c>
      <c r="D480" s="25"/>
      <c r="E480" s="25"/>
      <c r="F480" s="25"/>
      <c r="G480" s="25"/>
      <c r="H480" s="25"/>
      <c r="I480" s="25"/>
      <c r="J480" s="27" t="s">
        <v>840</v>
      </c>
      <c r="K480" s="35" t="str">
        <f aca="false">IFERROR(__xludf.dummyfunction("SPLIT(J480,"" "")"),"#REF!")</f>
        <v>#REF!</v>
      </c>
      <c r="L480" s="8"/>
      <c r="M480" s="25" t="s">
        <v>835</v>
      </c>
      <c r="N480" s="25"/>
      <c r="O480" s="25"/>
      <c r="P480" s="25"/>
      <c r="Q480" s="29" t="s">
        <v>278</v>
      </c>
      <c r="R480" s="8" t="str">
        <f aca="false">B480&amp;" "&amp;C480&amp;" "&amp;D480&amp;" "&amp;E480&amp;" "&amp;G480&amp;" "&amp;H480&amp;" "&amp;J480&amp;" "&amp;N480</f>
        <v>Differentials Cobalt     CIF Europe (Diff) </v>
      </c>
      <c r="S480" s="25"/>
      <c r="T480" s="8"/>
      <c r="U480" s="8"/>
      <c r="V480" s="27" t="s">
        <v>49</v>
      </c>
      <c r="W480" s="25"/>
      <c r="X480" s="25"/>
      <c r="Y480" s="25"/>
      <c r="Z480" s="25"/>
      <c r="AA480" s="25"/>
      <c r="AB480" s="25"/>
      <c r="AC480" s="25"/>
      <c r="AD480" s="25"/>
    </row>
    <row r="481" customFormat="false" ht="15.75" hidden="false" customHeight="false" outlineLevel="0" collapsed="false">
      <c r="A481" s="28" t="s">
        <v>844</v>
      </c>
      <c r="B481" s="27" t="s">
        <v>438</v>
      </c>
      <c r="C481" s="27" t="s">
        <v>273</v>
      </c>
      <c r="D481" s="25"/>
      <c r="E481" s="25"/>
      <c r="F481" s="25"/>
      <c r="G481" s="25"/>
      <c r="H481" s="25"/>
      <c r="I481" s="25"/>
      <c r="J481" s="27" t="s">
        <v>840</v>
      </c>
      <c r="K481" s="35" t="str">
        <f aca="false">IFERROR(__xludf.dummyfunction("SPLIT(J481,"" "")"),"#REF!")</f>
        <v>#REF!</v>
      </c>
      <c r="L481" s="8"/>
      <c r="M481" s="25" t="s">
        <v>835</v>
      </c>
      <c r="N481" s="25"/>
      <c r="O481" s="25"/>
      <c r="P481" s="25"/>
      <c r="Q481" s="29" t="s">
        <v>276</v>
      </c>
      <c r="R481" s="8" t="str">
        <f aca="false">B481&amp;" "&amp;C481&amp;" "&amp;D481&amp;" "&amp;E481&amp;" "&amp;G481&amp;" "&amp;H481&amp;" "&amp;J481&amp;" "&amp;N481</f>
        <v>Differentials Cobalt     CIF Europe (Diff) </v>
      </c>
      <c r="S481" s="25"/>
      <c r="T481" s="8"/>
      <c r="U481" s="8"/>
      <c r="V481" s="27" t="s">
        <v>49</v>
      </c>
      <c r="W481" s="25"/>
      <c r="X481" s="25"/>
      <c r="Y481" s="25"/>
      <c r="Z481" s="25"/>
      <c r="AA481" s="25"/>
      <c r="AB481" s="25"/>
      <c r="AC481" s="25"/>
      <c r="AD481" s="25"/>
    </row>
    <row r="482" customFormat="false" ht="15.75" hidden="false" customHeight="false" outlineLevel="0" collapsed="false">
      <c r="A482" s="28" t="s">
        <v>845</v>
      </c>
      <c r="B482" s="27" t="s">
        <v>438</v>
      </c>
      <c r="C482" s="27" t="s">
        <v>370</v>
      </c>
      <c r="D482" s="25"/>
      <c r="E482" s="25"/>
      <c r="F482" s="25"/>
      <c r="G482" s="25"/>
      <c r="H482" s="25"/>
      <c r="I482" s="25"/>
      <c r="J482" s="27" t="s">
        <v>840</v>
      </c>
      <c r="K482" s="35" t="str">
        <f aca="false">IFERROR(__xludf.dummyfunction("SPLIT(J482,"" "")"),"#REF!")</f>
        <v>#REF!</v>
      </c>
      <c r="L482" s="8"/>
      <c r="M482" s="25" t="s">
        <v>835</v>
      </c>
      <c r="N482" s="25"/>
      <c r="O482" s="25"/>
      <c r="P482" s="25"/>
      <c r="Q482" s="29" t="s">
        <v>374</v>
      </c>
      <c r="R482" s="8" t="str">
        <f aca="false">B482&amp;" "&amp;C482&amp;" "&amp;D482&amp;" "&amp;E482&amp;" "&amp;G482&amp;" "&amp;H482&amp;" "&amp;J482&amp;" "&amp;N482</f>
        <v>Differentials Manganese     CIF Europe (Diff) </v>
      </c>
      <c r="S482" s="25"/>
      <c r="T482" s="8"/>
      <c r="U482" s="8"/>
      <c r="V482" s="27" t="s">
        <v>49</v>
      </c>
      <c r="W482" s="25"/>
      <c r="X482" s="25"/>
      <c r="Y482" s="25"/>
      <c r="Z482" s="25"/>
      <c r="AA482" s="25"/>
      <c r="AB482" s="25"/>
      <c r="AC482" s="25"/>
      <c r="AD482" s="25"/>
    </row>
    <row r="483" customFormat="false" ht="15.75" hidden="false" customHeight="false" outlineLevel="0" collapsed="false">
      <c r="A483" s="28" t="s">
        <v>846</v>
      </c>
      <c r="B483" s="27" t="s">
        <v>438</v>
      </c>
      <c r="C483" s="27" t="s">
        <v>370</v>
      </c>
      <c r="D483" s="25"/>
      <c r="E483" s="25"/>
      <c r="F483" s="25"/>
      <c r="G483" s="25"/>
      <c r="H483" s="25"/>
      <c r="I483" s="25"/>
      <c r="J483" s="27" t="s">
        <v>840</v>
      </c>
      <c r="K483" s="35" t="str">
        <f aca="false">IFERROR(__xludf.dummyfunction("SPLIT(J483,"" "")"),"#REF!")</f>
        <v>#REF!</v>
      </c>
      <c r="L483" s="8"/>
      <c r="M483" s="25" t="s">
        <v>835</v>
      </c>
      <c r="N483" s="25"/>
      <c r="O483" s="25"/>
      <c r="P483" s="25"/>
      <c r="Q483" s="29" t="s">
        <v>371</v>
      </c>
      <c r="R483" s="8" t="str">
        <f aca="false">B483&amp;" "&amp;C483&amp;" "&amp;D483&amp;" "&amp;E483&amp;" "&amp;G483&amp;" "&amp;H483&amp;" "&amp;J483&amp;" "&amp;N483</f>
        <v>Differentials Manganese     CIF Europe (Diff) </v>
      </c>
      <c r="S483" s="25"/>
      <c r="T483" s="8"/>
      <c r="U483" s="8"/>
      <c r="V483" s="27" t="s">
        <v>49</v>
      </c>
      <c r="W483" s="25"/>
      <c r="X483" s="25"/>
      <c r="Y483" s="25"/>
      <c r="Z483" s="25"/>
      <c r="AA483" s="25"/>
      <c r="AB483" s="25"/>
      <c r="AC483" s="25"/>
      <c r="AD483" s="25"/>
    </row>
    <row r="484" customFormat="false" ht="15.75" hidden="false" customHeight="false" outlineLevel="0" collapsed="false">
      <c r="A484" s="28" t="s">
        <v>847</v>
      </c>
      <c r="B484" s="27" t="s">
        <v>438</v>
      </c>
      <c r="C484" s="27" t="s">
        <v>376</v>
      </c>
      <c r="D484" s="25"/>
      <c r="E484" s="25"/>
      <c r="F484" s="25"/>
      <c r="G484" s="25"/>
      <c r="H484" s="25"/>
      <c r="I484" s="25"/>
      <c r="J484" s="27" t="s">
        <v>840</v>
      </c>
      <c r="K484" s="35" t="str">
        <f aca="false">IFERROR(__xludf.dummyfunction("SPLIT(J484,"" "")"),"#REF!")</f>
        <v>#REF!</v>
      </c>
      <c r="L484" s="8"/>
      <c r="M484" s="25" t="s">
        <v>835</v>
      </c>
      <c r="N484" s="25"/>
      <c r="O484" s="25"/>
      <c r="P484" s="25"/>
      <c r="Q484" s="29" t="s">
        <v>381</v>
      </c>
      <c r="R484" s="8" t="str">
        <f aca="false">B484&amp;" "&amp;C484&amp;" "&amp;D484&amp;" "&amp;E484&amp;" "&amp;G484&amp;" "&amp;H484&amp;" "&amp;J484&amp;" "&amp;N484</f>
        <v>Differentials Nickel     CIF Europe (Diff) </v>
      </c>
      <c r="S484" s="25"/>
      <c r="T484" s="8"/>
      <c r="U484" s="8"/>
      <c r="V484" s="27" t="s">
        <v>49</v>
      </c>
      <c r="W484" s="25"/>
      <c r="X484" s="25"/>
      <c r="Y484" s="25"/>
      <c r="Z484" s="25"/>
      <c r="AA484" s="25"/>
      <c r="AB484" s="25"/>
      <c r="AC484" s="25"/>
      <c r="AD484" s="25"/>
    </row>
    <row r="485" customFormat="false" ht="15.75" hidden="false" customHeight="false" outlineLevel="0" collapsed="false">
      <c r="A485" s="28" t="s">
        <v>848</v>
      </c>
      <c r="B485" s="27" t="s">
        <v>438</v>
      </c>
      <c r="C485" s="27" t="s">
        <v>376</v>
      </c>
      <c r="D485" s="25"/>
      <c r="E485" s="25"/>
      <c r="F485" s="25"/>
      <c r="G485" s="25"/>
      <c r="H485" s="25"/>
      <c r="I485" s="25"/>
      <c r="J485" s="27" t="s">
        <v>840</v>
      </c>
      <c r="K485" s="35" t="str">
        <f aca="false">IFERROR(__xludf.dummyfunction("SPLIT(J485,"" "")"),"#REF!")</f>
        <v>#REF!</v>
      </c>
      <c r="L485" s="8"/>
      <c r="M485" s="25" t="s">
        <v>835</v>
      </c>
      <c r="N485" s="25"/>
      <c r="O485" s="25"/>
      <c r="P485" s="25"/>
      <c r="Q485" s="29" t="s">
        <v>379</v>
      </c>
      <c r="R485" s="8" t="str">
        <f aca="false">B485&amp;" "&amp;C485&amp;" "&amp;D485&amp;" "&amp;E485&amp;" "&amp;G485&amp;" "&amp;H485&amp;" "&amp;J485&amp;" "&amp;N485</f>
        <v>Differentials Nickel     CIF Europe (Diff) </v>
      </c>
      <c r="S485" s="25"/>
      <c r="T485" s="8"/>
      <c r="U485" s="8"/>
      <c r="V485" s="27" t="s">
        <v>49</v>
      </c>
      <c r="W485" s="25"/>
      <c r="X485" s="25"/>
      <c r="Y485" s="25"/>
      <c r="Z485" s="25"/>
      <c r="AA485" s="25"/>
      <c r="AB485" s="25"/>
      <c r="AC485" s="25"/>
      <c r="AD485" s="25"/>
    </row>
    <row r="486" customFormat="false" ht="15.75" hidden="false" customHeight="false" outlineLevel="0" collapsed="false">
      <c r="A486" s="28" t="s">
        <v>849</v>
      </c>
      <c r="B486" s="27" t="s">
        <v>438</v>
      </c>
      <c r="C486" s="27" t="s">
        <v>376</v>
      </c>
      <c r="D486" s="25"/>
      <c r="E486" s="25"/>
      <c r="F486" s="25"/>
      <c r="G486" s="25"/>
      <c r="H486" s="25"/>
      <c r="I486" s="25"/>
      <c r="J486" s="27" t="s">
        <v>840</v>
      </c>
      <c r="K486" s="35" t="str">
        <f aca="false">IFERROR(__xludf.dummyfunction("SPLIT(J486,"" "")"),"#REF!")</f>
        <v>#REF!</v>
      </c>
      <c r="L486" s="8"/>
      <c r="M486" s="25" t="s">
        <v>835</v>
      </c>
      <c r="N486" s="25"/>
      <c r="O486" s="25"/>
      <c r="P486" s="25"/>
      <c r="Q486" s="29" t="s">
        <v>377</v>
      </c>
      <c r="R486" s="8" t="str">
        <f aca="false">B486&amp;" "&amp;C486&amp;" "&amp;D486&amp;" "&amp;E486&amp;" "&amp;G486&amp;" "&amp;H486&amp;" "&amp;J486&amp;" "&amp;N486</f>
        <v>Differentials Nickel     CIF Europe (Diff) </v>
      </c>
      <c r="S486" s="25"/>
      <c r="T486" s="8"/>
      <c r="U486" s="8"/>
      <c r="V486" s="27" t="s">
        <v>49</v>
      </c>
      <c r="W486" s="25"/>
      <c r="X486" s="25"/>
      <c r="Y486" s="25"/>
      <c r="Z486" s="25"/>
      <c r="AA486" s="25"/>
      <c r="AB486" s="25"/>
      <c r="AC486" s="25"/>
      <c r="AD486" s="25"/>
    </row>
    <row r="487" customFormat="false" ht="15.75" hidden="false" customHeight="false" outlineLevel="0" collapsed="false">
      <c r="A487" s="28" t="s">
        <v>850</v>
      </c>
      <c r="B487" s="27" t="s">
        <v>438</v>
      </c>
      <c r="C487" s="27" t="s">
        <v>168</v>
      </c>
      <c r="D487" s="25"/>
      <c r="E487" s="25"/>
      <c r="F487" s="25"/>
      <c r="G487" s="25"/>
      <c r="H487" s="25"/>
      <c r="I487" s="25"/>
      <c r="J487" s="27" t="s">
        <v>851</v>
      </c>
      <c r="K487" s="25" t="str">
        <f aca="false">IFERROR(__xludf.dummyfunction("SPLIT(J487,"" "")"),"CIF")</f>
        <v>CIF</v>
      </c>
      <c r="L487" s="28" t="str">
        <f aca="false">IFERROR(__xludf.dummyfunction("""COMPUTED_VALUE"""),"Finland")</f>
        <v>Finland</v>
      </c>
      <c r="M487" s="27" t="str">
        <f aca="false">IFERROR(__xludf.dummyfunction("""COMPUTED_VALUE"""),"(Diff)")</f>
        <v>(Diff)</v>
      </c>
      <c r="N487" s="25"/>
      <c r="O487" s="25"/>
      <c r="P487" s="25"/>
      <c r="Q487" s="29" t="s">
        <v>175</v>
      </c>
      <c r="R487" s="8" t="str">
        <f aca="false">B487&amp;" "&amp;C487&amp;" "&amp;D487&amp;" "&amp;E487&amp;" "&amp;G487&amp;" "&amp;H487&amp;" "&amp;J487&amp;" "&amp;N487</f>
        <v>Differentials Aluminium (Battery Grade)     CIF Finland (Diff) </v>
      </c>
      <c r="S487" s="25"/>
      <c r="T487" s="8"/>
      <c r="U487" s="8"/>
      <c r="V487" s="27" t="s">
        <v>49</v>
      </c>
      <c r="W487" s="25"/>
      <c r="X487" s="25"/>
      <c r="Y487" s="25"/>
      <c r="Z487" s="25"/>
      <c r="AA487" s="25"/>
      <c r="AB487" s="25"/>
      <c r="AC487" s="25"/>
      <c r="AD487" s="25"/>
    </row>
    <row r="488" customFormat="false" ht="15.75" hidden="false" customHeight="false" outlineLevel="0" collapsed="false">
      <c r="A488" s="28" t="s">
        <v>852</v>
      </c>
      <c r="B488" s="27" t="s">
        <v>438</v>
      </c>
      <c r="C488" s="27" t="s">
        <v>168</v>
      </c>
      <c r="D488" s="25"/>
      <c r="E488" s="25"/>
      <c r="F488" s="25"/>
      <c r="G488" s="25"/>
      <c r="H488" s="25"/>
      <c r="I488" s="25"/>
      <c r="J488" s="27" t="s">
        <v>851</v>
      </c>
      <c r="K488" s="25" t="str">
        <f aca="false">IFERROR(__xludf.dummyfunction("SPLIT(J488,"" "")"),"CIF")</f>
        <v>CIF</v>
      </c>
      <c r="L488" s="28" t="str">
        <f aca="false">IFERROR(__xludf.dummyfunction("""COMPUTED_VALUE"""),"Finland")</f>
        <v>Finland</v>
      </c>
      <c r="M488" s="27" t="str">
        <f aca="false">IFERROR(__xludf.dummyfunction("""COMPUTED_VALUE"""),"(Diff)")</f>
        <v>(Diff)</v>
      </c>
      <c r="N488" s="25"/>
      <c r="O488" s="25"/>
      <c r="P488" s="25"/>
      <c r="Q488" s="29" t="s">
        <v>173</v>
      </c>
      <c r="R488" s="8" t="str">
        <f aca="false">B488&amp;" "&amp;C488&amp;" "&amp;D488&amp;" "&amp;E488&amp;" "&amp;G488&amp;" "&amp;H488&amp;" "&amp;J488&amp;" "&amp;N488</f>
        <v>Differentials Aluminium (Battery Grade)     CIF Finland (Diff) </v>
      </c>
      <c r="S488" s="25"/>
      <c r="T488" s="8"/>
      <c r="U488" s="8"/>
      <c r="V488" s="27" t="s">
        <v>49</v>
      </c>
      <c r="W488" s="25"/>
      <c r="X488" s="25"/>
      <c r="Y488" s="25"/>
      <c r="Z488" s="25"/>
      <c r="AA488" s="25"/>
      <c r="AB488" s="25"/>
      <c r="AC488" s="25"/>
      <c r="AD488" s="25"/>
    </row>
    <row r="489" customFormat="false" ht="15.75" hidden="false" customHeight="false" outlineLevel="0" collapsed="false">
      <c r="A489" s="28" t="s">
        <v>853</v>
      </c>
      <c r="B489" s="27" t="s">
        <v>438</v>
      </c>
      <c r="C489" s="27" t="s">
        <v>168</v>
      </c>
      <c r="D489" s="25"/>
      <c r="E489" s="25"/>
      <c r="F489" s="25"/>
      <c r="G489" s="25"/>
      <c r="H489" s="25"/>
      <c r="I489" s="25"/>
      <c r="J489" s="27" t="s">
        <v>851</v>
      </c>
      <c r="K489" s="25" t="str">
        <f aca="false">IFERROR(__xludf.dummyfunction("SPLIT(J489,"" "")"),"CIF")</f>
        <v>CIF</v>
      </c>
      <c r="L489" s="28" t="str">
        <f aca="false">IFERROR(__xludf.dummyfunction("""COMPUTED_VALUE"""),"Finland")</f>
        <v>Finland</v>
      </c>
      <c r="M489" s="27" t="str">
        <f aca="false">IFERROR(__xludf.dummyfunction("""COMPUTED_VALUE"""),"(Diff)")</f>
        <v>(Diff)</v>
      </c>
      <c r="N489" s="25"/>
      <c r="O489" s="25"/>
      <c r="P489" s="25"/>
      <c r="Q489" s="29" t="s">
        <v>169</v>
      </c>
      <c r="R489" s="8" t="str">
        <f aca="false">B489&amp;" "&amp;C489&amp;" "&amp;D489&amp;" "&amp;E489&amp;" "&amp;G489&amp;" "&amp;H489&amp;" "&amp;J489&amp;" "&amp;N489</f>
        <v>Differentials Aluminium (Battery Grade)     CIF Finland (Diff) </v>
      </c>
      <c r="S489" s="25"/>
      <c r="T489" s="8"/>
      <c r="U489" s="28" t="s">
        <v>854</v>
      </c>
      <c r="V489" s="27" t="s">
        <v>49</v>
      </c>
      <c r="W489" s="25"/>
      <c r="X489" s="25"/>
      <c r="Y489" s="25"/>
      <c r="Z489" s="25"/>
      <c r="AA489" s="25"/>
      <c r="AB489" s="25"/>
      <c r="AC489" s="25"/>
      <c r="AD489" s="25"/>
    </row>
    <row r="490" customFormat="false" ht="15.75" hidden="false" customHeight="false" outlineLevel="0" collapsed="false">
      <c r="A490" s="28" t="s">
        <v>855</v>
      </c>
      <c r="B490" s="27" t="s">
        <v>438</v>
      </c>
      <c r="C490" s="27" t="s">
        <v>273</v>
      </c>
      <c r="D490" s="25"/>
      <c r="E490" s="25"/>
      <c r="F490" s="25"/>
      <c r="G490" s="25"/>
      <c r="H490" s="25"/>
      <c r="I490" s="25"/>
      <c r="J490" s="27" t="s">
        <v>851</v>
      </c>
      <c r="K490" s="25" t="str">
        <f aca="false">IFERROR(__xludf.dummyfunction("SPLIT(J490,"" "")"),"CIF")</f>
        <v>CIF</v>
      </c>
      <c r="L490" s="28" t="str">
        <f aca="false">IFERROR(__xludf.dummyfunction("""COMPUTED_VALUE"""),"Finland")</f>
        <v>Finland</v>
      </c>
      <c r="M490" s="27" t="str">
        <f aca="false">IFERROR(__xludf.dummyfunction("""COMPUTED_VALUE"""),"(Diff)")</f>
        <v>(Diff)</v>
      </c>
      <c r="N490" s="25"/>
      <c r="O490" s="25"/>
      <c r="P490" s="25"/>
      <c r="Q490" s="29" t="s">
        <v>274</v>
      </c>
      <c r="R490" s="8" t="str">
        <f aca="false">B490&amp;" "&amp;C490&amp;" "&amp;D490&amp;" "&amp;E490&amp;" "&amp;G490&amp;" "&amp;H490&amp;" "&amp;J490&amp;" "&amp;N490</f>
        <v>Differentials Cobalt     CIF Finland (Diff) </v>
      </c>
      <c r="S490" s="25"/>
      <c r="T490" s="8"/>
      <c r="U490" s="8"/>
      <c r="V490" s="27" t="s">
        <v>49</v>
      </c>
      <c r="W490" s="25"/>
      <c r="X490" s="25"/>
      <c r="Y490" s="25"/>
      <c r="Z490" s="25"/>
      <c r="AA490" s="25"/>
      <c r="AB490" s="25"/>
      <c r="AC490" s="25"/>
      <c r="AD490" s="25"/>
    </row>
    <row r="491" customFormat="false" ht="15.75" hidden="false" customHeight="false" outlineLevel="0" collapsed="false">
      <c r="A491" s="28" t="s">
        <v>856</v>
      </c>
      <c r="B491" s="27" t="s">
        <v>438</v>
      </c>
      <c r="C491" s="27" t="s">
        <v>273</v>
      </c>
      <c r="D491" s="25"/>
      <c r="E491" s="25"/>
      <c r="F491" s="25"/>
      <c r="G491" s="25"/>
      <c r="H491" s="25"/>
      <c r="I491" s="25"/>
      <c r="J491" s="27" t="s">
        <v>851</v>
      </c>
      <c r="K491" s="25" t="str">
        <f aca="false">IFERROR(__xludf.dummyfunction("SPLIT(J491,"" "")"),"CIF")</f>
        <v>CIF</v>
      </c>
      <c r="L491" s="28" t="str">
        <f aca="false">IFERROR(__xludf.dummyfunction("""COMPUTED_VALUE"""),"Finland")</f>
        <v>Finland</v>
      </c>
      <c r="M491" s="27" t="str">
        <f aca="false">IFERROR(__xludf.dummyfunction("""COMPUTED_VALUE"""),"(Diff)")</f>
        <v>(Diff)</v>
      </c>
      <c r="N491" s="25"/>
      <c r="O491" s="25"/>
      <c r="P491" s="25"/>
      <c r="Q491" s="29" t="s">
        <v>282</v>
      </c>
      <c r="R491" s="8" t="str">
        <f aca="false">B491&amp;" "&amp;C491&amp;" "&amp;D491&amp;" "&amp;E491&amp;" "&amp;G491&amp;" "&amp;H491&amp;" "&amp;J491&amp;" "&amp;N491</f>
        <v>Differentials Cobalt     CIF Finland (Diff) </v>
      </c>
      <c r="S491" s="25"/>
      <c r="T491" s="8"/>
      <c r="U491" s="8"/>
      <c r="V491" s="27" t="s">
        <v>49</v>
      </c>
      <c r="W491" s="25"/>
      <c r="X491" s="25"/>
      <c r="Y491" s="25"/>
      <c r="Z491" s="25"/>
      <c r="AA491" s="25"/>
      <c r="AB491" s="25"/>
      <c r="AC491" s="25"/>
      <c r="AD491" s="25"/>
    </row>
    <row r="492" customFormat="false" ht="15.75" hidden="false" customHeight="false" outlineLevel="0" collapsed="false">
      <c r="A492" s="28" t="s">
        <v>857</v>
      </c>
      <c r="B492" s="27" t="s">
        <v>438</v>
      </c>
      <c r="C492" s="27" t="s">
        <v>273</v>
      </c>
      <c r="D492" s="25"/>
      <c r="E492" s="25"/>
      <c r="F492" s="25"/>
      <c r="G492" s="25"/>
      <c r="H492" s="25"/>
      <c r="I492" s="25"/>
      <c r="J492" s="27" t="s">
        <v>851</v>
      </c>
      <c r="K492" s="25" t="str">
        <f aca="false">IFERROR(__xludf.dummyfunction("SPLIT(J492,"" "")"),"CIF")</f>
        <v>CIF</v>
      </c>
      <c r="L492" s="28" t="str">
        <f aca="false">IFERROR(__xludf.dummyfunction("""COMPUTED_VALUE"""),"Finland")</f>
        <v>Finland</v>
      </c>
      <c r="M492" s="27" t="str">
        <f aca="false">IFERROR(__xludf.dummyfunction("""COMPUTED_VALUE"""),"(Diff)")</f>
        <v>(Diff)</v>
      </c>
      <c r="N492" s="25"/>
      <c r="O492" s="25"/>
      <c r="P492" s="25"/>
      <c r="Q492" s="29" t="s">
        <v>280</v>
      </c>
      <c r="R492" s="8" t="str">
        <f aca="false">B492&amp;" "&amp;C492&amp;" "&amp;D492&amp;" "&amp;E492&amp;" "&amp;G492&amp;" "&amp;H492&amp;" "&amp;J492&amp;" "&amp;N492</f>
        <v>Differentials Cobalt     CIF Finland (Diff) </v>
      </c>
      <c r="S492" s="25"/>
      <c r="T492" s="8"/>
      <c r="U492" s="8"/>
      <c r="V492" s="27" t="s">
        <v>49</v>
      </c>
      <c r="W492" s="25"/>
      <c r="X492" s="25"/>
      <c r="Y492" s="25"/>
      <c r="Z492" s="25"/>
      <c r="AA492" s="25"/>
      <c r="AB492" s="25"/>
      <c r="AC492" s="25"/>
      <c r="AD492" s="25"/>
    </row>
    <row r="493" customFormat="false" ht="15.75" hidden="false" customHeight="false" outlineLevel="0" collapsed="false">
      <c r="A493" s="28" t="s">
        <v>858</v>
      </c>
      <c r="B493" s="27" t="s">
        <v>438</v>
      </c>
      <c r="C493" s="27" t="s">
        <v>273</v>
      </c>
      <c r="D493" s="25"/>
      <c r="E493" s="25"/>
      <c r="F493" s="25"/>
      <c r="G493" s="25"/>
      <c r="H493" s="25"/>
      <c r="I493" s="25"/>
      <c r="J493" s="27" t="s">
        <v>851</v>
      </c>
      <c r="K493" s="25" t="str">
        <f aca="false">IFERROR(__xludf.dummyfunction("SPLIT(J493,"" "")"),"CIF")</f>
        <v>CIF</v>
      </c>
      <c r="L493" s="28" t="str">
        <f aca="false">IFERROR(__xludf.dummyfunction("""COMPUTED_VALUE"""),"Finland")</f>
        <v>Finland</v>
      </c>
      <c r="M493" s="27" t="str">
        <f aca="false">IFERROR(__xludf.dummyfunction("""COMPUTED_VALUE"""),"(Diff)")</f>
        <v>(Diff)</v>
      </c>
      <c r="N493" s="25"/>
      <c r="O493" s="25"/>
      <c r="P493" s="25"/>
      <c r="Q493" s="29" t="s">
        <v>278</v>
      </c>
      <c r="R493" s="8" t="str">
        <f aca="false">B493&amp;" "&amp;C493&amp;" "&amp;D493&amp;" "&amp;E493&amp;" "&amp;G493&amp;" "&amp;H493&amp;" "&amp;J493&amp;" "&amp;N493</f>
        <v>Differentials Cobalt     CIF Finland (Diff) </v>
      </c>
      <c r="S493" s="25"/>
      <c r="T493" s="8"/>
      <c r="U493" s="8"/>
      <c r="V493" s="27" t="s">
        <v>49</v>
      </c>
      <c r="W493" s="25"/>
      <c r="X493" s="25"/>
      <c r="Y493" s="25"/>
      <c r="Z493" s="25"/>
      <c r="AA493" s="25"/>
      <c r="AB493" s="25"/>
      <c r="AC493" s="25"/>
      <c r="AD493" s="25"/>
    </row>
    <row r="494" customFormat="false" ht="15.75" hidden="false" customHeight="false" outlineLevel="0" collapsed="false">
      <c r="A494" s="28" t="s">
        <v>859</v>
      </c>
      <c r="B494" s="27" t="s">
        <v>438</v>
      </c>
      <c r="C494" s="27" t="s">
        <v>273</v>
      </c>
      <c r="D494" s="25"/>
      <c r="E494" s="25"/>
      <c r="F494" s="25"/>
      <c r="G494" s="25"/>
      <c r="H494" s="25"/>
      <c r="I494" s="25"/>
      <c r="J494" s="27" t="s">
        <v>851</v>
      </c>
      <c r="K494" s="25" t="str">
        <f aca="false">IFERROR(__xludf.dummyfunction("SPLIT(J494,"" "")"),"CIF")</f>
        <v>CIF</v>
      </c>
      <c r="L494" s="28" t="str">
        <f aca="false">IFERROR(__xludf.dummyfunction("""COMPUTED_VALUE"""),"Finland")</f>
        <v>Finland</v>
      </c>
      <c r="M494" s="27" t="str">
        <f aca="false">IFERROR(__xludf.dummyfunction("""COMPUTED_VALUE"""),"(Diff)")</f>
        <v>(Diff)</v>
      </c>
      <c r="N494" s="25"/>
      <c r="O494" s="25"/>
      <c r="P494" s="25"/>
      <c r="Q494" s="29" t="s">
        <v>276</v>
      </c>
      <c r="R494" s="8" t="str">
        <f aca="false">B494&amp;" "&amp;C494&amp;" "&amp;D494&amp;" "&amp;E494&amp;" "&amp;G494&amp;" "&amp;H494&amp;" "&amp;J494&amp;" "&amp;N494</f>
        <v>Differentials Cobalt     CIF Finland (Diff) </v>
      </c>
      <c r="S494" s="25"/>
      <c r="T494" s="8"/>
      <c r="U494" s="8"/>
      <c r="V494" s="27" t="s">
        <v>49</v>
      </c>
      <c r="W494" s="25"/>
      <c r="X494" s="25"/>
      <c r="Y494" s="25"/>
      <c r="Z494" s="25"/>
      <c r="AA494" s="25"/>
      <c r="AB494" s="25"/>
      <c r="AC494" s="25"/>
      <c r="AD494" s="25"/>
    </row>
    <row r="495" customFormat="false" ht="15.75" hidden="false" customHeight="false" outlineLevel="0" collapsed="false">
      <c r="A495" s="28" t="s">
        <v>860</v>
      </c>
      <c r="B495" s="27" t="s">
        <v>438</v>
      </c>
      <c r="C495" s="27" t="s">
        <v>284</v>
      </c>
      <c r="D495" s="25"/>
      <c r="E495" s="25"/>
      <c r="F495" s="25"/>
      <c r="G495" s="25"/>
      <c r="H495" s="25"/>
      <c r="I495" s="25"/>
      <c r="J495" s="27" t="s">
        <v>851</v>
      </c>
      <c r="K495" s="25" t="str">
        <f aca="false">IFERROR(__xludf.dummyfunction("SPLIT(J495,"" "")"),"CIF")</f>
        <v>CIF</v>
      </c>
      <c r="L495" s="28" t="str">
        <f aca="false">IFERROR(__xludf.dummyfunction("""COMPUTED_VALUE"""),"Finland")</f>
        <v>Finland</v>
      </c>
      <c r="M495" s="27" t="str">
        <f aca="false">IFERROR(__xludf.dummyfunction("""COMPUTED_VALUE"""),"(Diff)")</f>
        <v>(Diff)</v>
      </c>
      <c r="N495" s="25"/>
      <c r="O495" s="25"/>
      <c r="P495" s="25"/>
      <c r="Q495" s="29" t="s">
        <v>287</v>
      </c>
      <c r="R495" s="8" t="str">
        <f aca="false">B495&amp;" "&amp;C495&amp;" "&amp;D495&amp;" "&amp;E495&amp;" "&amp;G495&amp;" "&amp;H495&amp;" "&amp;J495&amp;" "&amp;N495</f>
        <v>Differentials Copper (Battery Grade)     CIF Finland (Diff) </v>
      </c>
      <c r="S495" s="25"/>
      <c r="T495" s="8"/>
      <c r="U495" s="8"/>
      <c r="V495" s="27" t="s">
        <v>49</v>
      </c>
      <c r="W495" s="25"/>
      <c r="X495" s="25"/>
      <c r="Y495" s="25"/>
      <c r="Z495" s="25"/>
      <c r="AA495" s="25"/>
      <c r="AB495" s="25"/>
      <c r="AC495" s="25"/>
      <c r="AD495" s="25"/>
    </row>
    <row r="496" customFormat="false" ht="15.75" hidden="false" customHeight="false" outlineLevel="0" collapsed="false">
      <c r="A496" s="28" t="s">
        <v>861</v>
      </c>
      <c r="B496" s="27" t="s">
        <v>438</v>
      </c>
      <c r="C496" s="27" t="s">
        <v>284</v>
      </c>
      <c r="D496" s="25"/>
      <c r="E496" s="25"/>
      <c r="F496" s="25"/>
      <c r="G496" s="25"/>
      <c r="H496" s="25"/>
      <c r="I496" s="25"/>
      <c r="J496" s="27" t="s">
        <v>851</v>
      </c>
      <c r="K496" s="25" t="str">
        <f aca="false">IFERROR(__xludf.dummyfunction("SPLIT(J496,"" "")"),"CIF")</f>
        <v>CIF</v>
      </c>
      <c r="L496" s="28" t="str">
        <f aca="false">IFERROR(__xludf.dummyfunction("""COMPUTED_VALUE"""),"Finland")</f>
        <v>Finland</v>
      </c>
      <c r="M496" s="27" t="str">
        <f aca="false">IFERROR(__xludf.dummyfunction("""COMPUTED_VALUE"""),"(Diff)")</f>
        <v>(Diff)</v>
      </c>
      <c r="N496" s="25"/>
      <c r="O496" s="25"/>
      <c r="P496" s="25"/>
      <c r="Q496" s="29" t="s">
        <v>285</v>
      </c>
      <c r="R496" s="8" t="str">
        <f aca="false">B496&amp;" "&amp;C496&amp;" "&amp;D496&amp;" "&amp;E496&amp;" "&amp;G496&amp;" "&amp;H496&amp;" "&amp;J496&amp;" "&amp;N496</f>
        <v>Differentials Copper (Battery Grade)     CIF Finland (Diff) </v>
      </c>
      <c r="S496" s="25"/>
      <c r="T496" s="8"/>
      <c r="U496" s="8"/>
      <c r="V496" s="27" t="s">
        <v>49</v>
      </c>
      <c r="W496" s="25"/>
      <c r="X496" s="25"/>
      <c r="Y496" s="25"/>
      <c r="Z496" s="25"/>
      <c r="AA496" s="25"/>
      <c r="AB496" s="25"/>
      <c r="AC496" s="25"/>
      <c r="AD496" s="25"/>
    </row>
    <row r="497" customFormat="false" ht="15.75" hidden="false" customHeight="false" outlineLevel="0" collapsed="false">
      <c r="A497" s="28" t="s">
        <v>862</v>
      </c>
      <c r="B497" s="27" t="s">
        <v>438</v>
      </c>
      <c r="C497" s="27" t="s">
        <v>360</v>
      </c>
      <c r="D497" s="25"/>
      <c r="E497" s="25"/>
      <c r="F497" s="25"/>
      <c r="G497" s="25"/>
      <c r="H497" s="25"/>
      <c r="I497" s="25"/>
      <c r="J497" s="27" t="s">
        <v>851</v>
      </c>
      <c r="K497" s="25" t="str">
        <f aca="false">IFERROR(__xludf.dummyfunction("SPLIT(J497,"" "")"),"CIF")</f>
        <v>CIF</v>
      </c>
      <c r="L497" s="28" t="str">
        <f aca="false">IFERROR(__xludf.dummyfunction("""COMPUTED_VALUE"""),"Finland")</f>
        <v>Finland</v>
      </c>
      <c r="M497" s="27" t="str">
        <f aca="false">IFERROR(__xludf.dummyfunction("""COMPUTED_VALUE"""),"(Diff)")</f>
        <v>(Diff)</v>
      </c>
      <c r="N497" s="25"/>
      <c r="O497" s="25"/>
      <c r="P497" s="25"/>
      <c r="Q497" s="29" t="s">
        <v>368</v>
      </c>
      <c r="R497" s="8" t="str">
        <f aca="false">B497&amp;" "&amp;C497&amp;" "&amp;D497&amp;" "&amp;E497&amp;" "&amp;G497&amp;" "&amp;H497&amp;" "&amp;J497&amp;" "&amp;N497</f>
        <v>Differentials Lithium     CIF Finland (Diff) </v>
      </c>
      <c r="S497" s="25"/>
      <c r="T497" s="8"/>
      <c r="U497" s="8"/>
      <c r="V497" s="27" t="s">
        <v>49</v>
      </c>
      <c r="W497" s="25"/>
      <c r="X497" s="25"/>
      <c r="Y497" s="25"/>
      <c r="Z497" s="25"/>
      <c r="AA497" s="25"/>
      <c r="AB497" s="25"/>
      <c r="AC497" s="25"/>
      <c r="AD497" s="25"/>
    </row>
    <row r="498" customFormat="false" ht="15.75" hidden="false" customHeight="false" outlineLevel="0" collapsed="false">
      <c r="A498" s="28" t="s">
        <v>863</v>
      </c>
      <c r="B498" s="27" t="s">
        <v>438</v>
      </c>
      <c r="C498" s="27" t="s">
        <v>360</v>
      </c>
      <c r="D498" s="25"/>
      <c r="E498" s="25"/>
      <c r="F498" s="25"/>
      <c r="G498" s="25"/>
      <c r="H498" s="25"/>
      <c r="I498" s="25"/>
      <c r="J498" s="27" t="s">
        <v>851</v>
      </c>
      <c r="K498" s="25" t="str">
        <f aca="false">IFERROR(__xludf.dummyfunction("SPLIT(J498,"" "")"),"CIF")</f>
        <v>CIF</v>
      </c>
      <c r="L498" s="28" t="str">
        <f aca="false">IFERROR(__xludf.dummyfunction("""COMPUTED_VALUE"""),"Finland")</f>
        <v>Finland</v>
      </c>
      <c r="M498" s="27" t="str">
        <f aca="false">IFERROR(__xludf.dummyfunction("""COMPUTED_VALUE"""),"(Diff)")</f>
        <v>(Diff)</v>
      </c>
      <c r="N498" s="25"/>
      <c r="O498" s="25"/>
      <c r="P498" s="25"/>
      <c r="Q498" s="29" t="s">
        <v>366</v>
      </c>
      <c r="R498" s="8" t="str">
        <f aca="false">B498&amp;" "&amp;C498&amp;" "&amp;D498&amp;" "&amp;E498&amp;" "&amp;G498&amp;" "&amp;H498&amp;" "&amp;J498&amp;" "&amp;N498</f>
        <v>Differentials Lithium     CIF Finland (Diff) </v>
      </c>
      <c r="S498" s="25"/>
      <c r="T498" s="8"/>
      <c r="U498" s="8"/>
      <c r="V498" s="27" t="s">
        <v>49</v>
      </c>
      <c r="W498" s="25"/>
      <c r="X498" s="25"/>
      <c r="Y498" s="25"/>
      <c r="Z498" s="25"/>
      <c r="AA498" s="25"/>
      <c r="AB498" s="25"/>
      <c r="AC498" s="25"/>
      <c r="AD498" s="25"/>
    </row>
    <row r="499" customFormat="false" ht="15.75" hidden="false" customHeight="false" outlineLevel="0" collapsed="false">
      <c r="A499" s="28" t="s">
        <v>864</v>
      </c>
      <c r="B499" s="27" t="s">
        <v>438</v>
      </c>
      <c r="C499" s="27" t="s">
        <v>360</v>
      </c>
      <c r="D499" s="25"/>
      <c r="E499" s="25"/>
      <c r="F499" s="25"/>
      <c r="G499" s="25"/>
      <c r="H499" s="25"/>
      <c r="I499" s="25"/>
      <c r="J499" s="27" t="s">
        <v>851</v>
      </c>
      <c r="K499" s="25" t="str">
        <f aca="false">IFERROR(__xludf.dummyfunction("SPLIT(J499,"" "")"),"CIF")</f>
        <v>CIF</v>
      </c>
      <c r="L499" s="28" t="str">
        <f aca="false">IFERROR(__xludf.dummyfunction("""COMPUTED_VALUE"""),"Finland")</f>
        <v>Finland</v>
      </c>
      <c r="M499" s="27" t="str">
        <f aca="false">IFERROR(__xludf.dummyfunction("""COMPUTED_VALUE"""),"(Diff)")</f>
        <v>(Diff)</v>
      </c>
      <c r="N499" s="25"/>
      <c r="O499" s="25"/>
      <c r="P499" s="25"/>
      <c r="Q499" s="29" t="s">
        <v>361</v>
      </c>
      <c r="R499" s="8" t="str">
        <f aca="false">B499&amp;" "&amp;C499&amp;" "&amp;D499&amp;" "&amp;E499&amp;" "&amp;G499&amp;" "&amp;H499&amp;" "&amp;J499&amp;" "&amp;N499</f>
        <v>Differentials Lithium     CIF Finland (Diff) </v>
      </c>
      <c r="S499" s="25"/>
      <c r="T499" s="8"/>
      <c r="U499" s="8"/>
      <c r="V499" s="27" t="s">
        <v>49</v>
      </c>
      <c r="W499" s="25"/>
      <c r="X499" s="25"/>
      <c r="Y499" s="25"/>
      <c r="Z499" s="25"/>
      <c r="AA499" s="25"/>
      <c r="AB499" s="25"/>
      <c r="AC499" s="25"/>
      <c r="AD499" s="25"/>
    </row>
    <row r="500" customFormat="false" ht="15.75" hidden="false" customHeight="false" outlineLevel="0" collapsed="false">
      <c r="A500" s="28" t="s">
        <v>865</v>
      </c>
      <c r="B500" s="27" t="s">
        <v>438</v>
      </c>
      <c r="C500" s="27" t="s">
        <v>360</v>
      </c>
      <c r="D500" s="25"/>
      <c r="E500" s="25"/>
      <c r="F500" s="25"/>
      <c r="G500" s="25"/>
      <c r="H500" s="25"/>
      <c r="I500" s="25"/>
      <c r="J500" s="27" t="s">
        <v>851</v>
      </c>
      <c r="K500" s="25" t="str">
        <f aca="false">IFERROR(__xludf.dummyfunction("SPLIT(J500,"" "")"),"CIF")</f>
        <v>CIF</v>
      </c>
      <c r="L500" s="28" t="str">
        <f aca="false">IFERROR(__xludf.dummyfunction("""COMPUTED_VALUE"""),"Finland")</f>
        <v>Finland</v>
      </c>
      <c r="M500" s="27" t="str">
        <f aca="false">IFERROR(__xludf.dummyfunction("""COMPUTED_VALUE"""),"(Diff)")</f>
        <v>(Diff)</v>
      </c>
      <c r="N500" s="25"/>
      <c r="O500" s="25"/>
      <c r="P500" s="25"/>
      <c r="Q500" s="29" t="s">
        <v>363</v>
      </c>
      <c r="R500" s="8" t="str">
        <f aca="false">B500&amp;" "&amp;C500&amp;" "&amp;D500&amp;" "&amp;E500&amp;" "&amp;G500&amp;" "&amp;H500&amp;" "&amp;J500&amp;" "&amp;N500</f>
        <v>Differentials Lithium     CIF Finland (Diff) </v>
      </c>
      <c r="S500" s="25"/>
      <c r="T500" s="8"/>
      <c r="U500" s="8"/>
      <c r="V500" s="27" t="s">
        <v>49</v>
      </c>
      <c r="W500" s="25"/>
      <c r="X500" s="25"/>
      <c r="Y500" s="25"/>
      <c r="Z500" s="25"/>
      <c r="AA500" s="25"/>
      <c r="AB500" s="25"/>
      <c r="AC500" s="25"/>
      <c r="AD500" s="25"/>
    </row>
    <row r="501" customFormat="false" ht="15.75" hidden="false" customHeight="false" outlineLevel="0" collapsed="false">
      <c r="A501" s="28" t="s">
        <v>866</v>
      </c>
      <c r="B501" s="27" t="s">
        <v>438</v>
      </c>
      <c r="C501" s="27" t="s">
        <v>360</v>
      </c>
      <c r="D501" s="25"/>
      <c r="E501" s="25"/>
      <c r="F501" s="25"/>
      <c r="G501" s="25"/>
      <c r="H501" s="25"/>
      <c r="I501" s="25"/>
      <c r="J501" s="27" t="s">
        <v>851</v>
      </c>
      <c r="K501" s="25" t="str">
        <f aca="false">IFERROR(__xludf.dummyfunction("SPLIT(J501,"" "")"),"CIF")</f>
        <v>CIF</v>
      </c>
      <c r="L501" s="28" t="str">
        <f aca="false">IFERROR(__xludf.dummyfunction("""COMPUTED_VALUE"""),"Finland")</f>
        <v>Finland</v>
      </c>
      <c r="M501" s="27" t="str">
        <f aca="false">IFERROR(__xludf.dummyfunction("""COMPUTED_VALUE"""),"(Diff)")</f>
        <v>(Diff)</v>
      </c>
      <c r="N501" s="25"/>
      <c r="O501" s="25"/>
      <c r="P501" s="25"/>
      <c r="Q501" s="29" t="s">
        <v>361</v>
      </c>
      <c r="R501" s="8" t="str">
        <f aca="false">B501&amp;" "&amp;C501&amp;" "&amp;D501&amp;" "&amp;E501&amp;" "&amp;G501&amp;" "&amp;H501&amp;" "&amp;J501&amp;" "&amp;N501</f>
        <v>Differentials Lithium     CIF Finland (Diff) </v>
      </c>
      <c r="S501" s="25"/>
      <c r="T501" s="8"/>
      <c r="U501" s="8"/>
      <c r="V501" s="27" t="s">
        <v>49</v>
      </c>
      <c r="W501" s="25"/>
      <c r="X501" s="25"/>
      <c r="Y501" s="25"/>
      <c r="Z501" s="25"/>
      <c r="AA501" s="25"/>
      <c r="AB501" s="25"/>
      <c r="AC501" s="25"/>
      <c r="AD501" s="25"/>
    </row>
    <row r="502" customFormat="false" ht="15.75" hidden="false" customHeight="false" outlineLevel="0" collapsed="false">
      <c r="A502" s="28" t="s">
        <v>867</v>
      </c>
      <c r="B502" s="27" t="s">
        <v>438</v>
      </c>
      <c r="C502" s="27" t="s">
        <v>370</v>
      </c>
      <c r="D502" s="25"/>
      <c r="E502" s="25"/>
      <c r="F502" s="25"/>
      <c r="G502" s="25"/>
      <c r="H502" s="25"/>
      <c r="I502" s="25"/>
      <c r="J502" s="27" t="s">
        <v>851</v>
      </c>
      <c r="K502" s="25" t="str">
        <f aca="false">IFERROR(__xludf.dummyfunction("SPLIT(J502,"" "")"),"CIF")</f>
        <v>CIF</v>
      </c>
      <c r="L502" s="28" t="str">
        <f aca="false">IFERROR(__xludf.dummyfunction("""COMPUTED_VALUE"""),"Finland")</f>
        <v>Finland</v>
      </c>
      <c r="M502" s="27" t="str">
        <f aca="false">IFERROR(__xludf.dummyfunction("""COMPUTED_VALUE"""),"(Diff)")</f>
        <v>(Diff)</v>
      </c>
      <c r="N502" s="25"/>
      <c r="O502" s="25"/>
      <c r="P502" s="25"/>
      <c r="Q502" s="29" t="s">
        <v>374</v>
      </c>
      <c r="R502" s="8" t="str">
        <f aca="false">B502&amp;" "&amp;C502&amp;" "&amp;D502&amp;" "&amp;E502&amp;" "&amp;G502&amp;" "&amp;H502&amp;" "&amp;J502&amp;" "&amp;N502</f>
        <v>Differentials Manganese     CIF Finland (Diff) </v>
      </c>
      <c r="S502" s="25"/>
      <c r="T502" s="8"/>
      <c r="U502" s="8"/>
      <c r="V502" s="27" t="s">
        <v>49</v>
      </c>
      <c r="W502" s="25"/>
      <c r="X502" s="25"/>
      <c r="Y502" s="25"/>
      <c r="Z502" s="25"/>
      <c r="AA502" s="25"/>
      <c r="AB502" s="25"/>
      <c r="AC502" s="25"/>
      <c r="AD502" s="25"/>
    </row>
    <row r="503" customFormat="false" ht="15.75" hidden="false" customHeight="false" outlineLevel="0" collapsed="false">
      <c r="A503" s="28" t="s">
        <v>868</v>
      </c>
      <c r="B503" s="27" t="s">
        <v>438</v>
      </c>
      <c r="C503" s="27" t="s">
        <v>370</v>
      </c>
      <c r="D503" s="25"/>
      <c r="E503" s="25"/>
      <c r="F503" s="25"/>
      <c r="G503" s="25"/>
      <c r="H503" s="25"/>
      <c r="I503" s="25"/>
      <c r="J503" s="27" t="s">
        <v>851</v>
      </c>
      <c r="K503" s="25" t="str">
        <f aca="false">IFERROR(__xludf.dummyfunction("SPLIT(J503,"" "")"),"CIF")</f>
        <v>CIF</v>
      </c>
      <c r="L503" s="28" t="str">
        <f aca="false">IFERROR(__xludf.dummyfunction("""COMPUTED_VALUE"""),"Finland")</f>
        <v>Finland</v>
      </c>
      <c r="M503" s="27" t="str">
        <f aca="false">IFERROR(__xludf.dummyfunction("""COMPUTED_VALUE"""),"(Diff)")</f>
        <v>(Diff)</v>
      </c>
      <c r="N503" s="25"/>
      <c r="O503" s="25"/>
      <c r="P503" s="25"/>
      <c r="Q503" s="29" t="s">
        <v>371</v>
      </c>
      <c r="R503" s="8" t="str">
        <f aca="false">B503&amp;" "&amp;C503&amp;" "&amp;D503&amp;" "&amp;E503&amp;" "&amp;G503&amp;" "&amp;H503&amp;" "&amp;J503&amp;" "&amp;N503</f>
        <v>Differentials Manganese     CIF Finland (Diff) </v>
      </c>
      <c r="S503" s="25"/>
      <c r="T503" s="8"/>
      <c r="U503" s="8"/>
      <c r="V503" s="27" t="s">
        <v>49</v>
      </c>
      <c r="W503" s="25"/>
      <c r="X503" s="25"/>
      <c r="Y503" s="25"/>
      <c r="Z503" s="25"/>
      <c r="AA503" s="25"/>
      <c r="AB503" s="25"/>
      <c r="AC503" s="25"/>
      <c r="AD503" s="25"/>
    </row>
    <row r="504" customFormat="false" ht="15.75" hidden="false" customHeight="false" outlineLevel="0" collapsed="false">
      <c r="A504" s="28" t="s">
        <v>869</v>
      </c>
      <c r="B504" s="27" t="s">
        <v>438</v>
      </c>
      <c r="C504" s="27" t="s">
        <v>376</v>
      </c>
      <c r="D504" s="25"/>
      <c r="E504" s="25"/>
      <c r="F504" s="25"/>
      <c r="G504" s="25"/>
      <c r="H504" s="25"/>
      <c r="I504" s="25"/>
      <c r="J504" s="27" t="s">
        <v>851</v>
      </c>
      <c r="K504" s="25" t="str">
        <f aca="false">IFERROR(__xludf.dummyfunction("SPLIT(J504,"" "")"),"CIF")</f>
        <v>CIF</v>
      </c>
      <c r="L504" s="28" t="str">
        <f aca="false">IFERROR(__xludf.dummyfunction("""COMPUTED_VALUE"""),"Finland")</f>
        <v>Finland</v>
      </c>
      <c r="M504" s="27" t="str">
        <f aca="false">IFERROR(__xludf.dummyfunction("""COMPUTED_VALUE"""),"(Diff)")</f>
        <v>(Diff)</v>
      </c>
      <c r="N504" s="25"/>
      <c r="O504" s="25"/>
      <c r="P504" s="25"/>
      <c r="Q504" s="29" t="s">
        <v>381</v>
      </c>
      <c r="R504" s="8" t="str">
        <f aca="false">B504&amp;" "&amp;C504&amp;" "&amp;D504&amp;" "&amp;E504&amp;" "&amp;G504&amp;" "&amp;H504&amp;" "&amp;J504&amp;" "&amp;N504</f>
        <v>Differentials Nickel     CIF Finland (Diff) </v>
      </c>
      <c r="S504" s="25"/>
      <c r="T504" s="8"/>
      <c r="U504" s="8"/>
      <c r="V504" s="27" t="s">
        <v>49</v>
      </c>
      <c r="W504" s="25"/>
      <c r="X504" s="25"/>
      <c r="Y504" s="25"/>
      <c r="Z504" s="25"/>
      <c r="AA504" s="25"/>
      <c r="AB504" s="25"/>
      <c r="AC504" s="25"/>
      <c r="AD504" s="25"/>
    </row>
    <row r="505" customFormat="false" ht="15.75" hidden="false" customHeight="false" outlineLevel="0" collapsed="false">
      <c r="A505" s="28" t="s">
        <v>870</v>
      </c>
      <c r="B505" s="27" t="s">
        <v>438</v>
      </c>
      <c r="C505" s="27" t="s">
        <v>376</v>
      </c>
      <c r="D505" s="25"/>
      <c r="E505" s="25"/>
      <c r="F505" s="25"/>
      <c r="G505" s="25"/>
      <c r="H505" s="25"/>
      <c r="I505" s="25"/>
      <c r="J505" s="27" t="s">
        <v>851</v>
      </c>
      <c r="K505" s="25" t="str">
        <f aca="false">IFERROR(__xludf.dummyfunction("SPLIT(J505,"" "")"),"CIF")</f>
        <v>CIF</v>
      </c>
      <c r="L505" s="28" t="str">
        <f aca="false">IFERROR(__xludf.dummyfunction("""COMPUTED_VALUE"""),"Finland")</f>
        <v>Finland</v>
      </c>
      <c r="M505" s="27" t="str">
        <f aca="false">IFERROR(__xludf.dummyfunction("""COMPUTED_VALUE"""),"(Diff)")</f>
        <v>(Diff)</v>
      </c>
      <c r="N505" s="25"/>
      <c r="O505" s="25"/>
      <c r="P505" s="25"/>
      <c r="Q505" s="29" t="s">
        <v>379</v>
      </c>
      <c r="R505" s="8" t="str">
        <f aca="false">B505&amp;" "&amp;C505&amp;" "&amp;D505&amp;" "&amp;E505&amp;" "&amp;G505&amp;" "&amp;H505&amp;" "&amp;J505&amp;" "&amp;N505</f>
        <v>Differentials Nickel     CIF Finland (Diff) </v>
      </c>
      <c r="S505" s="25"/>
      <c r="T505" s="8"/>
      <c r="U505" s="8"/>
      <c r="V505" s="27" t="s">
        <v>49</v>
      </c>
      <c r="W505" s="25"/>
      <c r="X505" s="25"/>
      <c r="Y505" s="25"/>
      <c r="Z505" s="25"/>
      <c r="AA505" s="25"/>
      <c r="AB505" s="25"/>
      <c r="AC505" s="25"/>
      <c r="AD505" s="25"/>
    </row>
    <row r="506" customFormat="false" ht="15.75" hidden="false" customHeight="false" outlineLevel="0" collapsed="false">
      <c r="A506" s="28" t="s">
        <v>871</v>
      </c>
      <c r="B506" s="27" t="s">
        <v>438</v>
      </c>
      <c r="C506" s="27" t="s">
        <v>376</v>
      </c>
      <c r="D506" s="25"/>
      <c r="E506" s="25"/>
      <c r="F506" s="25"/>
      <c r="G506" s="25"/>
      <c r="H506" s="25"/>
      <c r="I506" s="25"/>
      <c r="J506" s="27" t="s">
        <v>851</v>
      </c>
      <c r="K506" s="25" t="str">
        <f aca="false">IFERROR(__xludf.dummyfunction("SPLIT(J506,"" "")"),"CIF")</f>
        <v>CIF</v>
      </c>
      <c r="L506" s="28" t="str">
        <f aca="false">IFERROR(__xludf.dummyfunction("""COMPUTED_VALUE"""),"Finland")</f>
        <v>Finland</v>
      </c>
      <c r="M506" s="27" t="str">
        <f aca="false">IFERROR(__xludf.dummyfunction("""COMPUTED_VALUE"""),"(Diff)")</f>
        <v>(Diff)</v>
      </c>
      <c r="N506" s="25"/>
      <c r="O506" s="25"/>
      <c r="P506" s="25"/>
      <c r="Q506" s="29" t="s">
        <v>377</v>
      </c>
      <c r="R506" s="8" t="str">
        <f aca="false">B506&amp;" "&amp;C506&amp;" "&amp;D506&amp;" "&amp;E506&amp;" "&amp;G506&amp;" "&amp;H506&amp;" "&amp;J506&amp;" "&amp;N506</f>
        <v>Differentials Nickel     CIF Finland (Diff) </v>
      </c>
      <c r="S506" s="25"/>
      <c r="T506" s="8"/>
      <c r="U506" s="8"/>
      <c r="V506" s="27" t="s">
        <v>49</v>
      </c>
      <c r="W506" s="25"/>
      <c r="X506" s="25"/>
      <c r="Y506" s="25"/>
      <c r="Z506" s="25"/>
      <c r="AA506" s="25"/>
      <c r="AB506" s="25"/>
      <c r="AC506" s="25"/>
      <c r="AD506" s="25"/>
    </row>
    <row r="507" customFormat="false" ht="15.75" hidden="false" customHeight="false" outlineLevel="0" collapsed="false">
      <c r="A507" s="28" t="s">
        <v>872</v>
      </c>
      <c r="B507" s="27" t="s">
        <v>438</v>
      </c>
      <c r="C507" s="27" t="s">
        <v>383</v>
      </c>
      <c r="D507" s="25"/>
      <c r="E507" s="25"/>
      <c r="F507" s="25"/>
      <c r="G507" s="25"/>
      <c r="H507" s="25"/>
      <c r="I507" s="25"/>
      <c r="J507" s="27" t="s">
        <v>851</v>
      </c>
      <c r="K507" s="25" t="str">
        <f aca="false">IFERROR(__xludf.dummyfunction("SPLIT(J507,"" "")"),"CIF")</f>
        <v>CIF</v>
      </c>
      <c r="L507" s="28" t="str">
        <f aca="false">IFERROR(__xludf.dummyfunction("""COMPUTED_VALUE"""),"Finland")</f>
        <v>Finland</v>
      </c>
      <c r="M507" s="27" t="str">
        <f aca="false">IFERROR(__xludf.dummyfunction("""COMPUTED_VALUE"""),"(Diff)")</f>
        <v>(Diff)</v>
      </c>
      <c r="N507" s="25"/>
      <c r="O507" s="25"/>
      <c r="P507" s="25"/>
      <c r="Q507" s="29" t="s">
        <v>406</v>
      </c>
      <c r="R507" s="8" t="str">
        <f aca="false">B507&amp;" "&amp;C507&amp;" "&amp;D507&amp;" "&amp;E507&amp;" "&amp;G507&amp;" "&amp;H507&amp;" "&amp;J507&amp;" "&amp;N507</f>
        <v>Differentials Precursor     CIF Finland (Diff) </v>
      </c>
      <c r="S507" s="25"/>
      <c r="T507" s="8"/>
      <c r="U507" s="8"/>
      <c r="V507" s="27" t="s">
        <v>49</v>
      </c>
      <c r="W507" s="25"/>
      <c r="X507" s="25"/>
      <c r="Y507" s="25"/>
      <c r="Z507" s="25"/>
      <c r="AA507" s="25"/>
      <c r="AB507" s="25"/>
      <c r="AC507" s="25"/>
      <c r="AD507" s="25"/>
    </row>
    <row r="508" customFormat="false" ht="15.75" hidden="false" customHeight="false" outlineLevel="0" collapsed="false">
      <c r="A508" s="28" t="s">
        <v>873</v>
      </c>
      <c r="B508" s="27" t="s">
        <v>438</v>
      </c>
      <c r="C508" s="27" t="s">
        <v>383</v>
      </c>
      <c r="D508" s="25"/>
      <c r="E508" s="25"/>
      <c r="F508" s="25"/>
      <c r="G508" s="25"/>
      <c r="H508" s="25"/>
      <c r="I508" s="25"/>
      <c r="J508" s="27" t="s">
        <v>851</v>
      </c>
      <c r="K508" s="25" t="str">
        <f aca="false">IFERROR(__xludf.dummyfunction("SPLIT(J508,"" "")"),"CIF")</f>
        <v>CIF</v>
      </c>
      <c r="L508" s="28" t="str">
        <f aca="false">IFERROR(__xludf.dummyfunction("""COMPUTED_VALUE"""),"Finland")</f>
        <v>Finland</v>
      </c>
      <c r="M508" s="27" t="str">
        <f aca="false">IFERROR(__xludf.dummyfunction("""COMPUTED_VALUE"""),"(Diff)")</f>
        <v>(Diff)</v>
      </c>
      <c r="N508" s="25"/>
      <c r="O508" s="25"/>
      <c r="P508" s="25"/>
      <c r="Q508" s="29" t="s">
        <v>404</v>
      </c>
      <c r="R508" s="8" t="str">
        <f aca="false">B508&amp;" "&amp;C508&amp;" "&amp;D508&amp;" "&amp;E508&amp;" "&amp;G508&amp;" "&amp;H508&amp;" "&amp;J508&amp;" "&amp;N508</f>
        <v>Differentials Precursor     CIF Finland (Diff) </v>
      </c>
      <c r="S508" s="25"/>
      <c r="T508" s="8"/>
      <c r="U508" s="8"/>
      <c r="V508" s="27" t="s">
        <v>49</v>
      </c>
      <c r="W508" s="25"/>
      <c r="X508" s="25"/>
      <c r="Y508" s="25"/>
      <c r="Z508" s="25"/>
      <c r="AA508" s="25"/>
      <c r="AB508" s="25"/>
      <c r="AC508" s="25"/>
      <c r="AD508" s="25"/>
    </row>
    <row r="509" customFormat="false" ht="15.75" hidden="false" customHeight="false" outlineLevel="0" collapsed="false">
      <c r="A509" s="28" t="s">
        <v>874</v>
      </c>
      <c r="B509" s="27" t="s">
        <v>438</v>
      </c>
      <c r="C509" s="27" t="s">
        <v>383</v>
      </c>
      <c r="D509" s="25"/>
      <c r="E509" s="25"/>
      <c r="F509" s="25"/>
      <c r="G509" s="25"/>
      <c r="H509" s="25"/>
      <c r="I509" s="25"/>
      <c r="J509" s="27" t="s">
        <v>851</v>
      </c>
      <c r="K509" s="25" t="str">
        <f aca="false">IFERROR(__xludf.dummyfunction("SPLIT(J509,"" "")"),"CIF")</f>
        <v>CIF</v>
      </c>
      <c r="L509" s="28" t="str">
        <f aca="false">IFERROR(__xludf.dummyfunction("""COMPUTED_VALUE"""),"Finland")</f>
        <v>Finland</v>
      </c>
      <c r="M509" s="27" t="str">
        <f aca="false">IFERROR(__xludf.dummyfunction("""COMPUTED_VALUE"""),"(Diff)")</f>
        <v>(Diff)</v>
      </c>
      <c r="N509" s="25"/>
      <c r="O509" s="25"/>
      <c r="P509" s="25"/>
      <c r="Q509" s="29" t="s">
        <v>402</v>
      </c>
      <c r="R509" s="8" t="str">
        <f aca="false">B509&amp;" "&amp;C509&amp;" "&amp;D509&amp;" "&amp;E509&amp;" "&amp;G509&amp;" "&amp;H509&amp;" "&amp;J509&amp;" "&amp;N509</f>
        <v>Differentials Precursor     CIF Finland (Diff) </v>
      </c>
      <c r="S509" s="25"/>
      <c r="T509" s="8"/>
      <c r="U509" s="8"/>
      <c r="V509" s="27" t="s">
        <v>49</v>
      </c>
      <c r="W509" s="25"/>
      <c r="X509" s="25"/>
      <c r="Y509" s="25"/>
      <c r="Z509" s="25"/>
      <c r="AA509" s="25"/>
      <c r="AB509" s="25"/>
      <c r="AC509" s="25"/>
      <c r="AD509" s="25"/>
    </row>
    <row r="510" customFormat="false" ht="15.75" hidden="false" customHeight="false" outlineLevel="0" collapsed="false">
      <c r="A510" s="28" t="s">
        <v>875</v>
      </c>
      <c r="B510" s="27" t="s">
        <v>438</v>
      </c>
      <c r="C510" s="27" t="s">
        <v>383</v>
      </c>
      <c r="D510" s="25"/>
      <c r="E510" s="25"/>
      <c r="F510" s="25"/>
      <c r="G510" s="25"/>
      <c r="H510" s="25"/>
      <c r="I510" s="25"/>
      <c r="J510" s="27" t="s">
        <v>851</v>
      </c>
      <c r="K510" s="25" t="str">
        <f aca="false">IFERROR(__xludf.dummyfunction("SPLIT(J510,"" "")"),"CIF")</f>
        <v>CIF</v>
      </c>
      <c r="L510" s="28" t="str">
        <f aca="false">IFERROR(__xludf.dummyfunction("""COMPUTED_VALUE"""),"Finland")</f>
        <v>Finland</v>
      </c>
      <c r="M510" s="27" t="str">
        <f aca="false">IFERROR(__xludf.dummyfunction("""COMPUTED_VALUE"""),"(Diff)")</f>
        <v>(Diff)</v>
      </c>
      <c r="N510" s="25"/>
      <c r="O510" s="25"/>
      <c r="P510" s="25"/>
      <c r="Q510" s="29" t="s">
        <v>400</v>
      </c>
      <c r="R510" s="8" t="str">
        <f aca="false">B510&amp;" "&amp;C510&amp;" "&amp;D510&amp;" "&amp;E510&amp;" "&amp;G510&amp;" "&amp;H510&amp;" "&amp;J510&amp;" "&amp;N510</f>
        <v>Differentials Precursor     CIF Finland (Diff) </v>
      </c>
      <c r="S510" s="25"/>
      <c r="T510" s="8"/>
      <c r="U510" s="8"/>
      <c r="V510" s="27" t="s">
        <v>49</v>
      </c>
      <c r="W510" s="25"/>
      <c r="X510" s="25"/>
      <c r="Y510" s="25"/>
      <c r="Z510" s="25"/>
      <c r="AA510" s="25"/>
      <c r="AB510" s="25"/>
      <c r="AC510" s="25"/>
      <c r="AD510" s="25"/>
    </row>
    <row r="511" customFormat="false" ht="15.75" hidden="false" customHeight="false" outlineLevel="0" collapsed="false">
      <c r="A511" s="28" t="s">
        <v>876</v>
      </c>
      <c r="B511" s="27" t="s">
        <v>438</v>
      </c>
      <c r="C511" s="27" t="s">
        <v>383</v>
      </c>
      <c r="D511" s="25"/>
      <c r="E511" s="25"/>
      <c r="F511" s="25"/>
      <c r="G511" s="25"/>
      <c r="H511" s="25"/>
      <c r="I511" s="25"/>
      <c r="J511" s="27" t="s">
        <v>851</v>
      </c>
      <c r="K511" s="25" t="str">
        <f aca="false">IFERROR(__xludf.dummyfunction("SPLIT(J511,"" "")"),"CIF")</f>
        <v>CIF</v>
      </c>
      <c r="L511" s="28" t="str">
        <f aca="false">IFERROR(__xludf.dummyfunction("""COMPUTED_VALUE"""),"Finland")</f>
        <v>Finland</v>
      </c>
      <c r="M511" s="27" t="str">
        <f aca="false">IFERROR(__xludf.dummyfunction("""COMPUTED_VALUE"""),"(Diff)")</f>
        <v>(Diff)</v>
      </c>
      <c r="N511" s="25"/>
      <c r="O511" s="25"/>
      <c r="P511" s="25"/>
      <c r="Q511" s="29" t="s">
        <v>398</v>
      </c>
      <c r="R511" s="8" t="str">
        <f aca="false">B511&amp;" "&amp;C511&amp;" "&amp;D511&amp;" "&amp;E511&amp;" "&amp;G511&amp;" "&amp;H511&amp;" "&amp;J511&amp;" "&amp;N511</f>
        <v>Differentials Precursor     CIF Finland (Diff) </v>
      </c>
      <c r="S511" s="25"/>
      <c r="T511" s="8"/>
      <c r="U511" s="8"/>
      <c r="V511" s="27" t="s">
        <v>49</v>
      </c>
      <c r="W511" s="25"/>
      <c r="X511" s="25"/>
      <c r="Y511" s="25"/>
      <c r="Z511" s="25"/>
      <c r="AA511" s="25"/>
      <c r="AB511" s="25"/>
      <c r="AC511" s="25"/>
      <c r="AD511" s="25"/>
    </row>
    <row r="512" customFormat="false" ht="15.75" hidden="false" customHeight="false" outlineLevel="0" collapsed="false">
      <c r="A512" s="28" t="s">
        <v>877</v>
      </c>
      <c r="B512" s="27" t="s">
        <v>438</v>
      </c>
      <c r="C512" s="27" t="s">
        <v>383</v>
      </c>
      <c r="D512" s="25"/>
      <c r="E512" s="25"/>
      <c r="F512" s="25"/>
      <c r="G512" s="25"/>
      <c r="H512" s="25"/>
      <c r="I512" s="25"/>
      <c r="J512" s="27" t="s">
        <v>851</v>
      </c>
      <c r="K512" s="25" t="str">
        <f aca="false">IFERROR(__xludf.dummyfunction("SPLIT(J512,"" "")"),"CIF")</f>
        <v>CIF</v>
      </c>
      <c r="L512" s="28" t="str">
        <f aca="false">IFERROR(__xludf.dummyfunction("""COMPUTED_VALUE"""),"Finland")</f>
        <v>Finland</v>
      </c>
      <c r="M512" s="27" t="str">
        <f aca="false">IFERROR(__xludf.dummyfunction("""COMPUTED_VALUE"""),"(Diff)")</f>
        <v>(Diff)</v>
      </c>
      <c r="N512" s="25"/>
      <c r="O512" s="25"/>
      <c r="P512" s="25"/>
      <c r="Q512" s="29" t="s">
        <v>259</v>
      </c>
      <c r="R512" s="8" t="str">
        <f aca="false">B512&amp;" "&amp;C512&amp;" "&amp;D512&amp;" "&amp;E512&amp;" "&amp;G512&amp;" "&amp;H512&amp;" "&amp;J512&amp;" "&amp;N512</f>
        <v>Differentials Precursor     CIF Finland (Diff) </v>
      </c>
      <c r="S512" s="25"/>
      <c r="T512" s="8"/>
      <c r="U512" s="8"/>
      <c r="V512" s="27" t="s">
        <v>49</v>
      </c>
      <c r="W512" s="25"/>
      <c r="X512" s="25"/>
      <c r="Y512" s="25"/>
      <c r="Z512" s="25"/>
      <c r="AA512" s="25"/>
      <c r="AB512" s="25"/>
      <c r="AC512" s="25"/>
      <c r="AD512" s="25"/>
    </row>
    <row r="513" customFormat="false" ht="15.75" hidden="false" customHeight="false" outlineLevel="0" collapsed="false">
      <c r="A513" s="28" t="s">
        <v>878</v>
      </c>
      <c r="B513" s="27" t="s">
        <v>438</v>
      </c>
      <c r="C513" s="27" t="s">
        <v>383</v>
      </c>
      <c r="D513" s="25"/>
      <c r="E513" s="25"/>
      <c r="F513" s="25"/>
      <c r="G513" s="25"/>
      <c r="H513" s="25"/>
      <c r="I513" s="25"/>
      <c r="J513" s="27" t="s">
        <v>851</v>
      </c>
      <c r="K513" s="25" t="str">
        <f aca="false">IFERROR(__xludf.dummyfunction("SPLIT(J513,"" "")"),"CIF")</f>
        <v>CIF</v>
      </c>
      <c r="L513" s="28" t="str">
        <f aca="false">IFERROR(__xludf.dummyfunction("""COMPUTED_VALUE"""),"Finland")</f>
        <v>Finland</v>
      </c>
      <c r="M513" s="27" t="str">
        <f aca="false">IFERROR(__xludf.dummyfunction("""COMPUTED_VALUE"""),"(Diff)")</f>
        <v>(Diff)</v>
      </c>
      <c r="N513" s="25"/>
      <c r="O513" s="25"/>
      <c r="P513" s="25"/>
      <c r="Q513" s="29" t="s">
        <v>395</v>
      </c>
      <c r="R513" s="8" t="str">
        <f aca="false">B513&amp;" "&amp;C513&amp;" "&amp;D513&amp;" "&amp;E513&amp;" "&amp;G513&amp;" "&amp;H513&amp;" "&amp;J513&amp;" "&amp;N513</f>
        <v>Differentials Precursor     CIF Finland (Diff) </v>
      </c>
      <c r="S513" s="25"/>
      <c r="T513" s="8"/>
      <c r="U513" s="8"/>
      <c r="V513" s="27" t="s">
        <v>49</v>
      </c>
      <c r="W513" s="25"/>
      <c r="X513" s="25"/>
      <c r="Y513" s="25"/>
      <c r="Z513" s="25"/>
      <c r="AA513" s="25"/>
      <c r="AB513" s="25"/>
      <c r="AC513" s="25"/>
      <c r="AD513" s="25"/>
    </row>
    <row r="514" customFormat="false" ht="15.75" hidden="false" customHeight="false" outlineLevel="0" collapsed="false">
      <c r="A514" s="28" t="s">
        <v>879</v>
      </c>
      <c r="B514" s="27" t="s">
        <v>438</v>
      </c>
      <c r="C514" s="27" t="s">
        <v>383</v>
      </c>
      <c r="D514" s="25"/>
      <c r="E514" s="25"/>
      <c r="F514" s="25"/>
      <c r="G514" s="25"/>
      <c r="H514" s="25"/>
      <c r="I514" s="25"/>
      <c r="J514" s="27" t="s">
        <v>851</v>
      </c>
      <c r="K514" s="25" t="str">
        <f aca="false">IFERROR(__xludf.dummyfunction("SPLIT(J514,"" "")"),"CIF")</f>
        <v>CIF</v>
      </c>
      <c r="L514" s="28" t="str">
        <f aca="false">IFERROR(__xludf.dummyfunction("""COMPUTED_VALUE"""),"Finland")</f>
        <v>Finland</v>
      </c>
      <c r="M514" s="27" t="str">
        <f aca="false">IFERROR(__xludf.dummyfunction("""COMPUTED_VALUE"""),"(Diff)")</f>
        <v>(Diff)</v>
      </c>
      <c r="N514" s="25"/>
      <c r="O514" s="25"/>
      <c r="P514" s="25"/>
      <c r="Q514" s="29" t="s">
        <v>393</v>
      </c>
      <c r="R514" s="8" t="str">
        <f aca="false">B514&amp;" "&amp;C514&amp;" "&amp;D514&amp;" "&amp;E514&amp;" "&amp;G514&amp;" "&amp;H514&amp;" "&amp;J514&amp;" "&amp;N514</f>
        <v>Differentials Precursor     CIF Finland (Diff) </v>
      </c>
      <c r="S514" s="25"/>
      <c r="T514" s="8"/>
      <c r="U514" s="8"/>
      <c r="V514" s="27" t="s">
        <v>49</v>
      </c>
      <c r="W514" s="25"/>
      <c r="X514" s="25"/>
      <c r="Y514" s="25"/>
      <c r="Z514" s="25"/>
      <c r="AA514" s="25"/>
      <c r="AB514" s="25"/>
      <c r="AC514" s="25"/>
      <c r="AD514" s="25"/>
    </row>
    <row r="515" customFormat="false" ht="15.75" hidden="false" customHeight="false" outlineLevel="0" collapsed="false">
      <c r="A515" s="28" t="s">
        <v>880</v>
      </c>
      <c r="B515" s="27" t="s">
        <v>438</v>
      </c>
      <c r="C515" s="27" t="s">
        <v>383</v>
      </c>
      <c r="D515" s="25"/>
      <c r="E515" s="25"/>
      <c r="F515" s="25"/>
      <c r="G515" s="25"/>
      <c r="H515" s="25"/>
      <c r="I515" s="25"/>
      <c r="J515" s="27" t="s">
        <v>851</v>
      </c>
      <c r="K515" s="25" t="str">
        <f aca="false">IFERROR(__xludf.dummyfunction("SPLIT(J515,"" "")"),"CIF")</f>
        <v>CIF</v>
      </c>
      <c r="L515" s="28" t="str">
        <f aca="false">IFERROR(__xludf.dummyfunction("""COMPUTED_VALUE"""),"Finland")</f>
        <v>Finland</v>
      </c>
      <c r="M515" s="27" t="str">
        <f aca="false">IFERROR(__xludf.dummyfunction("""COMPUTED_VALUE"""),"(Diff)")</f>
        <v>(Diff)</v>
      </c>
      <c r="N515" s="25"/>
      <c r="O515" s="25"/>
      <c r="P515" s="25"/>
      <c r="Q515" s="29" t="s">
        <v>391</v>
      </c>
      <c r="R515" s="8" t="str">
        <f aca="false">B515&amp;" "&amp;C515&amp;" "&amp;D515&amp;" "&amp;E515&amp;" "&amp;G515&amp;" "&amp;H515&amp;" "&amp;J515&amp;" "&amp;N515</f>
        <v>Differentials Precursor     CIF Finland (Diff) </v>
      </c>
      <c r="S515" s="25"/>
      <c r="T515" s="8"/>
      <c r="U515" s="8"/>
      <c r="V515" s="27" t="s">
        <v>49</v>
      </c>
      <c r="W515" s="25"/>
      <c r="X515" s="25"/>
      <c r="Y515" s="25"/>
      <c r="Z515" s="25"/>
      <c r="AA515" s="25"/>
      <c r="AB515" s="25"/>
      <c r="AC515" s="25"/>
      <c r="AD515" s="25"/>
    </row>
    <row r="516" customFormat="false" ht="15.75" hidden="false" customHeight="false" outlineLevel="0" collapsed="false">
      <c r="A516" s="28" t="s">
        <v>881</v>
      </c>
      <c r="B516" s="27" t="s">
        <v>438</v>
      </c>
      <c r="C516" s="27" t="s">
        <v>383</v>
      </c>
      <c r="D516" s="25"/>
      <c r="E516" s="25"/>
      <c r="F516" s="25"/>
      <c r="G516" s="25"/>
      <c r="H516" s="25"/>
      <c r="I516" s="25"/>
      <c r="J516" s="27" t="s">
        <v>851</v>
      </c>
      <c r="K516" s="25" t="str">
        <f aca="false">IFERROR(__xludf.dummyfunction("SPLIT(J516,"" "")"),"CIF")</f>
        <v>CIF</v>
      </c>
      <c r="L516" s="28" t="str">
        <f aca="false">IFERROR(__xludf.dummyfunction("""COMPUTED_VALUE"""),"Finland")</f>
        <v>Finland</v>
      </c>
      <c r="M516" s="27" t="str">
        <f aca="false">IFERROR(__xludf.dummyfunction("""COMPUTED_VALUE"""),"(Diff)")</f>
        <v>(Diff)</v>
      </c>
      <c r="N516" s="25"/>
      <c r="O516" s="25"/>
      <c r="P516" s="25"/>
      <c r="Q516" s="29" t="s">
        <v>389</v>
      </c>
      <c r="R516" s="8" t="str">
        <f aca="false">B516&amp;" "&amp;C516&amp;" "&amp;D516&amp;" "&amp;E516&amp;" "&amp;G516&amp;" "&amp;H516&amp;" "&amp;J516&amp;" "&amp;N516</f>
        <v>Differentials Precursor     CIF Finland (Diff) </v>
      </c>
      <c r="S516" s="25"/>
      <c r="T516" s="8"/>
      <c r="U516" s="8"/>
      <c r="V516" s="27" t="s">
        <v>49</v>
      </c>
      <c r="W516" s="25"/>
      <c r="X516" s="25"/>
      <c r="Y516" s="25"/>
      <c r="Z516" s="25"/>
      <c r="AA516" s="25"/>
      <c r="AB516" s="25"/>
      <c r="AC516" s="25"/>
      <c r="AD516" s="25"/>
    </row>
    <row r="517" customFormat="false" ht="15.75" hidden="false" customHeight="false" outlineLevel="0" collapsed="false">
      <c r="A517" s="28" t="s">
        <v>882</v>
      </c>
      <c r="B517" s="27" t="s">
        <v>438</v>
      </c>
      <c r="C517" s="27" t="s">
        <v>383</v>
      </c>
      <c r="D517" s="25"/>
      <c r="E517" s="25"/>
      <c r="F517" s="25"/>
      <c r="G517" s="25"/>
      <c r="H517" s="25"/>
      <c r="I517" s="25"/>
      <c r="J517" s="27" t="s">
        <v>851</v>
      </c>
      <c r="K517" s="25" t="str">
        <f aca="false">IFERROR(__xludf.dummyfunction("SPLIT(J517,"" "")"),"CIF")</f>
        <v>CIF</v>
      </c>
      <c r="L517" s="28" t="str">
        <f aca="false">IFERROR(__xludf.dummyfunction("""COMPUTED_VALUE"""),"Finland")</f>
        <v>Finland</v>
      </c>
      <c r="M517" s="27" t="str">
        <f aca="false">IFERROR(__xludf.dummyfunction("""COMPUTED_VALUE"""),"(Diff)")</f>
        <v>(Diff)</v>
      </c>
      <c r="N517" s="25"/>
      <c r="O517" s="25"/>
      <c r="P517" s="25"/>
      <c r="Q517" s="29" t="s">
        <v>387</v>
      </c>
      <c r="R517" s="8" t="str">
        <f aca="false">B517&amp;" "&amp;C517&amp;" "&amp;D517&amp;" "&amp;E517&amp;" "&amp;G517&amp;" "&amp;H517&amp;" "&amp;J517&amp;" "&amp;N517</f>
        <v>Differentials Precursor     CIF Finland (Diff) </v>
      </c>
      <c r="S517" s="25"/>
      <c r="T517" s="8"/>
      <c r="U517" s="8"/>
      <c r="V517" s="27" t="s">
        <v>49</v>
      </c>
      <c r="W517" s="25"/>
      <c r="X517" s="25"/>
      <c r="Y517" s="25"/>
      <c r="Z517" s="25"/>
      <c r="AA517" s="25"/>
      <c r="AB517" s="25"/>
      <c r="AC517" s="25"/>
      <c r="AD517" s="25"/>
    </row>
    <row r="518" customFormat="false" ht="15.75" hidden="false" customHeight="false" outlineLevel="0" collapsed="false">
      <c r="A518" s="28" t="s">
        <v>883</v>
      </c>
      <c r="B518" s="27" t="s">
        <v>438</v>
      </c>
      <c r="C518" s="27" t="s">
        <v>383</v>
      </c>
      <c r="D518" s="25"/>
      <c r="E518" s="25"/>
      <c r="F518" s="25"/>
      <c r="G518" s="25"/>
      <c r="H518" s="25"/>
      <c r="I518" s="25"/>
      <c r="J518" s="27" t="s">
        <v>851</v>
      </c>
      <c r="K518" s="25" t="str">
        <f aca="false">IFERROR(__xludf.dummyfunction("SPLIT(J518,"" "")"),"CIF")</f>
        <v>CIF</v>
      </c>
      <c r="L518" s="28" t="str">
        <f aca="false">IFERROR(__xludf.dummyfunction("""COMPUTED_VALUE"""),"Finland")</f>
        <v>Finland</v>
      </c>
      <c r="M518" s="27" t="str">
        <f aca="false">IFERROR(__xludf.dummyfunction("""COMPUTED_VALUE"""),"(Diff)")</f>
        <v>(Diff)</v>
      </c>
      <c r="N518" s="25"/>
      <c r="O518" s="25"/>
      <c r="P518" s="25"/>
      <c r="Q518" s="29" t="s">
        <v>385</v>
      </c>
      <c r="R518" s="8" t="str">
        <f aca="false">B518&amp;" "&amp;C518&amp;" "&amp;D518&amp;" "&amp;E518&amp;" "&amp;G518&amp;" "&amp;H518&amp;" "&amp;J518&amp;" "&amp;N518</f>
        <v>Differentials Precursor     CIF Finland (Diff) </v>
      </c>
      <c r="S518" s="25"/>
      <c r="T518" s="8"/>
      <c r="U518" s="8"/>
      <c r="V518" s="27" t="s">
        <v>49</v>
      </c>
      <c r="W518" s="25"/>
      <c r="X518" s="25"/>
      <c r="Y518" s="25"/>
      <c r="Z518" s="25"/>
      <c r="AA518" s="25"/>
      <c r="AB518" s="25"/>
      <c r="AC518" s="25"/>
      <c r="AD518" s="25"/>
    </row>
    <row r="519" customFormat="false" ht="15.75" hidden="false" customHeight="false" outlineLevel="0" collapsed="false">
      <c r="A519" s="28" t="s">
        <v>884</v>
      </c>
      <c r="B519" s="27" t="s">
        <v>438</v>
      </c>
      <c r="C519" s="27" t="s">
        <v>168</v>
      </c>
      <c r="D519" s="25"/>
      <c r="E519" s="25"/>
      <c r="F519" s="25"/>
      <c r="G519" s="25"/>
      <c r="H519" s="25"/>
      <c r="I519" s="25"/>
      <c r="J519" s="27" t="s">
        <v>885</v>
      </c>
      <c r="K519" s="25" t="str">
        <f aca="false">IFERROR(__xludf.dummyfunction("SPLIT(J519,"" "")"),"CIF")</f>
        <v>CIF</v>
      </c>
      <c r="L519" s="28" t="str">
        <f aca="false">IFERROR(__xludf.dummyfunction("""COMPUTED_VALUE"""),"France")</f>
        <v>France</v>
      </c>
      <c r="M519" s="27" t="str">
        <f aca="false">IFERROR(__xludf.dummyfunction("""COMPUTED_VALUE"""),"(Diff)")</f>
        <v>(Diff)</v>
      </c>
      <c r="N519" s="25"/>
      <c r="O519" s="25"/>
      <c r="P519" s="25"/>
      <c r="Q519" s="29" t="s">
        <v>175</v>
      </c>
      <c r="R519" s="8" t="str">
        <f aca="false">B519&amp;" "&amp;C519&amp;" "&amp;D519&amp;" "&amp;E519&amp;" "&amp;G519&amp;" "&amp;H519&amp;" "&amp;J519&amp;" "&amp;N519</f>
        <v>Differentials Aluminium (Battery Grade)     CIF France (Diff) </v>
      </c>
      <c r="S519" s="25"/>
      <c r="T519" s="8"/>
      <c r="U519" s="8"/>
      <c r="V519" s="27" t="s">
        <v>49</v>
      </c>
      <c r="W519" s="25"/>
      <c r="X519" s="25"/>
      <c r="Y519" s="25"/>
      <c r="Z519" s="25"/>
      <c r="AA519" s="25"/>
      <c r="AB519" s="25"/>
      <c r="AC519" s="25"/>
      <c r="AD519" s="25"/>
    </row>
    <row r="520" customFormat="false" ht="15.75" hidden="false" customHeight="false" outlineLevel="0" collapsed="false">
      <c r="A520" s="28" t="s">
        <v>886</v>
      </c>
      <c r="B520" s="27" t="s">
        <v>438</v>
      </c>
      <c r="C520" s="27" t="s">
        <v>168</v>
      </c>
      <c r="D520" s="25"/>
      <c r="E520" s="25"/>
      <c r="F520" s="25"/>
      <c r="G520" s="25"/>
      <c r="H520" s="25"/>
      <c r="I520" s="25"/>
      <c r="J520" s="27" t="s">
        <v>885</v>
      </c>
      <c r="K520" s="25" t="str">
        <f aca="false">IFERROR(__xludf.dummyfunction("SPLIT(J520,"" "")"),"CIF")</f>
        <v>CIF</v>
      </c>
      <c r="L520" s="28" t="str">
        <f aca="false">IFERROR(__xludf.dummyfunction("""COMPUTED_VALUE"""),"France")</f>
        <v>France</v>
      </c>
      <c r="M520" s="27" t="str">
        <f aca="false">IFERROR(__xludf.dummyfunction("""COMPUTED_VALUE"""),"(Diff)")</f>
        <v>(Diff)</v>
      </c>
      <c r="N520" s="25"/>
      <c r="O520" s="25"/>
      <c r="P520" s="25"/>
      <c r="Q520" s="29" t="s">
        <v>173</v>
      </c>
      <c r="R520" s="8" t="str">
        <f aca="false">B520&amp;" "&amp;C520&amp;" "&amp;D520&amp;" "&amp;E520&amp;" "&amp;G520&amp;" "&amp;H520&amp;" "&amp;J520&amp;" "&amp;N520</f>
        <v>Differentials Aluminium (Battery Grade)     CIF France (Diff) </v>
      </c>
      <c r="S520" s="25"/>
      <c r="T520" s="8"/>
      <c r="U520" s="8"/>
      <c r="V520" s="27" t="s">
        <v>49</v>
      </c>
      <c r="W520" s="25"/>
      <c r="X520" s="25"/>
      <c r="Y520" s="25"/>
      <c r="Z520" s="25"/>
      <c r="AA520" s="25"/>
      <c r="AB520" s="25"/>
      <c r="AC520" s="25"/>
      <c r="AD520" s="25"/>
    </row>
    <row r="521" customFormat="false" ht="15.75" hidden="false" customHeight="false" outlineLevel="0" collapsed="false">
      <c r="A521" s="28" t="s">
        <v>887</v>
      </c>
      <c r="B521" s="27" t="s">
        <v>438</v>
      </c>
      <c r="C521" s="27" t="s">
        <v>168</v>
      </c>
      <c r="D521" s="25"/>
      <c r="E521" s="25"/>
      <c r="F521" s="25"/>
      <c r="G521" s="25"/>
      <c r="H521" s="25"/>
      <c r="I521" s="25"/>
      <c r="J521" s="27" t="s">
        <v>885</v>
      </c>
      <c r="K521" s="25" t="str">
        <f aca="false">IFERROR(__xludf.dummyfunction("SPLIT(J521,"" "")"),"CIF")</f>
        <v>CIF</v>
      </c>
      <c r="L521" s="28" t="str">
        <f aca="false">IFERROR(__xludf.dummyfunction("""COMPUTED_VALUE"""),"France")</f>
        <v>France</v>
      </c>
      <c r="M521" s="27" t="str">
        <f aca="false">IFERROR(__xludf.dummyfunction("""COMPUTED_VALUE"""),"(Diff)")</f>
        <v>(Diff)</v>
      </c>
      <c r="N521" s="25"/>
      <c r="O521" s="25"/>
      <c r="P521" s="25"/>
      <c r="Q521" s="29" t="s">
        <v>169</v>
      </c>
      <c r="R521" s="8" t="str">
        <f aca="false">B521&amp;" "&amp;C521&amp;" "&amp;D521&amp;" "&amp;E521&amp;" "&amp;G521&amp;" "&amp;H521&amp;" "&amp;J521&amp;" "&amp;N521</f>
        <v>Differentials Aluminium (Battery Grade)     CIF France (Diff) </v>
      </c>
      <c r="S521" s="25"/>
      <c r="T521" s="8"/>
      <c r="U521" s="8"/>
      <c r="V521" s="27" t="s">
        <v>49</v>
      </c>
      <c r="W521" s="25"/>
      <c r="X521" s="25"/>
      <c r="Y521" s="25"/>
      <c r="Z521" s="25"/>
      <c r="AA521" s="25"/>
      <c r="AB521" s="25"/>
      <c r="AC521" s="25"/>
      <c r="AD521" s="25"/>
    </row>
    <row r="522" customFormat="false" ht="15.75" hidden="false" customHeight="false" outlineLevel="0" collapsed="false">
      <c r="A522" s="28" t="s">
        <v>888</v>
      </c>
      <c r="B522" s="27" t="s">
        <v>438</v>
      </c>
      <c r="C522" s="27" t="s">
        <v>177</v>
      </c>
      <c r="D522" s="25"/>
      <c r="E522" s="25"/>
      <c r="F522" s="25"/>
      <c r="G522" s="25"/>
      <c r="H522" s="25"/>
      <c r="I522" s="25"/>
      <c r="J522" s="27" t="s">
        <v>885</v>
      </c>
      <c r="K522" s="25" t="str">
        <f aca="false">IFERROR(__xludf.dummyfunction("SPLIT(J522,"" "")"),"CIF")</f>
        <v>CIF</v>
      </c>
      <c r="L522" s="28" t="str">
        <f aca="false">IFERROR(__xludf.dummyfunction("""COMPUTED_VALUE"""),"France")</f>
        <v>France</v>
      </c>
      <c r="M522" s="27" t="str">
        <f aca="false">IFERROR(__xludf.dummyfunction("""COMPUTED_VALUE"""),"(Diff)")</f>
        <v>(Diff)</v>
      </c>
      <c r="N522" s="25"/>
      <c r="O522" s="25"/>
      <c r="P522" s="25"/>
      <c r="Q522" s="29" t="s">
        <v>209</v>
      </c>
      <c r="R522" s="8" t="str">
        <f aca="false">B522&amp;" "&amp;C522&amp;" "&amp;D522&amp;" "&amp;E522&amp;" "&amp;G522&amp;" "&amp;H522&amp;" "&amp;J522&amp;" "&amp;N522</f>
        <v>Differentials Anode     CIF France (Diff) </v>
      </c>
      <c r="S522" s="25"/>
      <c r="T522" s="8"/>
      <c r="U522" s="8"/>
      <c r="V522" s="27" t="s">
        <v>49</v>
      </c>
      <c r="W522" s="25"/>
      <c r="X522" s="25"/>
      <c r="Y522" s="25"/>
      <c r="Z522" s="25"/>
      <c r="AA522" s="25"/>
      <c r="AB522" s="25"/>
      <c r="AC522" s="25"/>
      <c r="AD522" s="25"/>
    </row>
    <row r="523" customFormat="false" ht="15.75" hidden="false" customHeight="false" outlineLevel="0" collapsed="false">
      <c r="A523" s="28" t="s">
        <v>889</v>
      </c>
      <c r="B523" s="27" t="s">
        <v>438</v>
      </c>
      <c r="C523" s="27" t="s">
        <v>177</v>
      </c>
      <c r="D523" s="25"/>
      <c r="E523" s="25"/>
      <c r="F523" s="25"/>
      <c r="G523" s="25"/>
      <c r="H523" s="25"/>
      <c r="I523" s="25"/>
      <c r="J523" s="27" t="s">
        <v>885</v>
      </c>
      <c r="K523" s="25" t="str">
        <f aca="false">IFERROR(__xludf.dummyfunction("SPLIT(J523,"" "")"),"CIF")</f>
        <v>CIF</v>
      </c>
      <c r="L523" s="28" t="str">
        <f aca="false">IFERROR(__xludf.dummyfunction("""COMPUTED_VALUE"""),"France")</f>
        <v>France</v>
      </c>
      <c r="M523" s="27" t="str">
        <f aca="false">IFERROR(__xludf.dummyfunction("""COMPUTED_VALUE"""),"(Diff)")</f>
        <v>(Diff)</v>
      </c>
      <c r="N523" s="25"/>
      <c r="O523" s="25"/>
      <c r="P523" s="25"/>
      <c r="Q523" s="29" t="s">
        <v>205</v>
      </c>
      <c r="R523" s="8" t="str">
        <f aca="false">B523&amp;" "&amp;C523&amp;" "&amp;D523&amp;" "&amp;E523&amp;" "&amp;G523&amp;" "&amp;H523&amp;" "&amp;J523&amp;" "&amp;N523</f>
        <v>Differentials Anode     CIF France (Diff) </v>
      </c>
      <c r="S523" s="25"/>
      <c r="T523" s="8"/>
      <c r="U523" s="8"/>
      <c r="V523" s="27" t="s">
        <v>49</v>
      </c>
      <c r="W523" s="25"/>
      <c r="X523" s="25"/>
      <c r="Y523" s="25"/>
      <c r="Z523" s="25"/>
      <c r="AA523" s="25"/>
      <c r="AB523" s="25"/>
      <c r="AC523" s="25"/>
      <c r="AD523" s="25"/>
    </row>
    <row r="524" customFormat="false" ht="15.75" hidden="false" customHeight="false" outlineLevel="0" collapsed="false">
      <c r="A524" s="28" t="s">
        <v>890</v>
      </c>
      <c r="B524" s="27" t="s">
        <v>438</v>
      </c>
      <c r="C524" s="27" t="s">
        <v>177</v>
      </c>
      <c r="D524" s="25"/>
      <c r="E524" s="25"/>
      <c r="F524" s="25"/>
      <c r="G524" s="25"/>
      <c r="H524" s="25"/>
      <c r="I524" s="25"/>
      <c r="J524" s="27" t="s">
        <v>885</v>
      </c>
      <c r="K524" s="25" t="str">
        <f aca="false">IFERROR(__xludf.dummyfunction("SPLIT(J524,"" "")"),"CIF")</f>
        <v>CIF</v>
      </c>
      <c r="L524" s="28" t="str">
        <f aca="false">IFERROR(__xludf.dummyfunction("""COMPUTED_VALUE"""),"France")</f>
        <v>France</v>
      </c>
      <c r="M524" s="27" t="str">
        <f aca="false">IFERROR(__xludf.dummyfunction("""COMPUTED_VALUE"""),"(Diff)")</f>
        <v>(Diff)</v>
      </c>
      <c r="N524" s="25"/>
      <c r="O524" s="25"/>
      <c r="P524" s="25"/>
      <c r="Q524" s="29" t="s">
        <v>202</v>
      </c>
      <c r="R524" s="8" t="str">
        <f aca="false">B524&amp;" "&amp;C524&amp;" "&amp;D524&amp;" "&amp;E524&amp;" "&amp;G524&amp;" "&amp;H524&amp;" "&amp;J524&amp;" "&amp;N524</f>
        <v>Differentials Anode     CIF France (Diff) </v>
      </c>
      <c r="S524" s="25"/>
      <c r="T524" s="8"/>
      <c r="U524" s="8"/>
      <c r="V524" s="27" t="s">
        <v>49</v>
      </c>
      <c r="W524" s="25"/>
      <c r="X524" s="25"/>
      <c r="Y524" s="25"/>
      <c r="Z524" s="25"/>
      <c r="AA524" s="25"/>
      <c r="AB524" s="25"/>
      <c r="AC524" s="25"/>
      <c r="AD524" s="25"/>
    </row>
    <row r="525" customFormat="false" ht="15.75" hidden="false" customHeight="false" outlineLevel="0" collapsed="false">
      <c r="A525" s="28" t="s">
        <v>891</v>
      </c>
      <c r="B525" s="27" t="s">
        <v>438</v>
      </c>
      <c r="C525" s="27" t="s">
        <v>177</v>
      </c>
      <c r="D525" s="25"/>
      <c r="E525" s="25"/>
      <c r="F525" s="25"/>
      <c r="G525" s="25"/>
      <c r="H525" s="25"/>
      <c r="I525" s="25"/>
      <c r="J525" s="27" t="s">
        <v>885</v>
      </c>
      <c r="K525" s="25" t="str">
        <f aca="false">IFERROR(__xludf.dummyfunction("SPLIT(J525,"" "")"),"CIF")</f>
        <v>CIF</v>
      </c>
      <c r="L525" s="28" t="str">
        <f aca="false">IFERROR(__xludf.dummyfunction("""COMPUTED_VALUE"""),"France")</f>
        <v>France</v>
      </c>
      <c r="M525" s="27" t="str">
        <f aca="false">IFERROR(__xludf.dummyfunction("""COMPUTED_VALUE"""),"(Diff)")</f>
        <v>(Diff)</v>
      </c>
      <c r="N525" s="25"/>
      <c r="O525" s="25"/>
      <c r="P525" s="25"/>
      <c r="Q525" s="29" t="s">
        <v>197</v>
      </c>
      <c r="R525" s="8" t="str">
        <f aca="false">B525&amp;" "&amp;C525&amp;" "&amp;D525&amp;" "&amp;E525&amp;" "&amp;G525&amp;" "&amp;H525&amp;" "&amp;J525&amp;" "&amp;N525</f>
        <v>Differentials Anode     CIF France (Diff) </v>
      </c>
      <c r="S525" s="25"/>
      <c r="T525" s="8"/>
      <c r="U525" s="8"/>
      <c r="V525" s="27" t="s">
        <v>49</v>
      </c>
      <c r="W525" s="25"/>
      <c r="X525" s="25"/>
      <c r="Y525" s="25"/>
      <c r="Z525" s="25"/>
      <c r="AA525" s="25"/>
      <c r="AB525" s="25"/>
      <c r="AC525" s="25"/>
      <c r="AD525" s="25"/>
    </row>
    <row r="526" customFormat="false" ht="15.75" hidden="false" customHeight="false" outlineLevel="0" collapsed="false">
      <c r="A526" s="28" t="s">
        <v>892</v>
      </c>
      <c r="B526" s="27" t="s">
        <v>438</v>
      </c>
      <c r="C526" s="27" t="s">
        <v>177</v>
      </c>
      <c r="D526" s="25"/>
      <c r="E526" s="25"/>
      <c r="F526" s="25"/>
      <c r="G526" s="25"/>
      <c r="H526" s="25"/>
      <c r="I526" s="25"/>
      <c r="J526" s="27" t="s">
        <v>885</v>
      </c>
      <c r="K526" s="25" t="str">
        <f aca="false">IFERROR(__xludf.dummyfunction("SPLIT(J526,"" "")"),"CIF")</f>
        <v>CIF</v>
      </c>
      <c r="L526" s="28" t="str">
        <f aca="false">IFERROR(__xludf.dummyfunction("""COMPUTED_VALUE"""),"France")</f>
        <v>France</v>
      </c>
      <c r="M526" s="27" t="str">
        <f aca="false">IFERROR(__xludf.dummyfunction("""COMPUTED_VALUE"""),"(Diff)")</f>
        <v>(Diff)</v>
      </c>
      <c r="N526" s="25"/>
      <c r="O526" s="25"/>
      <c r="P526" s="25"/>
      <c r="Q526" s="29" t="s">
        <v>193</v>
      </c>
      <c r="R526" s="8" t="str">
        <f aca="false">B526&amp;" "&amp;C526&amp;" "&amp;D526&amp;" "&amp;E526&amp;" "&amp;G526&amp;" "&amp;H526&amp;" "&amp;J526&amp;" "&amp;N526</f>
        <v>Differentials Anode     CIF France (Diff) </v>
      </c>
      <c r="S526" s="25"/>
      <c r="T526" s="8"/>
      <c r="U526" s="8"/>
      <c r="V526" s="27" t="s">
        <v>49</v>
      </c>
      <c r="W526" s="25"/>
      <c r="X526" s="25"/>
      <c r="Y526" s="25"/>
      <c r="Z526" s="25"/>
      <c r="AA526" s="25"/>
      <c r="AB526" s="25"/>
      <c r="AC526" s="25"/>
      <c r="AD526" s="25"/>
    </row>
    <row r="527" customFormat="false" ht="15.75" hidden="false" customHeight="false" outlineLevel="0" collapsed="false">
      <c r="A527" s="28" t="s">
        <v>893</v>
      </c>
      <c r="B527" s="27" t="s">
        <v>438</v>
      </c>
      <c r="C527" s="27" t="s">
        <v>177</v>
      </c>
      <c r="D527" s="25"/>
      <c r="E527" s="25"/>
      <c r="F527" s="25"/>
      <c r="G527" s="25"/>
      <c r="H527" s="25"/>
      <c r="I527" s="25"/>
      <c r="J527" s="27" t="s">
        <v>885</v>
      </c>
      <c r="K527" s="25" t="str">
        <f aca="false">IFERROR(__xludf.dummyfunction("SPLIT(J527,"" "")"),"CIF")</f>
        <v>CIF</v>
      </c>
      <c r="L527" s="28" t="str">
        <f aca="false">IFERROR(__xludf.dummyfunction("""COMPUTED_VALUE"""),"France")</f>
        <v>France</v>
      </c>
      <c r="M527" s="27" t="str">
        <f aca="false">IFERROR(__xludf.dummyfunction("""COMPUTED_VALUE"""),"(Diff)")</f>
        <v>(Diff)</v>
      </c>
      <c r="N527" s="25"/>
      <c r="O527" s="25"/>
      <c r="P527" s="25"/>
      <c r="Q527" s="29" t="s">
        <v>188</v>
      </c>
      <c r="R527" s="8" t="str">
        <f aca="false">B527&amp;" "&amp;C527&amp;" "&amp;D527&amp;" "&amp;E527&amp;" "&amp;G527&amp;" "&amp;H527&amp;" "&amp;J527&amp;" "&amp;N527</f>
        <v>Differentials Anode     CIF France (Diff) </v>
      </c>
      <c r="S527" s="25"/>
      <c r="T527" s="8"/>
      <c r="U527" s="8"/>
      <c r="V527" s="27" t="s">
        <v>49</v>
      </c>
      <c r="W527" s="25"/>
      <c r="X527" s="25"/>
      <c r="Y527" s="25"/>
      <c r="Z527" s="25"/>
      <c r="AA527" s="25"/>
      <c r="AB527" s="25"/>
      <c r="AC527" s="25"/>
      <c r="AD527" s="25"/>
    </row>
    <row r="528" customFormat="false" ht="15.75" hidden="false" customHeight="false" outlineLevel="0" collapsed="false">
      <c r="A528" s="28" t="s">
        <v>894</v>
      </c>
      <c r="B528" s="27" t="s">
        <v>438</v>
      </c>
      <c r="C528" s="27" t="s">
        <v>177</v>
      </c>
      <c r="D528" s="25"/>
      <c r="E528" s="25"/>
      <c r="F528" s="25"/>
      <c r="G528" s="25"/>
      <c r="H528" s="25"/>
      <c r="I528" s="25"/>
      <c r="J528" s="27" t="s">
        <v>885</v>
      </c>
      <c r="K528" s="25" t="str">
        <f aca="false">IFERROR(__xludf.dummyfunction("SPLIT(J528,"" "")"),"CIF")</f>
        <v>CIF</v>
      </c>
      <c r="L528" s="28" t="str">
        <f aca="false">IFERROR(__xludf.dummyfunction("""COMPUTED_VALUE"""),"France")</f>
        <v>France</v>
      </c>
      <c r="M528" s="27" t="str">
        <f aca="false">IFERROR(__xludf.dummyfunction("""COMPUTED_VALUE"""),"(Diff)")</f>
        <v>(Diff)</v>
      </c>
      <c r="N528" s="25"/>
      <c r="O528" s="25"/>
      <c r="P528" s="25"/>
      <c r="Q528" s="29" t="s">
        <v>180</v>
      </c>
      <c r="R528" s="8" t="str">
        <f aca="false">B528&amp;" "&amp;C528&amp;" "&amp;D528&amp;" "&amp;E528&amp;" "&amp;G528&amp;" "&amp;H528&amp;" "&amp;J528&amp;" "&amp;N528</f>
        <v>Differentials Anode     CIF France (Diff) </v>
      </c>
      <c r="S528" s="25"/>
      <c r="T528" s="8"/>
      <c r="U528" s="8"/>
      <c r="V528" s="27" t="s">
        <v>49</v>
      </c>
      <c r="W528" s="25"/>
      <c r="X528" s="25"/>
      <c r="Y528" s="25"/>
      <c r="Z528" s="25"/>
      <c r="AA528" s="25"/>
      <c r="AB528" s="25"/>
      <c r="AC528" s="25"/>
      <c r="AD528" s="25"/>
    </row>
    <row r="529" customFormat="false" ht="15.75" hidden="false" customHeight="false" outlineLevel="0" collapsed="false">
      <c r="A529" s="28" t="s">
        <v>895</v>
      </c>
      <c r="B529" s="27" t="s">
        <v>438</v>
      </c>
      <c r="C529" s="27" t="s">
        <v>211</v>
      </c>
      <c r="D529" s="25"/>
      <c r="E529" s="25"/>
      <c r="F529" s="25"/>
      <c r="G529" s="25"/>
      <c r="H529" s="25"/>
      <c r="I529" s="25"/>
      <c r="J529" s="27" t="s">
        <v>885</v>
      </c>
      <c r="K529" s="25" t="str">
        <f aca="false">IFERROR(__xludf.dummyfunction("SPLIT(J529,"" "")"),"CIF")</f>
        <v>CIF</v>
      </c>
      <c r="L529" s="28" t="str">
        <f aca="false">IFERROR(__xludf.dummyfunction("""COMPUTED_VALUE"""),"France")</f>
        <v>France</v>
      </c>
      <c r="M529" s="27" t="str">
        <f aca="false">IFERROR(__xludf.dummyfunction("""COMPUTED_VALUE"""),"(Diff)")</f>
        <v>(Diff)</v>
      </c>
      <c r="N529" s="25"/>
      <c r="O529" s="25"/>
      <c r="P529" s="25"/>
      <c r="Q529" s="29" t="s">
        <v>234</v>
      </c>
      <c r="R529" s="8" t="str">
        <f aca="false">B529&amp;" "&amp;C529&amp;" "&amp;D529&amp;" "&amp;E529&amp;" "&amp;G529&amp;" "&amp;H529&amp;" "&amp;J529&amp;" "&amp;N529</f>
        <v>Differentials Binders &amp; Additives     CIF France (Diff) </v>
      </c>
      <c r="S529" s="25"/>
      <c r="T529" s="8"/>
      <c r="U529" s="8"/>
      <c r="V529" s="27" t="s">
        <v>49</v>
      </c>
      <c r="W529" s="25"/>
      <c r="X529" s="25"/>
      <c r="Y529" s="25"/>
      <c r="Z529" s="25"/>
      <c r="AA529" s="25"/>
      <c r="AB529" s="25"/>
      <c r="AC529" s="25"/>
      <c r="AD529" s="25"/>
    </row>
    <row r="530" customFormat="false" ht="15.75" hidden="false" customHeight="false" outlineLevel="0" collapsed="false">
      <c r="A530" s="28" t="s">
        <v>896</v>
      </c>
      <c r="B530" s="27" t="s">
        <v>438</v>
      </c>
      <c r="C530" s="27" t="s">
        <v>211</v>
      </c>
      <c r="D530" s="25"/>
      <c r="E530" s="25"/>
      <c r="F530" s="25"/>
      <c r="G530" s="25"/>
      <c r="H530" s="25"/>
      <c r="I530" s="25"/>
      <c r="J530" s="27" t="s">
        <v>885</v>
      </c>
      <c r="K530" s="25" t="str">
        <f aca="false">IFERROR(__xludf.dummyfunction("SPLIT(J530,"" "")"),"CIF")</f>
        <v>CIF</v>
      </c>
      <c r="L530" s="28" t="str">
        <f aca="false">IFERROR(__xludf.dummyfunction("""COMPUTED_VALUE"""),"France")</f>
        <v>France</v>
      </c>
      <c r="M530" s="27" t="str">
        <f aca="false">IFERROR(__xludf.dummyfunction("""COMPUTED_VALUE"""),"(Diff)")</f>
        <v>(Diff)</v>
      </c>
      <c r="N530" s="25"/>
      <c r="O530" s="25"/>
      <c r="P530" s="25"/>
      <c r="Q530" s="29" t="s">
        <v>232</v>
      </c>
      <c r="R530" s="8" t="str">
        <f aca="false">B530&amp;" "&amp;C530&amp;" "&amp;D530&amp;" "&amp;E530&amp;" "&amp;G530&amp;" "&amp;H530&amp;" "&amp;J530&amp;" "&amp;N530</f>
        <v>Differentials Binders &amp; Additives     CIF France (Diff) </v>
      </c>
      <c r="S530" s="25"/>
      <c r="T530" s="8"/>
      <c r="U530" s="8"/>
      <c r="V530" s="27" t="s">
        <v>49</v>
      </c>
      <c r="W530" s="25"/>
      <c r="X530" s="25"/>
      <c r="Y530" s="25"/>
      <c r="Z530" s="25"/>
      <c r="AA530" s="25"/>
      <c r="AB530" s="25"/>
      <c r="AC530" s="25"/>
      <c r="AD530" s="25"/>
    </row>
    <row r="531" customFormat="false" ht="15.75" hidden="false" customHeight="false" outlineLevel="0" collapsed="false">
      <c r="A531" s="28" t="s">
        <v>897</v>
      </c>
      <c r="B531" s="27" t="s">
        <v>438</v>
      </c>
      <c r="C531" s="27" t="s">
        <v>211</v>
      </c>
      <c r="D531" s="25"/>
      <c r="E531" s="25"/>
      <c r="F531" s="25"/>
      <c r="G531" s="25"/>
      <c r="H531" s="25"/>
      <c r="I531" s="25"/>
      <c r="J531" s="27" t="s">
        <v>885</v>
      </c>
      <c r="K531" s="25" t="str">
        <f aca="false">IFERROR(__xludf.dummyfunction("SPLIT(J531,"" "")"),"CIF")</f>
        <v>CIF</v>
      </c>
      <c r="L531" s="28" t="str">
        <f aca="false">IFERROR(__xludf.dummyfunction("""COMPUTED_VALUE"""),"France")</f>
        <v>France</v>
      </c>
      <c r="M531" s="27" t="str">
        <f aca="false">IFERROR(__xludf.dummyfunction("""COMPUTED_VALUE"""),"(Diff)")</f>
        <v>(Diff)</v>
      </c>
      <c r="N531" s="25"/>
      <c r="O531" s="25"/>
      <c r="P531" s="25"/>
      <c r="Q531" s="29" t="s">
        <v>230</v>
      </c>
      <c r="R531" s="8" t="str">
        <f aca="false">B531&amp;" "&amp;C531&amp;" "&amp;D531&amp;" "&amp;E531&amp;" "&amp;G531&amp;" "&amp;H531&amp;" "&amp;J531&amp;" "&amp;N531</f>
        <v>Differentials Binders &amp; Additives     CIF France (Diff) </v>
      </c>
      <c r="S531" s="25"/>
      <c r="T531" s="8"/>
      <c r="U531" s="8"/>
      <c r="V531" s="27" t="s">
        <v>49</v>
      </c>
      <c r="W531" s="25"/>
      <c r="X531" s="25"/>
      <c r="Y531" s="25"/>
      <c r="Z531" s="25"/>
      <c r="AA531" s="25"/>
      <c r="AB531" s="25"/>
      <c r="AC531" s="25"/>
      <c r="AD531" s="25"/>
    </row>
    <row r="532" customFormat="false" ht="15.75" hidden="false" customHeight="false" outlineLevel="0" collapsed="false">
      <c r="A532" s="28" t="s">
        <v>898</v>
      </c>
      <c r="B532" s="27" t="s">
        <v>438</v>
      </c>
      <c r="C532" s="27" t="s">
        <v>211</v>
      </c>
      <c r="D532" s="25"/>
      <c r="E532" s="25"/>
      <c r="F532" s="25"/>
      <c r="G532" s="25"/>
      <c r="H532" s="25"/>
      <c r="I532" s="25"/>
      <c r="J532" s="27" t="s">
        <v>885</v>
      </c>
      <c r="K532" s="25" t="str">
        <f aca="false">IFERROR(__xludf.dummyfunction("SPLIT(J532,"" "")"),"CIF")</f>
        <v>CIF</v>
      </c>
      <c r="L532" s="28" t="str">
        <f aca="false">IFERROR(__xludf.dummyfunction("""COMPUTED_VALUE"""),"France")</f>
        <v>France</v>
      </c>
      <c r="M532" s="27" t="str">
        <f aca="false">IFERROR(__xludf.dummyfunction("""COMPUTED_VALUE"""),"(Diff)")</f>
        <v>(Diff)</v>
      </c>
      <c r="N532" s="25"/>
      <c r="O532" s="25"/>
      <c r="P532" s="25"/>
      <c r="Q532" s="29" t="s">
        <v>228</v>
      </c>
      <c r="R532" s="8" t="str">
        <f aca="false">B532&amp;" "&amp;C532&amp;" "&amp;D532&amp;" "&amp;E532&amp;" "&amp;G532&amp;" "&amp;H532&amp;" "&amp;J532&amp;" "&amp;N532</f>
        <v>Differentials Binders &amp; Additives     CIF France (Diff) </v>
      </c>
      <c r="S532" s="25"/>
      <c r="T532" s="8"/>
      <c r="U532" s="8"/>
      <c r="V532" s="27" t="s">
        <v>49</v>
      </c>
      <c r="W532" s="25"/>
      <c r="X532" s="25"/>
      <c r="Y532" s="25"/>
      <c r="Z532" s="25"/>
      <c r="AA532" s="25"/>
      <c r="AB532" s="25"/>
      <c r="AC532" s="25"/>
      <c r="AD532" s="25"/>
    </row>
    <row r="533" customFormat="false" ht="15.75" hidden="false" customHeight="false" outlineLevel="0" collapsed="false">
      <c r="A533" s="28" t="s">
        <v>899</v>
      </c>
      <c r="B533" s="27" t="s">
        <v>438</v>
      </c>
      <c r="C533" s="27" t="s">
        <v>211</v>
      </c>
      <c r="D533" s="25"/>
      <c r="E533" s="25"/>
      <c r="F533" s="25"/>
      <c r="G533" s="25"/>
      <c r="H533" s="25"/>
      <c r="I533" s="25"/>
      <c r="J533" s="27" t="s">
        <v>885</v>
      </c>
      <c r="K533" s="25" t="str">
        <f aca="false">IFERROR(__xludf.dummyfunction("SPLIT(J533,"" "")"),"CIF")</f>
        <v>CIF</v>
      </c>
      <c r="L533" s="28" t="str">
        <f aca="false">IFERROR(__xludf.dummyfunction("""COMPUTED_VALUE"""),"France")</f>
        <v>France</v>
      </c>
      <c r="M533" s="27" t="str">
        <f aca="false">IFERROR(__xludf.dummyfunction("""COMPUTED_VALUE"""),"(Diff)")</f>
        <v>(Diff)</v>
      </c>
      <c r="N533" s="25"/>
      <c r="O533" s="25"/>
      <c r="P533" s="25"/>
      <c r="Q533" s="29" t="s">
        <v>226</v>
      </c>
      <c r="R533" s="8" t="str">
        <f aca="false">B533&amp;" "&amp;C533&amp;" "&amp;D533&amp;" "&amp;E533&amp;" "&amp;G533&amp;" "&amp;H533&amp;" "&amp;J533&amp;" "&amp;N533</f>
        <v>Differentials Binders &amp; Additives     CIF France (Diff) </v>
      </c>
      <c r="S533" s="25"/>
      <c r="T533" s="8"/>
      <c r="U533" s="8"/>
      <c r="V533" s="27" t="s">
        <v>49</v>
      </c>
      <c r="W533" s="25"/>
      <c r="X533" s="25"/>
      <c r="Y533" s="25"/>
      <c r="Z533" s="25"/>
      <c r="AA533" s="25"/>
      <c r="AB533" s="25"/>
      <c r="AC533" s="25"/>
      <c r="AD533" s="25"/>
    </row>
    <row r="534" customFormat="false" ht="15.75" hidden="false" customHeight="false" outlineLevel="0" collapsed="false">
      <c r="A534" s="28" t="s">
        <v>900</v>
      </c>
      <c r="B534" s="27" t="s">
        <v>438</v>
      </c>
      <c r="C534" s="27" t="s">
        <v>211</v>
      </c>
      <c r="D534" s="25"/>
      <c r="E534" s="25"/>
      <c r="F534" s="25"/>
      <c r="G534" s="25"/>
      <c r="H534" s="25"/>
      <c r="I534" s="25"/>
      <c r="J534" s="27" t="s">
        <v>885</v>
      </c>
      <c r="K534" s="25" t="str">
        <f aca="false">IFERROR(__xludf.dummyfunction("SPLIT(J534,"" "")"),"CIF")</f>
        <v>CIF</v>
      </c>
      <c r="L534" s="28" t="str">
        <f aca="false">IFERROR(__xludf.dummyfunction("""COMPUTED_VALUE"""),"France")</f>
        <v>France</v>
      </c>
      <c r="M534" s="27" t="str">
        <f aca="false">IFERROR(__xludf.dummyfunction("""COMPUTED_VALUE"""),"(Diff)")</f>
        <v>(Diff)</v>
      </c>
      <c r="N534" s="25"/>
      <c r="O534" s="25"/>
      <c r="P534" s="25"/>
      <c r="Q534" s="29" t="s">
        <v>224</v>
      </c>
      <c r="R534" s="8" t="str">
        <f aca="false">B534&amp;" "&amp;C534&amp;" "&amp;D534&amp;" "&amp;E534&amp;" "&amp;G534&amp;" "&amp;H534&amp;" "&amp;J534&amp;" "&amp;N534</f>
        <v>Differentials Binders &amp; Additives     CIF France (Diff) </v>
      </c>
      <c r="S534" s="25"/>
      <c r="T534" s="8"/>
      <c r="U534" s="8"/>
      <c r="V534" s="27" t="s">
        <v>49</v>
      </c>
      <c r="W534" s="25"/>
      <c r="X534" s="25"/>
      <c r="Y534" s="25"/>
      <c r="Z534" s="25"/>
      <c r="AA534" s="25"/>
      <c r="AB534" s="25"/>
      <c r="AC534" s="25"/>
      <c r="AD534" s="25"/>
    </row>
    <row r="535" customFormat="false" ht="15.75" hidden="false" customHeight="false" outlineLevel="0" collapsed="false">
      <c r="A535" s="28" t="s">
        <v>901</v>
      </c>
      <c r="B535" s="27" t="s">
        <v>438</v>
      </c>
      <c r="C535" s="27" t="s">
        <v>211</v>
      </c>
      <c r="D535" s="25"/>
      <c r="E535" s="25"/>
      <c r="F535" s="25"/>
      <c r="G535" s="25"/>
      <c r="H535" s="25"/>
      <c r="I535" s="25"/>
      <c r="J535" s="27" t="s">
        <v>885</v>
      </c>
      <c r="K535" s="25" t="str">
        <f aca="false">IFERROR(__xludf.dummyfunction("SPLIT(J535,"" "")"),"CIF")</f>
        <v>CIF</v>
      </c>
      <c r="L535" s="28" t="str">
        <f aca="false">IFERROR(__xludf.dummyfunction("""COMPUTED_VALUE"""),"France")</f>
        <v>France</v>
      </c>
      <c r="M535" s="27" t="str">
        <f aca="false">IFERROR(__xludf.dummyfunction("""COMPUTED_VALUE"""),"(Diff)")</f>
        <v>(Diff)</v>
      </c>
      <c r="N535" s="25"/>
      <c r="O535" s="25"/>
      <c r="P535" s="25"/>
      <c r="Q535" s="29" t="s">
        <v>222</v>
      </c>
      <c r="R535" s="8" t="str">
        <f aca="false">B535&amp;" "&amp;C535&amp;" "&amp;D535&amp;" "&amp;E535&amp;" "&amp;G535&amp;" "&amp;H535&amp;" "&amp;J535&amp;" "&amp;N535</f>
        <v>Differentials Binders &amp; Additives     CIF France (Diff) </v>
      </c>
      <c r="S535" s="25"/>
      <c r="T535" s="8"/>
      <c r="U535" s="8"/>
      <c r="V535" s="27" t="s">
        <v>49</v>
      </c>
      <c r="W535" s="25"/>
      <c r="X535" s="25"/>
      <c r="Y535" s="25"/>
      <c r="Z535" s="25"/>
      <c r="AA535" s="25"/>
      <c r="AB535" s="25"/>
      <c r="AC535" s="25"/>
      <c r="AD535" s="25"/>
    </row>
    <row r="536" customFormat="false" ht="15.75" hidden="false" customHeight="false" outlineLevel="0" collapsed="false">
      <c r="A536" s="28" t="s">
        <v>902</v>
      </c>
      <c r="B536" s="27" t="s">
        <v>438</v>
      </c>
      <c r="C536" s="27" t="s">
        <v>211</v>
      </c>
      <c r="D536" s="25"/>
      <c r="E536" s="25"/>
      <c r="F536" s="25"/>
      <c r="G536" s="25"/>
      <c r="H536" s="25"/>
      <c r="I536" s="25"/>
      <c r="J536" s="27" t="s">
        <v>885</v>
      </c>
      <c r="K536" s="25" t="str">
        <f aca="false">IFERROR(__xludf.dummyfunction("SPLIT(J536,"" "")"),"CIF")</f>
        <v>CIF</v>
      </c>
      <c r="L536" s="28" t="str">
        <f aca="false">IFERROR(__xludf.dummyfunction("""COMPUTED_VALUE"""),"France")</f>
        <v>France</v>
      </c>
      <c r="M536" s="27" t="str">
        <f aca="false">IFERROR(__xludf.dummyfunction("""COMPUTED_VALUE"""),"(Diff)")</f>
        <v>(Diff)</v>
      </c>
      <c r="N536" s="25"/>
      <c r="O536" s="25"/>
      <c r="P536" s="25"/>
      <c r="Q536" s="29" t="s">
        <v>220</v>
      </c>
      <c r="R536" s="8" t="str">
        <f aca="false">B536&amp;" "&amp;C536&amp;" "&amp;D536&amp;" "&amp;E536&amp;" "&amp;G536&amp;" "&amp;H536&amp;" "&amp;J536&amp;" "&amp;N536</f>
        <v>Differentials Binders &amp; Additives     CIF France (Diff) </v>
      </c>
      <c r="S536" s="25"/>
      <c r="T536" s="8"/>
      <c r="U536" s="8"/>
      <c r="V536" s="27" t="s">
        <v>49</v>
      </c>
      <c r="W536" s="25"/>
      <c r="X536" s="25"/>
      <c r="Y536" s="25"/>
      <c r="Z536" s="25"/>
      <c r="AA536" s="25"/>
      <c r="AB536" s="25"/>
      <c r="AC536" s="25"/>
      <c r="AD536" s="25"/>
    </row>
    <row r="537" customFormat="false" ht="15.75" hidden="false" customHeight="false" outlineLevel="0" collapsed="false">
      <c r="A537" s="28" t="s">
        <v>903</v>
      </c>
      <c r="B537" s="27" t="s">
        <v>438</v>
      </c>
      <c r="C537" s="27" t="s">
        <v>211</v>
      </c>
      <c r="D537" s="25"/>
      <c r="E537" s="25"/>
      <c r="F537" s="25"/>
      <c r="G537" s="25"/>
      <c r="H537" s="25"/>
      <c r="I537" s="25"/>
      <c r="J537" s="27" t="s">
        <v>885</v>
      </c>
      <c r="K537" s="25" t="str">
        <f aca="false">IFERROR(__xludf.dummyfunction("SPLIT(J537,"" "")"),"CIF")</f>
        <v>CIF</v>
      </c>
      <c r="L537" s="28" t="str">
        <f aca="false">IFERROR(__xludf.dummyfunction("""COMPUTED_VALUE"""),"France")</f>
        <v>France</v>
      </c>
      <c r="M537" s="27" t="str">
        <f aca="false">IFERROR(__xludf.dummyfunction("""COMPUTED_VALUE"""),"(Diff)")</f>
        <v>(Diff)</v>
      </c>
      <c r="N537" s="25"/>
      <c r="O537" s="25"/>
      <c r="P537" s="25"/>
      <c r="Q537" s="29" t="s">
        <v>218</v>
      </c>
      <c r="R537" s="8" t="str">
        <f aca="false">B537&amp;" "&amp;C537&amp;" "&amp;D537&amp;" "&amp;E537&amp;" "&amp;G537&amp;" "&amp;H537&amp;" "&amp;J537&amp;" "&amp;N537</f>
        <v>Differentials Binders &amp; Additives     CIF France (Diff) </v>
      </c>
      <c r="S537" s="25"/>
      <c r="T537" s="8"/>
      <c r="U537" s="8"/>
      <c r="V537" s="27" t="s">
        <v>49</v>
      </c>
      <c r="W537" s="25"/>
      <c r="X537" s="25"/>
      <c r="Y537" s="25"/>
      <c r="Z537" s="25"/>
      <c r="AA537" s="25"/>
      <c r="AB537" s="25"/>
      <c r="AC537" s="25"/>
      <c r="AD537" s="25"/>
    </row>
    <row r="538" customFormat="false" ht="15.75" hidden="false" customHeight="false" outlineLevel="0" collapsed="false">
      <c r="A538" s="28" t="s">
        <v>904</v>
      </c>
      <c r="B538" s="27" t="s">
        <v>438</v>
      </c>
      <c r="C538" s="27" t="s">
        <v>211</v>
      </c>
      <c r="D538" s="25"/>
      <c r="E538" s="25"/>
      <c r="F538" s="25"/>
      <c r="G538" s="25"/>
      <c r="H538" s="25"/>
      <c r="I538" s="25"/>
      <c r="J538" s="27" t="s">
        <v>885</v>
      </c>
      <c r="K538" s="25" t="str">
        <f aca="false">IFERROR(__xludf.dummyfunction("SPLIT(J538,"" "")"),"CIF")</f>
        <v>CIF</v>
      </c>
      <c r="L538" s="28" t="str">
        <f aca="false">IFERROR(__xludf.dummyfunction("""COMPUTED_VALUE"""),"France")</f>
        <v>France</v>
      </c>
      <c r="M538" s="27" t="str">
        <f aca="false">IFERROR(__xludf.dummyfunction("""COMPUTED_VALUE"""),"(Diff)")</f>
        <v>(Diff)</v>
      </c>
      <c r="N538" s="25"/>
      <c r="O538" s="25"/>
      <c r="P538" s="25"/>
      <c r="Q538" s="29" t="s">
        <v>215</v>
      </c>
      <c r="R538" s="8" t="str">
        <f aca="false">B538&amp;" "&amp;C538&amp;" "&amp;D538&amp;" "&amp;E538&amp;" "&amp;G538&amp;" "&amp;H538&amp;" "&amp;J538&amp;" "&amp;N538</f>
        <v>Differentials Binders &amp; Additives     CIF France (Diff) </v>
      </c>
      <c r="S538" s="25"/>
      <c r="T538" s="8"/>
      <c r="U538" s="8"/>
      <c r="V538" s="27" t="s">
        <v>49</v>
      </c>
      <c r="W538" s="25"/>
      <c r="X538" s="25"/>
      <c r="Y538" s="25"/>
      <c r="Z538" s="25"/>
      <c r="AA538" s="25"/>
      <c r="AB538" s="25"/>
      <c r="AC538" s="25"/>
      <c r="AD538" s="25"/>
    </row>
    <row r="539" customFormat="false" ht="15.75" hidden="false" customHeight="false" outlineLevel="0" collapsed="false">
      <c r="A539" s="28" t="s">
        <v>905</v>
      </c>
      <c r="B539" s="27" t="s">
        <v>438</v>
      </c>
      <c r="C539" s="27" t="s">
        <v>211</v>
      </c>
      <c r="D539" s="25"/>
      <c r="E539" s="25"/>
      <c r="F539" s="25"/>
      <c r="G539" s="25"/>
      <c r="H539" s="25"/>
      <c r="I539" s="25"/>
      <c r="J539" s="27" t="s">
        <v>885</v>
      </c>
      <c r="K539" s="25" t="str">
        <f aca="false">IFERROR(__xludf.dummyfunction("SPLIT(J539,"" "")"),"CIF")</f>
        <v>CIF</v>
      </c>
      <c r="L539" s="28" t="str">
        <f aca="false">IFERROR(__xludf.dummyfunction("""COMPUTED_VALUE"""),"France")</f>
        <v>France</v>
      </c>
      <c r="M539" s="27" t="str">
        <f aca="false">IFERROR(__xludf.dummyfunction("""COMPUTED_VALUE"""),"(Diff)")</f>
        <v>(Diff)</v>
      </c>
      <c r="N539" s="25"/>
      <c r="O539" s="25"/>
      <c r="P539" s="25"/>
      <c r="Q539" s="29" t="s">
        <v>213</v>
      </c>
      <c r="R539" s="8" t="str">
        <f aca="false">B539&amp;" "&amp;C539&amp;" "&amp;D539&amp;" "&amp;E539&amp;" "&amp;G539&amp;" "&amp;H539&amp;" "&amp;J539&amp;" "&amp;N539</f>
        <v>Differentials Binders &amp; Additives     CIF France (Diff) </v>
      </c>
      <c r="S539" s="25"/>
      <c r="T539" s="8"/>
      <c r="U539" s="8"/>
      <c r="V539" s="27" t="s">
        <v>49</v>
      </c>
      <c r="W539" s="25"/>
      <c r="X539" s="25"/>
      <c r="Y539" s="25"/>
      <c r="Z539" s="25"/>
      <c r="AA539" s="25"/>
      <c r="AB539" s="25"/>
      <c r="AC539" s="25"/>
      <c r="AD539" s="25"/>
    </row>
    <row r="540" customFormat="false" ht="15.75" hidden="false" customHeight="false" outlineLevel="0" collapsed="false">
      <c r="A540" s="28" t="s">
        <v>906</v>
      </c>
      <c r="B540" s="27" t="s">
        <v>438</v>
      </c>
      <c r="C540" s="27" t="s">
        <v>236</v>
      </c>
      <c r="D540" s="25"/>
      <c r="E540" s="25"/>
      <c r="F540" s="25"/>
      <c r="G540" s="25"/>
      <c r="H540" s="25"/>
      <c r="I540" s="25"/>
      <c r="J540" s="27" t="s">
        <v>885</v>
      </c>
      <c r="K540" s="25" t="str">
        <f aca="false">IFERROR(__xludf.dummyfunction("SPLIT(J540,"" "")"),"CIF")</f>
        <v>CIF</v>
      </c>
      <c r="L540" s="28" t="str">
        <f aca="false">IFERROR(__xludf.dummyfunction("""COMPUTED_VALUE"""),"France")</f>
        <v>France</v>
      </c>
      <c r="M540" s="27" t="str">
        <f aca="false">IFERROR(__xludf.dummyfunction("""COMPUTED_VALUE"""),"(Diff)")</f>
        <v>(Diff)</v>
      </c>
      <c r="N540" s="25"/>
      <c r="O540" s="25"/>
      <c r="P540" s="25"/>
      <c r="Q540" s="29" t="s">
        <v>271</v>
      </c>
      <c r="R540" s="8" t="str">
        <f aca="false">B540&amp;" "&amp;C540&amp;" "&amp;D540&amp;" "&amp;E540&amp;" "&amp;G540&amp;" "&amp;H540&amp;" "&amp;J540&amp;" "&amp;N540</f>
        <v>Differentials Cathode     CIF France (Diff) </v>
      </c>
      <c r="S540" s="25"/>
      <c r="T540" s="8"/>
      <c r="U540" s="8"/>
      <c r="V540" s="27" t="s">
        <v>49</v>
      </c>
      <c r="W540" s="25"/>
      <c r="X540" s="25"/>
      <c r="Y540" s="25"/>
      <c r="Z540" s="25"/>
      <c r="AA540" s="25"/>
      <c r="AB540" s="25"/>
      <c r="AC540" s="25"/>
      <c r="AD540" s="25"/>
    </row>
    <row r="541" customFormat="false" ht="15.75" hidden="false" customHeight="false" outlineLevel="0" collapsed="false">
      <c r="A541" s="28" t="s">
        <v>907</v>
      </c>
      <c r="B541" s="27" t="s">
        <v>438</v>
      </c>
      <c r="C541" s="27" t="s">
        <v>236</v>
      </c>
      <c r="D541" s="25"/>
      <c r="E541" s="25"/>
      <c r="F541" s="25"/>
      <c r="G541" s="25"/>
      <c r="H541" s="25"/>
      <c r="I541" s="25"/>
      <c r="J541" s="27" t="s">
        <v>885</v>
      </c>
      <c r="K541" s="25" t="str">
        <f aca="false">IFERROR(__xludf.dummyfunction("SPLIT(J541,"" "")"),"CIF")</f>
        <v>CIF</v>
      </c>
      <c r="L541" s="28" t="str">
        <f aca="false">IFERROR(__xludf.dummyfunction("""COMPUTED_VALUE"""),"France")</f>
        <v>France</v>
      </c>
      <c r="M541" s="27" t="str">
        <f aca="false">IFERROR(__xludf.dummyfunction("""COMPUTED_VALUE"""),"(Diff)")</f>
        <v>(Diff)</v>
      </c>
      <c r="N541" s="25"/>
      <c r="O541" s="25"/>
      <c r="P541" s="25"/>
      <c r="Q541" s="29" t="s">
        <v>266</v>
      </c>
      <c r="R541" s="8" t="str">
        <f aca="false">B541&amp;" "&amp;C541&amp;" "&amp;D541&amp;" "&amp;E541&amp;" "&amp;G541&amp;" "&amp;H541&amp;" "&amp;J541&amp;" "&amp;N541</f>
        <v>Differentials Cathode     CIF France (Diff) </v>
      </c>
      <c r="S541" s="25"/>
      <c r="T541" s="8"/>
      <c r="U541" s="8"/>
      <c r="V541" s="27" t="s">
        <v>49</v>
      </c>
      <c r="W541" s="25"/>
      <c r="X541" s="25"/>
      <c r="Y541" s="25"/>
      <c r="Z541" s="25"/>
      <c r="AA541" s="25"/>
      <c r="AB541" s="25"/>
      <c r="AC541" s="25"/>
      <c r="AD541" s="25"/>
    </row>
    <row r="542" customFormat="false" ht="15.75" hidden="false" customHeight="false" outlineLevel="0" collapsed="false">
      <c r="A542" s="28" t="s">
        <v>908</v>
      </c>
      <c r="B542" s="27" t="s">
        <v>438</v>
      </c>
      <c r="C542" s="27" t="s">
        <v>236</v>
      </c>
      <c r="D542" s="25"/>
      <c r="E542" s="25"/>
      <c r="F542" s="25"/>
      <c r="G542" s="25"/>
      <c r="H542" s="25"/>
      <c r="I542" s="25"/>
      <c r="J542" s="27" t="s">
        <v>885</v>
      </c>
      <c r="K542" s="25" t="str">
        <f aca="false">IFERROR(__xludf.dummyfunction("SPLIT(J542,"" "")"),"CIF")</f>
        <v>CIF</v>
      </c>
      <c r="L542" s="28" t="str">
        <f aca="false">IFERROR(__xludf.dummyfunction("""COMPUTED_VALUE"""),"France")</f>
        <v>France</v>
      </c>
      <c r="M542" s="27" t="str">
        <f aca="false">IFERROR(__xludf.dummyfunction("""COMPUTED_VALUE"""),"(Diff)")</f>
        <v>(Diff)</v>
      </c>
      <c r="N542" s="25"/>
      <c r="O542" s="25"/>
      <c r="P542" s="25"/>
      <c r="Q542" s="29" t="s">
        <v>261</v>
      </c>
      <c r="R542" s="8" t="str">
        <f aca="false">B542&amp;" "&amp;C542&amp;" "&amp;D542&amp;" "&amp;E542&amp;" "&amp;G542&amp;" "&amp;H542&amp;" "&amp;J542&amp;" "&amp;N542</f>
        <v>Differentials Cathode     CIF France (Diff) </v>
      </c>
      <c r="S542" s="25"/>
      <c r="T542" s="8"/>
      <c r="U542" s="8"/>
      <c r="V542" s="27" t="s">
        <v>49</v>
      </c>
      <c r="W542" s="25"/>
      <c r="X542" s="25"/>
      <c r="Y542" s="25"/>
      <c r="Z542" s="25"/>
      <c r="AA542" s="25"/>
      <c r="AB542" s="25"/>
      <c r="AC542" s="25"/>
      <c r="AD542" s="25"/>
    </row>
    <row r="543" customFormat="false" ht="15.75" hidden="false" customHeight="false" outlineLevel="0" collapsed="false">
      <c r="A543" s="28" t="s">
        <v>909</v>
      </c>
      <c r="B543" s="27" t="s">
        <v>438</v>
      </c>
      <c r="C543" s="27" t="s">
        <v>236</v>
      </c>
      <c r="D543" s="25"/>
      <c r="E543" s="25"/>
      <c r="F543" s="25"/>
      <c r="G543" s="25"/>
      <c r="H543" s="25"/>
      <c r="I543" s="25"/>
      <c r="J543" s="27" t="s">
        <v>885</v>
      </c>
      <c r="K543" s="25" t="str">
        <f aca="false">IFERROR(__xludf.dummyfunction("SPLIT(J543,"" "")"),"CIF")</f>
        <v>CIF</v>
      </c>
      <c r="L543" s="28" t="str">
        <f aca="false">IFERROR(__xludf.dummyfunction("""COMPUTED_VALUE"""),"France")</f>
        <v>France</v>
      </c>
      <c r="M543" s="27" t="str">
        <f aca="false">IFERROR(__xludf.dummyfunction("""COMPUTED_VALUE"""),"(Diff)")</f>
        <v>(Diff)</v>
      </c>
      <c r="N543" s="25"/>
      <c r="O543" s="25"/>
      <c r="P543" s="25"/>
      <c r="Q543" s="29" t="s">
        <v>256</v>
      </c>
      <c r="R543" s="8" t="str">
        <f aca="false">B543&amp;" "&amp;C543&amp;" "&amp;D543&amp;" "&amp;E543&amp;" "&amp;G543&amp;" "&amp;H543&amp;" "&amp;J543&amp;" "&amp;N543</f>
        <v>Differentials Cathode     CIF France (Diff) </v>
      </c>
      <c r="S543" s="25"/>
      <c r="T543" s="8"/>
      <c r="U543" s="8"/>
      <c r="V543" s="27" t="s">
        <v>49</v>
      </c>
      <c r="W543" s="25"/>
      <c r="X543" s="25"/>
      <c r="Y543" s="25"/>
      <c r="Z543" s="25"/>
      <c r="AA543" s="25"/>
      <c r="AB543" s="25"/>
      <c r="AC543" s="25"/>
      <c r="AD543" s="25"/>
    </row>
    <row r="544" customFormat="false" ht="15.75" hidden="false" customHeight="false" outlineLevel="0" collapsed="false">
      <c r="A544" s="28" t="s">
        <v>910</v>
      </c>
      <c r="B544" s="27" t="s">
        <v>438</v>
      </c>
      <c r="C544" s="27" t="s">
        <v>236</v>
      </c>
      <c r="D544" s="25"/>
      <c r="E544" s="25"/>
      <c r="F544" s="25"/>
      <c r="G544" s="25"/>
      <c r="H544" s="25"/>
      <c r="I544" s="25"/>
      <c r="J544" s="27" t="s">
        <v>885</v>
      </c>
      <c r="K544" s="25" t="str">
        <f aca="false">IFERROR(__xludf.dummyfunction("SPLIT(J544,"" "")"),"CIF")</f>
        <v>CIF</v>
      </c>
      <c r="L544" s="28" t="str">
        <f aca="false">IFERROR(__xludf.dummyfunction("""COMPUTED_VALUE"""),"France")</f>
        <v>France</v>
      </c>
      <c r="M544" s="27" t="str">
        <f aca="false">IFERROR(__xludf.dummyfunction("""COMPUTED_VALUE"""),"(Diff)")</f>
        <v>(Diff)</v>
      </c>
      <c r="N544" s="25"/>
      <c r="O544" s="25"/>
      <c r="P544" s="25"/>
      <c r="Q544" s="29" t="s">
        <v>251</v>
      </c>
      <c r="R544" s="8" t="str">
        <f aca="false">B544&amp;" "&amp;C544&amp;" "&amp;D544&amp;" "&amp;E544&amp;" "&amp;G544&amp;" "&amp;H544&amp;" "&amp;J544&amp;" "&amp;N544</f>
        <v>Differentials Cathode     CIF France (Diff) </v>
      </c>
      <c r="S544" s="25"/>
      <c r="T544" s="8"/>
      <c r="U544" s="8"/>
      <c r="V544" s="27" t="s">
        <v>49</v>
      </c>
      <c r="W544" s="25"/>
      <c r="X544" s="25"/>
      <c r="Y544" s="25"/>
      <c r="Z544" s="25"/>
      <c r="AA544" s="25"/>
      <c r="AB544" s="25"/>
      <c r="AC544" s="25"/>
      <c r="AD544" s="25"/>
    </row>
    <row r="545" customFormat="false" ht="15.75" hidden="false" customHeight="false" outlineLevel="0" collapsed="false">
      <c r="A545" s="28" t="s">
        <v>911</v>
      </c>
      <c r="B545" s="27" t="s">
        <v>438</v>
      </c>
      <c r="C545" s="27" t="s">
        <v>236</v>
      </c>
      <c r="D545" s="25"/>
      <c r="E545" s="25"/>
      <c r="F545" s="25"/>
      <c r="G545" s="25"/>
      <c r="H545" s="25"/>
      <c r="I545" s="25"/>
      <c r="J545" s="27" t="s">
        <v>885</v>
      </c>
      <c r="K545" s="25" t="str">
        <f aca="false">IFERROR(__xludf.dummyfunction("SPLIT(J545,"" "")"),"CIF")</f>
        <v>CIF</v>
      </c>
      <c r="L545" s="28" t="str">
        <f aca="false">IFERROR(__xludf.dummyfunction("""COMPUTED_VALUE"""),"France")</f>
        <v>France</v>
      </c>
      <c r="M545" s="27" t="str">
        <f aca="false">IFERROR(__xludf.dummyfunction("""COMPUTED_VALUE"""),"(Diff)")</f>
        <v>(Diff)</v>
      </c>
      <c r="N545" s="25"/>
      <c r="O545" s="25"/>
      <c r="P545" s="25"/>
      <c r="Q545" s="29" t="s">
        <v>247</v>
      </c>
      <c r="R545" s="8" t="str">
        <f aca="false">B545&amp;" "&amp;C545&amp;" "&amp;D545&amp;" "&amp;E545&amp;" "&amp;G545&amp;" "&amp;H545&amp;" "&amp;J545&amp;" "&amp;N545</f>
        <v>Differentials Cathode     CIF France (Diff) </v>
      </c>
      <c r="S545" s="25"/>
      <c r="T545" s="8"/>
      <c r="U545" s="8"/>
      <c r="V545" s="27" t="s">
        <v>49</v>
      </c>
      <c r="W545" s="25"/>
      <c r="X545" s="25"/>
      <c r="Y545" s="25"/>
      <c r="Z545" s="25"/>
      <c r="AA545" s="25"/>
      <c r="AB545" s="25"/>
      <c r="AC545" s="25"/>
      <c r="AD545" s="25"/>
    </row>
    <row r="546" customFormat="false" ht="15.75" hidden="false" customHeight="false" outlineLevel="0" collapsed="false">
      <c r="A546" s="28" t="s">
        <v>912</v>
      </c>
      <c r="B546" s="27" t="s">
        <v>438</v>
      </c>
      <c r="C546" s="27" t="s">
        <v>236</v>
      </c>
      <c r="D546" s="25"/>
      <c r="E546" s="25"/>
      <c r="F546" s="25"/>
      <c r="G546" s="25"/>
      <c r="H546" s="25"/>
      <c r="I546" s="25"/>
      <c r="J546" s="27" t="s">
        <v>885</v>
      </c>
      <c r="K546" s="25" t="str">
        <f aca="false">IFERROR(__xludf.dummyfunction("SPLIT(J546,"" "")"),"CIF")</f>
        <v>CIF</v>
      </c>
      <c r="L546" s="28" t="str">
        <f aca="false">IFERROR(__xludf.dummyfunction("""COMPUTED_VALUE"""),"France")</f>
        <v>France</v>
      </c>
      <c r="M546" s="27" t="str">
        <f aca="false">IFERROR(__xludf.dummyfunction("""COMPUTED_VALUE"""),"(Diff)")</f>
        <v>(Diff)</v>
      </c>
      <c r="N546" s="25"/>
      <c r="O546" s="25"/>
      <c r="P546" s="25"/>
      <c r="Q546" s="29" t="s">
        <v>243</v>
      </c>
      <c r="R546" s="8" t="str">
        <f aca="false">B546&amp;" "&amp;C546&amp;" "&amp;D546&amp;" "&amp;E546&amp;" "&amp;G546&amp;" "&amp;H546&amp;" "&amp;J546&amp;" "&amp;N546</f>
        <v>Differentials Cathode     CIF France (Diff) </v>
      </c>
      <c r="S546" s="25"/>
      <c r="T546" s="8"/>
      <c r="U546" s="8"/>
      <c r="V546" s="27" t="s">
        <v>49</v>
      </c>
      <c r="W546" s="25"/>
      <c r="X546" s="25"/>
      <c r="Y546" s="25"/>
      <c r="Z546" s="25"/>
      <c r="AA546" s="25"/>
      <c r="AB546" s="25"/>
      <c r="AC546" s="25"/>
      <c r="AD546" s="25"/>
    </row>
    <row r="547" customFormat="false" ht="15.75" hidden="false" customHeight="false" outlineLevel="0" collapsed="false">
      <c r="A547" s="28" t="s">
        <v>913</v>
      </c>
      <c r="B547" s="27" t="s">
        <v>438</v>
      </c>
      <c r="C547" s="27" t="s">
        <v>236</v>
      </c>
      <c r="D547" s="25"/>
      <c r="E547" s="25"/>
      <c r="F547" s="25"/>
      <c r="G547" s="25"/>
      <c r="H547" s="25"/>
      <c r="I547" s="25"/>
      <c r="J547" s="27" t="s">
        <v>885</v>
      </c>
      <c r="K547" s="25" t="str">
        <f aca="false">IFERROR(__xludf.dummyfunction("SPLIT(J547,"" "")"),"CIF")</f>
        <v>CIF</v>
      </c>
      <c r="L547" s="28" t="str">
        <f aca="false">IFERROR(__xludf.dummyfunction("""COMPUTED_VALUE"""),"France")</f>
        <v>France</v>
      </c>
      <c r="M547" s="27" t="str">
        <f aca="false">IFERROR(__xludf.dummyfunction("""COMPUTED_VALUE"""),"(Diff)")</f>
        <v>(Diff)</v>
      </c>
      <c r="N547" s="25"/>
      <c r="O547" s="25"/>
      <c r="P547" s="25"/>
      <c r="Q547" s="29" t="s">
        <v>239</v>
      </c>
      <c r="R547" s="8" t="str">
        <f aca="false">B547&amp;" "&amp;C547&amp;" "&amp;D547&amp;" "&amp;E547&amp;" "&amp;G547&amp;" "&amp;H547&amp;" "&amp;J547&amp;" "&amp;N547</f>
        <v>Differentials Cathode     CIF France (Diff) </v>
      </c>
      <c r="S547" s="25"/>
      <c r="T547" s="8"/>
      <c r="U547" s="8"/>
      <c r="V547" s="27" t="s">
        <v>49</v>
      </c>
      <c r="W547" s="25"/>
      <c r="X547" s="25"/>
      <c r="Y547" s="25"/>
      <c r="Z547" s="25"/>
      <c r="AA547" s="25"/>
      <c r="AB547" s="25"/>
      <c r="AC547" s="25"/>
      <c r="AD547" s="25"/>
    </row>
    <row r="548" customFormat="false" ht="15.75" hidden="false" customHeight="false" outlineLevel="0" collapsed="false">
      <c r="A548" s="28" t="s">
        <v>914</v>
      </c>
      <c r="B548" s="27" t="s">
        <v>438</v>
      </c>
      <c r="C548" s="27" t="s">
        <v>273</v>
      </c>
      <c r="D548" s="25"/>
      <c r="E548" s="25"/>
      <c r="F548" s="25"/>
      <c r="G548" s="25"/>
      <c r="H548" s="25"/>
      <c r="I548" s="25"/>
      <c r="J548" s="27" t="s">
        <v>885</v>
      </c>
      <c r="K548" s="25" t="str">
        <f aca="false">IFERROR(__xludf.dummyfunction("SPLIT(J548,"" "")"),"CIF")</f>
        <v>CIF</v>
      </c>
      <c r="L548" s="28" t="str">
        <f aca="false">IFERROR(__xludf.dummyfunction("""COMPUTED_VALUE"""),"France")</f>
        <v>France</v>
      </c>
      <c r="M548" s="27" t="str">
        <f aca="false">IFERROR(__xludf.dummyfunction("""COMPUTED_VALUE"""),"(Diff)")</f>
        <v>(Diff)</v>
      </c>
      <c r="N548" s="25"/>
      <c r="O548" s="25"/>
      <c r="P548" s="25"/>
      <c r="Q548" s="29" t="s">
        <v>274</v>
      </c>
      <c r="R548" s="8" t="str">
        <f aca="false">B548&amp;" "&amp;C548&amp;" "&amp;D548&amp;" "&amp;E548&amp;" "&amp;G548&amp;" "&amp;H548&amp;" "&amp;J548&amp;" "&amp;N548</f>
        <v>Differentials Cobalt     CIF France (Diff) </v>
      </c>
      <c r="S548" s="25"/>
      <c r="T548" s="8"/>
      <c r="U548" s="8"/>
      <c r="V548" s="27" t="s">
        <v>49</v>
      </c>
      <c r="W548" s="25"/>
      <c r="X548" s="25"/>
      <c r="Y548" s="25"/>
      <c r="Z548" s="25"/>
      <c r="AA548" s="25"/>
      <c r="AB548" s="25"/>
      <c r="AC548" s="25"/>
      <c r="AD548" s="25"/>
    </row>
    <row r="549" customFormat="false" ht="15.75" hidden="false" customHeight="false" outlineLevel="0" collapsed="false">
      <c r="A549" s="28" t="s">
        <v>915</v>
      </c>
      <c r="B549" s="27" t="s">
        <v>438</v>
      </c>
      <c r="C549" s="27" t="s">
        <v>273</v>
      </c>
      <c r="D549" s="25"/>
      <c r="E549" s="25"/>
      <c r="F549" s="25"/>
      <c r="G549" s="25"/>
      <c r="H549" s="25"/>
      <c r="I549" s="25"/>
      <c r="J549" s="27" t="s">
        <v>885</v>
      </c>
      <c r="K549" s="25" t="str">
        <f aca="false">IFERROR(__xludf.dummyfunction("SPLIT(J549,"" "")"),"CIF")</f>
        <v>CIF</v>
      </c>
      <c r="L549" s="28" t="str">
        <f aca="false">IFERROR(__xludf.dummyfunction("""COMPUTED_VALUE"""),"France")</f>
        <v>France</v>
      </c>
      <c r="M549" s="27" t="str">
        <f aca="false">IFERROR(__xludf.dummyfunction("""COMPUTED_VALUE"""),"(Diff)")</f>
        <v>(Diff)</v>
      </c>
      <c r="N549" s="25"/>
      <c r="O549" s="25"/>
      <c r="P549" s="25"/>
      <c r="Q549" s="29" t="s">
        <v>282</v>
      </c>
      <c r="R549" s="8" t="str">
        <f aca="false">B549&amp;" "&amp;C549&amp;" "&amp;D549&amp;" "&amp;E549&amp;" "&amp;G549&amp;" "&amp;H549&amp;" "&amp;J549&amp;" "&amp;N549</f>
        <v>Differentials Cobalt     CIF France (Diff) </v>
      </c>
      <c r="S549" s="25"/>
      <c r="T549" s="8"/>
      <c r="U549" s="8"/>
      <c r="V549" s="27" t="s">
        <v>49</v>
      </c>
      <c r="W549" s="25"/>
      <c r="X549" s="25"/>
      <c r="Y549" s="25"/>
      <c r="Z549" s="25"/>
      <c r="AA549" s="25"/>
      <c r="AB549" s="25"/>
      <c r="AC549" s="25"/>
      <c r="AD549" s="25"/>
    </row>
    <row r="550" customFormat="false" ht="15.75" hidden="false" customHeight="false" outlineLevel="0" collapsed="false">
      <c r="A550" s="28" t="s">
        <v>916</v>
      </c>
      <c r="B550" s="27" t="s">
        <v>438</v>
      </c>
      <c r="C550" s="27" t="s">
        <v>273</v>
      </c>
      <c r="D550" s="25"/>
      <c r="E550" s="25"/>
      <c r="F550" s="25"/>
      <c r="G550" s="25"/>
      <c r="H550" s="25"/>
      <c r="I550" s="25"/>
      <c r="J550" s="27" t="s">
        <v>885</v>
      </c>
      <c r="K550" s="25" t="str">
        <f aca="false">IFERROR(__xludf.dummyfunction("SPLIT(J550,"" "")"),"CIF")</f>
        <v>CIF</v>
      </c>
      <c r="L550" s="28" t="str">
        <f aca="false">IFERROR(__xludf.dummyfunction("""COMPUTED_VALUE"""),"France")</f>
        <v>France</v>
      </c>
      <c r="M550" s="27" t="str">
        <f aca="false">IFERROR(__xludf.dummyfunction("""COMPUTED_VALUE"""),"(Diff)")</f>
        <v>(Diff)</v>
      </c>
      <c r="N550" s="25"/>
      <c r="O550" s="25"/>
      <c r="P550" s="25"/>
      <c r="Q550" s="29" t="s">
        <v>280</v>
      </c>
      <c r="R550" s="8" t="str">
        <f aca="false">B550&amp;" "&amp;C550&amp;" "&amp;D550&amp;" "&amp;E550&amp;" "&amp;G550&amp;" "&amp;H550&amp;" "&amp;J550&amp;" "&amp;N550</f>
        <v>Differentials Cobalt     CIF France (Diff) </v>
      </c>
      <c r="S550" s="25"/>
      <c r="T550" s="8"/>
      <c r="U550" s="8"/>
      <c r="V550" s="27" t="s">
        <v>49</v>
      </c>
      <c r="W550" s="25"/>
      <c r="X550" s="25"/>
      <c r="Y550" s="25"/>
      <c r="Z550" s="25"/>
      <c r="AA550" s="25"/>
      <c r="AB550" s="25"/>
      <c r="AC550" s="25"/>
      <c r="AD550" s="25"/>
    </row>
    <row r="551" customFormat="false" ht="15.75" hidden="false" customHeight="false" outlineLevel="0" collapsed="false">
      <c r="A551" s="28" t="s">
        <v>917</v>
      </c>
      <c r="B551" s="27" t="s">
        <v>438</v>
      </c>
      <c r="C551" s="27" t="s">
        <v>273</v>
      </c>
      <c r="D551" s="25"/>
      <c r="E551" s="25"/>
      <c r="F551" s="25"/>
      <c r="G551" s="25"/>
      <c r="H551" s="25"/>
      <c r="I551" s="25"/>
      <c r="J551" s="27" t="s">
        <v>885</v>
      </c>
      <c r="K551" s="25" t="str">
        <f aca="false">IFERROR(__xludf.dummyfunction("SPLIT(J551,"" "")"),"CIF")</f>
        <v>CIF</v>
      </c>
      <c r="L551" s="28" t="str">
        <f aca="false">IFERROR(__xludf.dummyfunction("""COMPUTED_VALUE"""),"France")</f>
        <v>France</v>
      </c>
      <c r="M551" s="27" t="str">
        <f aca="false">IFERROR(__xludf.dummyfunction("""COMPUTED_VALUE"""),"(Diff)")</f>
        <v>(Diff)</v>
      </c>
      <c r="N551" s="25"/>
      <c r="O551" s="25"/>
      <c r="P551" s="25"/>
      <c r="Q551" s="29" t="s">
        <v>278</v>
      </c>
      <c r="R551" s="8" t="str">
        <f aca="false">B551&amp;" "&amp;C551&amp;" "&amp;D551&amp;" "&amp;E551&amp;" "&amp;G551&amp;" "&amp;H551&amp;" "&amp;J551&amp;" "&amp;N551</f>
        <v>Differentials Cobalt     CIF France (Diff) </v>
      </c>
      <c r="S551" s="25"/>
      <c r="T551" s="8"/>
      <c r="U551" s="8"/>
      <c r="V551" s="27" t="s">
        <v>49</v>
      </c>
      <c r="W551" s="25"/>
      <c r="X551" s="25"/>
      <c r="Y551" s="25"/>
      <c r="Z551" s="25"/>
      <c r="AA551" s="25"/>
      <c r="AB551" s="25"/>
      <c r="AC551" s="25"/>
      <c r="AD551" s="25"/>
    </row>
    <row r="552" customFormat="false" ht="15.75" hidden="false" customHeight="false" outlineLevel="0" collapsed="false">
      <c r="A552" s="28" t="s">
        <v>918</v>
      </c>
      <c r="B552" s="27" t="s">
        <v>438</v>
      </c>
      <c r="C552" s="27" t="s">
        <v>273</v>
      </c>
      <c r="D552" s="25"/>
      <c r="E552" s="25"/>
      <c r="F552" s="25"/>
      <c r="G552" s="25"/>
      <c r="H552" s="25"/>
      <c r="I552" s="25"/>
      <c r="J552" s="27" t="s">
        <v>885</v>
      </c>
      <c r="K552" s="25" t="str">
        <f aca="false">IFERROR(__xludf.dummyfunction("SPLIT(J552,"" "")"),"CIF")</f>
        <v>CIF</v>
      </c>
      <c r="L552" s="28" t="str">
        <f aca="false">IFERROR(__xludf.dummyfunction("""COMPUTED_VALUE"""),"France")</f>
        <v>France</v>
      </c>
      <c r="M552" s="27" t="str">
        <f aca="false">IFERROR(__xludf.dummyfunction("""COMPUTED_VALUE"""),"(Diff)")</f>
        <v>(Diff)</v>
      </c>
      <c r="N552" s="25"/>
      <c r="O552" s="25"/>
      <c r="P552" s="25"/>
      <c r="Q552" s="29" t="s">
        <v>276</v>
      </c>
      <c r="R552" s="8" t="str">
        <f aca="false">B552&amp;" "&amp;C552&amp;" "&amp;D552&amp;" "&amp;E552&amp;" "&amp;G552&amp;" "&amp;H552&amp;" "&amp;J552&amp;" "&amp;N552</f>
        <v>Differentials Cobalt     CIF France (Diff) </v>
      </c>
      <c r="S552" s="25"/>
      <c r="T552" s="8"/>
      <c r="U552" s="8"/>
      <c r="V552" s="27" t="s">
        <v>49</v>
      </c>
      <c r="W552" s="25"/>
      <c r="X552" s="25"/>
      <c r="Y552" s="25"/>
      <c r="Z552" s="25"/>
      <c r="AA552" s="25"/>
      <c r="AB552" s="25"/>
      <c r="AC552" s="25"/>
      <c r="AD552" s="25"/>
    </row>
    <row r="553" customFormat="false" ht="15.75" hidden="false" customHeight="false" outlineLevel="0" collapsed="false">
      <c r="A553" s="28" t="s">
        <v>919</v>
      </c>
      <c r="B553" s="27" t="s">
        <v>438</v>
      </c>
      <c r="C553" s="27" t="s">
        <v>284</v>
      </c>
      <c r="D553" s="25"/>
      <c r="E553" s="25"/>
      <c r="F553" s="25"/>
      <c r="G553" s="25"/>
      <c r="H553" s="25"/>
      <c r="I553" s="25"/>
      <c r="J553" s="27" t="s">
        <v>885</v>
      </c>
      <c r="K553" s="25" t="str">
        <f aca="false">IFERROR(__xludf.dummyfunction("SPLIT(J553,"" "")"),"CIF")</f>
        <v>CIF</v>
      </c>
      <c r="L553" s="28" t="str">
        <f aca="false">IFERROR(__xludf.dummyfunction("""COMPUTED_VALUE"""),"France")</f>
        <v>France</v>
      </c>
      <c r="M553" s="27" t="str">
        <f aca="false">IFERROR(__xludf.dummyfunction("""COMPUTED_VALUE"""),"(Diff)")</f>
        <v>(Diff)</v>
      </c>
      <c r="N553" s="25"/>
      <c r="O553" s="25"/>
      <c r="P553" s="25"/>
      <c r="Q553" s="29" t="s">
        <v>287</v>
      </c>
      <c r="R553" s="8" t="str">
        <f aca="false">B553&amp;" "&amp;C553&amp;" "&amp;D553&amp;" "&amp;E553&amp;" "&amp;G553&amp;" "&amp;H553&amp;" "&amp;J553&amp;" "&amp;N553</f>
        <v>Differentials Copper (Battery Grade)     CIF France (Diff) </v>
      </c>
      <c r="S553" s="25"/>
      <c r="T553" s="8"/>
      <c r="U553" s="8"/>
      <c r="V553" s="27" t="s">
        <v>49</v>
      </c>
      <c r="W553" s="25"/>
      <c r="X553" s="25"/>
      <c r="Y553" s="25"/>
      <c r="Z553" s="25"/>
      <c r="AA553" s="25"/>
      <c r="AB553" s="25"/>
      <c r="AC553" s="25"/>
      <c r="AD553" s="25"/>
    </row>
    <row r="554" customFormat="false" ht="15.75" hidden="false" customHeight="false" outlineLevel="0" collapsed="false">
      <c r="A554" s="28" t="s">
        <v>920</v>
      </c>
      <c r="B554" s="27" t="s">
        <v>438</v>
      </c>
      <c r="C554" s="27" t="s">
        <v>284</v>
      </c>
      <c r="D554" s="25"/>
      <c r="E554" s="25"/>
      <c r="F554" s="25"/>
      <c r="G554" s="25"/>
      <c r="H554" s="25"/>
      <c r="I554" s="25"/>
      <c r="J554" s="27" t="s">
        <v>885</v>
      </c>
      <c r="K554" s="25" t="str">
        <f aca="false">IFERROR(__xludf.dummyfunction("SPLIT(J554,"" "")"),"CIF")</f>
        <v>CIF</v>
      </c>
      <c r="L554" s="28" t="str">
        <f aca="false">IFERROR(__xludf.dummyfunction("""COMPUTED_VALUE"""),"France")</f>
        <v>France</v>
      </c>
      <c r="M554" s="27" t="str">
        <f aca="false">IFERROR(__xludf.dummyfunction("""COMPUTED_VALUE"""),"(Diff)")</f>
        <v>(Diff)</v>
      </c>
      <c r="N554" s="25"/>
      <c r="O554" s="25"/>
      <c r="P554" s="25"/>
      <c r="Q554" s="29" t="s">
        <v>285</v>
      </c>
      <c r="R554" s="8" t="str">
        <f aca="false">B554&amp;" "&amp;C554&amp;" "&amp;D554&amp;" "&amp;E554&amp;" "&amp;G554&amp;" "&amp;H554&amp;" "&amp;J554&amp;" "&amp;N554</f>
        <v>Differentials Copper (Battery Grade)     CIF France (Diff) </v>
      </c>
      <c r="S554" s="25"/>
      <c r="T554" s="8"/>
      <c r="U554" s="28" t="s">
        <v>921</v>
      </c>
      <c r="V554" s="27" t="s">
        <v>49</v>
      </c>
      <c r="W554" s="25"/>
      <c r="X554" s="25"/>
      <c r="Y554" s="25"/>
      <c r="Z554" s="25"/>
      <c r="AA554" s="25"/>
      <c r="AB554" s="25"/>
      <c r="AC554" s="25"/>
      <c r="AD554" s="25"/>
    </row>
    <row r="555" customFormat="false" ht="15.75" hidden="false" customHeight="false" outlineLevel="0" collapsed="false">
      <c r="A555" s="28" t="s">
        <v>922</v>
      </c>
      <c r="B555" s="27" t="s">
        <v>438</v>
      </c>
      <c r="C555" s="27" t="s">
        <v>289</v>
      </c>
      <c r="D555" s="25"/>
      <c r="E555" s="25"/>
      <c r="F555" s="25"/>
      <c r="G555" s="25"/>
      <c r="H555" s="25"/>
      <c r="I555" s="25"/>
      <c r="J555" s="27" t="s">
        <v>885</v>
      </c>
      <c r="K555" s="25" t="str">
        <f aca="false">IFERROR(__xludf.dummyfunction("SPLIT(J555,"" "")"),"CIF")</f>
        <v>CIF</v>
      </c>
      <c r="L555" s="28" t="str">
        <f aca="false">IFERROR(__xludf.dummyfunction("""COMPUTED_VALUE"""),"France")</f>
        <v>France</v>
      </c>
      <c r="M555" s="27" t="str">
        <f aca="false">IFERROR(__xludf.dummyfunction("""COMPUTED_VALUE"""),"(Diff)")</f>
        <v>(Diff)</v>
      </c>
      <c r="N555" s="25"/>
      <c r="O555" s="25"/>
      <c r="P555" s="25"/>
      <c r="Q555" s="29" t="s">
        <v>306</v>
      </c>
      <c r="R555" s="8" t="str">
        <f aca="false">B555&amp;" "&amp;C555&amp;" "&amp;D555&amp;" "&amp;E555&amp;" "&amp;G555&amp;" "&amp;H555&amp;" "&amp;J555&amp;" "&amp;N555</f>
        <v>Differentials Electrolyte     CIF France (Diff) </v>
      </c>
      <c r="S555" s="25"/>
      <c r="T555" s="8"/>
      <c r="U555" s="8"/>
      <c r="V555" s="27" t="s">
        <v>49</v>
      </c>
      <c r="W555" s="25"/>
      <c r="X555" s="25"/>
      <c r="Y555" s="25"/>
      <c r="Z555" s="25"/>
      <c r="AA555" s="25"/>
      <c r="AB555" s="25"/>
      <c r="AC555" s="25"/>
      <c r="AD555" s="25"/>
    </row>
    <row r="556" customFormat="false" ht="15.75" hidden="false" customHeight="false" outlineLevel="0" collapsed="false">
      <c r="A556" s="28" t="s">
        <v>923</v>
      </c>
      <c r="B556" s="27" t="s">
        <v>438</v>
      </c>
      <c r="C556" s="27" t="s">
        <v>289</v>
      </c>
      <c r="D556" s="25"/>
      <c r="E556" s="25"/>
      <c r="F556" s="25"/>
      <c r="G556" s="25"/>
      <c r="H556" s="25"/>
      <c r="I556" s="25"/>
      <c r="J556" s="27" t="s">
        <v>885</v>
      </c>
      <c r="K556" s="25" t="str">
        <f aca="false">IFERROR(__xludf.dummyfunction("SPLIT(J556,"" "")"),"CIF")</f>
        <v>CIF</v>
      </c>
      <c r="L556" s="28" t="str">
        <f aca="false">IFERROR(__xludf.dummyfunction("""COMPUTED_VALUE"""),"France")</f>
        <v>France</v>
      </c>
      <c r="M556" s="27" t="str">
        <f aca="false">IFERROR(__xludf.dummyfunction("""COMPUTED_VALUE"""),"(Diff)")</f>
        <v>(Diff)</v>
      </c>
      <c r="N556" s="25"/>
      <c r="O556" s="25"/>
      <c r="P556" s="25"/>
      <c r="Q556" s="29" t="s">
        <v>304</v>
      </c>
      <c r="R556" s="8" t="str">
        <f aca="false">B556&amp;" "&amp;C556&amp;" "&amp;D556&amp;" "&amp;E556&amp;" "&amp;G556&amp;" "&amp;H556&amp;" "&amp;J556&amp;" "&amp;N556</f>
        <v>Differentials Electrolyte     CIF France (Diff) </v>
      </c>
      <c r="S556" s="25"/>
      <c r="T556" s="8"/>
      <c r="U556" s="8"/>
      <c r="V556" s="27" t="s">
        <v>49</v>
      </c>
      <c r="W556" s="25"/>
      <c r="X556" s="25"/>
      <c r="Y556" s="25"/>
      <c r="Z556" s="25"/>
      <c r="AA556" s="25"/>
      <c r="AB556" s="25"/>
      <c r="AC556" s="25"/>
      <c r="AD556" s="25"/>
    </row>
    <row r="557" customFormat="false" ht="15.75" hidden="false" customHeight="false" outlineLevel="0" collapsed="false">
      <c r="A557" s="28" t="s">
        <v>924</v>
      </c>
      <c r="B557" s="27" t="s">
        <v>438</v>
      </c>
      <c r="C557" s="27" t="s">
        <v>289</v>
      </c>
      <c r="D557" s="25"/>
      <c r="E557" s="25"/>
      <c r="F557" s="25"/>
      <c r="G557" s="25"/>
      <c r="H557" s="25"/>
      <c r="I557" s="25"/>
      <c r="J557" s="27" t="s">
        <v>885</v>
      </c>
      <c r="K557" s="25" t="str">
        <f aca="false">IFERROR(__xludf.dummyfunction("SPLIT(J557,"" "")"),"CIF")</f>
        <v>CIF</v>
      </c>
      <c r="L557" s="28" t="str">
        <f aca="false">IFERROR(__xludf.dummyfunction("""COMPUTED_VALUE"""),"France")</f>
        <v>France</v>
      </c>
      <c r="M557" s="27" t="str">
        <f aca="false">IFERROR(__xludf.dummyfunction("""COMPUTED_VALUE"""),"(Diff)")</f>
        <v>(Diff)</v>
      </c>
      <c r="N557" s="25"/>
      <c r="O557" s="25"/>
      <c r="P557" s="25"/>
      <c r="Q557" s="29" t="s">
        <v>302</v>
      </c>
      <c r="R557" s="8" t="str">
        <f aca="false">B557&amp;" "&amp;C557&amp;" "&amp;D557&amp;" "&amp;E557&amp;" "&amp;G557&amp;" "&amp;H557&amp;" "&amp;J557&amp;" "&amp;N557</f>
        <v>Differentials Electrolyte     CIF France (Diff) </v>
      </c>
      <c r="S557" s="25"/>
      <c r="T557" s="8"/>
      <c r="U557" s="8"/>
      <c r="V557" s="27" t="s">
        <v>49</v>
      </c>
      <c r="W557" s="25"/>
      <c r="X557" s="25"/>
      <c r="Y557" s="25"/>
      <c r="Z557" s="25"/>
      <c r="AA557" s="25"/>
      <c r="AB557" s="25"/>
      <c r="AC557" s="25"/>
      <c r="AD557" s="25"/>
    </row>
    <row r="558" customFormat="false" ht="15.75" hidden="false" customHeight="false" outlineLevel="0" collapsed="false">
      <c r="A558" s="28" t="s">
        <v>925</v>
      </c>
      <c r="B558" s="27" t="s">
        <v>438</v>
      </c>
      <c r="C558" s="27" t="s">
        <v>289</v>
      </c>
      <c r="D558" s="25"/>
      <c r="E558" s="25"/>
      <c r="F558" s="25"/>
      <c r="G558" s="25"/>
      <c r="H558" s="25"/>
      <c r="I558" s="25"/>
      <c r="J558" s="27" t="s">
        <v>885</v>
      </c>
      <c r="K558" s="25" t="str">
        <f aca="false">IFERROR(__xludf.dummyfunction("SPLIT(J558,"" "")"),"CIF")</f>
        <v>CIF</v>
      </c>
      <c r="L558" s="28" t="str">
        <f aca="false">IFERROR(__xludf.dummyfunction("""COMPUTED_VALUE"""),"France")</f>
        <v>France</v>
      </c>
      <c r="M558" s="27" t="str">
        <f aca="false">IFERROR(__xludf.dummyfunction("""COMPUTED_VALUE"""),"(Diff)")</f>
        <v>(Diff)</v>
      </c>
      <c r="N558" s="25"/>
      <c r="O558" s="25"/>
      <c r="P558" s="25"/>
      <c r="Q558" s="29" t="s">
        <v>300</v>
      </c>
      <c r="R558" s="8" t="str">
        <f aca="false">B558&amp;" "&amp;C558&amp;" "&amp;D558&amp;" "&amp;E558&amp;" "&amp;G558&amp;" "&amp;H558&amp;" "&amp;J558&amp;" "&amp;N558</f>
        <v>Differentials Electrolyte     CIF France (Diff) </v>
      </c>
      <c r="S558" s="25"/>
      <c r="T558" s="8"/>
      <c r="U558" s="8"/>
      <c r="V558" s="27" t="s">
        <v>49</v>
      </c>
      <c r="W558" s="25"/>
      <c r="X558" s="25"/>
      <c r="Y558" s="25"/>
      <c r="Z558" s="25"/>
      <c r="AA558" s="25"/>
      <c r="AB558" s="25"/>
      <c r="AC558" s="25"/>
      <c r="AD558" s="25"/>
    </row>
    <row r="559" customFormat="false" ht="15.75" hidden="false" customHeight="false" outlineLevel="0" collapsed="false">
      <c r="A559" s="28" t="s">
        <v>926</v>
      </c>
      <c r="B559" s="27" t="s">
        <v>438</v>
      </c>
      <c r="C559" s="27" t="s">
        <v>289</v>
      </c>
      <c r="D559" s="25"/>
      <c r="E559" s="25"/>
      <c r="F559" s="25"/>
      <c r="G559" s="25"/>
      <c r="H559" s="25"/>
      <c r="I559" s="25"/>
      <c r="J559" s="27" t="s">
        <v>885</v>
      </c>
      <c r="K559" s="25" t="str">
        <f aca="false">IFERROR(__xludf.dummyfunction("SPLIT(J559,"" "")"),"CIF")</f>
        <v>CIF</v>
      </c>
      <c r="L559" s="28" t="str">
        <f aca="false">IFERROR(__xludf.dummyfunction("""COMPUTED_VALUE"""),"France")</f>
        <v>France</v>
      </c>
      <c r="M559" s="27" t="str">
        <f aca="false">IFERROR(__xludf.dummyfunction("""COMPUTED_VALUE"""),"(Diff)")</f>
        <v>(Diff)</v>
      </c>
      <c r="N559" s="25"/>
      <c r="O559" s="25"/>
      <c r="P559" s="25"/>
      <c r="Q559" s="29" t="s">
        <v>298</v>
      </c>
      <c r="R559" s="8" t="str">
        <f aca="false">B559&amp;" "&amp;C559&amp;" "&amp;D559&amp;" "&amp;E559&amp;" "&amp;G559&amp;" "&amp;H559&amp;" "&amp;J559&amp;" "&amp;N559</f>
        <v>Differentials Electrolyte     CIF France (Diff) </v>
      </c>
      <c r="S559" s="25"/>
      <c r="T559" s="8"/>
      <c r="U559" s="8"/>
      <c r="V559" s="27" t="s">
        <v>49</v>
      </c>
      <c r="W559" s="25"/>
      <c r="X559" s="25"/>
      <c r="Y559" s="25"/>
      <c r="Z559" s="25"/>
      <c r="AA559" s="25"/>
      <c r="AB559" s="25"/>
      <c r="AC559" s="25"/>
      <c r="AD559" s="25"/>
    </row>
    <row r="560" customFormat="false" ht="15.75" hidden="false" customHeight="false" outlineLevel="0" collapsed="false">
      <c r="A560" s="28" t="s">
        <v>927</v>
      </c>
      <c r="B560" s="27" t="s">
        <v>438</v>
      </c>
      <c r="C560" s="27" t="s">
        <v>289</v>
      </c>
      <c r="D560" s="25"/>
      <c r="E560" s="25"/>
      <c r="F560" s="25"/>
      <c r="G560" s="25"/>
      <c r="H560" s="25"/>
      <c r="I560" s="25"/>
      <c r="J560" s="27" t="s">
        <v>885</v>
      </c>
      <c r="K560" s="25" t="str">
        <f aca="false">IFERROR(__xludf.dummyfunction("SPLIT(J560,"" "")"),"CIF")</f>
        <v>CIF</v>
      </c>
      <c r="L560" s="28" t="str">
        <f aca="false">IFERROR(__xludf.dummyfunction("""COMPUTED_VALUE"""),"France")</f>
        <v>France</v>
      </c>
      <c r="M560" s="27" t="str">
        <f aca="false">IFERROR(__xludf.dummyfunction("""COMPUTED_VALUE"""),"(Diff)")</f>
        <v>(Diff)</v>
      </c>
      <c r="N560" s="25"/>
      <c r="O560" s="25"/>
      <c r="P560" s="25"/>
      <c r="Q560" s="29" t="s">
        <v>296</v>
      </c>
      <c r="R560" s="8" t="str">
        <f aca="false">B560&amp;" "&amp;C560&amp;" "&amp;D560&amp;" "&amp;E560&amp;" "&amp;G560&amp;" "&amp;H560&amp;" "&amp;J560&amp;" "&amp;N560</f>
        <v>Differentials Electrolyte     CIF France (Diff) </v>
      </c>
      <c r="S560" s="25"/>
      <c r="T560" s="8"/>
      <c r="U560" s="8"/>
      <c r="V560" s="27" t="s">
        <v>49</v>
      </c>
      <c r="W560" s="25"/>
      <c r="X560" s="25"/>
      <c r="Y560" s="25"/>
      <c r="Z560" s="25"/>
      <c r="AA560" s="25"/>
      <c r="AB560" s="25"/>
      <c r="AC560" s="25"/>
      <c r="AD560" s="25"/>
    </row>
    <row r="561" customFormat="false" ht="15.75" hidden="false" customHeight="false" outlineLevel="0" collapsed="false">
      <c r="A561" s="28" t="s">
        <v>928</v>
      </c>
      <c r="B561" s="27" t="s">
        <v>438</v>
      </c>
      <c r="C561" s="27" t="s">
        <v>289</v>
      </c>
      <c r="D561" s="25"/>
      <c r="E561" s="25"/>
      <c r="F561" s="25"/>
      <c r="G561" s="25"/>
      <c r="H561" s="25"/>
      <c r="I561" s="25"/>
      <c r="J561" s="27" t="s">
        <v>885</v>
      </c>
      <c r="K561" s="25" t="str">
        <f aca="false">IFERROR(__xludf.dummyfunction("SPLIT(J561,"" "")"),"CIF")</f>
        <v>CIF</v>
      </c>
      <c r="L561" s="28" t="str">
        <f aca="false">IFERROR(__xludf.dummyfunction("""COMPUTED_VALUE"""),"France")</f>
        <v>France</v>
      </c>
      <c r="M561" s="27" t="str">
        <f aca="false">IFERROR(__xludf.dummyfunction("""COMPUTED_VALUE"""),"(Diff)")</f>
        <v>(Diff)</v>
      </c>
      <c r="N561" s="25"/>
      <c r="O561" s="25"/>
      <c r="P561" s="25"/>
      <c r="Q561" s="29" t="s">
        <v>294</v>
      </c>
      <c r="R561" s="8" t="str">
        <f aca="false">B561&amp;" "&amp;C561&amp;" "&amp;D561&amp;" "&amp;E561&amp;" "&amp;G561&amp;" "&amp;H561&amp;" "&amp;J561&amp;" "&amp;N561</f>
        <v>Differentials Electrolyte     CIF France (Diff) </v>
      </c>
      <c r="S561" s="25"/>
      <c r="T561" s="8"/>
      <c r="U561" s="8"/>
      <c r="V561" s="27" t="s">
        <v>49</v>
      </c>
      <c r="W561" s="25"/>
      <c r="X561" s="25"/>
      <c r="Y561" s="25"/>
      <c r="Z561" s="25"/>
      <c r="AA561" s="25"/>
      <c r="AB561" s="25"/>
      <c r="AC561" s="25"/>
      <c r="AD561" s="25"/>
    </row>
    <row r="562" customFormat="false" ht="15.75" hidden="false" customHeight="false" outlineLevel="0" collapsed="false">
      <c r="A562" s="28" t="s">
        <v>929</v>
      </c>
      <c r="B562" s="27" t="s">
        <v>438</v>
      </c>
      <c r="C562" s="27" t="s">
        <v>289</v>
      </c>
      <c r="D562" s="25"/>
      <c r="E562" s="25"/>
      <c r="F562" s="25"/>
      <c r="G562" s="25"/>
      <c r="H562" s="25"/>
      <c r="I562" s="25"/>
      <c r="J562" s="27" t="s">
        <v>885</v>
      </c>
      <c r="K562" s="25" t="str">
        <f aca="false">IFERROR(__xludf.dummyfunction("SPLIT(J562,"" "")"),"CIF")</f>
        <v>CIF</v>
      </c>
      <c r="L562" s="28" t="str">
        <f aca="false">IFERROR(__xludf.dummyfunction("""COMPUTED_VALUE"""),"France")</f>
        <v>France</v>
      </c>
      <c r="M562" s="27" t="str">
        <f aca="false">IFERROR(__xludf.dummyfunction("""COMPUTED_VALUE"""),"(Diff)")</f>
        <v>(Diff)</v>
      </c>
      <c r="N562" s="25"/>
      <c r="O562" s="25"/>
      <c r="P562" s="25"/>
      <c r="Q562" s="29" t="s">
        <v>291</v>
      </c>
      <c r="R562" s="8" t="str">
        <f aca="false">B562&amp;" "&amp;C562&amp;" "&amp;D562&amp;" "&amp;E562&amp;" "&amp;G562&amp;" "&amp;H562&amp;" "&amp;J562&amp;" "&amp;N562</f>
        <v>Differentials Electrolyte     CIF France (Diff) </v>
      </c>
      <c r="S562" s="25"/>
      <c r="T562" s="8"/>
      <c r="U562" s="8"/>
      <c r="V562" s="27" t="s">
        <v>49</v>
      </c>
      <c r="W562" s="25"/>
      <c r="X562" s="25"/>
      <c r="Y562" s="25"/>
      <c r="Z562" s="25"/>
      <c r="AA562" s="25"/>
      <c r="AB562" s="25"/>
      <c r="AC562" s="25"/>
      <c r="AD562" s="25"/>
    </row>
    <row r="563" customFormat="false" ht="15.75" hidden="false" customHeight="false" outlineLevel="0" collapsed="false">
      <c r="A563" s="28" t="s">
        <v>930</v>
      </c>
      <c r="B563" s="27" t="s">
        <v>438</v>
      </c>
      <c r="C563" s="27" t="s">
        <v>308</v>
      </c>
      <c r="D563" s="25"/>
      <c r="E563" s="25"/>
      <c r="F563" s="25"/>
      <c r="G563" s="25"/>
      <c r="H563" s="25"/>
      <c r="I563" s="25"/>
      <c r="J563" s="27" t="s">
        <v>885</v>
      </c>
      <c r="K563" s="25" t="str">
        <f aca="false">IFERROR(__xludf.dummyfunction("SPLIT(J563,"" "")"),"CIF")</f>
        <v>CIF</v>
      </c>
      <c r="L563" s="28" t="str">
        <f aca="false">IFERROR(__xludf.dummyfunction("""COMPUTED_VALUE"""),"France")</f>
        <v>France</v>
      </c>
      <c r="M563" s="27" t="str">
        <f aca="false">IFERROR(__xludf.dummyfunction("""COMPUTED_VALUE"""),"(Diff)")</f>
        <v>(Diff)</v>
      </c>
      <c r="N563" s="25"/>
      <c r="O563" s="25"/>
      <c r="P563" s="25"/>
      <c r="Q563" s="29" t="s">
        <v>358</v>
      </c>
      <c r="R563" s="8" t="str">
        <f aca="false">B563&amp;" "&amp;C563&amp;" "&amp;D563&amp;" "&amp;E563&amp;" "&amp;G563&amp;" "&amp;H563&amp;" "&amp;J563&amp;" "&amp;N563</f>
        <v>Differentials Graphite     CIF France (Diff) </v>
      </c>
      <c r="S563" s="25"/>
      <c r="T563" s="8"/>
      <c r="U563" s="8"/>
      <c r="V563" s="27" t="s">
        <v>49</v>
      </c>
      <c r="W563" s="25"/>
      <c r="X563" s="25"/>
      <c r="Y563" s="25"/>
      <c r="Z563" s="25"/>
      <c r="AA563" s="25"/>
      <c r="AB563" s="25"/>
      <c r="AC563" s="25"/>
      <c r="AD563" s="25"/>
    </row>
    <row r="564" customFormat="false" ht="15.75" hidden="false" customHeight="false" outlineLevel="0" collapsed="false">
      <c r="A564" s="28" t="s">
        <v>931</v>
      </c>
      <c r="B564" s="27" t="s">
        <v>438</v>
      </c>
      <c r="C564" s="27" t="s">
        <v>308</v>
      </c>
      <c r="D564" s="25"/>
      <c r="E564" s="25"/>
      <c r="F564" s="25"/>
      <c r="G564" s="25"/>
      <c r="H564" s="25"/>
      <c r="I564" s="25"/>
      <c r="J564" s="27" t="s">
        <v>885</v>
      </c>
      <c r="K564" s="25" t="str">
        <f aca="false">IFERROR(__xludf.dummyfunction("SPLIT(J564,"" "")"),"CIF")</f>
        <v>CIF</v>
      </c>
      <c r="L564" s="28" t="str">
        <f aca="false">IFERROR(__xludf.dummyfunction("""COMPUTED_VALUE"""),"France")</f>
        <v>France</v>
      </c>
      <c r="M564" s="27" t="str">
        <f aca="false">IFERROR(__xludf.dummyfunction("""COMPUTED_VALUE"""),"(Diff)")</f>
        <v>(Diff)</v>
      </c>
      <c r="N564" s="25"/>
      <c r="O564" s="25"/>
      <c r="P564" s="25"/>
      <c r="Q564" s="29" t="s">
        <v>356</v>
      </c>
      <c r="R564" s="8" t="str">
        <f aca="false">B564&amp;" "&amp;C564&amp;" "&amp;D564&amp;" "&amp;E564&amp;" "&amp;G564&amp;" "&amp;H564&amp;" "&amp;J564&amp;" "&amp;N564</f>
        <v>Differentials Graphite     CIF France (Diff) </v>
      </c>
      <c r="S564" s="25"/>
      <c r="T564" s="8"/>
      <c r="U564" s="8"/>
      <c r="V564" s="27" t="s">
        <v>49</v>
      </c>
      <c r="W564" s="25"/>
      <c r="X564" s="25"/>
      <c r="Y564" s="25"/>
      <c r="Z564" s="25"/>
      <c r="AA564" s="25"/>
      <c r="AB564" s="25"/>
      <c r="AC564" s="25"/>
      <c r="AD564" s="25"/>
    </row>
    <row r="565" customFormat="false" ht="15.75" hidden="false" customHeight="false" outlineLevel="0" collapsed="false">
      <c r="A565" s="28" t="s">
        <v>932</v>
      </c>
      <c r="B565" s="27" t="s">
        <v>438</v>
      </c>
      <c r="C565" s="27" t="s">
        <v>308</v>
      </c>
      <c r="D565" s="25"/>
      <c r="E565" s="25"/>
      <c r="F565" s="25"/>
      <c r="G565" s="25"/>
      <c r="H565" s="25"/>
      <c r="I565" s="25"/>
      <c r="J565" s="27" t="s">
        <v>885</v>
      </c>
      <c r="K565" s="25" t="str">
        <f aca="false">IFERROR(__xludf.dummyfunction("SPLIT(J565,"" "")"),"CIF")</f>
        <v>CIF</v>
      </c>
      <c r="L565" s="28" t="str">
        <f aca="false">IFERROR(__xludf.dummyfunction("""COMPUTED_VALUE"""),"France")</f>
        <v>France</v>
      </c>
      <c r="M565" s="27" t="str">
        <f aca="false">IFERROR(__xludf.dummyfunction("""COMPUTED_VALUE"""),"(Diff)")</f>
        <v>(Diff)</v>
      </c>
      <c r="N565" s="25"/>
      <c r="O565" s="25"/>
      <c r="P565" s="25"/>
      <c r="Q565" s="29" t="s">
        <v>354</v>
      </c>
      <c r="R565" s="8" t="str">
        <f aca="false">B565&amp;" "&amp;C565&amp;" "&amp;D565&amp;" "&amp;E565&amp;" "&amp;G565&amp;" "&amp;H565&amp;" "&amp;J565&amp;" "&amp;N565</f>
        <v>Differentials Graphite     CIF France (Diff) </v>
      </c>
      <c r="S565" s="25"/>
      <c r="T565" s="8"/>
      <c r="U565" s="8"/>
      <c r="V565" s="27" t="s">
        <v>49</v>
      </c>
      <c r="W565" s="25"/>
      <c r="X565" s="25"/>
      <c r="Y565" s="25"/>
      <c r="Z565" s="25"/>
      <c r="AA565" s="25"/>
      <c r="AB565" s="25"/>
      <c r="AC565" s="25"/>
      <c r="AD565" s="25"/>
    </row>
    <row r="566" customFormat="false" ht="15.75" hidden="false" customHeight="false" outlineLevel="0" collapsed="false">
      <c r="A566" s="28" t="s">
        <v>933</v>
      </c>
      <c r="B566" s="27" t="s">
        <v>438</v>
      </c>
      <c r="C566" s="27" t="s">
        <v>308</v>
      </c>
      <c r="D566" s="25"/>
      <c r="E566" s="25"/>
      <c r="F566" s="25"/>
      <c r="G566" s="25"/>
      <c r="H566" s="25"/>
      <c r="I566" s="25"/>
      <c r="J566" s="27" t="s">
        <v>885</v>
      </c>
      <c r="K566" s="25" t="str">
        <f aca="false">IFERROR(__xludf.dummyfunction("SPLIT(J566,"" "")"),"CIF")</f>
        <v>CIF</v>
      </c>
      <c r="L566" s="28" t="str">
        <f aca="false">IFERROR(__xludf.dummyfunction("""COMPUTED_VALUE"""),"France")</f>
        <v>France</v>
      </c>
      <c r="M566" s="27" t="str">
        <f aca="false">IFERROR(__xludf.dummyfunction("""COMPUTED_VALUE"""),"(Diff)")</f>
        <v>(Diff)</v>
      </c>
      <c r="N566" s="25"/>
      <c r="O566" s="25"/>
      <c r="P566" s="25"/>
      <c r="Q566" s="29" t="s">
        <v>352</v>
      </c>
      <c r="R566" s="8" t="str">
        <f aca="false">B566&amp;" "&amp;C566&amp;" "&amp;D566&amp;" "&amp;E566&amp;" "&amp;G566&amp;" "&amp;H566&amp;" "&amp;J566&amp;" "&amp;N566</f>
        <v>Differentials Graphite     CIF France (Diff) </v>
      </c>
      <c r="S566" s="25"/>
      <c r="T566" s="8"/>
      <c r="U566" s="8"/>
      <c r="V566" s="27" t="s">
        <v>49</v>
      </c>
      <c r="W566" s="25"/>
      <c r="X566" s="25"/>
      <c r="Y566" s="25"/>
      <c r="Z566" s="25"/>
      <c r="AA566" s="25"/>
      <c r="AB566" s="25"/>
      <c r="AC566" s="25"/>
      <c r="AD566" s="25"/>
    </row>
    <row r="567" customFormat="false" ht="15.75" hidden="false" customHeight="false" outlineLevel="0" collapsed="false">
      <c r="A567" s="28" t="s">
        <v>934</v>
      </c>
      <c r="B567" s="27" t="s">
        <v>438</v>
      </c>
      <c r="C567" s="27" t="s">
        <v>308</v>
      </c>
      <c r="D567" s="25"/>
      <c r="E567" s="25"/>
      <c r="F567" s="25"/>
      <c r="G567" s="25"/>
      <c r="H567" s="25"/>
      <c r="I567" s="25"/>
      <c r="J567" s="27" t="s">
        <v>885</v>
      </c>
      <c r="K567" s="25" t="str">
        <f aca="false">IFERROR(__xludf.dummyfunction("SPLIT(J567,"" "")"),"CIF")</f>
        <v>CIF</v>
      </c>
      <c r="L567" s="28" t="str">
        <f aca="false">IFERROR(__xludf.dummyfunction("""COMPUTED_VALUE"""),"France")</f>
        <v>France</v>
      </c>
      <c r="M567" s="27" t="str">
        <f aca="false">IFERROR(__xludf.dummyfunction("""COMPUTED_VALUE"""),"(Diff)")</f>
        <v>(Diff)</v>
      </c>
      <c r="N567" s="25"/>
      <c r="O567" s="25"/>
      <c r="P567" s="25"/>
      <c r="Q567" s="29" t="s">
        <v>350</v>
      </c>
      <c r="R567" s="8" t="str">
        <f aca="false">B567&amp;" "&amp;C567&amp;" "&amp;D567&amp;" "&amp;E567&amp;" "&amp;G567&amp;" "&amp;H567&amp;" "&amp;J567&amp;" "&amp;N567</f>
        <v>Differentials Graphite     CIF France (Diff) </v>
      </c>
      <c r="S567" s="25"/>
      <c r="T567" s="8"/>
      <c r="U567" s="8"/>
      <c r="V567" s="27" t="s">
        <v>49</v>
      </c>
      <c r="W567" s="25"/>
      <c r="X567" s="25"/>
      <c r="Y567" s="25"/>
      <c r="Z567" s="25"/>
      <c r="AA567" s="25"/>
      <c r="AB567" s="25"/>
      <c r="AC567" s="25"/>
      <c r="AD567" s="25"/>
    </row>
    <row r="568" customFormat="false" ht="15.75" hidden="false" customHeight="false" outlineLevel="0" collapsed="false">
      <c r="A568" s="28" t="s">
        <v>935</v>
      </c>
      <c r="B568" s="27" t="s">
        <v>438</v>
      </c>
      <c r="C568" s="27" t="s">
        <v>308</v>
      </c>
      <c r="D568" s="25"/>
      <c r="E568" s="25"/>
      <c r="F568" s="25"/>
      <c r="G568" s="25"/>
      <c r="H568" s="25"/>
      <c r="I568" s="25"/>
      <c r="J568" s="27" t="s">
        <v>885</v>
      </c>
      <c r="K568" s="25" t="str">
        <f aca="false">IFERROR(__xludf.dummyfunction("SPLIT(J568,"" "")"),"CIF")</f>
        <v>CIF</v>
      </c>
      <c r="L568" s="28" t="str">
        <f aca="false">IFERROR(__xludf.dummyfunction("""COMPUTED_VALUE"""),"France")</f>
        <v>France</v>
      </c>
      <c r="M568" s="27" t="str">
        <f aca="false">IFERROR(__xludf.dummyfunction("""COMPUTED_VALUE"""),"(Diff)")</f>
        <v>(Diff)</v>
      </c>
      <c r="N568" s="25"/>
      <c r="O568" s="25"/>
      <c r="P568" s="25"/>
      <c r="Q568" s="29" t="s">
        <v>347</v>
      </c>
      <c r="R568" s="8" t="str">
        <f aca="false">B568&amp;" "&amp;C568&amp;" "&amp;D568&amp;" "&amp;E568&amp;" "&amp;G568&amp;" "&amp;H568&amp;" "&amp;J568&amp;" "&amp;N568</f>
        <v>Differentials Graphite     CIF France (Diff) </v>
      </c>
      <c r="S568" s="25"/>
      <c r="T568" s="8"/>
      <c r="U568" s="8"/>
      <c r="V568" s="27" t="s">
        <v>49</v>
      </c>
      <c r="W568" s="25"/>
      <c r="X568" s="25"/>
      <c r="Y568" s="25"/>
      <c r="Z568" s="25"/>
      <c r="AA568" s="25"/>
      <c r="AB568" s="25"/>
      <c r="AC568" s="25"/>
      <c r="AD568" s="25"/>
    </row>
    <row r="569" customFormat="false" ht="15.75" hidden="false" customHeight="false" outlineLevel="0" collapsed="false">
      <c r="A569" s="28" t="s">
        <v>936</v>
      </c>
      <c r="B569" s="27" t="s">
        <v>438</v>
      </c>
      <c r="C569" s="27" t="s">
        <v>308</v>
      </c>
      <c r="D569" s="25"/>
      <c r="E569" s="25"/>
      <c r="F569" s="25"/>
      <c r="G569" s="25"/>
      <c r="H569" s="25"/>
      <c r="I569" s="25"/>
      <c r="J569" s="27" t="s">
        <v>885</v>
      </c>
      <c r="K569" s="25" t="str">
        <f aca="false">IFERROR(__xludf.dummyfunction("SPLIT(J569,"" "")"),"CIF")</f>
        <v>CIF</v>
      </c>
      <c r="L569" s="28" t="str">
        <f aca="false">IFERROR(__xludf.dummyfunction("""COMPUTED_VALUE"""),"France")</f>
        <v>France</v>
      </c>
      <c r="M569" s="27" t="str">
        <f aca="false">IFERROR(__xludf.dummyfunction("""COMPUTED_VALUE"""),"(Diff)")</f>
        <v>(Diff)</v>
      </c>
      <c r="N569" s="25"/>
      <c r="O569" s="25"/>
      <c r="P569" s="25"/>
      <c r="Q569" s="29" t="s">
        <v>344</v>
      </c>
      <c r="R569" s="8" t="str">
        <f aca="false">B569&amp;" "&amp;C569&amp;" "&amp;D569&amp;" "&amp;E569&amp;" "&amp;G569&amp;" "&amp;H569&amp;" "&amp;J569&amp;" "&amp;N569</f>
        <v>Differentials Graphite     CIF France (Diff) </v>
      </c>
      <c r="S569" s="25"/>
      <c r="T569" s="8"/>
      <c r="U569" s="8"/>
      <c r="V569" s="27" t="s">
        <v>49</v>
      </c>
      <c r="W569" s="25"/>
      <c r="X569" s="25"/>
      <c r="Y569" s="25"/>
      <c r="Z569" s="25"/>
      <c r="AA569" s="25"/>
      <c r="AB569" s="25"/>
      <c r="AC569" s="25"/>
      <c r="AD569" s="25"/>
    </row>
    <row r="570" customFormat="false" ht="15.75" hidden="false" customHeight="false" outlineLevel="0" collapsed="false">
      <c r="A570" s="28" t="s">
        <v>937</v>
      </c>
      <c r="B570" s="27" t="s">
        <v>438</v>
      </c>
      <c r="C570" s="27" t="s">
        <v>308</v>
      </c>
      <c r="D570" s="25"/>
      <c r="E570" s="25"/>
      <c r="F570" s="25"/>
      <c r="G570" s="25"/>
      <c r="H570" s="25"/>
      <c r="I570" s="25"/>
      <c r="J570" s="27" t="s">
        <v>885</v>
      </c>
      <c r="K570" s="25" t="str">
        <f aca="false">IFERROR(__xludf.dummyfunction("SPLIT(J570,"" "")"),"CIF")</f>
        <v>CIF</v>
      </c>
      <c r="L570" s="28" t="str">
        <f aca="false">IFERROR(__xludf.dummyfunction("""COMPUTED_VALUE"""),"France")</f>
        <v>France</v>
      </c>
      <c r="M570" s="27" t="str">
        <f aca="false">IFERROR(__xludf.dummyfunction("""COMPUTED_VALUE"""),"(Diff)")</f>
        <v>(Diff)</v>
      </c>
      <c r="N570" s="25"/>
      <c r="O570" s="25"/>
      <c r="P570" s="25"/>
      <c r="Q570" s="29" t="s">
        <v>340</v>
      </c>
      <c r="R570" s="8" t="str">
        <f aca="false">B570&amp;" "&amp;C570&amp;" "&amp;D570&amp;" "&amp;E570&amp;" "&amp;G570&amp;" "&amp;H570&amp;" "&amp;J570&amp;" "&amp;N570</f>
        <v>Differentials Graphite     CIF France (Diff) </v>
      </c>
      <c r="S570" s="25"/>
      <c r="T570" s="8"/>
      <c r="U570" s="8"/>
      <c r="V570" s="27" t="s">
        <v>49</v>
      </c>
      <c r="W570" s="25"/>
      <c r="X570" s="25"/>
      <c r="Y570" s="25"/>
      <c r="Z570" s="25"/>
      <c r="AA570" s="25"/>
      <c r="AB570" s="25"/>
      <c r="AC570" s="25"/>
      <c r="AD570" s="25"/>
    </row>
    <row r="571" customFormat="false" ht="15.75" hidden="false" customHeight="false" outlineLevel="0" collapsed="false">
      <c r="A571" s="28" t="s">
        <v>938</v>
      </c>
      <c r="B571" s="27" t="s">
        <v>438</v>
      </c>
      <c r="C571" s="27" t="s">
        <v>308</v>
      </c>
      <c r="D571" s="25"/>
      <c r="E571" s="25"/>
      <c r="F571" s="25"/>
      <c r="G571" s="25"/>
      <c r="H571" s="25"/>
      <c r="I571" s="25"/>
      <c r="J571" s="27" t="s">
        <v>885</v>
      </c>
      <c r="K571" s="25" t="str">
        <f aca="false">IFERROR(__xludf.dummyfunction("SPLIT(J571,"" "")"),"CIF")</f>
        <v>CIF</v>
      </c>
      <c r="L571" s="28" t="str">
        <f aca="false">IFERROR(__xludf.dummyfunction("""COMPUTED_VALUE"""),"France")</f>
        <v>France</v>
      </c>
      <c r="M571" s="27" t="str">
        <f aca="false">IFERROR(__xludf.dummyfunction("""COMPUTED_VALUE"""),"(Diff)")</f>
        <v>(Diff)</v>
      </c>
      <c r="N571" s="25"/>
      <c r="O571" s="25"/>
      <c r="P571" s="25"/>
      <c r="Q571" s="29" t="s">
        <v>338</v>
      </c>
      <c r="R571" s="8" t="str">
        <f aca="false">B571&amp;" "&amp;C571&amp;" "&amp;D571&amp;" "&amp;E571&amp;" "&amp;G571&amp;" "&amp;H571&amp;" "&amp;J571&amp;" "&amp;N571</f>
        <v>Differentials Graphite     CIF France (Diff) </v>
      </c>
      <c r="S571" s="25"/>
      <c r="T571" s="8"/>
      <c r="U571" s="8"/>
      <c r="V571" s="27" t="s">
        <v>49</v>
      </c>
      <c r="W571" s="25"/>
      <c r="X571" s="25"/>
      <c r="Y571" s="25"/>
      <c r="Z571" s="25"/>
      <c r="AA571" s="25"/>
      <c r="AB571" s="25"/>
      <c r="AC571" s="25"/>
      <c r="AD571" s="25"/>
    </row>
    <row r="572" customFormat="false" ht="15.75" hidden="false" customHeight="false" outlineLevel="0" collapsed="false">
      <c r="A572" s="28" t="s">
        <v>939</v>
      </c>
      <c r="B572" s="27" t="s">
        <v>438</v>
      </c>
      <c r="C572" s="27" t="s">
        <v>308</v>
      </c>
      <c r="D572" s="25"/>
      <c r="E572" s="25"/>
      <c r="F572" s="25"/>
      <c r="G572" s="25"/>
      <c r="H572" s="25"/>
      <c r="I572" s="25"/>
      <c r="J572" s="27" t="s">
        <v>885</v>
      </c>
      <c r="K572" s="25" t="str">
        <f aca="false">IFERROR(__xludf.dummyfunction("SPLIT(J572,"" "")"),"CIF")</f>
        <v>CIF</v>
      </c>
      <c r="L572" s="28" t="str">
        <f aca="false">IFERROR(__xludf.dummyfunction("""COMPUTED_VALUE"""),"France")</f>
        <v>France</v>
      </c>
      <c r="M572" s="27" t="str">
        <f aca="false">IFERROR(__xludf.dummyfunction("""COMPUTED_VALUE"""),"(Diff)")</f>
        <v>(Diff)</v>
      </c>
      <c r="N572" s="25"/>
      <c r="O572" s="25"/>
      <c r="P572" s="25"/>
      <c r="Q572" s="29" t="s">
        <v>335</v>
      </c>
      <c r="R572" s="8" t="str">
        <f aca="false">B572&amp;" "&amp;C572&amp;" "&amp;D572&amp;" "&amp;E572&amp;" "&amp;G572&amp;" "&amp;H572&amp;" "&amp;J572&amp;" "&amp;N572</f>
        <v>Differentials Graphite     CIF France (Diff) </v>
      </c>
      <c r="S572" s="25"/>
      <c r="T572" s="8"/>
      <c r="U572" s="8"/>
      <c r="V572" s="27" t="s">
        <v>49</v>
      </c>
      <c r="W572" s="25"/>
      <c r="X572" s="25"/>
      <c r="Y572" s="25"/>
      <c r="Z572" s="25"/>
      <c r="AA572" s="25"/>
      <c r="AB572" s="25"/>
      <c r="AC572" s="25"/>
      <c r="AD572" s="25"/>
    </row>
    <row r="573" customFormat="false" ht="15.75" hidden="false" customHeight="false" outlineLevel="0" collapsed="false">
      <c r="A573" s="28" t="s">
        <v>940</v>
      </c>
      <c r="B573" s="27" t="s">
        <v>438</v>
      </c>
      <c r="C573" s="27" t="s">
        <v>308</v>
      </c>
      <c r="D573" s="25"/>
      <c r="E573" s="25"/>
      <c r="F573" s="25"/>
      <c r="G573" s="25"/>
      <c r="H573" s="25"/>
      <c r="I573" s="25"/>
      <c r="J573" s="27" t="s">
        <v>885</v>
      </c>
      <c r="K573" s="25" t="str">
        <f aca="false">IFERROR(__xludf.dummyfunction("SPLIT(J573,"" "")"),"CIF")</f>
        <v>CIF</v>
      </c>
      <c r="L573" s="28" t="str">
        <f aca="false">IFERROR(__xludf.dummyfunction("""COMPUTED_VALUE"""),"France")</f>
        <v>France</v>
      </c>
      <c r="M573" s="27" t="str">
        <f aca="false">IFERROR(__xludf.dummyfunction("""COMPUTED_VALUE"""),"(Diff)")</f>
        <v>(Diff)</v>
      </c>
      <c r="N573" s="25"/>
      <c r="O573" s="25"/>
      <c r="P573" s="25"/>
      <c r="Q573" s="29" t="s">
        <v>332</v>
      </c>
      <c r="R573" s="8" t="str">
        <f aca="false">B573&amp;" "&amp;C573&amp;" "&amp;D573&amp;" "&amp;E573&amp;" "&amp;G573&amp;" "&amp;H573&amp;" "&amp;J573&amp;" "&amp;N573</f>
        <v>Differentials Graphite     CIF France (Diff) </v>
      </c>
      <c r="S573" s="25"/>
      <c r="T573" s="8"/>
      <c r="U573" s="8"/>
      <c r="V573" s="27" t="s">
        <v>49</v>
      </c>
      <c r="W573" s="25"/>
      <c r="X573" s="25"/>
      <c r="Y573" s="25"/>
      <c r="Z573" s="25"/>
      <c r="AA573" s="25"/>
      <c r="AB573" s="25"/>
      <c r="AC573" s="25"/>
      <c r="AD573" s="25"/>
    </row>
    <row r="574" customFormat="false" ht="15.75" hidden="false" customHeight="false" outlineLevel="0" collapsed="false">
      <c r="A574" s="28" t="s">
        <v>941</v>
      </c>
      <c r="B574" s="27" t="s">
        <v>438</v>
      </c>
      <c r="C574" s="27" t="s">
        <v>308</v>
      </c>
      <c r="D574" s="25"/>
      <c r="E574" s="25"/>
      <c r="F574" s="25"/>
      <c r="G574" s="25"/>
      <c r="H574" s="25"/>
      <c r="I574" s="25"/>
      <c r="J574" s="27" t="s">
        <v>885</v>
      </c>
      <c r="K574" s="25" t="str">
        <f aca="false">IFERROR(__xludf.dummyfunction("SPLIT(J574,"" "")"),"CIF")</f>
        <v>CIF</v>
      </c>
      <c r="L574" s="28" t="str">
        <f aca="false">IFERROR(__xludf.dummyfunction("""COMPUTED_VALUE"""),"France")</f>
        <v>France</v>
      </c>
      <c r="M574" s="27" t="str">
        <f aca="false">IFERROR(__xludf.dummyfunction("""COMPUTED_VALUE"""),"(Diff)")</f>
        <v>(Diff)</v>
      </c>
      <c r="N574" s="25"/>
      <c r="O574" s="25"/>
      <c r="P574" s="25"/>
      <c r="Q574" s="29" t="s">
        <v>329</v>
      </c>
      <c r="R574" s="8" t="str">
        <f aca="false">B574&amp;" "&amp;C574&amp;" "&amp;D574&amp;" "&amp;E574&amp;" "&amp;G574&amp;" "&amp;H574&amp;" "&amp;J574&amp;" "&amp;N574</f>
        <v>Differentials Graphite     CIF France (Diff) </v>
      </c>
      <c r="S574" s="25"/>
      <c r="T574" s="8"/>
      <c r="U574" s="8"/>
      <c r="V574" s="27" t="s">
        <v>49</v>
      </c>
      <c r="W574" s="25"/>
      <c r="X574" s="25"/>
      <c r="Y574" s="25"/>
      <c r="Z574" s="25"/>
      <c r="AA574" s="25"/>
      <c r="AB574" s="25"/>
      <c r="AC574" s="25"/>
      <c r="AD574" s="25"/>
    </row>
    <row r="575" customFormat="false" ht="15.75" hidden="false" customHeight="false" outlineLevel="0" collapsed="false">
      <c r="A575" s="28" t="s">
        <v>942</v>
      </c>
      <c r="B575" s="27" t="s">
        <v>438</v>
      </c>
      <c r="C575" s="27" t="s">
        <v>308</v>
      </c>
      <c r="D575" s="25"/>
      <c r="E575" s="25"/>
      <c r="F575" s="25"/>
      <c r="G575" s="25"/>
      <c r="H575" s="25"/>
      <c r="I575" s="25"/>
      <c r="J575" s="27" t="s">
        <v>885</v>
      </c>
      <c r="K575" s="25" t="str">
        <f aca="false">IFERROR(__xludf.dummyfunction("SPLIT(J575,"" "")"),"CIF")</f>
        <v>CIF</v>
      </c>
      <c r="L575" s="28" t="str">
        <f aca="false">IFERROR(__xludf.dummyfunction("""COMPUTED_VALUE"""),"France")</f>
        <v>France</v>
      </c>
      <c r="M575" s="27" t="str">
        <f aca="false">IFERROR(__xludf.dummyfunction("""COMPUTED_VALUE"""),"(Diff)")</f>
        <v>(Diff)</v>
      </c>
      <c r="N575" s="25"/>
      <c r="O575" s="25"/>
      <c r="P575" s="25"/>
      <c r="Q575" s="29" t="s">
        <v>326</v>
      </c>
      <c r="R575" s="8" t="str">
        <f aca="false">B575&amp;" "&amp;C575&amp;" "&amp;D575&amp;" "&amp;E575&amp;" "&amp;G575&amp;" "&amp;H575&amp;" "&amp;J575&amp;" "&amp;N575</f>
        <v>Differentials Graphite     CIF France (Diff) </v>
      </c>
      <c r="S575" s="25"/>
      <c r="T575" s="8"/>
      <c r="U575" s="8"/>
      <c r="V575" s="27" t="s">
        <v>49</v>
      </c>
      <c r="W575" s="25"/>
      <c r="X575" s="25"/>
      <c r="Y575" s="25"/>
      <c r="Z575" s="25"/>
      <c r="AA575" s="25"/>
      <c r="AB575" s="25"/>
      <c r="AC575" s="25"/>
      <c r="AD575" s="25"/>
    </row>
    <row r="576" customFormat="false" ht="15.75" hidden="false" customHeight="false" outlineLevel="0" collapsed="false">
      <c r="A576" s="28" t="s">
        <v>943</v>
      </c>
      <c r="B576" s="27" t="s">
        <v>438</v>
      </c>
      <c r="C576" s="27" t="s">
        <v>308</v>
      </c>
      <c r="D576" s="25"/>
      <c r="E576" s="25"/>
      <c r="F576" s="25"/>
      <c r="G576" s="25"/>
      <c r="H576" s="25"/>
      <c r="I576" s="25"/>
      <c r="J576" s="27" t="s">
        <v>885</v>
      </c>
      <c r="K576" s="25" t="str">
        <f aca="false">IFERROR(__xludf.dummyfunction("SPLIT(J576,"" "")"),"CIF")</f>
        <v>CIF</v>
      </c>
      <c r="L576" s="28" t="str">
        <f aca="false">IFERROR(__xludf.dummyfunction("""COMPUTED_VALUE"""),"France")</f>
        <v>France</v>
      </c>
      <c r="M576" s="27" t="str">
        <f aca="false">IFERROR(__xludf.dummyfunction("""COMPUTED_VALUE"""),"(Diff)")</f>
        <v>(Diff)</v>
      </c>
      <c r="N576" s="25"/>
      <c r="O576" s="25"/>
      <c r="P576" s="25"/>
      <c r="Q576" s="29" t="s">
        <v>323</v>
      </c>
      <c r="R576" s="8" t="str">
        <f aca="false">B576&amp;" "&amp;C576&amp;" "&amp;D576&amp;" "&amp;E576&amp;" "&amp;G576&amp;" "&amp;H576&amp;" "&amp;J576&amp;" "&amp;N576</f>
        <v>Differentials Graphite     CIF France (Diff) </v>
      </c>
      <c r="S576" s="25"/>
      <c r="T576" s="8"/>
      <c r="U576" s="8"/>
      <c r="V576" s="27" t="s">
        <v>49</v>
      </c>
      <c r="W576" s="25"/>
      <c r="X576" s="25"/>
      <c r="Y576" s="25"/>
      <c r="Z576" s="25"/>
      <c r="AA576" s="25"/>
      <c r="AB576" s="25"/>
      <c r="AC576" s="25"/>
      <c r="AD576" s="25"/>
    </row>
    <row r="577" customFormat="false" ht="15.75" hidden="false" customHeight="false" outlineLevel="0" collapsed="false">
      <c r="A577" s="28" t="s">
        <v>944</v>
      </c>
      <c r="B577" s="27" t="s">
        <v>438</v>
      </c>
      <c r="C577" s="27" t="s">
        <v>308</v>
      </c>
      <c r="D577" s="25"/>
      <c r="E577" s="25"/>
      <c r="F577" s="25"/>
      <c r="G577" s="25"/>
      <c r="H577" s="25"/>
      <c r="I577" s="25"/>
      <c r="J577" s="27" t="s">
        <v>885</v>
      </c>
      <c r="K577" s="25" t="str">
        <f aca="false">IFERROR(__xludf.dummyfunction("SPLIT(J577,"" "")"),"CIF")</f>
        <v>CIF</v>
      </c>
      <c r="L577" s="28" t="str">
        <f aca="false">IFERROR(__xludf.dummyfunction("""COMPUTED_VALUE"""),"France")</f>
        <v>France</v>
      </c>
      <c r="M577" s="27" t="str">
        <f aca="false">IFERROR(__xludf.dummyfunction("""COMPUTED_VALUE"""),"(Diff)")</f>
        <v>(Diff)</v>
      </c>
      <c r="N577" s="25"/>
      <c r="O577" s="25"/>
      <c r="P577" s="25"/>
      <c r="Q577" s="29" t="s">
        <v>319</v>
      </c>
      <c r="R577" s="8" t="str">
        <f aca="false">B577&amp;" "&amp;C577&amp;" "&amp;D577&amp;" "&amp;E577&amp;" "&amp;G577&amp;" "&amp;H577&amp;" "&amp;J577&amp;" "&amp;N577</f>
        <v>Differentials Graphite     CIF France (Diff) </v>
      </c>
      <c r="S577" s="25"/>
      <c r="T577" s="8"/>
      <c r="U577" s="8"/>
      <c r="V577" s="27" t="s">
        <v>49</v>
      </c>
      <c r="W577" s="25"/>
      <c r="X577" s="25"/>
      <c r="Y577" s="25"/>
      <c r="Z577" s="25"/>
      <c r="AA577" s="25"/>
      <c r="AB577" s="25"/>
      <c r="AC577" s="25"/>
      <c r="AD577" s="25"/>
    </row>
    <row r="578" customFormat="false" ht="15.75" hidden="false" customHeight="false" outlineLevel="0" collapsed="false">
      <c r="A578" s="28" t="s">
        <v>945</v>
      </c>
      <c r="B578" s="27" t="s">
        <v>438</v>
      </c>
      <c r="C578" s="27" t="s">
        <v>308</v>
      </c>
      <c r="D578" s="25"/>
      <c r="E578" s="25"/>
      <c r="F578" s="25"/>
      <c r="G578" s="25"/>
      <c r="H578" s="25"/>
      <c r="I578" s="25"/>
      <c r="J578" s="27" t="s">
        <v>885</v>
      </c>
      <c r="K578" s="25" t="str">
        <f aca="false">IFERROR(__xludf.dummyfunction("SPLIT(J578,"" "")"),"CIF")</f>
        <v>CIF</v>
      </c>
      <c r="L578" s="28" t="str">
        <f aca="false">IFERROR(__xludf.dummyfunction("""COMPUTED_VALUE"""),"France")</f>
        <v>France</v>
      </c>
      <c r="M578" s="27" t="str">
        <f aca="false">IFERROR(__xludf.dummyfunction("""COMPUTED_VALUE"""),"(Diff)")</f>
        <v>(Diff)</v>
      </c>
      <c r="N578" s="25"/>
      <c r="O578" s="25"/>
      <c r="P578" s="25"/>
      <c r="Q578" s="29" t="s">
        <v>315</v>
      </c>
      <c r="R578" s="8" t="str">
        <f aca="false">B578&amp;" "&amp;C578&amp;" "&amp;D578&amp;" "&amp;E578&amp;" "&amp;G578&amp;" "&amp;H578&amp;" "&amp;J578&amp;" "&amp;N578</f>
        <v>Differentials Graphite     CIF France (Diff) </v>
      </c>
      <c r="S578" s="25"/>
      <c r="T578" s="8"/>
      <c r="U578" s="8"/>
      <c r="V578" s="27" t="s">
        <v>49</v>
      </c>
      <c r="W578" s="25"/>
      <c r="X578" s="25"/>
      <c r="Y578" s="25"/>
      <c r="Z578" s="25"/>
      <c r="AA578" s="25"/>
      <c r="AB578" s="25"/>
      <c r="AC578" s="25"/>
      <c r="AD578" s="25"/>
    </row>
    <row r="579" customFormat="false" ht="15.75" hidden="false" customHeight="false" outlineLevel="0" collapsed="false">
      <c r="A579" s="28" t="s">
        <v>946</v>
      </c>
      <c r="B579" s="27" t="s">
        <v>438</v>
      </c>
      <c r="C579" s="27" t="s">
        <v>308</v>
      </c>
      <c r="D579" s="25"/>
      <c r="E579" s="25"/>
      <c r="F579" s="25"/>
      <c r="G579" s="25"/>
      <c r="H579" s="25"/>
      <c r="I579" s="25"/>
      <c r="J579" s="27" t="s">
        <v>885</v>
      </c>
      <c r="K579" s="25" t="str">
        <f aca="false">IFERROR(__xludf.dummyfunction("SPLIT(J579,"" "")"),"CIF")</f>
        <v>CIF</v>
      </c>
      <c r="L579" s="28" t="str">
        <f aca="false">IFERROR(__xludf.dummyfunction("""COMPUTED_VALUE"""),"France")</f>
        <v>France</v>
      </c>
      <c r="M579" s="27" t="str">
        <f aca="false">IFERROR(__xludf.dummyfunction("""COMPUTED_VALUE"""),"(Diff)")</f>
        <v>(Diff)</v>
      </c>
      <c r="N579" s="25"/>
      <c r="O579" s="25"/>
      <c r="P579" s="25"/>
      <c r="Q579" s="29" t="s">
        <v>311</v>
      </c>
      <c r="R579" s="8" t="str">
        <f aca="false">B579&amp;" "&amp;C579&amp;" "&amp;D579&amp;" "&amp;E579&amp;" "&amp;G579&amp;" "&amp;H579&amp;" "&amp;J579&amp;" "&amp;N579</f>
        <v>Differentials Graphite     CIF France (Diff) </v>
      </c>
      <c r="S579" s="25"/>
      <c r="T579" s="8"/>
      <c r="U579" s="8"/>
      <c r="V579" s="27" t="s">
        <v>49</v>
      </c>
      <c r="W579" s="25"/>
      <c r="X579" s="25"/>
      <c r="Y579" s="25"/>
      <c r="Z579" s="25"/>
      <c r="AA579" s="25"/>
      <c r="AB579" s="25"/>
      <c r="AC579" s="25"/>
      <c r="AD579" s="25"/>
    </row>
    <row r="580" customFormat="false" ht="15.75" hidden="false" customHeight="false" outlineLevel="0" collapsed="false">
      <c r="A580" s="28" t="s">
        <v>947</v>
      </c>
      <c r="B580" s="27" t="s">
        <v>438</v>
      </c>
      <c r="C580" s="27" t="s">
        <v>360</v>
      </c>
      <c r="D580" s="25"/>
      <c r="E580" s="25"/>
      <c r="F580" s="25"/>
      <c r="G580" s="25"/>
      <c r="H580" s="25"/>
      <c r="I580" s="25"/>
      <c r="J580" s="27" t="s">
        <v>885</v>
      </c>
      <c r="K580" s="25" t="str">
        <f aca="false">IFERROR(__xludf.dummyfunction("SPLIT(J580,"" "")"),"CIF")</f>
        <v>CIF</v>
      </c>
      <c r="L580" s="28" t="str">
        <f aca="false">IFERROR(__xludf.dummyfunction("""COMPUTED_VALUE"""),"France")</f>
        <v>France</v>
      </c>
      <c r="M580" s="27" t="str">
        <f aca="false">IFERROR(__xludf.dummyfunction("""COMPUTED_VALUE"""),"(Diff)")</f>
        <v>(Diff)</v>
      </c>
      <c r="N580" s="25"/>
      <c r="O580" s="25"/>
      <c r="P580" s="25"/>
      <c r="Q580" s="29" t="s">
        <v>368</v>
      </c>
      <c r="R580" s="8" t="str">
        <f aca="false">B580&amp;" "&amp;C580&amp;" "&amp;D580&amp;" "&amp;E580&amp;" "&amp;G580&amp;" "&amp;H580&amp;" "&amp;J580&amp;" "&amp;N580</f>
        <v>Differentials Lithium     CIF France (Diff) </v>
      </c>
      <c r="S580" s="25"/>
      <c r="T580" s="8"/>
      <c r="U580" s="28" t="s">
        <v>948</v>
      </c>
      <c r="V580" s="27" t="s">
        <v>49</v>
      </c>
      <c r="W580" s="25"/>
      <c r="X580" s="25"/>
      <c r="Y580" s="25"/>
      <c r="Z580" s="25"/>
      <c r="AA580" s="25"/>
      <c r="AB580" s="25"/>
      <c r="AC580" s="25"/>
      <c r="AD580" s="25"/>
    </row>
    <row r="581" customFormat="false" ht="15.75" hidden="false" customHeight="false" outlineLevel="0" collapsed="false">
      <c r="A581" s="28" t="s">
        <v>949</v>
      </c>
      <c r="B581" s="27" t="s">
        <v>438</v>
      </c>
      <c r="C581" s="27" t="s">
        <v>360</v>
      </c>
      <c r="D581" s="25"/>
      <c r="E581" s="25"/>
      <c r="F581" s="25"/>
      <c r="G581" s="25"/>
      <c r="H581" s="25"/>
      <c r="I581" s="25"/>
      <c r="J581" s="27" t="s">
        <v>885</v>
      </c>
      <c r="K581" s="25" t="str">
        <f aca="false">IFERROR(__xludf.dummyfunction("SPLIT(J581,"" "")"),"CIF")</f>
        <v>CIF</v>
      </c>
      <c r="L581" s="28" t="str">
        <f aca="false">IFERROR(__xludf.dummyfunction("""COMPUTED_VALUE"""),"France")</f>
        <v>France</v>
      </c>
      <c r="M581" s="27" t="str">
        <f aca="false">IFERROR(__xludf.dummyfunction("""COMPUTED_VALUE"""),"(Diff)")</f>
        <v>(Diff)</v>
      </c>
      <c r="N581" s="25"/>
      <c r="O581" s="25"/>
      <c r="P581" s="25"/>
      <c r="Q581" s="29" t="s">
        <v>366</v>
      </c>
      <c r="R581" s="8" t="str">
        <f aca="false">B581&amp;" "&amp;C581&amp;" "&amp;D581&amp;" "&amp;E581&amp;" "&amp;G581&amp;" "&amp;H581&amp;" "&amp;J581&amp;" "&amp;N581</f>
        <v>Differentials Lithium     CIF France (Diff) </v>
      </c>
      <c r="S581" s="25"/>
      <c r="T581" s="8"/>
      <c r="U581" s="28" t="s">
        <v>950</v>
      </c>
      <c r="V581" s="27" t="s">
        <v>49</v>
      </c>
      <c r="W581" s="25"/>
      <c r="X581" s="25"/>
      <c r="Y581" s="25"/>
      <c r="Z581" s="25"/>
      <c r="AA581" s="25"/>
      <c r="AB581" s="25"/>
      <c r="AC581" s="25"/>
      <c r="AD581" s="25"/>
    </row>
    <row r="582" customFormat="false" ht="15.75" hidden="false" customHeight="false" outlineLevel="0" collapsed="false">
      <c r="A582" s="28" t="s">
        <v>951</v>
      </c>
      <c r="B582" s="27" t="s">
        <v>438</v>
      </c>
      <c r="C582" s="27" t="s">
        <v>360</v>
      </c>
      <c r="D582" s="25"/>
      <c r="E582" s="25"/>
      <c r="F582" s="25"/>
      <c r="G582" s="25"/>
      <c r="H582" s="25"/>
      <c r="I582" s="25"/>
      <c r="J582" s="27" t="s">
        <v>885</v>
      </c>
      <c r="K582" s="25" t="str">
        <f aca="false">IFERROR(__xludf.dummyfunction("SPLIT(J582,"" "")"),"CIF")</f>
        <v>CIF</v>
      </c>
      <c r="L582" s="28" t="str">
        <f aca="false">IFERROR(__xludf.dummyfunction("""COMPUTED_VALUE"""),"France")</f>
        <v>France</v>
      </c>
      <c r="M582" s="27" t="str">
        <f aca="false">IFERROR(__xludf.dummyfunction("""COMPUTED_VALUE"""),"(Diff)")</f>
        <v>(Diff)</v>
      </c>
      <c r="N582" s="25"/>
      <c r="O582" s="25"/>
      <c r="P582" s="25"/>
      <c r="Q582" s="29" t="s">
        <v>361</v>
      </c>
      <c r="R582" s="8" t="str">
        <f aca="false">B582&amp;" "&amp;C582&amp;" "&amp;D582&amp;" "&amp;E582&amp;" "&amp;G582&amp;" "&amp;H582&amp;" "&amp;J582&amp;" "&amp;N582</f>
        <v>Differentials Lithium     CIF France (Diff) </v>
      </c>
      <c r="S582" s="25"/>
      <c r="T582" s="8"/>
      <c r="U582" s="8"/>
      <c r="V582" s="27" t="s">
        <v>49</v>
      </c>
      <c r="W582" s="25"/>
      <c r="X582" s="25"/>
      <c r="Y582" s="25"/>
      <c r="Z582" s="25"/>
      <c r="AA582" s="25"/>
      <c r="AB582" s="25"/>
      <c r="AC582" s="25"/>
      <c r="AD582" s="25"/>
    </row>
    <row r="583" customFormat="false" ht="15.75" hidden="false" customHeight="false" outlineLevel="0" collapsed="false">
      <c r="A583" s="28" t="s">
        <v>952</v>
      </c>
      <c r="B583" s="27" t="s">
        <v>438</v>
      </c>
      <c r="C583" s="27" t="s">
        <v>360</v>
      </c>
      <c r="D583" s="25"/>
      <c r="E583" s="25"/>
      <c r="F583" s="25"/>
      <c r="G583" s="25"/>
      <c r="H583" s="25"/>
      <c r="I583" s="25"/>
      <c r="J583" s="27" t="s">
        <v>885</v>
      </c>
      <c r="K583" s="25" t="str">
        <f aca="false">IFERROR(__xludf.dummyfunction("SPLIT(J583,"" "")"),"CIF")</f>
        <v>CIF</v>
      </c>
      <c r="L583" s="28" t="str">
        <f aca="false">IFERROR(__xludf.dummyfunction("""COMPUTED_VALUE"""),"France")</f>
        <v>France</v>
      </c>
      <c r="M583" s="27" t="str">
        <f aca="false">IFERROR(__xludf.dummyfunction("""COMPUTED_VALUE"""),"(Diff)")</f>
        <v>(Diff)</v>
      </c>
      <c r="N583" s="25"/>
      <c r="O583" s="25"/>
      <c r="P583" s="25"/>
      <c r="Q583" s="29" t="s">
        <v>363</v>
      </c>
      <c r="R583" s="8" t="str">
        <f aca="false">B583&amp;" "&amp;C583&amp;" "&amp;D583&amp;" "&amp;E583&amp;" "&amp;G583&amp;" "&amp;H583&amp;" "&amp;J583&amp;" "&amp;N583</f>
        <v>Differentials Lithium     CIF France (Diff) </v>
      </c>
      <c r="S583" s="25"/>
      <c r="T583" s="8"/>
      <c r="U583" s="8"/>
      <c r="V583" s="27" t="s">
        <v>49</v>
      </c>
      <c r="W583" s="25"/>
      <c r="X583" s="25"/>
      <c r="Y583" s="25"/>
      <c r="Z583" s="25"/>
      <c r="AA583" s="25"/>
      <c r="AB583" s="25"/>
      <c r="AC583" s="25"/>
      <c r="AD583" s="25"/>
    </row>
    <row r="584" customFormat="false" ht="15.75" hidden="false" customHeight="false" outlineLevel="0" collapsed="false">
      <c r="A584" s="28" t="s">
        <v>953</v>
      </c>
      <c r="B584" s="27" t="s">
        <v>438</v>
      </c>
      <c r="C584" s="27" t="s">
        <v>360</v>
      </c>
      <c r="D584" s="25"/>
      <c r="E584" s="25"/>
      <c r="F584" s="25"/>
      <c r="G584" s="25"/>
      <c r="H584" s="25"/>
      <c r="I584" s="25"/>
      <c r="J584" s="27" t="s">
        <v>885</v>
      </c>
      <c r="K584" s="25" t="str">
        <f aca="false">IFERROR(__xludf.dummyfunction("SPLIT(J584,"" "")"),"CIF")</f>
        <v>CIF</v>
      </c>
      <c r="L584" s="28" t="str">
        <f aca="false">IFERROR(__xludf.dummyfunction("""COMPUTED_VALUE"""),"France")</f>
        <v>France</v>
      </c>
      <c r="M584" s="27" t="str">
        <f aca="false">IFERROR(__xludf.dummyfunction("""COMPUTED_VALUE"""),"(Diff)")</f>
        <v>(Diff)</v>
      </c>
      <c r="N584" s="25"/>
      <c r="O584" s="25"/>
      <c r="P584" s="25"/>
      <c r="Q584" s="29" t="s">
        <v>361</v>
      </c>
      <c r="R584" s="8" t="str">
        <f aca="false">B584&amp;" "&amp;C584&amp;" "&amp;D584&amp;" "&amp;E584&amp;" "&amp;G584&amp;" "&amp;H584&amp;" "&amp;J584&amp;" "&amp;N584</f>
        <v>Differentials Lithium     CIF France (Diff) </v>
      </c>
      <c r="S584" s="25"/>
      <c r="T584" s="8"/>
      <c r="U584" s="8"/>
      <c r="V584" s="27" t="s">
        <v>49</v>
      </c>
      <c r="W584" s="25"/>
      <c r="X584" s="25"/>
      <c r="Y584" s="25"/>
      <c r="Z584" s="25"/>
      <c r="AA584" s="25"/>
      <c r="AB584" s="25"/>
      <c r="AC584" s="25"/>
      <c r="AD584" s="25"/>
    </row>
    <row r="585" customFormat="false" ht="15.75" hidden="false" customHeight="false" outlineLevel="0" collapsed="false">
      <c r="A585" s="28" t="s">
        <v>954</v>
      </c>
      <c r="B585" s="27" t="s">
        <v>438</v>
      </c>
      <c r="C585" s="27" t="s">
        <v>370</v>
      </c>
      <c r="D585" s="25"/>
      <c r="E585" s="25"/>
      <c r="F585" s="25"/>
      <c r="G585" s="25"/>
      <c r="H585" s="25"/>
      <c r="I585" s="25"/>
      <c r="J585" s="27" t="s">
        <v>885</v>
      </c>
      <c r="K585" s="25" t="str">
        <f aca="false">IFERROR(__xludf.dummyfunction("SPLIT(J585,"" "")"),"CIF")</f>
        <v>CIF</v>
      </c>
      <c r="L585" s="28" t="str">
        <f aca="false">IFERROR(__xludf.dummyfunction("""COMPUTED_VALUE"""),"France")</f>
        <v>France</v>
      </c>
      <c r="M585" s="27" t="str">
        <f aca="false">IFERROR(__xludf.dummyfunction("""COMPUTED_VALUE"""),"(Diff)")</f>
        <v>(Diff)</v>
      </c>
      <c r="N585" s="25"/>
      <c r="O585" s="25"/>
      <c r="P585" s="25"/>
      <c r="Q585" s="29" t="s">
        <v>374</v>
      </c>
      <c r="R585" s="8" t="str">
        <f aca="false">B585&amp;" "&amp;C585&amp;" "&amp;D585&amp;" "&amp;E585&amp;" "&amp;G585&amp;" "&amp;H585&amp;" "&amp;J585&amp;" "&amp;N585</f>
        <v>Differentials Manganese     CIF France (Diff) </v>
      </c>
      <c r="S585" s="25"/>
      <c r="T585" s="8"/>
      <c r="U585" s="8"/>
      <c r="V585" s="27" t="s">
        <v>49</v>
      </c>
      <c r="W585" s="25"/>
      <c r="X585" s="25"/>
      <c r="Y585" s="25"/>
      <c r="Z585" s="25"/>
      <c r="AA585" s="25"/>
      <c r="AB585" s="25"/>
      <c r="AC585" s="25"/>
      <c r="AD585" s="25"/>
    </row>
    <row r="586" customFormat="false" ht="15.75" hidden="false" customHeight="false" outlineLevel="0" collapsed="false">
      <c r="A586" s="28" t="s">
        <v>955</v>
      </c>
      <c r="B586" s="27" t="s">
        <v>438</v>
      </c>
      <c r="C586" s="27" t="s">
        <v>370</v>
      </c>
      <c r="D586" s="25"/>
      <c r="E586" s="25"/>
      <c r="F586" s="25"/>
      <c r="G586" s="25"/>
      <c r="H586" s="25"/>
      <c r="I586" s="25"/>
      <c r="J586" s="27" t="s">
        <v>885</v>
      </c>
      <c r="K586" s="25" t="str">
        <f aca="false">IFERROR(__xludf.dummyfunction("SPLIT(J586,"" "")"),"CIF")</f>
        <v>CIF</v>
      </c>
      <c r="L586" s="28" t="str">
        <f aca="false">IFERROR(__xludf.dummyfunction("""COMPUTED_VALUE"""),"France")</f>
        <v>France</v>
      </c>
      <c r="M586" s="27" t="str">
        <f aca="false">IFERROR(__xludf.dummyfunction("""COMPUTED_VALUE"""),"(Diff)")</f>
        <v>(Diff)</v>
      </c>
      <c r="N586" s="25"/>
      <c r="O586" s="25"/>
      <c r="P586" s="25"/>
      <c r="Q586" s="29" t="s">
        <v>371</v>
      </c>
      <c r="R586" s="8" t="str">
        <f aca="false">B586&amp;" "&amp;C586&amp;" "&amp;D586&amp;" "&amp;E586&amp;" "&amp;G586&amp;" "&amp;H586&amp;" "&amp;J586&amp;" "&amp;N586</f>
        <v>Differentials Manganese     CIF France (Diff) </v>
      </c>
      <c r="S586" s="25"/>
      <c r="T586" s="8"/>
      <c r="U586" s="8"/>
      <c r="V586" s="27" t="s">
        <v>49</v>
      </c>
      <c r="W586" s="25"/>
      <c r="X586" s="25"/>
      <c r="Y586" s="25"/>
      <c r="Z586" s="25"/>
      <c r="AA586" s="25"/>
      <c r="AB586" s="25"/>
      <c r="AC586" s="25"/>
      <c r="AD586" s="25"/>
    </row>
    <row r="587" customFormat="false" ht="15.75" hidden="false" customHeight="false" outlineLevel="0" collapsed="false">
      <c r="A587" s="28" t="s">
        <v>956</v>
      </c>
      <c r="B587" s="27" t="s">
        <v>438</v>
      </c>
      <c r="C587" s="27" t="s">
        <v>376</v>
      </c>
      <c r="D587" s="25"/>
      <c r="E587" s="25"/>
      <c r="F587" s="25"/>
      <c r="G587" s="25"/>
      <c r="H587" s="25"/>
      <c r="I587" s="25"/>
      <c r="J587" s="27" t="s">
        <v>885</v>
      </c>
      <c r="K587" s="25" t="str">
        <f aca="false">IFERROR(__xludf.dummyfunction("SPLIT(J587,"" "")"),"CIF")</f>
        <v>CIF</v>
      </c>
      <c r="L587" s="28" t="str">
        <f aca="false">IFERROR(__xludf.dummyfunction("""COMPUTED_VALUE"""),"France")</f>
        <v>France</v>
      </c>
      <c r="M587" s="27" t="str">
        <f aca="false">IFERROR(__xludf.dummyfunction("""COMPUTED_VALUE"""),"(Diff)")</f>
        <v>(Diff)</v>
      </c>
      <c r="N587" s="25"/>
      <c r="O587" s="25"/>
      <c r="P587" s="25"/>
      <c r="Q587" s="29" t="s">
        <v>381</v>
      </c>
      <c r="R587" s="8" t="str">
        <f aca="false">B587&amp;" "&amp;C587&amp;" "&amp;D587&amp;" "&amp;E587&amp;" "&amp;G587&amp;" "&amp;H587&amp;" "&amp;J587&amp;" "&amp;N587</f>
        <v>Differentials Nickel     CIF France (Diff) </v>
      </c>
      <c r="S587" s="25"/>
      <c r="T587" s="8"/>
      <c r="U587" s="8"/>
      <c r="V587" s="27" t="s">
        <v>49</v>
      </c>
      <c r="W587" s="25"/>
      <c r="X587" s="25"/>
      <c r="Y587" s="25"/>
      <c r="Z587" s="25"/>
      <c r="AA587" s="25"/>
      <c r="AB587" s="25"/>
      <c r="AC587" s="25"/>
      <c r="AD587" s="25"/>
    </row>
    <row r="588" customFormat="false" ht="15.75" hidden="false" customHeight="false" outlineLevel="0" collapsed="false">
      <c r="A588" s="28" t="s">
        <v>957</v>
      </c>
      <c r="B588" s="27" t="s">
        <v>438</v>
      </c>
      <c r="C588" s="27" t="s">
        <v>376</v>
      </c>
      <c r="D588" s="25"/>
      <c r="E588" s="25"/>
      <c r="F588" s="25"/>
      <c r="G588" s="25"/>
      <c r="H588" s="25"/>
      <c r="I588" s="25"/>
      <c r="J588" s="27" t="s">
        <v>885</v>
      </c>
      <c r="K588" s="25" t="str">
        <f aca="false">IFERROR(__xludf.dummyfunction("SPLIT(J588,"" "")"),"CIF")</f>
        <v>CIF</v>
      </c>
      <c r="L588" s="28" t="str">
        <f aca="false">IFERROR(__xludf.dummyfunction("""COMPUTED_VALUE"""),"France")</f>
        <v>France</v>
      </c>
      <c r="M588" s="27" t="str">
        <f aca="false">IFERROR(__xludf.dummyfunction("""COMPUTED_VALUE"""),"(Diff)")</f>
        <v>(Diff)</v>
      </c>
      <c r="N588" s="25"/>
      <c r="O588" s="25"/>
      <c r="P588" s="25"/>
      <c r="Q588" s="29" t="s">
        <v>379</v>
      </c>
      <c r="R588" s="8" t="str">
        <f aca="false">B588&amp;" "&amp;C588&amp;" "&amp;D588&amp;" "&amp;E588&amp;" "&amp;G588&amp;" "&amp;H588&amp;" "&amp;J588&amp;" "&amp;N588</f>
        <v>Differentials Nickel     CIF France (Diff) </v>
      </c>
      <c r="S588" s="25"/>
      <c r="T588" s="8"/>
      <c r="U588" s="8"/>
      <c r="V588" s="27" t="s">
        <v>49</v>
      </c>
      <c r="W588" s="25"/>
      <c r="X588" s="25"/>
      <c r="Y588" s="25"/>
      <c r="Z588" s="25"/>
      <c r="AA588" s="25"/>
      <c r="AB588" s="25"/>
      <c r="AC588" s="25"/>
      <c r="AD588" s="25"/>
    </row>
    <row r="589" customFormat="false" ht="15.75" hidden="false" customHeight="false" outlineLevel="0" collapsed="false">
      <c r="A589" s="28" t="s">
        <v>958</v>
      </c>
      <c r="B589" s="27" t="s">
        <v>438</v>
      </c>
      <c r="C589" s="27" t="s">
        <v>376</v>
      </c>
      <c r="D589" s="25"/>
      <c r="E589" s="25"/>
      <c r="F589" s="25"/>
      <c r="G589" s="25"/>
      <c r="H589" s="25"/>
      <c r="I589" s="25"/>
      <c r="J589" s="27" t="s">
        <v>885</v>
      </c>
      <c r="K589" s="25" t="str">
        <f aca="false">IFERROR(__xludf.dummyfunction("SPLIT(J589,"" "")"),"CIF")</f>
        <v>CIF</v>
      </c>
      <c r="L589" s="28" t="str">
        <f aca="false">IFERROR(__xludf.dummyfunction("""COMPUTED_VALUE"""),"France")</f>
        <v>France</v>
      </c>
      <c r="M589" s="27" t="str">
        <f aca="false">IFERROR(__xludf.dummyfunction("""COMPUTED_VALUE"""),"(Diff)")</f>
        <v>(Diff)</v>
      </c>
      <c r="N589" s="25"/>
      <c r="O589" s="25"/>
      <c r="P589" s="25"/>
      <c r="Q589" s="29" t="s">
        <v>377</v>
      </c>
      <c r="R589" s="8" t="str">
        <f aca="false">B589&amp;" "&amp;C589&amp;" "&amp;D589&amp;" "&amp;E589&amp;" "&amp;G589&amp;" "&amp;H589&amp;" "&amp;J589&amp;" "&amp;N589</f>
        <v>Differentials Nickel     CIF France (Diff) </v>
      </c>
      <c r="S589" s="25"/>
      <c r="T589" s="8"/>
      <c r="U589" s="8"/>
      <c r="V589" s="27" t="s">
        <v>49</v>
      </c>
      <c r="W589" s="25"/>
      <c r="X589" s="25"/>
      <c r="Y589" s="25"/>
      <c r="Z589" s="25"/>
      <c r="AA589" s="25"/>
      <c r="AB589" s="25"/>
      <c r="AC589" s="25"/>
      <c r="AD589" s="25"/>
    </row>
    <row r="590" customFormat="false" ht="15.75" hidden="false" customHeight="false" outlineLevel="0" collapsed="false">
      <c r="A590" s="28" t="s">
        <v>959</v>
      </c>
      <c r="B590" s="27" t="s">
        <v>438</v>
      </c>
      <c r="C590" s="27" t="s">
        <v>383</v>
      </c>
      <c r="D590" s="25"/>
      <c r="E590" s="25"/>
      <c r="F590" s="25"/>
      <c r="G590" s="25"/>
      <c r="H590" s="25"/>
      <c r="I590" s="25"/>
      <c r="J590" s="27" t="s">
        <v>885</v>
      </c>
      <c r="K590" s="25" t="str">
        <f aca="false">IFERROR(__xludf.dummyfunction("SPLIT(J590,"" "")"),"CIF")</f>
        <v>CIF</v>
      </c>
      <c r="L590" s="28" t="str">
        <f aca="false">IFERROR(__xludf.dummyfunction("""COMPUTED_VALUE"""),"France")</f>
        <v>France</v>
      </c>
      <c r="M590" s="27" t="str">
        <f aca="false">IFERROR(__xludf.dummyfunction("""COMPUTED_VALUE"""),"(Diff)")</f>
        <v>(Diff)</v>
      </c>
      <c r="N590" s="25"/>
      <c r="O590" s="25"/>
      <c r="P590" s="25"/>
      <c r="Q590" s="29" t="s">
        <v>406</v>
      </c>
      <c r="R590" s="8" t="str">
        <f aca="false">B590&amp;" "&amp;C590&amp;" "&amp;D590&amp;" "&amp;E590&amp;" "&amp;G590&amp;" "&amp;H590&amp;" "&amp;J590&amp;" "&amp;N590</f>
        <v>Differentials Precursor     CIF France (Diff) </v>
      </c>
      <c r="S590" s="25"/>
      <c r="T590" s="8"/>
      <c r="U590" s="8"/>
      <c r="V590" s="27" t="s">
        <v>49</v>
      </c>
      <c r="W590" s="25"/>
      <c r="X590" s="25"/>
      <c r="Y590" s="25"/>
      <c r="Z590" s="25"/>
      <c r="AA590" s="25"/>
      <c r="AB590" s="25"/>
      <c r="AC590" s="25"/>
      <c r="AD590" s="25"/>
    </row>
    <row r="591" customFormat="false" ht="15.75" hidden="false" customHeight="false" outlineLevel="0" collapsed="false">
      <c r="A591" s="28" t="s">
        <v>960</v>
      </c>
      <c r="B591" s="27" t="s">
        <v>438</v>
      </c>
      <c r="C591" s="27" t="s">
        <v>383</v>
      </c>
      <c r="D591" s="25"/>
      <c r="E591" s="25"/>
      <c r="F591" s="25"/>
      <c r="G591" s="25"/>
      <c r="H591" s="25"/>
      <c r="I591" s="25"/>
      <c r="J591" s="27" t="s">
        <v>885</v>
      </c>
      <c r="K591" s="25" t="str">
        <f aca="false">IFERROR(__xludf.dummyfunction("SPLIT(J591,"" "")"),"CIF")</f>
        <v>CIF</v>
      </c>
      <c r="L591" s="28" t="str">
        <f aca="false">IFERROR(__xludf.dummyfunction("""COMPUTED_VALUE"""),"France")</f>
        <v>France</v>
      </c>
      <c r="M591" s="27" t="str">
        <f aca="false">IFERROR(__xludf.dummyfunction("""COMPUTED_VALUE"""),"(Diff)")</f>
        <v>(Diff)</v>
      </c>
      <c r="N591" s="25"/>
      <c r="O591" s="25"/>
      <c r="P591" s="25"/>
      <c r="Q591" s="29" t="s">
        <v>404</v>
      </c>
      <c r="R591" s="8" t="str">
        <f aca="false">B591&amp;" "&amp;C591&amp;" "&amp;D591&amp;" "&amp;E591&amp;" "&amp;G591&amp;" "&amp;H591&amp;" "&amp;J591&amp;" "&amp;N591</f>
        <v>Differentials Precursor     CIF France (Diff) </v>
      </c>
      <c r="S591" s="25"/>
      <c r="T591" s="8"/>
      <c r="U591" s="8"/>
      <c r="V591" s="27" t="s">
        <v>49</v>
      </c>
      <c r="W591" s="25"/>
      <c r="X591" s="25"/>
      <c r="Y591" s="25"/>
      <c r="Z591" s="25"/>
      <c r="AA591" s="25"/>
      <c r="AB591" s="25"/>
      <c r="AC591" s="25"/>
      <c r="AD591" s="25"/>
    </row>
    <row r="592" customFormat="false" ht="15.75" hidden="false" customHeight="false" outlineLevel="0" collapsed="false">
      <c r="A592" s="28" t="s">
        <v>961</v>
      </c>
      <c r="B592" s="27" t="s">
        <v>438</v>
      </c>
      <c r="C592" s="27" t="s">
        <v>383</v>
      </c>
      <c r="D592" s="25"/>
      <c r="E592" s="25"/>
      <c r="F592" s="25"/>
      <c r="G592" s="25"/>
      <c r="H592" s="25"/>
      <c r="I592" s="25"/>
      <c r="J592" s="27" t="s">
        <v>885</v>
      </c>
      <c r="K592" s="25" t="str">
        <f aca="false">IFERROR(__xludf.dummyfunction("SPLIT(J592,"" "")"),"CIF")</f>
        <v>CIF</v>
      </c>
      <c r="L592" s="28" t="str">
        <f aca="false">IFERROR(__xludf.dummyfunction("""COMPUTED_VALUE"""),"France")</f>
        <v>France</v>
      </c>
      <c r="M592" s="27" t="str">
        <f aca="false">IFERROR(__xludf.dummyfunction("""COMPUTED_VALUE"""),"(Diff)")</f>
        <v>(Diff)</v>
      </c>
      <c r="N592" s="25"/>
      <c r="O592" s="25"/>
      <c r="P592" s="25"/>
      <c r="Q592" s="29" t="s">
        <v>402</v>
      </c>
      <c r="R592" s="8" t="str">
        <f aca="false">B592&amp;" "&amp;C592&amp;" "&amp;D592&amp;" "&amp;E592&amp;" "&amp;G592&amp;" "&amp;H592&amp;" "&amp;J592&amp;" "&amp;N592</f>
        <v>Differentials Precursor     CIF France (Diff) </v>
      </c>
      <c r="S592" s="25"/>
      <c r="T592" s="8"/>
      <c r="U592" s="8"/>
      <c r="V592" s="27" t="s">
        <v>49</v>
      </c>
      <c r="W592" s="25"/>
      <c r="X592" s="25"/>
      <c r="Y592" s="25"/>
      <c r="Z592" s="25"/>
      <c r="AA592" s="25"/>
      <c r="AB592" s="25"/>
      <c r="AC592" s="25"/>
      <c r="AD592" s="25"/>
    </row>
    <row r="593" customFormat="false" ht="15.75" hidden="false" customHeight="false" outlineLevel="0" collapsed="false">
      <c r="A593" s="28" t="s">
        <v>962</v>
      </c>
      <c r="B593" s="27" t="s">
        <v>438</v>
      </c>
      <c r="C593" s="27" t="s">
        <v>383</v>
      </c>
      <c r="D593" s="25"/>
      <c r="E593" s="25"/>
      <c r="F593" s="25"/>
      <c r="G593" s="25"/>
      <c r="H593" s="25"/>
      <c r="I593" s="25"/>
      <c r="J593" s="27" t="s">
        <v>885</v>
      </c>
      <c r="K593" s="25" t="str">
        <f aca="false">IFERROR(__xludf.dummyfunction("SPLIT(J593,"" "")"),"CIF")</f>
        <v>CIF</v>
      </c>
      <c r="L593" s="28" t="str">
        <f aca="false">IFERROR(__xludf.dummyfunction("""COMPUTED_VALUE"""),"France")</f>
        <v>France</v>
      </c>
      <c r="M593" s="27" t="str">
        <f aca="false">IFERROR(__xludf.dummyfunction("""COMPUTED_VALUE"""),"(Diff)")</f>
        <v>(Diff)</v>
      </c>
      <c r="N593" s="25"/>
      <c r="O593" s="25"/>
      <c r="P593" s="25"/>
      <c r="Q593" s="29" t="s">
        <v>400</v>
      </c>
      <c r="R593" s="8" t="str">
        <f aca="false">B593&amp;" "&amp;C593&amp;" "&amp;D593&amp;" "&amp;E593&amp;" "&amp;G593&amp;" "&amp;H593&amp;" "&amp;J593&amp;" "&amp;N593</f>
        <v>Differentials Precursor     CIF France (Diff) </v>
      </c>
      <c r="S593" s="25"/>
      <c r="T593" s="8"/>
      <c r="U593" s="8"/>
      <c r="V593" s="27" t="s">
        <v>49</v>
      </c>
      <c r="W593" s="25"/>
      <c r="X593" s="25"/>
      <c r="Y593" s="25"/>
      <c r="Z593" s="25"/>
      <c r="AA593" s="25"/>
      <c r="AB593" s="25"/>
      <c r="AC593" s="25"/>
      <c r="AD593" s="25"/>
    </row>
    <row r="594" customFormat="false" ht="15.75" hidden="false" customHeight="false" outlineLevel="0" collapsed="false">
      <c r="A594" s="28" t="s">
        <v>963</v>
      </c>
      <c r="B594" s="27" t="s">
        <v>438</v>
      </c>
      <c r="C594" s="27" t="s">
        <v>383</v>
      </c>
      <c r="D594" s="25"/>
      <c r="E594" s="25"/>
      <c r="F594" s="25"/>
      <c r="G594" s="25"/>
      <c r="H594" s="25"/>
      <c r="I594" s="25"/>
      <c r="J594" s="27" t="s">
        <v>885</v>
      </c>
      <c r="K594" s="25" t="str">
        <f aca="false">IFERROR(__xludf.dummyfunction("SPLIT(J594,"" "")"),"CIF")</f>
        <v>CIF</v>
      </c>
      <c r="L594" s="28" t="str">
        <f aca="false">IFERROR(__xludf.dummyfunction("""COMPUTED_VALUE"""),"France")</f>
        <v>France</v>
      </c>
      <c r="M594" s="27" t="str">
        <f aca="false">IFERROR(__xludf.dummyfunction("""COMPUTED_VALUE"""),"(Diff)")</f>
        <v>(Diff)</v>
      </c>
      <c r="N594" s="25"/>
      <c r="O594" s="25"/>
      <c r="P594" s="25"/>
      <c r="Q594" s="29" t="s">
        <v>398</v>
      </c>
      <c r="R594" s="8" t="str">
        <f aca="false">B594&amp;" "&amp;C594&amp;" "&amp;D594&amp;" "&amp;E594&amp;" "&amp;G594&amp;" "&amp;H594&amp;" "&amp;J594&amp;" "&amp;N594</f>
        <v>Differentials Precursor     CIF France (Diff) </v>
      </c>
      <c r="S594" s="25"/>
      <c r="T594" s="8"/>
      <c r="U594" s="8"/>
      <c r="V594" s="27" t="s">
        <v>49</v>
      </c>
      <c r="W594" s="25"/>
      <c r="X594" s="25"/>
      <c r="Y594" s="25"/>
      <c r="Z594" s="25"/>
      <c r="AA594" s="25"/>
      <c r="AB594" s="25"/>
      <c r="AC594" s="25"/>
      <c r="AD594" s="25"/>
    </row>
    <row r="595" customFormat="false" ht="15.75" hidden="false" customHeight="false" outlineLevel="0" collapsed="false">
      <c r="A595" s="28" t="s">
        <v>964</v>
      </c>
      <c r="B595" s="27" t="s">
        <v>438</v>
      </c>
      <c r="C595" s="27" t="s">
        <v>383</v>
      </c>
      <c r="D595" s="25"/>
      <c r="E595" s="25"/>
      <c r="F595" s="25"/>
      <c r="G595" s="25"/>
      <c r="H595" s="25"/>
      <c r="I595" s="25"/>
      <c r="J595" s="27" t="s">
        <v>885</v>
      </c>
      <c r="K595" s="25" t="str">
        <f aca="false">IFERROR(__xludf.dummyfunction("SPLIT(J595,"" "")"),"CIF")</f>
        <v>CIF</v>
      </c>
      <c r="L595" s="28" t="str">
        <f aca="false">IFERROR(__xludf.dummyfunction("""COMPUTED_VALUE"""),"France")</f>
        <v>France</v>
      </c>
      <c r="M595" s="27" t="str">
        <f aca="false">IFERROR(__xludf.dummyfunction("""COMPUTED_VALUE"""),"(Diff)")</f>
        <v>(Diff)</v>
      </c>
      <c r="N595" s="25"/>
      <c r="O595" s="25"/>
      <c r="P595" s="25"/>
      <c r="Q595" s="29" t="s">
        <v>259</v>
      </c>
      <c r="R595" s="8" t="str">
        <f aca="false">B595&amp;" "&amp;C595&amp;" "&amp;D595&amp;" "&amp;E595&amp;" "&amp;G595&amp;" "&amp;H595&amp;" "&amp;J595&amp;" "&amp;N595</f>
        <v>Differentials Precursor     CIF France (Diff) </v>
      </c>
      <c r="S595" s="25"/>
      <c r="T595" s="8"/>
      <c r="U595" s="8"/>
      <c r="V595" s="27" t="s">
        <v>49</v>
      </c>
      <c r="W595" s="25"/>
      <c r="X595" s="25"/>
      <c r="Y595" s="25"/>
      <c r="Z595" s="25"/>
      <c r="AA595" s="25"/>
      <c r="AB595" s="25"/>
      <c r="AC595" s="25"/>
      <c r="AD595" s="25"/>
    </row>
    <row r="596" customFormat="false" ht="15.75" hidden="false" customHeight="false" outlineLevel="0" collapsed="false">
      <c r="A596" s="28" t="s">
        <v>965</v>
      </c>
      <c r="B596" s="27" t="s">
        <v>438</v>
      </c>
      <c r="C596" s="27" t="s">
        <v>383</v>
      </c>
      <c r="D596" s="25"/>
      <c r="E596" s="25"/>
      <c r="F596" s="25"/>
      <c r="G596" s="25"/>
      <c r="H596" s="25"/>
      <c r="I596" s="25"/>
      <c r="J596" s="27" t="s">
        <v>885</v>
      </c>
      <c r="K596" s="25" t="str">
        <f aca="false">IFERROR(__xludf.dummyfunction("SPLIT(J596,"" "")"),"CIF")</f>
        <v>CIF</v>
      </c>
      <c r="L596" s="28" t="str">
        <f aca="false">IFERROR(__xludf.dummyfunction("""COMPUTED_VALUE"""),"France")</f>
        <v>France</v>
      </c>
      <c r="M596" s="27" t="str">
        <f aca="false">IFERROR(__xludf.dummyfunction("""COMPUTED_VALUE"""),"(Diff)")</f>
        <v>(Diff)</v>
      </c>
      <c r="N596" s="25"/>
      <c r="O596" s="25"/>
      <c r="P596" s="25"/>
      <c r="Q596" s="29" t="s">
        <v>395</v>
      </c>
      <c r="R596" s="8" t="str">
        <f aca="false">B596&amp;" "&amp;C596&amp;" "&amp;D596&amp;" "&amp;E596&amp;" "&amp;G596&amp;" "&amp;H596&amp;" "&amp;J596&amp;" "&amp;N596</f>
        <v>Differentials Precursor     CIF France (Diff) </v>
      </c>
      <c r="S596" s="25"/>
      <c r="T596" s="8"/>
      <c r="U596" s="8"/>
      <c r="V596" s="27" t="s">
        <v>49</v>
      </c>
      <c r="W596" s="25"/>
      <c r="X596" s="25"/>
      <c r="Y596" s="25"/>
      <c r="Z596" s="25"/>
      <c r="AA596" s="25"/>
      <c r="AB596" s="25"/>
      <c r="AC596" s="25"/>
      <c r="AD596" s="25"/>
    </row>
    <row r="597" customFormat="false" ht="15.75" hidden="false" customHeight="false" outlineLevel="0" collapsed="false">
      <c r="A597" s="28" t="s">
        <v>966</v>
      </c>
      <c r="B597" s="27" t="s">
        <v>438</v>
      </c>
      <c r="C597" s="27" t="s">
        <v>383</v>
      </c>
      <c r="D597" s="25"/>
      <c r="E597" s="25"/>
      <c r="F597" s="25"/>
      <c r="G597" s="25"/>
      <c r="H597" s="25"/>
      <c r="I597" s="25"/>
      <c r="J597" s="27" t="s">
        <v>885</v>
      </c>
      <c r="K597" s="25" t="str">
        <f aca="false">IFERROR(__xludf.dummyfunction("SPLIT(J597,"" "")"),"CIF")</f>
        <v>CIF</v>
      </c>
      <c r="L597" s="28" t="str">
        <f aca="false">IFERROR(__xludf.dummyfunction("""COMPUTED_VALUE"""),"France")</f>
        <v>France</v>
      </c>
      <c r="M597" s="27" t="str">
        <f aca="false">IFERROR(__xludf.dummyfunction("""COMPUTED_VALUE"""),"(Diff)")</f>
        <v>(Diff)</v>
      </c>
      <c r="N597" s="25"/>
      <c r="O597" s="25"/>
      <c r="P597" s="25"/>
      <c r="Q597" s="29" t="s">
        <v>393</v>
      </c>
      <c r="R597" s="8" t="str">
        <f aca="false">B597&amp;" "&amp;C597&amp;" "&amp;D597&amp;" "&amp;E597&amp;" "&amp;G597&amp;" "&amp;H597&amp;" "&amp;J597&amp;" "&amp;N597</f>
        <v>Differentials Precursor     CIF France (Diff) </v>
      </c>
      <c r="S597" s="25"/>
      <c r="T597" s="8"/>
      <c r="U597" s="8"/>
      <c r="V597" s="27" t="s">
        <v>49</v>
      </c>
      <c r="W597" s="25"/>
      <c r="X597" s="25"/>
      <c r="Y597" s="25"/>
      <c r="Z597" s="25"/>
      <c r="AA597" s="25"/>
      <c r="AB597" s="25"/>
      <c r="AC597" s="25"/>
      <c r="AD597" s="25"/>
    </row>
    <row r="598" customFormat="false" ht="15.75" hidden="false" customHeight="false" outlineLevel="0" collapsed="false">
      <c r="A598" s="28" t="s">
        <v>967</v>
      </c>
      <c r="B598" s="27" t="s">
        <v>438</v>
      </c>
      <c r="C598" s="27" t="s">
        <v>383</v>
      </c>
      <c r="D598" s="25"/>
      <c r="E598" s="25"/>
      <c r="F598" s="25"/>
      <c r="G598" s="25"/>
      <c r="H598" s="25"/>
      <c r="I598" s="25"/>
      <c r="J598" s="27" t="s">
        <v>885</v>
      </c>
      <c r="K598" s="25" t="str">
        <f aca="false">IFERROR(__xludf.dummyfunction("SPLIT(J598,"" "")"),"CIF")</f>
        <v>CIF</v>
      </c>
      <c r="L598" s="28" t="str">
        <f aca="false">IFERROR(__xludf.dummyfunction("""COMPUTED_VALUE"""),"France")</f>
        <v>France</v>
      </c>
      <c r="M598" s="27" t="str">
        <f aca="false">IFERROR(__xludf.dummyfunction("""COMPUTED_VALUE"""),"(Diff)")</f>
        <v>(Diff)</v>
      </c>
      <c r="N598" s="25"/>
      <c r="O598" s="25"/>
      <c r="P598" s="25"/>
      <c r="Q598" s="29" t="s">
        <v>391</v>
      </c>
      <c r="R598" s="8" t="str">
        <f aca="false">B598&amp;" "&amp;C598&amp;" "&amp;D598&amp;" "&amp;E598&amp;" "&amp;G598&amp;" "&amp;H598&amp;" "&amp;J598&amp;" "&amp;N598</f>
        <v>Differentials Precursor     CIF France (Diff) </v>
      </c>
      <c r="S598" s="25"/>
      <c r="T598" s="8"/>
      <c r="U598" s="8"/>
      <c r="V598" s="27" t="s">
        <v>49</v>
      </c>
      <c r="W598" s="25"/>
      <c r="X598" s="25"/>
      <c r="Y598" s="25"/>
      <c r="Z598" s="25"/>
      <c r="AA598" s="25"/>
      <c r="AB598" s="25"/>
      <c r="AC598" s="25"/>
      <c r="AD598" s="25"/>
    </row>
    <row r="599" customFormat="false" ht="15.75" hidden="false" customHeight="false" outlineLevel="0" collapsed="false">
      <c r="A599" s="28" t="s">
        <v>968</v>
      </c>
      <c r="B599" s="27" t="s">
        <v>438</v>
      </c>
      <c r="C599" s="27" t="s">
        <v>383</v>
      </c>
      <c r="D599" s="25"/>
      <c r="E599" s="25"/>
      <c r="F599" s="25"/>
      <c r="G599" s="25"/>
      <c r="H599" s="25"/>
      <c r="I599" s="25"/>
      <c r="J599" s="27" t="s">
        <v>885</v>
      </c>
      <c r="K599" s="25" t="str">
        <f aca="false">IFERROR(__xludf.dummyfunction("SPLIT(J599,"" "")"),"CIF")</f>
        <v>CIF</v>
      </c>
      <c r="L599" s="28" t="str">
        <f aca="false">IFERROR(__xludf.dummyfunction("""COMPUTED_VALUE"""),"France")</f>
        <v>France</v>
      </c>
      <c r="M599" s="27" t="str">
        <f aca="false">IFERROR(__xludf.dummyfunction("""COMPUTED_VALUE"""),"(Diff)")</f>
        <v>(Diff)</v>
      </c>
      <c r="N599" s="25"/>
      <c r="O599" s="25"/>
      <c r="P599" s="25"/>
      <c r="Q599" s="29" t="s">
        <v>389</v>
      </c>
      <c r="R599" s="8" t="str">
        <f aca="false">B599&amp;" "&amp;C599&amp;" "&amp;D599&amp;" "&amp;E599&amp;" "&amp;G599&amp;" "&amp;H599&amp;" "&amp;J599&amp;" "&amp;N599</f>
        <v>Differentials Precursor     CIF France (Diff) </v>
      </c>
      <c r="S599" s="25"/>
      <c r="T599" s="8"/>
      <c r="U599" s="8"/>
      <c r="V599" s="27" t="s">
        <v>49</v>
      </c>
      <c r="W599" s="25"/>
      <c r="X599" s="25"/>
      <c r="Y599" s="25"/>
      <c r="Z599" s="25"/>
      <c r="AA599" s="25"/>
      <c r="AB599" s="25"/>
      <c r="AC599" s="25"/>
      <c r="AD599" s="25"/>
    </row>
    <row r="600" customFormat="false" ht="15.75" hidden="false" customHeight="false" outlineLevel="0" collapsed="false">
      <c r="A600" s="28" t="s">
        <v>969</v>
      </c>
      <c r="B600" s="27" t="s">
        <v>438</v>
      </c>
      <c r="C600" s="27" t="s">
        <v>383</v>
      </c>
      <c r="D600" s="25"/>
      <c r="E600" s="25"/>
      <c r="F600" s="25"/>
      <c r="G600" s="25"/>
      <c r="H600" s="25"/>
      <c r="I600" s="25"/>
      <c r="J600" s="27" t="s">
        <v>885</v>
      </c>
      <c r="K600" s="25" t="str">
        <f aca="false">IFERROR(__xludf.dummyfunction("SPLIT(J600,"" "")"),"CIF")</f>
        <v>CIF</v>
      </c>
      <c r="L600" s="28" t="str">
        <f aca="false">IFERROR(__xludf.dummyfunction("""COMPUTED_VALUE"""),"France")</f>
        <v>France</v>
      </c>
      <c r="M600" s="27" t="str">
        <f aca="false">IFERROR(__xludf.dummyfunction("""COMPUTED_VALUE"""),"(Diff)")</f>
        <v>(Diff)</v>
      </c>
      <c r="N600" s="25"/>
      <c r="O600" s="25"/>
      <c r="P600" s="25"/>
      <c r="Q600" s="29" t="s">
        <v>387</v>
      </c>
      <c r="R600" s="8" t="str">
        <f aca="false">B600&amp;" "&amp;C600&amp;" "&amp;D600&amp;" "&amp;E600&amp;" "&amp;G600&amp;" "&amp;H600&amp;" "&amp;J600&amp;" "&amp;N600</f>
        <v>Differentials Precursor     CIF France (Diff) </v>
      </c>
      <c r="S600" s="25"/>
      <c r="T600" s="8"/>
      <c r="U600" s="8"/>
      <c r="V600" s="27" t="s">
        <v>49</v>
      </c>
      <c r="W600" s="25"/>
      <c r="X600" s="25"/>
      <c r="Y600" s="25"/>
      <c r="Z600" s="25"/>
      <c r="AA600" s="25"/>
      <c r="AB600" s="25"/>
      <c r="AC600" s="25"/>
      <c r="AD600" s="25"/>
    </row>
    <row r="601" customFormat="false" ht="15.75" hidden="false" customHeight="false" outlineLevel="0" collapsed="false">
      <c r="A601" s="28" t="s">
        <v>970</v>
      </c>
      <c r="B601" s="27" t="s">
        <v>438</v>
      </c>
      <c r="C601" s="27" t="s">
        <v>383</v>
      </c>
      <c r="D601" s="25"/>
      <c r="E601" s="25"/>
      <c r="F601" s="25"/>
      <c r="G601" s="25"/>
      <c r="H601" s="25"/>
      <c r="I601" s="25"/>
      <c r="J601" s="27" t="s">
        <v>885</v>
      </c>
      <c r="K601" s="25" t="str">
        <f aca="false">IFERROR(__xludf.dummyfunction("SPLIT(J601,"" "")"),"CIF")</f>
        <v>CIF</v>
      </c>
      <c r="L601" s="28" t="str">
        <f aca="false">IFERROR(__xludf.dummyfunction("""COMPUTED_VALUE"""),"France")</f>
        <v>France</v>
      </c>
      <c r="M601" s="27" t="str">
        <f aca="false">IFERROR(__xludf.dummyfunction("""COMPUTED_VALUE"""),"(Diff)")</f>
        <v>(Diff)</v>
      </c>
      <c r="N601" s="25"/>
      <c r="O601" s="25"/>
      <c r="P601" s="25"/>
      <c r="Q601" s="29" t="s">
        <v>385</v>
      </c>
      <c r="R601" s="8" t="str">
        <f aca="false">B601&amp;" "&amp;C601&amp;" "&amp;D601&amp;" "&amp;E601&amp;" "&amp;G601&amp;" "&amp;H601&amp;" "&amp;J601&amp;" "&amp;N601</f>
        <v>Differentials Precursor     CIF France (Diff) </v>
      </c>
      <c r="S601" s="25"/>
      <c r="T601" s="8"/>
      <c r="U601" s="8"/>
      <c r="V601" s="27" t="s">
        <v>49</v>
      </c>
      <c r="W601" s="25"/>
      <c r="X601" s="25"/>
      <c r="Y601" s="25"/>
      <c r="Z601" s="25"/>
      <c r="AA601" s="25"/>
      <c r="AB601" s="25"/>
      <c r="AC601" s="25"/>
      <c r="AD601" s="25"/>
    </row>
    <row r="602" customFormat="false" ht="15.75" hidden="false" customHeight="false" outlineLevel="0" collapsed="false">
      <c r="A602" s="28" t="s">
        <v>971</v>
      </c>
      <c r="B602" s="27" t="s">
        <v>438</v>
      </c>
      <c r="C602" s="27" t="s">
        <v>417</v>
      </c>
      <c r="D602" s="25"/>
      <c r="E602" s="25"/>
      <c r="F602" s="25"/>
      <c r="G602" s="25"/>
      <c r="H602" s="25"/>
      <c r="I602" s="25"/>
      <c r="J602" s="27" t="s">
        <v>885</v>
      </c>
      <c r="K602" s="25" t="str">
        <f aca="false">IFERROR(__xludf.dummyfunction("SPLIT(J602,"" "")"),"CIF")</f>
        <v>CIF</v>
      </c>
      <c r="L602" s="28" t="str">
        <f aca="false">IFERROR(__xludf.dummyfunction("""COMPUTED_VALUE"""),"France")</f>
        <v>France</v>
      </c>
      <c r="M602" s="27" t="str">
        <f aca="false">IFERROR(__xludf.dummyfunction("""COMPUTED_VALUE"""),"(Diff)")</f>
        <v>(Diff)</v>
      </c>
      <c r="N602" s="25"/>
      <c r="O602" s="25"/>
      <c r="P602" s="25"/>
      <c r="Q602" s="29" t="s">
        <v>436</v>
      </c>
      <c r="R602" s="8" t="str">
        <f aca="false">B602&amp;" "&amp;C602&amp;" "&amp;D602&amp;" "&amp;E602&amp;" "&amp;G602&amp;" "&amp;H602&amp;" "&amp;J602&amp;" "&amp;N602</f>
        <v>Differentials Solvent     CIF France (Diff) </v>
      </c>
      <c r="S602" s="25"/>
      <c r="T602" s="8"/>
      <c r="U602" s="8"/>
      <c r="V602" s="27" t="s">
        <v>49</v>
      </c>
      <c r="W602" s="25"/>
      <c r="X602" s="25"/>
      <c r="Y602" s="25"/>
      <c r="Z602" s="25"/>
      <c r="AA602" s="25"/>
      <c r="AB602" s="25"/>
      <c r="AC602" s="25"/>
      <c r="AD602" s="25"/>
    </row>
    <row r="603" customFormat="false" ht="15.75" hidden="false" customHeight="false" outlineLevel="0" collapsed="false">
      <c r="A603" s="28" t="s">
        <v>972</v>
      </c>
      <c r="B603" s="27" t="s">
        <v>438</v>
      </c>
      <c r="C603" s="27" t="s">
        <v>417</v>
      </c>
      <c r="D603" s="25"/>
      <c r="E603" s="25"/>
      <c r="F603" s="25"/>
      <c r="G603" s="25"/>
      <c r="H603" s="25"/>
      <c r="I603" s="25"/>
      <c r="J603" s="27" t="s">
        <v>885</v>
      </c>
      <c r="K603" s="25" t="str">
        <f aca="false">IFERROR(__xludf.dummyfunction("SPLIT(J603,"" "")"),"CIF")</f>
        <v>CIF</v>
      </c>
      <c r="L603" s="28" t="str">
        <f aca="false">IFERROR(__xludf.dummyfunction("""COMPUTED_VALUE"""),"France")</f>
        <v>France</v>
      </c>
      <c r="M603" s="27" t="str">
        <f aca="false">IFERROR(__xludf.dummyfunction("""COMPUTED_VALUE"""),"(Diff)")</f>
        <v>(Diff)</v>
      </c>
      <c r="N603" s="25"/>
      <c r="O603" s="25"/>
      <c r="P603" s="25"/>
      <c r="Q603" s="29" t="s">
        <v>434</v>
      </c>
      <c r="R603" s="8" t="str">
        <f aca="false">B603&amp;" "&amp;C603&amp;" "&amp;D603&amp;" "&amp;E603&amp;" "&amp;G603&amp;" "&amp;H603&amp;" "&amp;J603&amp;" "&amp;N603</f>
        <v>Differentials Solvent     CIF France (Diff) </v>
      </c>
      <c r="S603" s="25"/>
      <c r="T603" s="8"/>
      <c r="U603" s="8"/>
      <c r="V603" s="27" t="s">
        <v>49</v>
      </c>
      <c r="W603" s="25"/>
      <c r="X603" s="25"/>
      <c r="Y603" s="25"/>
      <c r="Z603" s="25"/>
      <c r="AA603" s="25"/>
      <c r="AB603" s="25"/>
      <c r="AC603" s="25"/>
      <c r="AD603" s="25"/>
    </row>
    <row r="604" customFormat="false" ht="15.75" hidden="false" customHeight="false" outlineLevel="0" collapsed="false">
      <c r="A604" s="28" t="s">
        <v>973</v>
      </c>
      <c r="B604" s="27" t="s">
        <v>438</v>
      </c>
      <c r="C604" s="27" t="s">
        <v>417</v>
      </c>
      <c r="D604" s="25"/>
      <c r="E604" s="25"/>
      <c r="F604" s="25"/>
      <c r="G604" s="25"/>
      <c r="H604" s="25"/>
      <c r="I604" s="25"/>
      <c r="J604" s="27" t="s">
        <v>885</v>
      </c>
      <c r="K604" s="25" t="str">
        <f aca="false">IFERROR(__xludf.dummyfunction("SPLIT(J604,"" "")"),"CIF")</f>
        <v>CIF</v>
      </c>
      <c r="L604" s="28" t="str">
        <f aca="false">IFERROR(__xludf.dummyfunction("""COMPUTED_VALUE"""),"France")</f>
        <v>France</v>
      </c>
      <c r="M604" s="27" t="str">
        <f aca="false">IFERROR(__xludf.dummyfunction("""COMPUTED_VALUE"""),"(Diff)")</f>
        <v>(Diff)</v>
      </c>
      <c r="N604" s="25"/>
      <c r="O604" s="25"/>
      <c r="P604" s="25"/>
      <c r="Q604" s="29" t="s">
        <v>432</v>
      </c>
      <c r="R604" s="8" t="str">
        <f aca="false">B604&amp;" "&amp;C604&amp;" "&amp;D604&amp;" "&amp;E604&amp;" "&amp;G604&amp;" "&amp;H604&amp;" "&amp;J604&amp;" "&amp;N604</f>
        <v>Differentials Solvent     CIF France (Diff) </v>
      </c>
      <c r="S604" s="25"/>
      <c r="T604" s="8"/>
      <c r="U604" s="8"/>
      <c r="V604" s="27" t="s">
        <v>49</v>
      </c>
      <c r="W604" s="25"/>
      <c r="X604" s="25"/>
      <c r="Y604" s="25"/>
      <c r="Z604" s="25"/>
      <c r="AA604" s="25"/>
      <c r="AB604" s="25"/>
      <c r="AC604" s="25"/>
      <c r="AD604" s="25"/>
    </row>
    <row r="605" customFormat="false" ht="15.75" hidden="false" customHeight="false" outlineLevel="0" collapsed="false">
      <c r="A605" s="28" t="s">
        <v>974</v>
      </c>
      <c r="B605" s="27" t="s">
        <v>438</v>
      </c>
      <c r="C605" s="27" t="s">
        <v>417</v>
      </c>
      <c r="D605" s="25"/>
      <c r="E605" s="25"/>
      <c r="F605" s="25"/>
      <c r="G605" s="25"/>
      <c r="H605" s="25"/>
      <c r="I605" s="25"/>
      <c r="J605" s="27" t="s">
        <v>885</v>
      </c>
      <c r="K605" s="25" t="str">
        <f aca="false">IFERROR(__xludf.dummyfunction("SPLIT(J605,"" "")"),"CIF")</f>
        <v>CIF</v>
      </c>
      <c r="L605" s="28" t="str">
        <f aca="false">IFERROR(__xludf.dummyfunction("""COMPUTED_VALUE"""),"France")</f>
        <v>France</v>
      </c>
      <c r="M605" s="27" t="str">
        <f aca="false">IFERROR(__xludf.dummyfunction("""COMPUTED_VALUE"""),"(Diff)")</f>
        <v>(Diff)</v>
      </c>
      <c r="N605" s="25"/>
      <c r="O605" s="25"/>
      <c r="P605" s="25"/>
      <c r="Q605" s="29" t="s">
        <v>430</v>
      </c>
      <c r="R605" s="8" t="str">
        <f aca="false">B605&amp;" "&amp;C605&amp;" "&amp;D605&amp;" "&amp;E605&amp;" "&amp;G605&amp;" "&amp;H605&amp;" "&amp;J605&amp;" "&amp;N605</f>
        <v>Differentials Solvent     CIF France (Diff) </v>
      </c>
      <c r="S605" s="25"/>
      <c r="T605" s="8"/>
      <c r="U605" s="8"/>
      <c r="V605" s="27" t="s">
        <v>49</v>
      </c>
      <c r="W605" s="25"/>
      <c r="X605" s="25"/>
      <c r="Y605" s="25"/>
      <c r="Z605" s="25"/>
      <c r="AA605" s="25"/>
      <c r="AB605" s="25"/>
      <c r="AC605" s="25"/>
      <c r="AD605" s="25"/>
    </row>
    <row r="606" customFormat="false" ht="15.75" hidden="false" customHeight="false" outlineLevel="0" collapsed="false">
      <c r="A606" s="28" t="s">
        <v>975</v>
      </c>
      <c r="B606" s="27" t="s">
        <v>438</v>
      </c>
      <c r="C606" s="27" t="s">
        <v>417</v>
      </c>
      <c r="D606" s="25"/>
      <c r="E606" s="25"/>
      <c r="F606" s="25"/>
      <c r="G606" s="25"/>
      <c r="H606" s="25"/>
      <c r="I606" s="25"/>
      <c r="J606" s="27" t="s">
        <v>885</v>
      </c>
      <c r="K606" s="25" t="str">
        <f aca="false">IFERROR(__xludf.dummyfunction("SPLIT(J606,"" "")"),"CIF")</f>
        <v>CIF</v>
      </c>
      <c r="L606" s="28" t="str">
        <f aca="false">IFERROR(__xludf.dummyfunction("""COMPUTED_VALUE"""),"France")</f>
        <v>France</v>
      </c>
      <c r="M606" s="27" t="str">
        <f aca="false">IFERROR(__xludf.dummyfunction("""COMPUTED_VALUE"""),"(Diff)")</f>
        <v>(Diff)</v>
      </c>
      <c r="N606" s="25"/>
      <c r="O606" s="25"/>
      <c r="P606" s="25"/>
      <c r="Q606" s="29" t="s">
        <v>428</v>
      </c>
      <c r="R606" s="8" t="str">
        <f aca="false">B606&amp;" "&amp;C606&amp;" "&amp;D606&amp;" "&amp;E606&amp;" "&amp;G606&amp;" "&amp;H606&amp;" "&amp;J606&amp;" "&amp;N606</f>
        <v>Differentials Solvent     CIF France (Diff) </v>
      </c>
      <c r="S606" s="25"/>
      <c r="T606" s="8"/>
      <c r="U606" s="8"/>
      <c r="V606" s="27" t="s">
        <v>49</v>
      </c>
      <c r="W606" s="25"/>
      <c r="X606" s="25"/>
      <c r="Y606" s="25"/>
      <c r="Z606" s="25"/>
      <c r="AA606" s="25"/>
      <c r="AB606" s="25"/>
      <c r="AC606" s="25"/>
      <c r="AD606" s="25"/>
    </row>
    <row r="607" customFormat="false" ht="15.75" hidden="false" customHeight="false" outlineLevel="0" collapsed="false">
      <c r="A607" s="28" t="s">
        <v>976</v>
      </c>
      <c r="B607" s="27" t="s">
        <v>438</v>
      </c>
      <c r="C607" s="27" t="s">
        <v>417</v>
      </c>
      <c r="D607" s="25"/>
      <c r="E607" s="25"/>
      <c r="F607" s="25"/>
      <c r="G607" s="25"/>
      <c r="H607" s="25"/>
      <c r="I607" s="25"/>
      <c r="J607" s="27" t="s">
        <v>885</v>
      </c>
      <c r="K607" s="25" t="str">
        <f aca="false">IFERROR(__xludf.dummyfunction("SPLIT(J607,"" "")"),"CIF")</f>
        <v>CIF</v>
      </c>
      <c r="L607" s="28" t="str">
        <f aca="false">IFERROR(__xludf.dummyfunction("""COMPUTED_VALUE"""),"France")</f>
        <v>France</v>
      </c>
      <c r="M607" s="27" t="str">
        <f aca="false">IFERROR(__xludf.dummyfunction("""COMPUTED_VALUE"""),"(Diff)")</f>
        <v>(Diff)</v>
      </c>
      <c r="N607" s="25"/>
      <c r="O607" s="25"/>
      <c r="P607" s="25"/>
      <c r="Q607" s="29" t="s">
        <v>426</v>
      </c>
      <c r="R607" s="8" t="str">
        <f aca="false">B607&amp;" "&amp;C607&amp;" "&amp;D607&amp;" "&amp;E607&amp;" "&amp;G607&amp;" "&amp;H607&amp;" "&amp;J607&amp;" "&amp;N607</f>
        <v>Differentials Solvent     CIF France (Diff) </v>
      </c>
      <c r="S607" s="25"/>
      <c r="T607" s="8"/>
      <c r="U607" s="8"/>
      <c r="V607" s="27" t="s">
        <v>49</v>
      </c>
      <c r="W607" s="25"/>
      <c r="X607" s="25"/>
      <c r="Y607" s="25"/>
      <c r="Z607" s="25"/>
      <c r="AA607" s="25"/>
      <c r="AB607" s="25"/>
      <c r="AC607" s="25"/>
      <c r="AD607" s="25"/>
    </row>
    <row r="608" customFormat="false" ht="15.75" hidden="false" customHeight="false" outlineLevel="0" collapsed="false">
      <c r="A608" s="28" t="s">
        <v>977</v>
      </c>
      <c r="B608" s="27" t="s">
        <v>438</v>
      </c>
      <c r="C608" s="27" t="s">
        <v>417</v>
      </c>
      <c r="D608" s="25"/>
      <c r="E608" s="25"/>
      <c r="F608" s="25"/>
      <c r="G608" s="25"/>
      <c r="H608" s="25"/>
      <c r="I608" s="25"/>
      <c r="J608" s="27" t="s">
        <v>885</v>
      </c>
      <c r="K608" s="25" t="str">
        <f aca="false">IFERROR(__xludf.dummyfunction("SPLIT(J608,"" "")"),"CIF")</f>
        <v>CIF</v>
      </c>
      <c r="L608" s="28" t="str">
        <f aca="false">IFERROR(__xludf.dummyfunction("""COMPUTED_VALUE"""),"France")</f>
        <v>France</v>
      </c>
      <c r="M608" s="27" t="str">
        <f aca="false">IFERROR(__xludf.dummyfunction("""COMPUTED_VALUE"""),"(Diff)")</f>
        <v>(Diff)</v>
      </c>
      <c r="N608" s="25"/>
      <c r="O608" s="25"/>
      <c r="P608" s="25"/>
      <c r="Q608" s="29" t="s">
        <v>424</v>
      </c>
      <c r="R608" s="8" t="str">
        <f aca="false">B608&amp;" "&amp;C608&amp;" "&amp;D608&amp;" "&amp;E608&amp;" "&amp;G608&amp;" "&amp;H608&amp;" "&amp;J608&amp;" "&amp;N608</f>
        <v>Differentials Solvent     CIF France (Diff) </v>
      </c>
      <c r="S608" s="25"/>
      <c r="T608" s="8"/>
      <c r="U608" s="8"/>
      <c r="V608" s="27" t="s">
        <v>49</v>
      </c>
      <c r="W608" s="25"/>
      <c r="X608" s="25"/>
      <c r="Y608" s="25"/>
      <c r="Z608" s="25"/>
      <c r="AA608" s="25"/>
      <c r="AB608" s="25"/>
      <c r="AC608" s="25"/>
      <c r="AD608" s="25"/>
    </row>
    <row r="609" customFormat="false" ht="15.75" hidden="false" customHeight="false" outlineLevel="0" collapsed="false">
      <c r="A609" s="28" t="s">
        <v>978</v>
      </c>
      <c r="B609" s="27" t="s">
        <v>438</v>
      </c>
      <c r="C609" s="27" t="s">
        <v>417</v>
      </c>
      <c r="D609" s="25"/>
      <c r="E609" s="25"/>
      <c r="F609" s="25"/>
      <c r="G609" s="25"/>
      <c r="H609" s="25"/>
      <c r="I609" s="25"/>
      <c r="J609" s="27" t="s">
        <v>885</v>
      </c>
      <c r="K609" s="25" t="str">
        <f aca="false">IFERROR(__xludf.dummyfunction("SPLIT(J609,"" "")"),"CIF")</f>
        <v>CIF</v>
      </c>
      <c r="L609" s="28" t="str">
        <f aca="false">IFERROR(__xludf.dummyfunction("""COMPUTED_VALUE"""),"France")</f>
        <v>France</v>
      </c>
      <c r="M609" s="27" t="str">
        <f aca="false">IFERROR(__xludf.dummyfunction("""COMPUTED_VALUE"""),"(Diff)")</f>
        <v>(Diff)</v>
      </c>
      <c r="N609" s="25"/>
      <c r="O609" s="25"/>
      <c r="P609" s="25"/>
      <c r="Q609" s="29" t="s">
        <v>422</v>
      </c>
      <c r="R609" s="8" t="str">
        <f aca="false">B609&amp;" "&amp;C609&amp;" "&amp;D609&amp;" "&amp;E609&amp;" "&amp;G609&amp;" "&amp;H609&amp;" "&amp;J609&amp;" "&amp;N609</f>
        <v>Differentials Solvent     CIF France (Diff) </v>
      </c>
      <c r="S609" s="25"/>
      <c r="T609" s="8"/>
      <c r="U609" s="8"/>
      <c r="V609" s="27" t="s">
        <v>49</v>
      </c>
      <c r="W609" s="25"/>
      <c r="X609" s="25"/>
      <c r="Y609" s="25"/>
      <c r="Z609" s="25"/>
      <c r="AA609" s="25"/>
      <c r="AB609" s="25"/>
      <c r="AC609" s="25"/>
      <c r="AD609" s="25"/>
    </row>
    <row r="610" customFormat="false" ht="15.75" hidden="false" customHeight="false" outlineLevel="0" collapsed="false">
      <c r="A610" s="28" t="s">
        <v>979</v>
      </c>
      <c r="B610" s="27" t="s">
        <v>438</v>
      </c>
      <c r="C610" s="27" t="s">
        <v>417</v>
      </c>
      <c r="D610" s="25"/>
      <c r="E610" s="25"/>
      <c r="F610" s="25"/>
      <c r="G610" s="25"/>
      <c r="H610" s="25"/>
      <c r="I610" s="25"/>
      <c r="J610" s="27" t="s">
        <v>885</v>
      </c>
      <c r="K610" s="25" t="str">
        <f aca="false">IFERROR(__xludf.dummyfunction("SPLIT(J610,"" "")"),"CIF")</f>
        <v>CIF</v>
      </c>
      <c r="L610" s="28" t="str">
        <f aca="false">IFERROR(__xludf.dummyfunction("""COMPUTED_VALUE"""),"France")</f>
        <v>France</v>
      </c>
      <c r="M610" s="27" t="str">
        <f aca="false">IFERROR(__xludf.dummyfunction("""COMPUTED_VALUE"""),"(Diff)")</f>
        <v>(Diff)</v>
      </c>
      <c r="N610" s="25"/>
      <c r="O610" s="25"/>
      <c r="P610" s="25"/>
      <c r="Q610" s="29" t="s">
        <v>420</v>
      </c>
      <c r="R610" s="8" t="str">
        <f aca="false">B610&amp;" "&amp;C610&amp;" "&amp;D610&amp;" "&amp;E610&amp;" "&amp;G610&amp;" "&amp;H610&amp;" "&amp;J610&amp;" "&amp;N610</f>
        <v>Differentials Solvent     CIF France (Diff) </v>
      </c>
      <c r="S610" s="25"/>
      <c r="T610" s="8"/>
      <c r="U610" s="8"/>
      <c r="V610" s="27" t="s">
        <v>49</v>
      </c>
      <c r="W610" s="25"/>
      <c r="X610" s="25"/>
      <c r="Y610" s="25"/>
      <c r="Z610" s="25"/>
      <c r="AA610" s="25"/>
      <c r="AB610" s="25"/>
      <c r="AC610" s="25"/>
      <c r="AD610" s="25"/>
    </row>
    <row r="611" customFormat="false" ht="15.75" hidden="false" customHeight="false" outlineLevel="0" collapsed="false">
      <c r="A611" s="28" t="s">
        <v>980</v>
      </c>
      <c r="B611" s="27" t="s">
        <v>438</v>
      </c>
      <c r="C611" s="27" t="s">
        <v>417</v>
      </c>
      <c r="D611" s="25"/>
      <c r="E611" s="25"/>
      <c r="F611" s="25"/>
      <c r="G611" s="25"/>
      <c r="H611" s="25"/>
      <c r="I611" s="25"/>
      <c r="J611" s="27" t="s">
        <v>885</v>
      </c>
      <c r="K611" s="25" t="str">
        <f aca="false">IFERROR(__xludf.dummyfunction("SPLIT(J611,"" "")"),"CIF")</f>
        <v>CIF</v>
      </c>
      <c r="L611" s="28" t="str">
        <f aca="false">IFERROR(__xludf.dummyfunction("""COMPUTED_VALUE"""),"France")</f>
        <v>France</v>
      </c>
      <c r="M611" s="27" t="str">
        <f aca="false">IFERROR(__xludf.dummyfunction("""COMPUTED_VALUE"""),"(Diff)")</f>
        <v>(Diff)</v>
      </c>
      <c r="N611" s="25"/>
      <c r="O611" s="25"/>
      <c r="P611" s="25"/>
      <c r="Q611" s="29" t="s">
        <v>418</v>
      </c>
      <c r="R611" s="8" t="str">
        <f aca="false">B611&amp;" "&amp;C611&amp;" "&amp;D611&amp;" "&amp;E611&amp;" "&amp;G611&amp;" "&amp;H611&amp;" "&amp;J611&amp;" "&amp;N611</f>
        <v>Differentials Solvent     CIF France (Diff) </v>
      </c>
      <c r="S611" s="25"/>
      <c r="T611" s="8"/>
      <c r="U611" s="8"/>
      <c r="V611" s="27" t="s">
        <v>49</v>
      </c>
      <c r="W611" s="25"/>
      <c r="X611" s="25"/>
      <c r="Y611" s="25"/>
      <c r="Z611" s="25"/>
      <c r="AA611" s="25"/>
      <c r="AB611" s="25"/>
      <c r="AC611" s="25"/>
      <c r="AD611" s="25"/>
    </row>
    <row r="612" customFormat="false" ht="15.75" hidden="false" customHeight="false" outlineLevel="0" collapsed="false">
      <c r="A612" s="28" t="s">
        <v>981</v>
      </c>
      <c r="B612" s="27" t="s">
        <v>438</v>
      </c>
      <c r="C612" s="27" t="s">
        <v>168</v>
      </c>
      <c r="D612" s="25"/>
      <c r="E612" s="25"/>
      <c r="F612" s="25"/>
      <c r="G612" s="25"/>
      <c r="H612" s="25"/>
      <c r="I612" s="25"/>
      <c r="J612" s="27" t="s">
        <v>982</v>
      </c>
      <c r="K612" s="25" t="str">
        <f aca="false">IFERROR(__xludf.dummyfunction("SPLIT(J612,"" "")"),"CIF")</f>
        <v>CIF</v>
      </c>
      <c r="L612" s="28" t="str">
        <f aca="false">IFERROR(__xludf.dummyfunction("""COMPUTED_VALUE"""),"Germany")</f>
        <v>Germany</v>
      </c>
      <c r="M612" s="27" t="str">
        <f aca="false">IFERROR(__xludf.dummyfunction("""COMPUTED_VALUE"""),"(Diff)")</f>
        <v>(Diff)</v>
      </c>
      <c r="N612" s="25"/>
      <c r="O612" s="25"/>
      <c r="P612" s="25"/>
      <c r="Q612" s="29" t="s">
        <v>175</v>
      </c>
      <c r="R612" s="8" t="str">
        <f aca="false">B612&amp;" "&amp;C612&amp;" "&amp;D612&amp;" "&amp;E612&amp;" "&amp;G612&amp;" "&amp;H612&amp;" "&amp;J612&amp;" "&amp;N612</f>
        <v>Differentials Aluminium (Battery Grade)     CIF Germany (Diff) </v>
      </c>
      <c r="S612" s="25"/>
      <c r="T612" s="8"/>
      <c r="U612" s="8"/>
      <c r="V612" s="27" t="s">
        <v>49</v>
      </c>
      <c r="W612" s="25"/>
      <c r="X612" s="25"/>
      <c r="Y612" s="25"/>
      <c r="Z612" s="25"/>
      <c r="AA612" s="25"/>
      <c r="AB612" s="25"/>
      <c r="AC612" s="25"/>
      <c r="AD612" s="25"/>
    </row>
    <row r="613" customFormat="false" ht="15.75" hidden="false" customHeight="false" outlineLevel="0" collapsed="false">
      <c r="A613" s="28" t="s">
        <v>983</v>
      </c>
      <c r="B613" s="27" t="s">
        <v>438</v>
      </c>
      <c r="C613" s="27" t="s">
        <v>168</v>
      </c>
      <c r="D613" s="25"/>
      <c r="E613" s="25"/>
      <c r="F613" s="25"/>
      <c r="G613" s="25"/>
      <c r="H613" s="25"/>
      <c r="I613" s="25"/>
      <c r="J613" s="27" t="s">
        <v>982</v>
      </c>
      <c r="K613" s="25" t="str">
        <f aca="false">IFERROR(__xludf.dummyfunction("SPLIT(J613,"" "")"),"CIF")</f>
        <v>CIF</v>
      </c>
      <c r="L613" s="28" t="str">
        <f aca="false">IFERROR(__xludf.dummyfunction("""COMPUTED_VALUE"""),"Germany")</f>
        <v>Germany</v>
      </c>
      <c r="M613" s="27" t="str">
        <f aca="false">IFERROR(__xludf.dummyfunction("""COMPUTED_VALUE"""),"(Diff)")</f>
        <v>(Diff)</v>
      </c>
      <c r="N613" s="25"/>
      <c r="O613" s="25"/>
      <c r="P613" s="25"/>
      <c r="Q613" s="29" t="s">
        <v>173</v>
      </c>
      <c r="R613" s="8" t="str">
        <f aca="false">B613&amp;" "&amp;C613&amp;" "&amp;D613&amp;" "&amp;E613&amp;" "&amp;G613&amp;" "&amp;H613&amp;" "&amp;J613&amp;" "&amp;N613</f>
        <v>Differentials Aluminium (Battery Grade)     CIF Germany (Diff) </v>
      </c>
      <c r="S613" s="25"/>
      <c r="T613" s="8"/>
      <c r="U613" s="8"/>
      <c r="V613" s="27" t="s">
        <v>49</v>
      </c>
      <c r="W613" s="25"/>
      <c r="X613" s="25"/>
      <c r="Y613" s="25"/>
      <c r="Z613" s="25"/>
      <c r="AA613" s="25"/>
      <c r="AB613" s="25"/>
      <c r="AC613" s="25"/>
      <c r="AD613" s="25"/>
    </row>
    <row r="614" customFormat="false" ht="15.75" hidden="false" customHeight="false" outlineLevel="0" collapsed="false">
      <c r="A614" s="28" t="s">
        <v>984</v>
      </c>
      <c r="B614" s="27" t="s">
        <v>438</v>
      </c>
      <c r="C614" s="27" t="s">
        <v>168</v>
      </c>
      <c r="D614" s="25"/>
      <c r="E614" s="25"/>
      <c r="F614" s="25"/>
      <c r="G614" s="25"/>
      <c r="H614" s="25"/>
      <c r="I614" s="25"/>
      <c r="J614" s="27" t="s">
        <v>982</v>
      </c>
      <c r="K614" s="25" t="str">
        <f aca="false">IFERROR(__xludf.dummyfunction("SPLIT(J614,"" "")"),"CIF")</f>
        <v>CIF</v>
      </c>
      <c r="L614" s="28" t="str">
        <f aca="false">IFERROR(__xludf.dummyfunction("""COMPUTED_VALUE"""),"Germany")</f>
        <v>Germany</v>
      </c>
      <c r="M614" s="27" t="str">
        <f aca="false">IFERROR(__xludf.dummyfunction("""COMPUTED_VALUE"""),"(Diff)")</f>
        <v>(Diff)</v>
      </c>
      <c r="N614" s="25"/>
      <c r="O614" s="25"/>
      <c r="P614" s="25"/>
      <c r="Q614" s="29" t="s">
        <v>169</v>
      </c>
      <c r="R614" s="8" t="str">
        <f aca="false">B614&amp;" "&amp;C614&amp;" "&amp;D614&amp;" "&amp;E614&amp;" "&amp;G614&amp;" "&amp;H614&amp;" "&amp;J614&amp;" "&amp;N614</f>
        <v>Differentials Aluminium (Battery Grade)     CIF Germany (Diff) </v>
      </c>
      <c r="S614" s="25"/>
      <c r="T614" s="8"/>
      <c r="U614" s="8"/>
      <c r="V614" s="27" t="s">
        <v>49</v>
      </c>
      <c r="W614" s="25"/>
      <c r="X614" s="25"/>
      <c r="Y614" s="25"/>
      <c r="Z614" s="25"/>
      <c r="AA614" s="25"/>
      <c r="AB614" s="25"/>
      <c r="AC614" s="25"/>
      <c r="AD614" s="25"/>
    </row>
    <row r="615" customFormat="false" ht="15.75" hidden="false" customHeight="false" outlineLevel="0" collapsed="false">
      <c r="A615" s="28" t="s">
        <v>985</v>
      </c>
      <c r="B615" s="27" t="s">
        <v>438</v>
      </c>
      <c r="C615" s="27" t="s">
        <v>177</v>
      </c>
      <c r="D615" s="25"/>
      <c r="E615" s="25"/>
      <c r="F615" s="25"/>
      <c r="G615" s="25"/>
      <c r="H615" s="25"/>
      <c r="I615" s="25"/>
      <c r="J615" s="27" t="s">
        <v>982</v>
      </c>
      <c r="K615" s="25" t="str">
        <f aca="false">IFERROR(__xludf.dummyfunction("SPLIT(J615,"" "")"),"CIF")</f>
        <v>CIF</v>
      </c>
      <c r="L615" s="28" t="str">
        <f aca="false">IFERROR(__xludf.dummyfunction("""COMPUTED_VALUE"""),"Germany")</f>
        <v>Germany</v>
      </c>
      <c r="M615" s="27" t="str">
        <f aca="false">IFERROR(__xludf.dummyfunction("""COMPUTED_VALUE"""),"(Diff)")</f>
        <v>(Diff)</v>
      </c>
      <c r="N615" s="25"/>
      <c r="O615" s="25"/>
      <c r="P615" s="25"/>
      <c r="Q615" s="29" t="s">
        <v>209</v>
      </c>
      <c r="R615" s="8" t="str">
        <f aca="false">B615&amp;" "&amp;C615&amp;" "&amp;D615&amp;" "&amp;E615&amp;" "&amp;G615&amp;" "&amp;H615&amp;" "&amp;J615&amp;" "&amp;N615</f>
        <v>Differentials Anode     CIF Germany (Diff) </v>
      </c>
      <c r="S615" s="25"/>
      <c r="T615" s="8"/>
      <c r="U615" s="8"/>
      <c r="V615" s="27" t="s">
        <v>49</v>
      </c>
      <c r="W615" s="25"/>
      <c r="X615" s="25"/>
      <c r="Y615" s="25"/>
      <c r="Z615" s="25"/>
      <c r="AA615" s="25"/>
      <c r="AB615" s="25"/>
      <c r="AC615" s="25"/>
      <c r="AD615" s="25"/>
    </row>
    <row r="616" customFormat="false" ht="15.75" hidden="false" customHeight="false" outlineLevel="0" collapsed="false">
      <c r="A616" s="28" t="s">
        <v>986</v>
      </c>
      <c r="B616" s="27" t="s">
        <v>438</v>
      </c>
      <c r="C616" s="27" t="s">
        <v>177</v>
      </c>
      <c r="D616" s="25"/>
      <c r="E616" s="25"/>
      <c r="F616" s="25"/>
      <c r="G616" s="25"/>
      <c r="H616" s="25"/>
      <c r="I616" s="25"/>
      <c r="J616" s="27" t="s">
        <v>982</v>
      </c>
      <c r="K616" s="25" t="str">
        <f aca="false">IFERROR(__xludf.dummyfunction("SPLIT(J616,"" "")"),"CIF")</f>
        <v>CIF</v>
      </c>
      <c r="L616" s="28" t="str">
        <f aca="false">IFERROR(__xludf.dummyfunction("""COMPUTED_VALUE"""),"Germany")</f>
        <v>Germany</v>
      </c>
      <c r="M616" s="27" t="str">
        <f aca="false">IFERROR(__xludf.dummyfunction("""COMPUTED_VALUE"""),"(Diff)")</f>
        <v>(Diff)</v>
      </c>
      <c r="N616" s="25"/>
      <c r="O616" s="25"/>
      <c r="P616" s="25"/>
      <c r="Q616" s="29" t="s">
        <v>205</v>
      </c>
      <c r="R616" s="8" t="str">
        <f aca="false">B616&amp;" "&amp;C616&amp;" "&amp;D616&amp;" "&amp;E616&amp;" "&amp;G616&amp;" "&amp;H616&amp;" "&amp;J616&amp;" "&amp;N616</f>
        <v>Differentials Anode     CIF Germany (Diff) </v>
      </c>
      <c r="S616" s="25"/>
      <c r="T616" s="8"/>
      <c r="U616" s="8"/>
      <c r="V616" s="27" t="s">
        <v>49</v>
      </c>
      <c r="W616" s="25"/>
      <c r="X616" s="25"/>
      <c r="Y616" s="25"/>
      <c r="Z616" s="25"/>
      <c r="AA616" s="25"/>
      <c r="AB616" s="25"/>
      <c r="AC616" s="25"/>
      <c r="AD616" s="25"/>
    </row>
    <row r="617" customFormat="false" ht="15.75" hidden="false" customHeight="false" outlineLevel="0" collapsed="false">
      <c r="A617" s="28" t="s">
        <v>987</v>
      </c>
      <c r="B617" s="27" t="s">
        <v>438</v>
      </c>
      <c r="C617" s="27" t="s">
        <v>177</v>
      </c>
      <c r="D617" s="25"/>
      <c r="E617" s="25"/>
      <c r="F617" s="25"/>
      <c r="G617" s="25"/>
      <c r="H617" s="25"/>
      <c r="I617" s="25"/>
      <c r="J617" s="27" t="s">
        <v>982</v>
      </c>
      <c r="K617" s="25" t="str">
        <f aca="false">IFERROR(__xludf.dummyfunction("SPLIT(J617,"" "")"),"CIF")</f>
        <v>CIF</v>
      </c>
      <c r="L617" s="28" t="str">
        <f aca="false">IFERROR(__xludf.dummyfunction("""COMPUTED_VALUE"""),"Germany")</f>
        <v>Germany</v>
      </c>
      <c r="M617" s="27" t="str">
        <f aca="false">IFERROR(__xludf.dummyfunction("""COMPUTED_VALUE"""),"(Diff)")</f>
        <v>(Diff)</v>
      </c>
      <c r="N617" s="25"/>
      <c r="O617" s="25"/>
      <c r="P617" s="25"/>
      <c r="Q617" s="29" t="s">
        <v>202</v>
      </c>
      <c r="R617" s="8" t="str">
        <f aca="false">B617&amp;" "&amp;C617&amp;" "&amp;D617&amp;" "&amp;E617&amp;" "&amp;G617&amp;" "&amp;H617&amp;" "&amp;J617&amp;" "&amp;N617</f>
        <v>Differentials Anode     CIF Germany (Diff) </v>
      </c>
      <c r="S617" s="25"/>
      <c r="T617" s="8"/>
      <c r="U617" s="8"/>
      <c r="V617" s="27" t="s">
        <v>49</v>
      </c>
      <c r="W617" s="25"/>
      <c r="X617" s="25"/>
      <c r="Y617" s="25"/>
      <c r="Z617" s="25"/>
      <c r="AA617" s="25"/>
      <c r="AB617" s="25"/>
      <c r="AC617" s="25"/>
      <c r="AD617" s="25"/>
    </row>
    <row r="618" customFormat="false" ht="15.75" hidden="false" customHeight="false" outlineLevel="0" collapsed="false">
      <c r="A618" s="28" t="s">
        <v>988</v>
      </c>
      <c r="B618" s="27" t="s">
        <v>438</v>
      </c>
      <c r="C618" s="27" t="s">
        <v>177</v>
      </c>
      <c r="D618" s="25"/>
      <c r="E618" s="25"/>
      <c r="F618" s="25"/>
      <c r="G618" s="25"/>
      <c r="H618" s="25"/>
      <c r="I618" s="25"/>
      <c r="J618" s="27" t="s">
        <v>982</v>
      </c>
      <c r="K618" s="25" t="str">
        <f aca="false">IFERROR(__xludf.dummyfunction("SPLIT(J618,"" "")"),"CIF")</f>
        <v>CIF</v>
      </c>
      <c r="L618" s="28" t="str">
        <f aca="false">IFERROR(__xludf.dummyfunction("""COMPUTED_VALUE"""),"Germany")</f>
        <v>Germany</v>
      </c>
      <c r="M618" s="27" t="str">
        <f aca="false">IFERROR(__xludf.dummyfunction("""COMPUTED_VALUE"""),"(Diff)")</f>
        <v>(Diff)</v>
      </c>
      <c r="N618" s="25"/>
      <c r="O618" s="25"/>
      <c r="P618" s="25"/>
      <c r="Q618" s="29" t="s">
        <v>197</v>
      </c>
      <c r="R618" s="8" t="str">
        <f aca="false">B618&amp;" "&amp;C618&amp;" "&amp;D618&amp;" "&amp;E618&amp;" "&amp;G618&amp;" "&amp;H618&amp;" "&amp;J618&amp;" "&amp;N618</f>
        <v>Differentials Anode     CIF Germany (Diff) </v>
      </c>
      <c r="S618" s="25"/>
      <c r="T618" s="8"/>
      <c r="U618" s="8"/>
      <c r="V618" s="27" t="s">
        <v>49</v>
      </c>
      <c r="W618" s="25"/>
      <c r="X618" s="25"/>
      <c r="Y618" s="25"/>
      <c r="Z618" s="25"/>
      <c r="AA618" s="25"/>
      <c r="AB618" s="25"/>
      <c r="AC618" s="25"/>
      <c r="AD618" s="25"/>
    </row>
    <row r="619" customFormat="false" ht="15.75" hidden="false" customHeight="false" outlineLevel="0" collapsed="false">
      <c r="A619" s="28" t="s">
        <v>989</v>
      </c>
      <c r="B619" s="27" t="s">
        <v>438</v>
      </c>
      <c r="C619" s="27" t="s">
        <v>177</v>
      </c>
      <c r="D619" s="25"/>
      <c r="E619" s="25"/>
      <c r="F619" s="25"/>
      <c r="G619" s="25"/>
      <c r="H619" s="25"/>
      <c r="I619" s="25"/>
      <c r="J619" s="27" t="s">
        <v>982</v>
      </c>
      <c r="K619" s="25" t="str">
        <f aca="false">IFERROR(__xludf.dummyfunction("SPLIT(J619,"" "")"),"CIF")</f>
        <v>CIF</v>
      </c>
      <c r="L619" s="28" t="str">
        <f aca="false">IFERROR(__xludf.dummyfunction("""COMPUTED_VALUE"""),"Germany")</f>
        <v>Germany</v>
      </c>
      <c r="M619" s="27" t="str">
        <f aca="false">IFERROR(__xludf.dummyfunction("""COMPUTED_VALUE"""),"(Diff)")</f>
        <v>(Diff)</v>
      </c>
      <c r="N619" s="25"/>
      <c r="O619" s="25"/>
      <c r="P619" s="25"/>
      <c r="Q619" s="29" t="s">
        <v>193</v>
      </c>
      <c r="R619" s="8" t="str">
        <f aca="false">B619&amp;" "&amp;C619&amp;" "&amp;D619&amp;" "&amp;E619&amp;" "&amp;G619&amp;" "&amp;H619&amp;" "&amp;J619&amp;" "&amp;N619</f>
        <v>Differentials Anode     CIF Germany (Diff) </v>
      </c>
      <c r="S619" s="25"/>
      <c r="T619" s="8"/>
      <c r="U619" s="8"/>
      <c r="V619" s="27" t="s">
        <v>49</v>
      </c>
      <c r="W619" s="25"/>
      <c r="X619" s="25"/>
      <c r="Y619" s="25"/>
      <c r="Z619" s="25"/>
      <c r="AA619" s="25"/>
      <c r="AB619" s="25"/>
      <c r="AC619" s="25"/>
      <c r="AD619" s="25"/>
    </row>
    <row r="620" customFormat="false" ht="15.75" hidden="false" customHeight="false" outlineLevel="0" collapsed="false">
      <c r="A620" s="28" t="s">
        <v>990</v>
      </c>
      <c r="B620" s="27" t="s">
        <v>438</v>
      </c>
      <c r="C620" s="27" t="s">
        <v>177</v>
      </c>
      <c r="D620" s="25"/>
      <c r="E620" s="25"/>
      <c r="F620" s="25"/>
      <c r="G620" s="25"/>
      <c r="H620" s="25"/>
      <c r="I620" s="25"/>
      <c r="J620" s="27" t="s">
        <v>982</v>
      </c>
      <c r="K620" s="25" t="str">
        <f aca="false">IFERROR(__xludf.dummyfunction("SPLIT(J620,"" "")"),"CIF")</f>
        <v>CIF</v>
      </c>
      <c r="L620" s="28" t="str">
        <f aca="false">IFERROR(__xludf.dummyfunction("""COMPUTED_VALUE"""),"Germany")</f>
        <v>Germany</v>
      </c>
      <c r="M620" s="27" t="str">
        <f aca="false">IFERROR(__xludf.dummyfunction("""COMPUTED_VALUE"""),"(Diff)")</f>
        <v>(Diff)</v>
      </c>
      <c r="N620" s="25"/>
      <c r="O620" s="25"/>
      <c r="P620" s="25"/>
      <c r="Q620" s="29" t="s">
        <v>188</v>
      </c>
      <c r="R620" s="8" t="str">
        <f aca="false">B620&amp;" "&amp;C620&amp;" "&amp;D620&amp;" "&amp;E620&amp;" "&amp;G620&amp;" "&amp;H620&amp;" "&amp;J620&amp;" "&amp;N620</f>
        <v>Differentials Anode     CIF Germany (Diff) </v>
      </c>
      <c r="S620" s="25"/>
      <c r="T620" s="8"/>
      <c r="U620" s="8"/>
      <c r="V620" s="27" t="s">
        <v>49</v>
      </c>
      <c r="W620" s="25"/>
      <c r="X620" s="25"/>
      <c r="Y620" s="25"/>
      <c r="Z620" s="25"/>
      <c r="AA620" s="25"/>
      <c r="AB620" s="25"/>
      <c r="AC620" s="25"/>
      <c r="AD620" s="25"/>
    </row>
    <row r="621" customFormat="false" ht="15.75" hidden="false" customHeight="false" outlineLevel="0" collapsed="false">
      <c r="A621" s="28" t="s">
        <v>991</v>
      </c>
      <c r="B621" s="27" t="s">
        <v>438</v>
      </c>
      <c r="C621" s="27" t="s">
        <v>177</v>
      </c>
      <c r="D621" s="25"/>
      <c r="E621" s="25"/>
      <c r="F621" s="25"/>
      <c r="G621" s="25"/>
      <c r="H621" s="25"/>
      <c r="I621" s="25"/>
      <c r="J621" s="27" t="s">
        <v>982</v>
      </c>
      <c r="K621" s="25" t="str">
        <f aca="false">IFERROR(__xludf.dummyfunction("SPLIT(J621,"" "")"),"CIF")</f>
        <v>CIF</v>
      </c>
      <c r="L621" s="28" t="str">
        <f aca="false">IFERROR(__xludf.dummyfunction("""COMPUTED_VALUE"""),"Germany")</f>
        <v>Germany</v>
      </c>
      <c r="M621" s="27" t="str">
        <f aca="false">IFERROR(__xludf.dummyfunction("""COMPUTED_VALUE"""),"(Diff)")</f>
        <v>(Diff)</v>
      </c>
      <c r="N621" s="25"/>
      <c r="O621" s="25"/>
      <c r="P621" s="25"/>
      <c r="Q621" s="29" t="s">
        <v>180</v>
      </c>
      <c r="R621" s="8" t="str">
        <f aca="false">B621&amp;" "&amp;C621&amp;" "&amp;D621&amp;" "&amp;E621&amp;" "&amp;G621&amp;" "&amp;H621&amp;" "&amp;J621&amp;" "&amp;N621</f>
        <v>Differentials Anode     CIF Germany (Diff) </v>
      </c>
      <c r="S621" s="25"/>
      <c r="T621" s="8"/>
      <c r="U621" s="8"/>
      <c r="V621" s="27" t="s">
        <v>49</v>
      </c>
      <c r="W621" s="25"/>
      <c r="X621" s="25"/>
      <c r="Y621" s="25"/>
      <c r="Z621" s="25"/>
      <c r="AA621" s="25"/>
      <c r="AB621" s="25"/>
      <c r="AC621" s="25"/>
      <c r="AD621" s="25"/>
    </row>
    <row r="622" customFormat="false" ht="15.75" hidden="false" customHeight="false" outlineLevel="0" collapsed="false">
      <c r="A622" s="28" t="s">
        <v>992</v>
      </c>
      <c r="B622" s="27" t="s">
        <v>438</v>
      </c>
      <c r="C622" s="27" t="s">
        <v>211</v>
      </c>
      <c r="D622" s="25"/>
      <c r="E622" s="25"/>
      <c r="F622" s="25"/>
      <c r="G622" s="25"/>
      <c r="H622" s="25"/>
      <c r="I622" s="25"/>
      <c r="J622" s="27" t="s">
        <v>982</v>
      </c>
      <c r="K622" s="25" t="str">
        <f aca="false">IFERROR(__xludf.dummyfunction("SPLIT(J622,"" "")"),"CIF")</f>
        <v>CIF</v>
      </c>
      <c r="L622" s="28" t="str">
        <f aca="false">IFERROR(__xludf.dummyfunction("""COMPUTED_VALUE"""),"Germany")</f>
        <v>Germany</v>
      </c>
      <c r="M622" s="27" t="str">
        <f aca="false">IFERROR(__xludf.dummyfunction("""COMPUTED_VALUE"""),"(Diff)")</f>
        <v>(Diff)</v>
      </c>
      <c r="N622" s="25"/>
      <c r="O622" s="25"/>
      <c r="P622" s="25"/>
      <c r="Q622" s="29" t="s">
        <v>234</v>
      </c>
      <c r="R622" s="8" t="str">
        <f aca="false">B622&amp;" "&amp;C622&amp;" "&amp;D622&amp;" "&amp;E622&amp;" "&amp;G622&amp;" "&amp;H622&amp;" "&amp;J622&amp;" "&amp;N622</f>
        <v>Differentials Binders &amp; Additives     CIF Germany (Diff) </v>
      </c>
      <c r="S622" s="25"/>
      <c r="T622" s="8"/>
      <c r="U622" s="8"/>
      <c r="V622" s="27" t="s">
        <v>49</v>
      </c>
      <c r="W622" s="25"/>
      <c r="X622" s="25"/>
      <c r="Y622" s="25"/>
      <c r="Z622" s="25"/>
      <c r="AA622" s="25"/>
      <c r="AB622" s="25"/>
      <c r="AC622" s="25"/>
      <c r="AD622" s="25"/>
    </row>
    <row r="623" customFormat="false" ht="15.75" hidden="false" customHeight="false" outlineLevel="0" collapsed="false">
      <c r="A623" s="28" t="s">
        <v>993</v>
      </c>
      <c r="B623" s="27" t="s">
        <v>438</v>
      </c>
      <c r="C623" s="27" t="s">
        <v>211</v>
      </c>
      <c r="D623" s="25"/>
      <c r="E623" s="25"/>
      <c r="F623" s="25"/>
      <c r="G623" s="25"/>
      <c r="H623" s="25"/>
      <c r="I623" s="25"/>
      <c r="J623" s="27" t="s">
        <v>982</v>
      </c>
      <c r="K623" s="25" t="str">
        <f aca="false">IFERROR(__xludf.dummyfunction("SPLIT(J623,"" "")"),"CIF")</f>
        <v>CIF</v>
      </c>
      <c r="L623" s="28" t="str">
        <f aca="false">IFERROR(__xludf.dummyfunction("""COMPUTED_VALUE"""),"Germany")</f>
        <v>Germany</v>
      </c>
      <c r="M623" s="27" t="str">
        <f aca="false">IFERROR(__xludf.dummyfunction("""COMPUTED_VALUE"""),"(Diff)")</f>
        <v>(Diff)</v>
      </c>
      <c r="N623" s="25"/>
      <c r="O623" s="25"/>
      <c r="P623" s="25"/>
      <c r="Q623" s="29" t="s">
        <v>232</v>
      </c>
      <c r="R623" s="8" t="str">
        <f aca="false">B623&amp;" "&amp;C623&amp;" "&amp;D623&amp;" "&amp;E623&amp;" "&amp;G623&amp;" "&amp;H623&amp;" "&amp;J623&amp;" "&amp;N623</f>
        <v>Differentials Binders &amp; Additives     CIF Germany (Diff) </v>
      </c>
      <c r="S623" s="25"/>
      <c r="T623" s="8"/>
      <c r="U623" s="8"/>
      <c r="V623" s="27" t="s">
        <v>49</v>
      </c>
      <c r="W623" s="25"/>
      <c r="X623" s="25"/>
      <c r="Y623" s="25"/>
      <c r="Z623" s="25"/>
      <c r="AA623" s="25"/>
      <c r="AB623" s="25"/>
      <c r="AC623" s="25"/>
      <c r="AD623" s="25"/>
    </row>
    <row r="624" customFormat="false" ht="15.75" hidden="false" customHeight="false" outlineLevel="0" collapsed="false">
      <c r="A624" s="28" t="s">
        <v>994</v>
      </c>
      <c r="B624" s="27" t="s">
        <v>438</v>
      </c>
      <c r="C624" s="27" t="s">
        <v>211</v>
      </c>
      <c r="D624" s="25"/>
      <c r="E624" s="25"/>
      <c r="F624" s="25"/>
      <c r="G624" s="25"/>
      <c r="H624" s="25"/>
      <c r="I624" s="25"/>
      <c r="J624" s="27" t="s">
        <v>982</v>
      </c>
      <c r="K624" s="25" t="str">
        <f aca="false">IFERROR(__xludf.dummyfunction("SPLIT(J624,"" "")"),"CIF")</f>
        <v>CIF</v>
      </c>
      <c r="L624" s="28" t="str">
        <f aca="false">IFERROR(__xludf.dummyfunction("""COMPUTED_VALUE"""),"Germany")</f>
        <v>Germany</v>
      </c>
      <c r="M624" s="27" t="str">
        <f aca="false">IFERROR(__xludf.dummyfunction("""COMPUTED_VALUE"""),"(Diff)")</f>
        <v>(Diff)</v>
      </c>
      <c r="N624" s="25"/>
      <c r="O624" s="25"/>
      <c r="P624" s="25"/>
      <c r="Q624" s="29" t="s">
        <v>230</v>
      </c>
      <c r="R624" s="8" t="str">
        <f aca="false">B624&amp;" "&amp;C624&amp;" "&amp;D624&amp;" "&amp;E624&amp;" "&amp;G624&amp;" "&amp;H624&amp;" "&amp;J624&amp;" "&amp;N624</f>
        <v>Differentials Binders &amp; Additives     CIF Germany (Diff) </v>
      </c>
      <c r="S624" s="25"/>
      <c r="T624" s="8"/>
      <c r="U624" s="8"/>
      <c r="V624" s="27" t="s">
        <v>49</v>
      </c>
      <c r="W624" s="25"/>
      <c r="X624" s="25"/>
      <c r="Y624" s="25"/>
      <c r="Z624" s="25"/>
      <c r="AA624" s="25"/>
      <c r="AB624" s="25"/>
      <c r="AC624" s="25"/>
      <c r="AD624" s="25"/>
    </row>
    <row r="625" customFormat="false" ht="15.75" hidden="false" customHeight="false" outlineLevel="0" collapsed="false">
      <c r="A625" s="28" t="s">
        <v>995</v>
      </c>
      <c r="B625" s="27" t="s">
        <v>438</v>
      </c>
      <c r="C625" s="27" t="s">
        <v>211</v>
      </c>
      <c r="D625" s="25"/>
      <c r="E625" s="25"/>
      <c r="F625" s="25"/>
      <c r="G625" s="25"/>
      <c r="H625" s="25"/>
      <c r="I625" s="25"/>
      <c r="J625" s="27" t="s">
        <v>982</v>
      </c>
      <c r="K625" s="25" t="str">
        <f aca="false">IFERROR(__xludf.dummyfunction("SPLIT(J625,"" "")"),"CIF")</f>
        <v>CIF</v>
      </c>
      <c r="L625" s="28" t="str">
        <f aca="false">IFERROR(__xludf.dummyfunction("""COMPUTED_VALUE"""),"Germany")</f>
        <v>Germany</v>
      </c>
      <c r="M625" s="27" t="str">
        <f aca="false">IFERROR(__xludf.dummyfunction("""COMPUTED_VALUE"""),"(Diff)")</f>
        <v>(Diff)</v>
      </c>
      <c r="N625" s="25"/>
      <c r="O625" s="25"/>
      <c r="P625" s="25"/>
      <c r="Q625" s="29" t="s">
        <v>228</v>
      </c>
      <c r="R625" s="8" t="str">
        <f aca="false">B625&amp;" "&amp;C625&amp;" "&amp;D625&amp;" "&amp;E625&amp;" "&amp;G625&amp;" "&amp;H625&amp;" "&amp;J625&amp;" "&amp;N625</f>
        <v>Differentials Binders &amp; Additives     CIF Germany (Diff) </v>
      </c>
      <c r="S625" s="25"/>
      <c r="T625" s="8"/>
      <c r="U625" s="8"/>
      <c r="V625" s="27" t="s">
        <v>49</v>
      </c>
      <c r="W625" s="25"/>
      <c r="X625" s="25"/>
      <c r="Y625" s="25"/>
      <c r="Z625" s="25"/>
      <c r="AA625" s="25"/>
      <c r="AB625" s="25"/>
      <c r="AC625" s="25"/>
      <c r="AD625" s="25"/>
    </row>
    <row r="626" customFormat="false" ht="15.75" hidden="false" customHeight="false" outlineLevel="0" collapsed="false">
      <c r="A626" s="28" t="s">
        <v>996</v>
      </c>
      <c r="B626" s="27" t="s">
        <v>438</v>
      </c>
      <c r="C626" s="27" t="s">
        <v>211</v>
      </c>
      <c r="D626" s="25"/>
      <c r="E626" s="25"/>
      <c r="F626" s="25"/>
      <c r="G626" s="25"/>
      <c r="H626" s="25"/>
      <c r="I626" s="25"/>
      <c r="J626" s="27" t="s">
        <v>982</v>
      </c>
      <c r="K626" s="25" t="str">
        <f aca="false">IFERROR(__xludf.dummyfunction("SPLIT(J626,"" "")"),"CIF")</f>
        <v>CIF</v>
      </c>
      <c r="L626" s="28" t="str">
        <f aca="false">IFERROR(__xludf.dummyfunction("""COMPUTED_VALUE"""),"Germany")</f>
        <v>Germany</v>
      </c>
      <c r="M626" s="27" t="str">
        <f aca="false">IFERROR(__xludf.dummyfunction("""COMPUTED_VALUE"""),"(Diff)")</f>
        <v>(Diff)</v>
      </c>
      <c r="N626" s="25"/>
      <c r="O626" s="25"/>
      <c r="P626" s="25"/>
      <c r="Q626" s="29" t="s">
        <v>226</v>
      </c>
      <c r="R626" s="8" t="str">
        <f aca="false">B626&amp;" "&amp;C626&amp;" "&amp;D626&amp;" "&amp;E626&amp;" "&amp;G626&amp;" "&amp;H626&amp;" "&amp;J626&amp;" "&amp;N626</f>
        <v>Differentials Binders &amp; Additives     CIF Germany (Diff) </v>
      </c>
      <c r="S626" s="25"/>
      <c r="T626" s="8"/>
      <c r="U626" s="8"/>
      <c r="V626" s="27" t="s">
        <v>49</v>
      </c>
      <c r="W626" s="25"/>
      <c r="X626" s="25"/>
      <c r="Y626" s="25"/>
      <c r="Z626" s="25"/>
      <c r="AA626" s="25"/>
      <c r="AB626" s="25"/>
      <c r="AC626" s="25"/>
      <c r="AD626" s="25"/>
    </row>
    <row r="627" customFormat="false" ht="15.75" hidden="false" customHeight="false" outlineLevel="0" collapsed="false">
      <c r="A627" s="28" t="s">
        <v>997</v>
      </c>
      <c r="B627" s="27" t="s">
        <v>438</v>
      </c>
      <c r="C627" s="27" t="s">
        <v>211</v>
      </c>
      <c r="D627" s="25"/>
      <c r="E627" s="25"/>
      <c r="F627" s="25"/>
      <c r="G627" s="25"/>
      <c r="H627" s="25"/>
      <c r="I627" s="25"/>
      <c r="J627" s="27" t="s">
        <v>982</v>
      </c>
      <c r="K627" s="25" t="str">
        <f aca="false">IFERROR(__xludf.dummyfunction("SPLIT(J627,"" "")"),"CIF")</f>
        <v>CIF</v>
      </c>
      <c r="L627" s="28" t="str">
        <f aca="false">IFERROR(__xludf.dummyfunction("""COMPUTED_VALUE"""),"Germany")</f>
        <v>Germany</v>
      </c>
      <c r="M627" s="27" t="str">
        <f aca="false">IFERROR(__xludf.dummyfunction("""COMPUTED_VALUE"""),"(Diff)")</f>
        <v>(Diff)</v>
      </c>
      <c r="N627" s="25"/>
      <c r="O627" s="25"/>
      <c r="P627" s="25"/>
      <c r="Q627" s="29" t="s">
        <v>224</v>
      </c>
      <c r="R627" s="8" t="str">
        <f aca="false">B627&amp;" "&amp;C627&amp;" "&amp;D627&amp;" "&amp;E627&amp;" "&amp;G627&amp;" "&amp;H627&amp;" "&amp;J627&amp;" "&amp;N627</f>
        <v>Differentials Binders &amp; Additives     CIF Germany (Diff) </v>
      </c>
      <c r="S627" s="25"/>
      <c r="T627" s="8"/>
      <c r="U627" s="8"/>
      <c r="V627" s="27" t="s">
        <v>49</v>
      </c>
      <c r="W627" s="25"/>
      <c r="X627" s="25"/>
      <c r="Y627" s="25"/>
      <c r="Z627" s="25"/>
      <c r="AA627" s="25"/>
      <c r="AB627" s="25"/>
      <c r="AC627" s="25"/>
      <c r="AD627" s="25"/>
    </row>
    <row r="628" customFormat="false" ht="15.75" hidden="false" customHeight="false" outlineLevel="0" collapsed="false">
      <c r="A628" s="28" t="s">
        <v>998</v>
      </c>
      <c r="B628" s="27" t="s">
        <v>438</v>
      </c>
      <c r="C628" s="27" t="s">
        <v>211</v>
      </c>
      <c r="D628" s="25"/>
      <c r="E628" s="25"/>
      <c r="F628" s="25"/>
      <c r="G628" s="25"/>
      <c r="H628" s="25"/>
      <c r="I628" s="25"/>
      <c r="J628" s="27" t="s">
        <v>982</v>
      </c>
      <c r="K628" s="25" t="str">
        <f aca="false">IFERROR(__xludf.dummyfunction("SPLIT(J628,"" "")"),"CIF")</f>
        <v>CIF</v>
      </c>
      <c r="L628" s="28" t="str">
        <f aca="false">IFERROR(__xludf.dummyfunction("""COMPUTED_VALUE"""),"Germany")</f>
        <v>Germany</v>
      </c>
      <c r="M628" s="27" t="str">
        <f aca="false">IFERROR(__xludf.dummyfunction("""COMPUTED_VALUE"""),"(Diff)")</f>
        <v>(Diff)</v>
      </c>
      <c r="N628" s="25"/>
      <c r="O628" s="25"/>
      <c r="P628" s="25"/>
      <c r="Q628" s="29" t="s">
        <v>222</v>
      </c>
      <c r="R628" s="8" t="str">
        <f aca="false">B628&amp;" "&amp;C628&amp;" "&amp;D628&amp;" "&amp;E628&amp;" "&amp;G628&amp;" "&amp;H628&amp;" "&amp;J628&amp;" "&amp;N628</f>
        <v>Differentials Binders &amp; Additives     CIF Germany (Diff) </v>
      </c>
      <c r="S628" s="25"/>
      <c r="T628" s="8"/>
      <c r="U628" s="8"/>
      <c r="V628" s="27" t="s">
        <v>49</v>
      </c>
      <c r="W628" s="25"/>
      <c r="X628" s="25"/>
      <c r="Y628" s="25"/>
      <c r="Z628" s="25"/>
      <c r="AA628" s="25"/>
      <c r="AB628" s="25"/>
      <c r="AC628" s="25"/>
      <c r="AD628" s="25"/>
    </row>
    <row r="629" customFormat="false" ht="15.75" hidden="false" customHeight="false" outlineLevel="0" collapsed="false">
      <c r="A629" s="28" t="s">
        <v>999</v>
      </c>
      <c r="B629" s="27" t="s">
        <v>438</v>
      </c>
      <c r="C629" s="27" t="s">
        <v>211</v>
      </c>
      <c r="D629" s="25"/>
      <c r="E629" s="25"/>
      <c r="F629" s="25"/>
      <c r="G629" s="25"/>
      <c r="H629" s="25"/>
      <c r="I629" s="25"/>
      <c r="J629" s="27" t="s">
        <v>982</v>
      </c>
      <c r="K629" s="25" t="str">
        <f aca="false">IFERROR(__xludf.dummyfunction("SPLIT(J629,"" "")"),"CIF")</f>
        <v>CIF</v>
      </c>
      <c r="L629" s="28" t="str">
        <f aca="false">IFERROR(__xludf.dummyfunction("""COMPUTED_VALUE"""),"Germany")</f>
        <v>Germany</v>
      </c>
      <c r="M629" s="27" t="str">
        <f aca="false">IFERROR(__xludf.dummyfunction("""COMPUTED_VALUE"""),"(Diff)")</f>
        <v>(Diff)</v>
      </c>
      <c r="N629" s="25"/>
      <c r="O629" s="25"/>
      <c r="P629" s="25"/>
      <c r="Q629" s="29" t="s">
        <v>220</v>
      </c>
      <c r="R629" s="8" t="str">
        <f aca="false">B629&amp;" "&amp;C629&amp;" "&amp;D629&amp;" "&amp;E629&amp;" "&amp;G629&amp;" "&amp;H629&amp;" "&amp;J629&amp;" "&amp;N629</f>
        <v>Differentials Binders &amp; Additives     CIF Germany (Diff) </v>
      </c>
      <c r="S629" s="25"/>
      <c r="T629" s="8"/>
      <c r="U629" s="8"/>
      <c r="V629" s="27" t="s">
        <v>49</v>
      </c>
      <c r="W629" s="25"/>
      <c r="X629" s="25"/>
      <c r="Y629" s="25"/>
      <c r="Z629" s="25"/>
      <c r="AA629" s="25"/>
      <c r="AB629" s="25"/>
      <c r="AC629" s="25"/>
      <c r="AD629" s="25"/>
    </row>
    <row r="630" customFormat="false" ht="15.75" hidden="false" customHeight="false" outlineLevel="0" collapsed="false">
      <c r="A630" s="28" t="s">
        <v>1000</v>
      </c>
      <c r="B630" s="27" t="s">
        <v>438</v>
      </c>
      <c r="C630" s="27" t="s">
        <v>211</v>
      </c>
      <c r="D630" s="25"/>
      <c r="E630" s="25"/>
      <c r="F630" s="25"/>
      <c r="G630" s="25"/>
      <c r="H630" s="25"/>
      <c r="I630" s="25"/>
      <c r="J630" s="27" t="s">
        <v>982</v>
      </c>
      <c r="K630" s="25" t="str">
        <f aca="false">IFERROR(__xludf.dummyfunction("SPLIT(J630,"" "")"),"CIF")</f>
        <v>CIF</v>
      </c>
      <c r="L630" s="28" t="str">
        <f aca="false">IFERROR(__xludf.dummyfunction("""COMPUTED_VALUE"""),"Germany")</f>
        <v>Germany</v>
      </c>
      <c r="M630" s="27" t="str">
        <f aca="false">IFERROR(__xludf.dummyfunction("""COMPUTED_VALUE"""),"(Diff)")</f>
        <v>(Diff)</v>
      </c>
      <c r="N630" s="25"/>
      <c r="O630" s="25"/>
      <c r="P630" s="25"/>
      <c r="Q630" s="29" t="s">
        <v>218</v>
      </c>
      <c r="R630" s="8" t="str">
        <f aca="false">B630&amp;" "&amp;C630&amp;" "&amp;D630&amp;" "&amp;E630&amp;" "&amp;G630&amp;" "&amp;H630&amp;" "&amp;J630&amp;" "&amp;N630</f>
        <v>Differentials Binders &amp; Additives     CIF Germany (Diff) </v>
      </c>
      <c r="S630" s="25"/>
      <c r="T630" s="8"/>
      <c r="U630" s="8"/>
      <c r="V630" s="27" t="s">
        <v>49</v>
      </c>
      <c r="W630" s="25"/>
      <c r="X630" s="25"/>
      <c r="Y630" s="25"/>
      <c r="Z630" s="25"/>
      <c r="AA630" s="25"/>
      <c r="AB630" s="25"/>
      <c r="AC630" s="25"/>
      <c r="AD630" s="25"/>
    </row>
    <row r="631" customFormat="false" ht="15.75" hidden="false" customHeight="false" outlineLevel="0" collapsed="false">
      <c r="A631" s="28" t="s">
        <v>1001</v>
      </c>
      <c r="B631" s="27" t="s">
        <v>438</v>
      </c>
      <c r="C631" s="27" t="s">
        <v>211</v>
      </c>
      <c r="D631" s="25"/>
      <c r="E631" s="25"/>
      <c r="F631" s="25"/>
      <c r="G631" s="25"/>
      <c r="H631" s="25"/>
      <c r="I631" s="25"/>
      <c r="J631" s="27" t="s">
        <v>982</v>
      </c>
      <c r="K631" s="25" t="str">
        <f aca="false">IFERROR(__xludf.dummyfunction("SPLIT(J631,"" "")"),"CIF")</f>
        <v>CIF</v>
      </c>
      <c r="L631" s="28" t="str">
        <f aca="false">IFERROR(__xludf.dummyfunction("""COMPUTED_VALUE"""),"Germany")</f>
        <v>Germany</v>
      </c>
      <c r="M631" s="27" t="str">
        <f aca="false">IFERROR(__xludf.dummyfunction("""COMPUTED_VALUE"""),"(Diff)")</f>
        <v>(Diff)</v>
      </c>
      <c r="N631" s="25"/>
      <c r="O631" s="25"/>
      <c r="P631" s="25"/>
      <c r="Q631" s="29" t="s">
        <v>215</v>
      </c>
      <c r="R631" s="8" t="str">
        <f aca="false">B631&amp;" "&amp;C631&amp;" "&amp;D631&amp;" "&amp;E631&amp;" "&amp;G631&amp;" "&amp;H631&amp;" "&amp;J631&amp;" "&amp;N631</f>
        <v>Differentials Binders &amp; Additives     CIF Germany (Diff) </v>
      </c>
      <c r="S631" s="25"/>
      <c r="T631" s="8"/>
      <c r="U631" s="8"/>
      <c r="V631" s="27" t="s">
        <v>49</v>
      </c>
      <c r="W631" s="25"/>
      <c r="X631" s="25"/>
      <c r="Y631" s="25"/>
      <c r="Z631" s="25"/>
      <c r="AA631" s="25"/>
      <c r="AB631" s="25"/>
      <c r="AC631" s="25"/>
      <c r="AD631" s="25"/>
    </row>
    <row r="632" customFormat="false" ht="15.75" hidden="false" customHeight="false" outlineLevel="0" collapsed="false">
      <c r="A632" s="28" t="s">
        <v>1002</v>
      </c>
      <c r="B632" s="27" t="s">
        <v>438</v>
      </c>
      <c r="C632" s="27" t="s">
        <v>211</v>
      </c>
      <c r="D632" s="25"/>
      <c r="E632" s="25"/>
      <c r="F632" s="25"/>
      <c r="G632" s="25"/>
      <c r="H632" s="25"/>
      <c r="I632" s="25"/>
      <c r="J632" s="27" t="s">
        <v>982</v>
      </c>
      <c r="K632" s="25" t="str">
        <f aca="false">IFERROR(__xludf.dummyfunction("SPLIT(J632,"" "")"),"CIF")</f>
        <v>CIF</v>
      </c>
      <c r="L632" s="28" t="str">
        <f aca="false">IFERROR(__xludf.dummyfunction("""COMPUTED_VALUE"""),"Germany")</f>
        <v>Germany</v>
      </c>
      <c r="M632" s="27" t="str">
        <f aca="false">IFERROR(__xludf.dummyfunction("""COMPUTED_VALUE"""),"(Diff)")</f>
        <v>(Diff)</v>
      </c>
      <c r="N632" s="25"/>
      <c r="O632" s="25"/>
      <c r="P632" s="25"/>
      <c r="Q632" s="29" t="s">
        <v>213</v>
      </c>
      <c r="R632" s="8" t="str">
        <f aca="false">B632&amp;" "&amp;C632&amp;" "&amp;D632&amp;" "&amp;E632&amp;" "&amp;G632&amp;" "&amp;H632&amp;" "&amp;J632&amp;" "&amp;N632</f>
        <v>Differentials Binders &amp; Additives     CIF Germany (Diff) </v>
      </c>
      <c r="S632" s="25"/>
      <c r="T632" s="8"/>
      <c r="U632" s="8"/>
      <c r="V632" s="27" t="s">
        <v>49</v>
      </c>
      <c r="W632" s="25"/>
      <c r="X632" s="25"/>
      <c r="Y632" s="25"/>
      <c r="Z632" s="25"/>
      <c r="AA632" s="25"/>
      <c r="AB632" s="25"/>
      <c r="AC632" s="25"/>
      <c r="AD632" s="25"/>
    </row>
    <row r="633" customFormat="false" ht="15.75" hidden="false" customHeight="false" outlineLevel="0" collapsed="false">
      <c r="A633" s="28" t="s">
        <v>1003</v>
      </c>
      <c r="B633" s="27" t="s">
        <v>438</v>
      </c>
      <c r="C633" s="27" t="s">
        <v>236</v>
      </c>
      <c r="D633" s="25"/>
      <c r="E633" s="25"/>
      <c r="F633" s="25"/>
      <c r="G633" s="25"/>
      <c r="H633" s="25"/>
      <c r="I633" s="25"/>
      <c r="J633" s="27" t="s">
        <v>982</v>
      </c>
      <c r="K633" s="25" t="str">
        <f aca="false">IFERROR(__xludf.dummyfunction("SPLIT(J633,"" "")"),"CIF")</f>
        <v>CIF</v>
      </c>
      <c r="L633" s="28" t="str">
        <f aca="false">IFERROR(__xludf.dummyfunction("""COMPUTED_VALUE"""),"Germany")</f>
        <v>Germany</v>
      </c>
      <c r="M633" s="27" t="str">
        <f aca="false">IFERROR(__xludf.dummyfunction("""COMPUTED_VALUE"""),"(Diff)")</f>
        <v>(Diff)</v>
      </c>
      <c r="N633" s="25"/>
      <c r="O633" s="25"/>
      <c r="P633" s="25"/>
      <c r="Q633" s="29" t="s">
        <v>271</v>
      </c>
      <c r="R633" s="8" t="str">
        <f aca="false">B633&amp;" "&amp;C633&amp;" "&amp;D633&amp;" "&amp;E633&amp;" "&amp;G633&amp;" "&amp;H633&amp;" "&amp;J633&amp;" "&amp;N633</f>
        <v>Differentials Cathode     CIF Germany (Diff) </v>
      </c>
      <c r="S633" s="25"/>
      <c r="T633" s="8"/>
      <c r="U633" s="8"/>
      <c r="V633" s="27" t="s">
        <v>49</v>
      </c>
      <c r="W633" s="25"/>
      <c r="X633" s="25"/>
      <c r="Y633" s="25"/>
      <c r="Z633" s="25"/>
      <c r="AA633" s="25"/>
      <c r="AB633" s="25"/>
      <c r="AC633" s="25"/>
      <c r="AD633" s="25"/>
    </row>
    <row r="634" customFormat="false" ht="15.75" hidden="false" customHeight="false" outlineLevel="0" collapsed="false">
      <c r="A634" s="28" t="s">
        <v>1004</v>
      </c>
      <c r="B634" s="27" t="s">
        <v>438</v>
      </c>
      <c r="C634" s="27" t="s">
        <v>236</v>
      </c>
      <c r="D634" s="25"/>
      <c r="E634" s="25"/>
      <c r="F634" s="25"/>
      <c r="G634" s="25"/>
      <c r="H634" s="25"/>
      <c r="I634" s="25"/>
      <c r="J634" s="27" t="s">
        <v>982</v>
      </c>
      <c r="K634" s="25" t="str">
        <f aca="false">IFERROR(__xludf.dummyfunction("SPLIT(J634,"" "")"),"CIF")</f>
        <v>CIF</v>
      </c>
      <c r="L634" s="28" t="str">
        <f aca="false">IFERROR(__xludf.dummyfunction("""COMPUTED_VALUE"""),"Germany")</f>
        <v>Germany</v>
      </c>
      <c r="M634" s="27" t="str">
        <f aca="false">IFERROR(__xludf.dummyfunction("""COMPUTED_VALUE"""),"(Diff)")</f>
        <v>(Diff)</v>
      </c>
      <c r="N634" s="25"/>
      <c r="O634" s="25"/>
      <c r="P634" s="25"/>
      <c r="Q634" s="29" t="s">
        <v>266</v>
      </c>
      <c r="R634" s="8" t="str">
        <f aca="false">B634&amp;" "&amp;C634&amp;" "&amp;D634&amp;" "&amp;E634&amp;" "&amp;G634&amp;" "&amp;H634&amp;" "&amp;J634&amp;" "&amp;N634</f>
        <v>Differentials Cathode     CIF Germany (Diff) </v>
      </c>
      <c r="S634" s="25"/>
      <c r="T634" s="8"/>
      <c r="U634" s="8"/>
      <c r="V634" s="27" t="s">
        <v>49</v>
      </c>
      <c r="W634" s="25"/>
      <c r="X634" s="25"/>
      <c r="Y634" s="25"/>
      <c r="Z634" s="25"/>
      <c r="AA634" s="25"/>
      <c r="AB634" s="25"/>
      <c r="AC634" s="25"/>
      <c r="AD634" s="25"/>
    </row>
    <row r="635" customFormat="false" ht="15.75" hidden="false" customHeight="false" outlineLevel="0" collapsed="false">
      <c r="A635" s="28" t="s">
        <v>1005</v>
      </c>
      <c r="B635" s="27" t="s">
        <v>438</v>
      </c>
      <c r="C635" s="27" t="s">
        <v>236</v>
      </c>
      <c r="D635" s="25"/>
      <c r="E635" s="25"/>
      <c r="F635" s="25"/>
      <c r="G635" s="25"/>
      <c r="H635" s="25"/>
      <c r="I635" s="25"/>
      <c r="J635" s="27" t="s">
        <v>982</v>
      </c>
      <c r="K635" s="25" t="str">
        <f aca="false">IFERROR(__xludf.dummyfunction("SPLIT(J635,"" "")"),"CIF")</f>
        <v>CIF</v>
      </c>
      <c r="L635" s="28" t="str">
        <f aca="false">IFERROR(__xludf.dummyfunction("""COMPUTED_VALUE"""),"Germany")</f>
        <v>Germany</v>
      </c>
      <c r="M635" s="27" t="str">
        <f aca="false">IFERROR(__xludf.dummyfunction("""COMPUTED_VALUE"""),"(Diff)")</f>
        <v>(Diff)</v>
      </c>
      <c r="N635" s="25"/>
      <c r="O635" s="25"/>
      <c r="P635" s="25"/>
      <c r="Q635" s="29" t="s">
        <v>261</v>
      </c>
      <c r="R635" s="8" t="str">
        <f aca="false">B635&amp;" "&amp;C635&amp;" "&amp;D635&amp;" "&amp;E635&amp;" "&amp;G635&amp;" "&amp;H635&amp;" "&amp;J635&amp;" "&amp;N635</f>
        <v>Differentials Cathode     CIF Germany (Diff) </v>
      </c>
      <c r="S635" s="25"/>
      <c r="T635" s="8"/>
      <c r="U635" s="8"/>
      <c r="V635" s="27" t="s">
        <v>49</v>
      </c>
      <c r="W635" s="25"/>
      <c r="X635" s="25"/>
      <c r="Y635" s="25"/>
      <c r="Z635" s="25"/>
      <c r="AA635" s="25"/>
      <c r="AB635" s="25"/>
      <c r="AC635" s="25"/>
      <c r="AD635" s="25"/>
    </row>
    <row r="636" customFormat="false" ht="15.75" hidden="false" customHeight="false" outlineLevel="0" collapsed="false">
      <c r="A636" s="28" t="s">
        <v>1006</v>
      </c>
      <c r="B636" s="27" t="s">
        <v>438</v>
      </c>
      <c r="C636" s="27" t="s">
        <v>236</v>
      </c>
      <c r="D636" s="25"/>
      <c r="E636" s="25"/>
      <c r="F636" s="25"/>
      <c r="G636" s="25"/>
      <c r="H636" s="25"/>
      <c r="I636" s="25"/>
      <c r="J636" s="27" t="s">
        <v>982</v>
      </c>
      <c r="K636" s="25" t="str">
        <f aca="false">IFERROR(__xludf.dummyfunction("SPLIT(J636,"" "")"),"CIF")</f>
        <v>CIF</v>
      </c>
      <c r="L636" s="28" t="str">
        <f aca="false">IFERROR(__xludf.dummyfunction("""COMPUTED_VALUE"""),"Germany")</f>
        <v>Germany</v>
      </c>
      <c r="M636" s="27" t="str">
        <f aca="false">IFERROR(__xludf.dummyfunction("""COMPUTED_VALUE"""),"(Diff)")</f>
        <v>(Diff)</v>
      </c>
      <c r="N636" s="25"/>
      <c r="O636" s="25"/>
      <c r="P636" s="25"/>
      <c r="Q636" s="29" t="s">
        <v>256</v>
      </c>
      <c r="R636" s="8" t="str">
        <f aca="false">B636&amp;" "&amp;C636&amp;" "&amp;D636&amp;" "&amp;E636&amp;" "&amp;G636&amp;" "&amp;H636&amp;" "&amp;J636&amp;" "&amp;N636</f>
        <v>Differentials Cathode     CIF Germany (Diff) </v>
      </c>
      <c r="S636" s="25"/>
      <c r="T636" s="8"/>
      <c r="U636" s="8"/>
      <c r="V636" s="27" t="s">
        <v>49</v>
      </c>
      <c r="W636" s="25"/>
      <c r="X636" s="25"/>
      <c r="Y636" s="25"/>
      <c r="Z636" s="25"/>
      <c r="AA636" s="25"/>
      <c r="AB636" s="25"/>
      <c r="AC636" s="25"/>
      <c r="AD636" s="25"/>
    </row>
    <row r="637" customFormat="false" ht="15.75" hidden="false" customHeight="false" outlineLevel="0" collapsed="false">
      <c r="A637" s="28" t="s">
        <v>1007</v>
      </c>
      <c r="B637" s="27" t="s">
        <v>438</v>
      </c>
      <c r="C637" s="27" t="s">
        <v>236</v>
      </c>
      <c r="D637" s="25"/>
      <c r="E637" s="25"/>
      <c r="F637" s="25"/>
      <c r="G637" s="25"/>
      <c r="H637" s="25"/>
      <c r="I637" s="25"/>
      <c r="J637" s="27" t="s">
        <v>982</v>
      </c>
      <c r="K637" s="25" t="str">
        <f aca="false">IFERROR(__xludf.dummyfunction("SPLIT(J637,"" "")"),"CIF")</f>
        <v>CIF</v>
      </c>
      <c r="L637" s="28" t="str">
        <f aca="false">IFERROR(__xludf.dummyfunction("""COMPUTED_VALUE"""),"Germany")</f>
        <v>Germany</v>
      </c>
      <c r="M637" s="27" t="str">
        <f aca="false">IFERROR(__xludf.dummyfunction("""COMPUTED_VALUE"""),"(Diff)")</f>
        <v>(Diff)</v>
      </c>
      <c r="N637" s="25"/>
      <c r="O637" s="25"/>
      <c r="P637" s="25"/>
      <c r="Q637" s="29" t="s">
        <v>251</v>
      </c>
      <c r="R637" s="8" t="str">
        <f aca="false">B637&amp;" "&amp;C637&amp;" "&amp;D637&amp;" "&amp;E637&amp;" "&amp;G637&amp;" "&amp;H637&amp;" "&amp;J637&amp;" "&amp;N637</f>
        <v>Differentials Cathode     CIF Germany (Diff) </v>
      </c>
      <c r="S637" s="25"/>
      <c r="T637" s="8"/>
      <c r="U637" s="8"/>
      <c r="V637" s="27" t="s">
        <v>49</v>
      </c>
      <c r="W637" s="25"/>
      <c r="X637" s="25"/>
      <c r="Y637" s="25"/>
      <c r="Z637" s="25"/>
      <c r="AA637" s="25"/>
      <c r="AB637" s="25"/>
      <c r="AC637" s="25"/>
      <c r="AD637" s="25"/>
    </row>
    <row r="638" customFormat="false" ht="15.75" hidden="false" customHeight="false" outlineLevel="0" collapsed="false">
      <c r="A638" s="28" t="s">
        <v>1008</v>
      </c>
      <c r="B638" s="27" t="s">
        <v>438</v>
      </c>
      <c r="C638" s="27" t="s">
        <v>236</v>
      </c>
      <c r="D638" s="25"/>
      <c r="E638" s="25"/>
      <c r="F638" s="25"/>
      <c r="G638" s="25"/>
      <c r="H638" s="25"/>
      <c r="I638" s="25"/>
      <c r="J638" s="27" t="s">
        <v>982</v>
      </c>
      <c r="K638" s="25" t="str">
        <f aca="false">IFERROR(__xludf.dummyfunction("SPLIT(J638,"" "")"),"CIF")</f>
        <v>CIF</v>
      </c>
      <c r="L638" s="28" t="str">
        <f aca="false">IFERROR(__xludf.dummyfunction("""COMPUTED_VALUE"""),"Germany")</f>
        <v>Germany</v>
      </c>
      <c r="M638" s="27" t="str">
        <f aca="false">IFERROR(__xludf.dummyfunction("""COMPUTED_VALUE"""),"(Diff)")</f>
        <v>(Diff)</v>
      </c>
      <c r="N638" s="25"/>
      <c r="O638" s="25"/>
      <c r="P638" s="25"/>
      <c r="Q638" s="29" t="s">
        <v>247</v>
      </c>
      <c r="R638" s="8" t="str">
        <f aca="false">B638&amp;" "&amp;C638&amp;" "&amp;D638&amp;" "&amp;E638&amp;" "&amp;G638&amp;" "&amp;H638&amp;" "&amp;J638&amp;" "&amp;N638</f>
        <v>Differentials Cathode     CIF Germany (Diff) </v>
      </c>
      <c r="S638" s="25"/>
      <c r="T638" s="8"/>
      <c r="U638" s="8"/>
      <c r="V638" s="27" t="s">
        <v>49</v>
      </c>
      <c r="W638" s="25"/>
      <c r="X638" s="25"/>
      <c r="Y638" s="25"/>
      <c r="Z638" s="25"/>
      <c r="AA638" s="25"/>
      <c r="AB638" s="25"/>
      <c r="AC638" s="25"/>
      <c r="AD638" s="25"/>
    </row>
    <row r="639" customFormat="false" ht="15.75" hidden="false" customHeight="false" outlineLevel="0" collapsed="false">
      <c r="A639" s="28" t="s">
        <v>1009</v>
      </c>
      <c r="B639" s="27" t="s">
        <v>438</v>
      </c>
      <c r="C639" s="27" t="s">
        <v>236</v>
      </c>
      <c r="D639" s="25"/>
      <c r="E639" s="25"/>
      <c r="F639" s="25"/>
      <c r="G639" s="25"/>
      <c r="H639" s="25"/>
      <c r="I639" s="25"/>
      <c r="J639" s="27" t="s">
        <v>982</v>
      </c>
      <c r="K639" s="25" t="str">
        <f aca="false">IFERROR(__xludf.dummyfunction("SPLIT(J639,"" "")"),"CIF")</f>
        <v>CIF</v>
      </c>
      <c r="L639" s="28" t="str">
        <f aca="false">IFERROR(__xludf.dummyfunction("""COMPUTED_VALUE"""),"Germany")</f>
        <v>Germany</v>
      </c>
      <c r="M639" s="27" t="str">
        <f aca="false">IFERROR(__xludf.dummyfunction("""COMPUTED_VALUE"""),"(Diff)")</f>
        <v>(Diff)</v>
      </c>
      <c r="N639" s="25"/>
      <c r="O639" s="25"/>
      <c r="P639" s="25"/>
      <c r="Q639" s="29" t="s">
        <v>243</v>
      </c>
      <c r="R639" s="8" t="str">
        <f aca="false">B639&amp;" "&amp;C639&amp;" "&amp;D639&amp;" "&amp;E639&amp;" "&amp;G639&amp;" "&amp;H639&amp;" "&amp;J639&amp;" "&amp;N639</f>
        <v>Differentials Cathode     CIF Germany (Diff) </v>
      </c>
      <c r="S639" s="25"/>
      <c r="T639" s="8"/>
      <c r="U639" s="8"/>
      <c r="V639" s="27" t="s">
        <v>49</v>
      </c>
      <c r="W639" s="25"/>
      <c r="X639" s="25"/>
      <c r="Y639" s="25"/>
      <c r="Z639" s="25"/>
      <c r="AA639" s="25"/>
      <c r="AB639" s="25"/>
      <c r="AC639" s="25"/>
      <c r="AD639" s="25"/>
    </row>
    <row r="640" customFormat="false" ht="15.75" hidden="false" customHeight="false" outlineLevel="0" collapsed="false">
      <c r="A640" s="28" t="s">
        <v>1010</v>
      </c>
      <c r="B640" s="27" t="s">
        <v>438</v>
      </c>
      <c r="C640" s="27" t="s">
        <v>236</v>
      </c>
      <c r="D640" s="25"/>
      <c r="E640" s="25"/>
      <c r="F640" s="25"/>
      <c r="G640" s="25"/>
      <c r="H640" s="25"/>
      <c r="I640" s="25"/>
      <c r="J640" s="27" t="s">
        <v>982</v>
      </c>
      <c r="K640" s="25" t="str">
        <f aca="false">IFERROR(__xludf.dummyfunction("SPLIT(J640,"" "")"),"CIF")</f>
        <v>CIF</v>
      </c>
      <c r="L640" s="28" t="str">
        <f aca="false">IFERROR(__xludf.dummyfunction("""COMPUTED_VALUE"""),"Germany")</f>
        <v>Germany</v>
      </c>
      <c r="M640" s="27" t="str">
        <f aca="false">IFERROR(__xludf.dummyfunction("""COMPUTED_VALUE"""),"(Diff)")</f>
        <v>(Diff)</v>
      </c>
      <c r="N640" s="25"/>
      <c r="O640" s="25"/>
      <c r="P640" s="25"/>
      <c r="Q640" s="29" t="s">
        <v>239</v>
      </c>
      <c r="R640" s="8" t="str">
        <f aca="false">B640&amp;" "&amp;C640&amp;" "&amp;D640&amp;" "&amp;E640&amp;" "&amp;G640&amp;" "&amp;H640&amp;" "&amp;J640&amp;" "&amp;N640</f>
        <v>Differentials Cathode     CIF Germany (Diff) </v>
      </c>
      <c r="S640" s="25"/>
      <c r="T640" s="8"/>
      <c r="U640" s="8"/>
      <c r="V640" s="27" t="s">
        <v>49</v>
      </c>
      <c r="W640" s="25"/>
      <c r="X640" s="25"/>
      <c r="Y640" s="25"/>
      <c r="Z640" s="25"/>
      <c r="AA640" s="25"/>
      <c r="AB640" s="25"/>
      <c r="AC640" s="25"/>
      <c r="AD640" s="25"/>
    </row>
    <row r="641" customFormat="false" ht="15.75" hidden="false" customHeight="false" outlineLevel="0" collapsed="false">
      <c r="A641" s="28" t="s">
        <v>1011</v>
      </c>
      <c r="B641" s="27" t="s">
        <v>438</v>
      </c>
      <c r="C641" s="27" t="s">
        <v>273</v>
      </c>
      <c r="D641" s="25"/>
      <c r="E641" s="25"/>
      <c r="F641" s="25"/>
      <c r="G641" s="25"/>
      <c r="H641" s="25"/>
      <c r="I641" s="25"/>
      <c r="J641" s="27" t="s">
        <v>982</v>
      </c>
      <c r="K641" s="25" t="str">
        <f aca="false">IFERROR(__xludf.dummyfunction("SPLIT(J641,"" "")"),"CIF")</f>
        <v>CIF</v>
      </c>
      <c r="L641" s="28" t="str">
        <f aca="false">IFERROR(__xludf.dummyfunction("""COMPUTED_VALUE"""),"Germany")</f>
        <v>Germany</v>
      </c>
      <c r="M641" s="27" t="str">
        <f aca="false">IFERROR(__xludf.dummyfunction("""COMPUTED_VALUE"""),"(Diff)")</f>
        <v>(Diff)</v>
      </c>
      <c r="N641" s="25"/>
      <c r="O641" s="25"/>
      <c r="P641" s="25"/>
      <c r="Q641" s="29" t="s">
        <v>274</v>
      </c>
      <c r="R641" s="8" t="str">
        <f aca="false">B641&amp;" "&amp;C641&amp;" "&amp;D641&amp;" "&amp;E641&amp;" "&amp;G641&amp;" "&amp;H641&amp;" "&amp;J641&amp;" "&amp;N641</f>
        <v>Differentials Cobalt     CIF Germany (Diff) </v>
      </c>
      <c r="S641" s="25"/>
      <c r="T641" s="8"/>
      <c r="U641" s="8"/>
      <c r="V641" s="27" t="s">
        <v>49</v>
      </c>
      <c r="W641" s="25"/>
      <c r="X641" s="25"/>
      <c r="Y641" s="25"/>
      <c r="Z641" s="25"/>
      <c r="AA641" s="25"/>
      <c r="AB641" s="25"/>
      <c r="AC641" s="25"/>
      <c r="AD641" s="25"/>
    </row>
    <row r="642" customFormat="false" ht="15.75" hidden="false" customHeight="false" outlineLevel="0" collapsed="false">
      <c r="A642" s="28" t="s">
        <v>1012</v>
      </c>
      <c r="B642" s="27" t="s">
        <v>438</v>
      </c>
      <c r="C642" s="27" t="s">
        <v>273</v>
      </c>
      <c r="D642" s="25"/>
      <c r="E642" s="25"/>
      <c r="F642" s="25"/>
      <c r="G642" s="25"/>
      <c r="H642" s="25"/>
      <c r="I642" s="25"/>
      <c r="J642" s="27" t="s">
        <v>982</v>
      </c>
      <c r="K642" s="25" t="str">
        <f aca="false">IFERROR(__xludf.dummyfunction("SPLIT(J642,"" "")"),"CIF")</f>
        <v>CIF</v>
      </c>
      <c r="L642" s="28" t="str">
        <f aca="false">IFERROR(__xludf.dummyfunction("""COMPUTED_VALUE"""),"Germany")</f>
        <v>Germany</v>
      </c>
      <c r="M642" s="27" t="str">
        <f aca="false">IFERROR(__xludf.dummyfunction("""COMPUTED_VALUE"""),"(Diff)")</f>
        <v>(Diff)</v>
      </c>
      <c r="N642" s="25"/>
      <c r="O642" s="25"/>
      <c r="P642" s="25"/>
      <c r="Q642" s="29" t="s">
        <v>282</v>
      </c>
      <c r="R642" s="8" t="str">
        <f aca="false">B642&amp;" "&amp;C642&amp;" "&amp;D642&amp;" "&amp;E642&amp;" "&amp;G642&amp;" "&amp;H642&amp;" "&amp;J642&amp;" "&amp;N642</f>
        <v>Differentials Cobalt     CIF Germany (Diff) </v>
      </c>
      <c r="S642" s="25"/>
      <c r="T642" s="8"/>
      <c r="U642" s="8"/>
      <c r="V642" s="27" t="s">
        <v>49</v>
      </c>
      <c r="W642" s="25"/>
      <c r="X642" s="25"/>
      <c r="Y642" s="25"/>
      <c r="Z642" s="25"/>
      <c r="AA642" s="25"/>
      <c r="AB642" s="25"/>
      <c r="AC642" s="25"/>
      <c r="AD642" s="25"/>
    </row>
    <row r="643" customFormat="false" ht="15.75" hidden="false" customHeight="false" outlineLevel="0" collapsed="false">
      <c r="A643" s="28" t="s">
        <v>1013</v>
      </c>
      <c r="B643" s="27" t="s">
        <v>438</v>
      </c>
      <c r="C643" s="27" t="s">
        <v>273</v>
      </c>
      <c r="D643" s="25"/>
      <c r="E643" s="25"/>
      <c r="F643" s="25"/>
      <c r="G643" s="25"/>
      <c r="H643" s="25"/>
      <c r="I643" s="25"/>
      <c r="J643" s="27" t="s">
        <v>982</v>
      </c>
      <c r="K643" s="25" t="str">
        <f aca="false">IFERROR(__xludf.dummyfunction("SPLIT(J643,"" "")"),"CIF")</f>
        <v>CIF</v>
      </c>
      <c r="L643" s="28" t="str">
        <f aca="false">IFERROR(__xludf.dummyfunction("""COMPUTED_VALUE"""),"Germany")</f>
        <v>Germany</v>
      </c>
      <c r="M643" s="27" t="str">
        <f aca="false">IFERROR(__xludf.dummyfunction("""COMPUTED_VALUE"""),"(Diff)")</f>
        <v>(Diff)</v>
      </c>
      <c r="N643" s="25"/>
      <c r="O643" s="25"/>
      <c r="P643" s="25"/>
      <c r="Q643" s="29" t="s">
        <v>280</v>
      </c>
      <c r="R643" s="8" t="str">
        <f aca="false">B643&amp;" "&amp;C643&amp;" "&amp;D643&amp;" "&amp;E643&amp;" "&amp;G643&amp;" "&amp;H643&amp;" "&amp;J643&amp;" "&amp;N643</f>
        <v>Differentials Cobalt     CIF Germany (Diff) </v>
      </c>
      <c r="S643" s="25"/>
      <c r="T643" s="8"/>
      <c r="U643" s="8"/>
      <c r="V643" s="27" t="s">
        <v>49</v>
      </c>
      <c r="W643" s="25"/>
      <c r="X643" s="25"/>
      <c r="Y643" s="25"/>
      <c r="Z643" s="25"/>
      <c r="AA643" s="25"/>
      <c r="AB643" s="25"/>
      <c r="AC643" s="25"/>
      <c r="AD643" s="25"/>
    </row>
    <row r="644" customFormat="false" ht="15.75" hidden="false" customHeight="false" outlineLevel="0" collapsed="false">
      <c r="A644" s="28" t="s">
        <v>1014</v>
      </c>
      <c r="B644" s="27" t="s">
        <v>438</v>
      </c>
      <c r="C644" s="27" t="s">
        <v>273</v>
      </c>
      <c r="D644" s="25"/>
      <c r="E644" s="25"/>
      <c r="F644" s="25"/>
      <c r="G644" s="25"/>
      <c r="H644" s="25"/>
      <c r="I644" s="25"/>
      <c r="J644" s="27" t="s">
        <v>982</v>
      </c>
      <c r="K644" s="25" t="str">
        <f aca="false">IFERROR(__xludf.dummyfunction("SPLIT(J644,"" "")"),"CIF")</f>
        <v>CIF</v>
      </c>
      <c r="L644" s="28" t="str">
        <f aca="false">IFERROR(__xludf.dummyfunction("""COMPUTED_VALUE"""),"Germany")</f>
        <v>Germany</v>
      </c>
      <c r="M644" s="27" t="str">
        <f aca="false">IFERROR(__xludf.dummyfunction("""COMPUTED_VALUE"""),"(Diff)")</f>
        <v>(Diff)</v>
      </c>
      <c r="N644" s="25"/>
      <c r="O644" s="25"/>
      <c r="P644" s="25"/>
      <c r="Q644" s="29" t="s">
        <v>278</v>
      </c>
      <c r="R644" s="8" t="str">
        <f aca="false">B644&amp;" "&amp;C644&amp;" "&amp;D644&amp;" "&amp;E644&amp;" "&amp;G644&amp;" "&amp;H644&amp;" "&amp;J644&amp;" "&amp;N644</f>
        <v>Differentials Cobalt     CIF Germany (Diff) </v>
      </c>
      <c r="S644" s="25"/>
      <c r="T644" s="8"/>
      <c r="U644" s="8"/>
      <c r="V644" s="27" t="s">
        <v>49</v>
      </c>
      <c r="W644" s="25"/>
      <c r="X644" s="25"/>
      <c r="Y644" s="25"/>
      <c r="Z644" s="25"/>
      <c r="AA644" s="25"/>
      <c r="AB644" s="25"/>
      <c r="AC644" s="25"/>
      <c r="AD644" s="25"/>
    </row>
    <row r="645" customFormat="false" ht="15.75" hidden="false" customHeight="false" outlineLevel="0" collapsed="false">
      <c r="A645" s="28" t="s">
        <v>1015</v>
      </c>
      <c r="B645" s="27" t="s">
        <v>438</v>
      </c>
      <c r="C645" s="27" t="s">
        <v>273</v>
      </c>
      <c r="D645" s="25"/>
      <c r="E645" s="25"/>
      <c r="F645" s="25"/>
      <c r="G645" s="25"/>
      <c r="H645" s="25"/>
      <c r="I645" s="25"/>
      <c r="J645" s="27" t="s">
        <v>982</v>
      </c>
      <c r="K645" s="25" t="str">
        <f aca="false">IFERROR(__xludf.dummyfunction("SPLIT(J645,"" "")"),"CIF")</f>
        <v>CIF</v>
      </c>
      <c r="L645" s="28" t="str">
        <f aca="false">IFERROR(__xludf.dummyfunction("""COMPUTED_VALUE"""),"Germany")</f>
        <v>Germany</v>
      </c>
      <c r="M645" s="27" t="str">
        <f aca="false">IFERROR(__xludf.dummyfunction("""COMPUTED_VALUE"""),"(Diff)")</f>
        <v>(Diff)</v>
      </c>
      <c r="N645" s="25"/>
      <c r="O645" s="25"/>
      <c r="P645" s="25"/>
      <c r="Q645" s="29" t="s">
        <v>276</v>
      </c>
      <c r="R645" s="8" t="str">
        <f aca="false">B645&amp;" "&amp;C645&amp;" "&amp;D645&amp;" "&amp;E645&amp;" "&amp;G645&amp;" "&amp;H645&amp;" "&amp;J645&amp;" "&amp;N645</f>
        <v>Differentials Cobalt     CIF Germany (Diff) </v>
      </c>
      <c r="S645" s="25"/>
      <c r="T645" s="8"/>
      <c r="U645" s="8"/>
      <c r="V645" s="27" t="s">
        <v>49</v>
      </c>
      <c r="W645" s="25"/>
      <c r="X645" s="25"/>
      <c r="Y645" s="25"/>
      <c r="Z645" s="25"/>
      <c r="AA645" s="25"/>
      <c r="AB645" s="25"/>
      <c r="AC645" s="25"/>
      <c r="AD645" s="25"/>
    </row>
    <row r="646" customFormat="false" ht="15.75" hidden="false" customHeight="false" outlineLevel="0" collapsed="false">
      <c r="A646" s="28" t="s">
        <v>1016</v>
      </c>
      <c r="B646" s="27" t="s">
        <v>438</v>
      </c>
      <c r="C646" s="27" t="s">
        <v>284</v>
      </c>
      <c r="D646" s="25"/>
      <c r="E646" s="25"/>
      <c r="F646" s="25"/>
      <c r="G646" s="25"/>
      <c r="H646" s="25"/>
      <c r="I646" s="25"/>
      <c r="J646" s="27" t="s">
        <v>982</v>
      </c>
      <c r="K646" s="25" t="str">
        <f aca="false">IFERROR(__xludf.dummyfunction("SPLIT(J646,"" "")"),"CIF")</f>
        <v>CIF</v>
      </c>
      <c r="L646" s="28" t="str">
        <f aca="false">IFERROR(__xludf.dummyfunction("""COMPUTED_VALUE"""),"Germany")</f>
        <v>Germany</v>
      </c>
      <c r="M646" s="27" t="str">
        <f aca="false">IFERROR(__xludf.dummyfunction("""COMPUTED_VALUE"""),"(Diff)")</f>
        <v>(Diff)</v>
      </c>
      <c r="N646" s="25"/>
      <c r="O646" s="25"/>
      <c r="P646" s="25"/>
      <c r="Q646" s="29" t="s">
        <v>287</v>
      </c>
      <c r="R646" s="8" t="str">
        <f aca="false">B646&amp;" "&amp;C646&amp;" "&amp;D646&amp;" "&amp;E646&amp;" "&amp;G646&amp;" "&amp;H646&amp;" "&amp;J646&amp;" "&amp;N646</f>
        <v>Differentials Copper (Battery Grade)     CIF Germany (Diff) </v>
      </c>
      <c r="S646" s="25"/>
      <c r="T646" s="8"/>
      <c r="U646" s="8"/>
      <c r="V646" s="27" t="s">
        <v>49</v>
      </c>
      <c r="W646" s="25"/>
      <c r="X646" s="25"/>
      <c r="Y646" s="25"/>
      <c r="Z646" s="25"/>
      <c r="AA646" s="25"/>
      <c r="AB646" s="25"/>
      <c r="AC646" s="25"/>
      <c r="AD646" s="25"/>
    </row>
    <row r="647" customFormat="false" ht="15.75" hidden="false" customHeight="false" outlineLevel="0" collapsed="false">
      <c r="A647" s="28" t="s">
        <v>1017</v>
      </c>
      <c r="B647" s="27" t="s">
        <v>438</v>
      </c>
      <c r="C647" s="27" t="s">
        <v>284</v>
      </c>
      <c r="D647" s="25"/>
      <c r="E647" s="25"/>
      <c r="F647" s="25"/>
      <c r="G647" s="25"/>
      <c r="H647" s="25"/>
      <c r="I647" s="25"/>
      <c r="J647" s="27" t="s">
        <v>982</v>
      </c>
      <c r="K647" s="25" t="str">
        <f aca="false">IFERROR(__xludf.dummyfunction("SPLIT(J647,"" "")"),"CIF")</f>
        <v>CIF</v>
      </c>
      <c r="L647" s="28" t="str">
        <f aca="false">IFERROR(__xludf.dummyfunction("""COMPUTED_VALUE"""),"Germany")</f>
        <v>Germany</v>
      </c>
      <c r="M647" s="27" t="str">
        <f aca="false">IFERROR(__xludf.dummyfunction("""COMPUTED_VALUE"""),"(Diff)")</f>
        <v>(Diff)</v>
      </c>
      <c r="N647" s="25"/>
      <c r="O647" s="25"/>
      <c r="P647" s="25"/>
      <c r="Q647" s="29" t="s">
        <v>285</v>
      </c>
      <c r="R647" s="8" t="str">
        <f aca="false">B647&amp;" "&amp;C647&amp;" "&amp;D647&amp;" "&amp;E647&amp;" "&amp;G647&amp;" "&amp;H647&amp;" "&amp;J647&amp;" "&amp;N647</f>
        <v>Differentials Copper (Battery Grade)     CIF Germany (Diff) </v>
      </c>
      <c r="S647" s="25"/>
      <c r="T647" s="8"/>
      <c r="U647" s="8"/>
      <c r="V647" s="27" t="s">
        <v>49</v>
      </c>
      <c r="W647" s="25"/>
      <c r="X647" s="25"/>
      <c r="Y647" s="25"/>
      <c r="Z647" s="25"/>
      <c r="AA647" s="25"/>
      <c r="AB647" s="25"/>
      <c r="AC647" s="25"/>
      <c r="AD647" s="25"/>
    </row>
    <row r="648" customFormat="false" ht="15.75" hidden="false" customHeight="false" outlineLevel="0" collapsed="false">
      <c r="A648" s="28" t="s">
        <v>1018</v>
      </c>
      <c r="B648" s="27" t="s">
        <v>438</v>
      </c>
      <c r="C648" s="27" t="s">
        <v>289</v>
      </c>
      <c r="D648" s="25"/>
      <c r="E648" s="25"/>
      <c r="F648" s="25"/>
      <c r="G648" s="25"/>
      <c r="H648" s="25"/>
      <c r="I648" s="25"/>
      <c r="J648" s="27" t="s">
        <v>982</v>
      </c>
      <c r="K648" s="25" t="str">
        <f aca="false">IFERROR(__xludf.dummyfunction("SPLIT(J648,"" "")"),"CIF")</f>
        <v>CIF</v>
      </c>
      <c r="L648" s="28" t="str">
        <f aca="false">IFERROR(__xludf.dummyfunction("""COMPUTED_VALUE"""),"Germany")</f>
        <v>Germany</v>
      </c>
      <c r="M648" s="27" t="str">
        <f aca="false">IFERROR(__xludf.dummyfunction("""COMPUTED_VALUE"""),"(Diff)")</f>
        <v>(Diff)</v>
      </c>
      <c r="N648" s="25"/>
      <c r="O648" s="25"/>
      <c r="P648" s="25"/>
      <c r="Q648" s="29" t="s">
        <v>306</v>
      </c>
      <c r="R648" s="8" t="str">
        <f aca="false">B648&amp;" "&amp;C648&amp;" "&amp;D648&amp;" "&amp;E648&amp;" "&amp;G648&amp;" "&amp;H648&amp;" "&amp;J648&amp;" "&amp;N648</f>
        <v>Differentials Electrolyte     CIF Germany (Diff) </v>
      </c>
      <c r="S648" s="25"/>
      <c r="T648" s="8"/>
      <c r="U648" s="8"/>
      <c r="V648" s="27" t="s">
        <v>49</v>
      </c>
      <c r="W648" s="25"/>
      <c r="X648" s="25"/>
      <c r="Y648" s="25"/>
      <c r="Z648" s="25"/>
      <c r="AA648" s="25"/>
      <c r="AB648" s="25"/>
      <c r="AC648" s="25"/>
      <c r="AD648" s="25"/>
    </row>
    <row r="649" customFormat="false" ht="15.75" hidden="false" customHeight="false" outlineLevel="0" collapsed="false">
      <c r="A649" s="28" t="s">
        <v>1019</v>
      </c>
      <c r="B649" s="27" t="s">
        <v>438</v>
      </c>
      <c r="C649" s="27" t="s">
        <v>289</v>
      </c>
      <c r="D649" s="25"/>
      <c r="E649" s="25"/>
      <c r="F649" s="25"/>
      <c r="G649" s="25"/>
      <c r="H649" s="25"/>
      <c r="I649" s="25"/>
      <c r="J649" s="27" t="s">
        <v>982</v>
      </c>
      <c r="K649" s="25" t="str">
        <f aca="false">IFERROR(__xludf.dummyfunction("SPLIT(J649,"" "")"),"CIF")</f>
        <v>CIF</v>
      </c>
      <c r="L649" s="28" t="str">
        <f aca="false">IFERROR(__xludf.dummyfunction("""COMPUTED_VALUE"""),"Germany")</f>
        <v>Germany</v>
      </c>
      <c r="M649" s="27" t="str">
        <f aca="false">IFERROR(__xludf.dummyfunction("""COMPUTED_VALUE"""),"(Diff)")</f>
        <v>(Diff)</v>
      </c>
      <c r="N649" s="25"/>
      <c r="O649" s="25"/>
      <c r="P649" s="25"/>
      <c r="Q649" s="29" t="s">
        <v>304</v>
      </c>
      <c r="R649" s="8" t="str">
        <f aca="false">B649&amp;" "&amp;C649&amp;" "&amp;D649&amp;" "&amp;E649&amp;" "&amp;G649&amp;" "&amp;H649&amp;" "&amp;J649&amp;" "&amp;N649</f>
        <v>Differentials Electrolyte     CIF Germany (Diff) </v>
      </c>
      <c r="S649" s="25"/>
      <c r="T649" s="8"/>
      <c r="U649" s="8"/>
      <c r="V649" s="27" t="s">
        <v>49</v>
      </c>
      <c r="W649" s="25"/>
      <c r="X649" s="25"/>
      <c r="Y649" s="25"/>
      <c r="Z649" s="25"/>
      <c r="AA649" s="25"/>
      <c r="AB649" s="25"/>
      <c r="AC649" s="25"/>
      <c r="AD649" s="25"/>
    </row>
    <row r="650" customFormat="false" ht="15.75" hidden="false" customHeight="false" outlineLevel="0" collapsed="false">
      <c r="A650" s="28" t="s">
        <v>1020</v>
      </c>
      <c r="B650" s="27" t="s">
        <v>438</v>
      </c>
      <c r="C650" s="27" t="s">
        <v>289</v>
      </c>
      <c r="D650" s="25"/>
      <c r="E650" s="25"/>
      <c r="F650" s="25"/>
      <c r="G650" s="25"/>
      <c r="H650" s="25"/>
      <c r="I650" s="25"/>
      <c r="J650" s="27" t="s">
        <v>982</v>
      </c>
      <c r="K650" s="25" t="str">
        <f aca="false">IFERROR(__xludf.dummyfunction("SPLIT(J650,"" "")"),"CIF")</f>
        <v>CIF</v>
      </c>
      <c r="L650" s="28" t="str">
        <f aca="false">IFERROR(__xludf.dummyfunction("""COMPUTED_VALUE"""),"Germany")</f>
        <v>Germany</v>
      </c>
      <c r="M650" s="27" t="str">
        <f aca="false">IFERROR(__xludf.dummyfunction("""COMPUTED_VALUE"""),"(Diff)")</f>
        <v>(Diff)</v>
      </c>
      <c r="N650" s="25"/>
      <c r="O650" s="25"/>
      <c r="P650" s="25"/>
      <c r="Q650" s="29" t="s">
        <v>302</v>
      </c>
      <c r="R650" s="8" t="str">
        <f aca="false">B650&amp;" "&amp;C650&amp;" "&amp;D650&amp;" "&amp;E650&amp;" "&amp;G650&amp;" "&amp;H650&amp;" "&amp;J650&amp;" "&amp;N650</f>
        <v>Differentials Electrolyte     CIF Germany (Diff) </v>
      </c>
      <c r="S650" s="25"/>
      <c r="T650" s="8"/>
      <c r="U650" s="8"/>
      <c r="V650" s="27" t="s">
        <v>49</v>
      </c>
      <c r="W650" s="25"/>
      <c r="X650" s="25"/>
      <c r="Y650" s="25"/>
      <c r="Z650" s="25"/>
      <c r="AA650" s="25"/>
      <c r="AB650" s="25"/>
      <c r="AC650" s="25"/>
      <c r="AD650" s="25"/>
    </row>
    <row r="651" customFormat="false" ht="15.75" hidden="false" customHeight="false" outlineLevel="0" collapsed="false">
      <c r="A651" s="28" t="s">
        <v>1021</v>
      </c>
      <c r="B651" s="27" t="s">
        <v>438</v>
      </c>
      <c r="C651" s="27" t="s">
        <v>289</v>
      </c>
      <c r="D651" s="25"/>
      <c r="E651" s="25"/>
      <c r="F651" s="25"/>
      <c r="G651" s="25"/>
      <c r="H651" s="25"/>
      <c r="I651" s="25"/>
      <c r="J651" s="27" t="s">
        <v>982</v>
      </c>
      <c r="K651" s="25" t="str">
        <f aca="false">IFERROR(__xludf.dummyfunction("SPLIT(J651,"" "")"),"CIF")</f>
        <v>CIF</v>
      </c>
      <c r="L651" s="28" t="str">
        <f aca="false">IFERROR(__xludf.dummyfunction("""COMPUTED_VALUE"""),"Germany")</f>
        <v>Germany</v>
      </c>
      <c r="M651" s="27" t="str">
        <f aca="false">IFERROR(__xludf.dummyfunction("""COMPUTED_VALUE"""),"(Diff)")</f>
        <v>(Diff)</v>
      </c>
      <c r="N651" s="25"/>
      <c r="O651" s="25"/>
      <c r="P651" s="25"/>
      <c r="Q651" s="29" t="s">
        <v>300</v>
      </c>
      <c r="R651" s="8" t="str">
        <f aca="false">B651&amp;" "&amp;C651&amp;" "&amp;D651&amp;" "&amp;E651&amp;" "&amp;G651&amp;" "&amp;H651&amp;" "&amp;J651&amp;" "&amp;N651</f>
        <v>Differentials Electrolyte     CIF Germany (Diff) </v>
      </c>
      <c r="S651" s="25"/>
      <c r="T651" s="8"/>
      <c r="U651" s="8"/>
      <c r="V651" s="27" t="s">
        <v>49</v>
      </c>
      <c r="W651" s="25"/>
      <c r="X651" s="25"/>
      <c r="Y651" s="25"/>
      <c r="Z651" s="25"/>
      <c r="AA651" s="25"/>
      <c r="AB651" s="25"/>
      <c r="AC651" s="25"/>
      <c r="AD651" s="25"/>
    </row>
    <row r="652" customFormat="false" ht="15.75" hidden="false" customHeight="false" outlineLevel="0" collapsed="false">
      <c r="A652" s="28" t="s">
        <v>1022</v>
      </c>
      <c r="B652" s="27" t="s">
        <v>438</v>
      </c>
      <c r="C652" s="27" t="s">
        <v>289</v>
      </c>
      <c r="D652" s="25"/>
      <c r="E652" s="25"/>
      <c r="F652" s="25"/>
      <c r="G652" s="25"/>
      <c r="H652" s="25"/>
      <c r="I652" s="25"/>
      <c r="J652" s="27" t="s">
        <v>982</v>
      </c>
      <c r="K652" s="25" t="str">
        <f aca="false">IFERROR(__xludf.dummyfunction("SPLIT(J652,"" "")"),"CIF")</f>
        <v>CIF</v>
      </c>
      <c r="L652" s="28" t="str">
        <f aca="false">IFERROR(__xludf.dummyfunction("""COMPUTED_VALUE"""),"Germany")</f>
        <v>Germany</v>
      </c>
      <c r="M652" s="27" t="str">
        <f aca="false">IFERROR(__xludf.dummyfunction("""COMPUTED_VALUE"""),"(Diff)")</f>
        <v>(Diff)</v>
      </c>
      <c r="N652" s="25"/>
      <c r="O652" s="25"/>
      <c r="P652" s="25"/>
      <c r="Q652" s="29" t="s">
        <v>298</v>
      </c>
      <c r="R652" s="8" t="str">
        <f aca="false">B652&amp;" "&amp;C652&amp;" "&amp;D652&amp;" "&amp;E652&amp;" "&amp;G652&amp;" "&amp;H652&amp;" "&amp;J652&amp;" "&amp;N652</f>
        <v>Differentials Electrolyte     CIF Germany (Diff) </v>
      </c>
      <c r="S652" s="25"/>
      <c r="T652" s="8"/>
      <c r="U652" s="8"/>
      <c r="V652" s="27" t="s">
        <v>49</v>
      </c>
      <c r="W652" s="25"/>
      <c r="X652" s="25"/>
      <c r="Y652" s="25"/>
      <c r="Z652" s="25"/>
      <c r="AA652" s="25"/>
      <c r="AB652" s="25"/>
      <c r="AC652" s="25"/>
      <c r="AD652" s="25"/>
    </row>
    <row r="653" customFormat="false" ht="15.75" hidden="false" customHeight="false" outlineLevel="0" collapsed="false">
      <c r="A653" s="28" t="s">
        <v>1023</v>
      </c>
      <c r="B653" s="27" t="s">
        <v>438</v>
      </c>
      <c r="C653" s="27" t="s">
        <v>289</v>
      </c>
      <c r="D653" s="25"/>
      <c r="E653" s="25"/>
      <c r="F653" s="25"/>
      <c r="G653" s="25"/>
      <c r="H653" s="25"/>
      <c r="I653" s="25"/>
      <c r="J653" s="27" t="s">
        <v>982</v>
      </c>
      <c r="K653" s="25" t="str">
        <f aca="false">IFERROR(__xludf.dummyfunction("SPLIT(J653,"" "")"),"CIF")</f>
        <v>CIF</v>
      </c>
      <c r="L653" s="28" t="str">
        <f aca="false">IFERROR(__xludf.dummyfunction("""COMPUTED_VALUE"""),"Germany")</f>
        <v>Germany</v>
      </c>
      <c r="M653" s="27" t="str">
        <f aca="false">IFERROR(__xludf.dummyfunction("""COMPUTED_VALUE"""),"(Diff)")</f>
        <v>(Diff)</v>
      </c>
      <c r="N653" s="25"/>
      <c r="O653" s="25"/>
      <c r="P653" s="25"/>
      <c r="Q653" s="29" t="s">
        <v>296</v>
      </c>
      <c r="R653" s="8" t="str">
        <f aca="false">B653&amp;" "&amp;C653&amp;" "&amp;D653&amp;" "&amp;E653&amp;" "&amp;G653&amp;" "&amp;H653&amp;" "&amp;J653&amp;" "&amp;N653</f>
        <v>Differentials Electrolyte     CIF Germany (Diff) </v>
      </c>
      <c r="S653" s="25"/>
      <c r="T653" s="8"/>
      <c r="U653" s="8"/>
      <c r="V653" s="27" t="s">
        <v>49</v>
      </c>
      <c r="W653" s="25"/>
      <c r="X653" s="25"/>
      <c r="Y653" s="25"/>
      <c r="Z653" s="25"/>
      <c r="AA653" s="25"/>
      <c r="AB653" s="25"/>
      <c r="AC653" s="25"/>
      <c r="AD653" s="25"/>
    </row>
    <row r="654" customFormat="false" ht="15.75" hidden="false" customHeight="false" outlineLevel="0" collapsed="false">
      <c r="A654" s="28" t="s">
        <v>1024</v>
      </c>
      <c r="B654" s="27" t="s">
        <v>438</v>
      </c>
      <c r="C654" s="27" t="s">
        <v>289</v>
      </c>
      <c r="D654" s="25"/>
      <c r="E654" s="25"/>
      <c r="F654" s="25"/>
      <c r="G654" s="25"/>
      <c r="H654" s="25"/>
      <c r="I654" s="25"/>
      <c r="J654" s="27" t="s">
        <v>982</v>
      </c>
      <c r="K654" s="25" t="str">
        <f aca="false">IFERROR(__xludf.dummyfunction("SPLIT(J654,"" "")"),"CIF")</f>
        <v>CIF</v>
      </c>
      <c r="L654" s="28" t="str">
        <f aca="false">IFERROR(__xludf.dummyfunction("""COMPUTED_VALUE"""),"Germany")</f>
        <v>Germany</v>
      </c>
      <c r="M654" s="27" t="str">
        <f aca="false">IFERROR(__xludf.dummyfunction("""COMPUTED_VALUE"""),"(Diff)")</f>
        <v>(Diff)</v>
      </c>
      <c r="N654" s="25"/>
      <c r="O654" s="25"/>
      <c r="P654" s="25"/>
      <c r="Q654" s="29" t="s">
        <v>294</v>
      </c>
      <c r="R654" s="8" t="str">
        <f aca="false">B654&amp;" "&amp;C654&amp;" "&amp;D654&amp;" "&amp;E654&amp;" "&amp;G654&amp;" "&amp;H654&amp;" "&amp;J654&amp;" "&amp;N654</f>
        <v>Differentials Electrolyte     CIF Germany (Diff) </v>
      </c>
      <c r="S654" s="25"/>
      <c r="T654" s="8"/>
      <c r="U654" s="8"/>
      <c r="V654" s="27" t="s">
        <v>49</v>
      </c>
      <c r="W654" s="25"/>
      <c r="X654" s="25"/>
      <c r="Y654" s="25"/>
      <c r="Z654" s="25"/>
      <c r="AA654" s="25"/>
      <c r="AB654" s="25"/>
      <c r="AC654" s="25"/>
      <c r="AD654" s="25"/>
    </row>
    <row r="655" customFormat="false" ht="15.75" hidden="false" customHeight="false" outlineLevel="0" collapsed="false">
      <c r="A655" s="28" t="s">
        <v>1025</v>
      </c>
      <c r="B655" s="27" t="s">
        <v>438</v>
      </c>
      <c r="C655" s="27" t="s">
        <v>289</v>
      </c>
      <c r="D655" s="25"/>
      <c r="E655" s="25"/>
      <c r="F655" s="25"/>
      <c r="G655" s="25"/>
      <c r="H655" s="25"/>
      <c r="I655" s="25"/>
      <c r="J655" s="27" t="s">
        <v>982</v>
      </c>
      <c r="K655" s="25" t="str">
        <f aca="false">IFERROR(__xludf.dummyfunction("SPLIT(J655,"" "")"),"CIF")</f>
        <v>CIF</v>
      </c>
      <c r="L655" s="28" t="str">
        <f aca="false">IFERROR(__xludf.dummyfunction("""COMPUTED_VALUE"""),"Germany")</f>
        <v>Germany</v>
      </c>
      <c r="M655" s="27" t="str">
        <f aca="false">IFERROR(__xludf.dummyfunction("""COMPUTED_VALUE"""),"(Diff)")</f>
        <v>(Diff)</v>
      </c>
      <c r="N655" s="25"/>
      <c r="O655" s="25"/>
      <c r="P655" s="25"/>
      <c r="Q655" s="29" t="s">
        <v>291</v>
      </c>
      <c r="R655" s="8" t="str">
        <f aca="false">B655&amp;" "&amp;C655&amp;" "&amp;D655&amp;" "&amp;E655&amp;" "&amp;G655&amp;" "&amp;H655&amp;" "&amp;J655&amp;" "&amp;N655</f>
        <v>Differentials Electrolyte     CIF Germany (Diff) </v>
      </c>
      <c r="S655" s="25"/>
      <c r="T655" s="8"/>
      <c r="U655" s="8"/>
      <c r="V655" s="27" t="s">
        <v>49</v>
      </c>
      <c r="W655" s="25"/>
      <c r="X655" s="25"/>
      <c r="Y655" s="25"/>
      <c r="Z655" s="25"/>
      <c r="AA655" s="25"/>
      <c r="AB655" s="25"/>
      <c r="AC655" s="25"/>
      <c r="AD655" s="25"/>
    </row>
    <row r="656" customFormat="false" ht="15.75" hidden="false" customHeight="false" outlineLevel="0" collapsed="false">
      <c r="A656" s="28" t="s">
        <v>1026</v>
      </c>
      <c r="B656" s="27" t="s">
        <v>438</v>
      </c>
      <c r="C656" s="27" t="s">
        <v>308</v>
      </c>
      <c r="D656" s="25"/>
      <c r="E656" s="25"/>
      <c r="F656" s="25"/>
      <c r="G656" s="25"/>
      <c r="H656" s="25"/>
      <c r="I656" s="25"/>
      <c r="J656" s="27" t="s">
        <v>982</v>
      </c>
      <c r="K656" s="25" t="str">
        <f aca="false">IFERROR(__xludf.dummyfunction("SPLIT(J656,"" "")"),"CIF")</f>
        <v>CIF</v>
      </c>
      <c r="L656" s="28" t="str">
        <f aca="false">IFERROR(__xludf.dummyfunction("""COMPUTED_VALUE"""),"Germany")</f>
        <v>Germany</v>
      </c>
      <c r="M656" s="27" t="str">
        <f aca="false">IFERROR(__xludf.dummyfunction("""COMPUTED_VALUE"""),"(Diff)")</f>
        <v>(Diff)</v>
      </c>
      <c r="N656" s="25"/>
      <c r="O656" s="25"/>
      <c r="P656" s="25"/>
      <c r="Q656" s="29" t="s">
        <v>358</v>
      </c>
      <c r="R656" s="8" t="str">
        <f aca="false">B656&amp;" "&amp;C656&amp;" "&amp;D656&amp;" "&amp;E656&amp;" "&amp;G656&amp;" "&amp;H656&amp;" "&amp;J656&amp;" "&amp;N656</f>
        <v>Differentials Graphite     CIF Germany (Diff) </v>
      </c>
      <c r="S656" s="25"/>
      <c r="T656" s="8"/>
      <c r="U656" s="8"/>
      <c r="V656" s="27" t="s">
        <v>49</v>
      </c>
      <c r="W656" s="25"/>
      <c r="X656" s="25"/>
      <c r="Y656" s="25"/>
      <c r="Z656" s="25"/>
      <c r="AA656" s="25"/>
      <c r="AB656" s="25"/>
      <c r="AC656" s="25"/>
      <c r="AD656" s="25"/>
    </row>
    <row r="657" customFormat="false" ht="15.75" hidden="false" customHeight="false" outlineLevel="0" collapsed="false">
      <c r="A657" s="28" t="s">
        <v>1027</v>
      </c>
      <c r="B657" s="27" t="s">
        <v>438</v>
      </c>
      <c r="C657" s="27" t="s">
        <v>308</v>
      </c>
      <c r="D657" s="25"/>
      <c r="E657" s="25"/>
      <c r="F657" s="25"/>
      <c r="G657" s="25"/>
      <c r="H657" s="25"/>
      <c r="I657" s="25"/>
      <c r="J657" s="27" t="s">
        <v>982</v>
      </c>
      <c r="K657" s="25" t="str">
        <f aca="false">IFERROR(__xludf.dummyfunction("SPLIT(J657,"" "")"),"CIF")</f>
        <v>CIF</v>
      </c>
      <c r="L657" s="28" t="str">
        <f aca="false">IFERROR(__xludf.dummyfunction("""COMPUTED_VALUE"""),"Germany")</f>
        <v>Germany</v>
      </c>
      <c r="M657" s="27" t="str">
        <f aca="false">IFERROR(__xludf.dummyfunction("""COMPUTED_VALUE"""),"(Diff)")</f>
        <v>(Diff)</v>
      </c>
      <c r="N657" s="25"/>
      <c r="O657" s="25"/>
      <c r="P657" s="25"/>
      <c r="Q657" s="29" t="s">
        <v>356</v>
      </c>
      <c r="R657" s="8" t="str">
        <f aca="false">B657&amp;" "&amp;C657&amp;" "&amp;D657&amp;" "&amp;E657&amp;" "&amp;G657&amp;" "&amp;H657&amp;" "&amp;J657&amp;" "&amp;N657</f>
        <v>Differentials Graphite     CIF Germany (Diff) </v>
      </c>
      <c r="S657" s="25"/>
      <c r="T657" s="8"/>
      <c r="U657" s="8"/>
      <c r="V657" s="27" t="s">
        <v>49</v>
      </c>
      <c r="W657" s="25"/>
      <c r="X657" s="25"/>
      <c r="Y657" s="25"/>
      <c r="Z657" s="25"/>
      <c r="AA657" s="25"/>
      <c r="AB657" s="25"/>
      <c r="AC657" s="25"/>
      <c r="AD657" s="25"/>
    </row>
    <row r="658" customFormat="false" ht="15.75" hidden="false" customHeight="false" outlineLevel="0" collapsed="false">
      <c r="A658" s="28" t="s">
        <v>1028</v>
      </c>
      <c r="B658" s="27" t="s">
        <v>438</v>
      </c>
      <c r="C658" s="27" t="s">
        <v>308</v>
      </c>
      <c r="D658" s="25"/>
      <c r="E658" s="25"/>
      <c r="F658" s="25"/>
      <c r="G658" s="25"/>
      <c r="H658" s="25"/>
      <c r="I658" s="25"/>
      <c r="J658" s="27" t="s">
        <v>982</v>
      </c>
      <c r="K658" s="25" t="str">
        <f aca="false">IFERROR(__xludf.dummyfunction("SPLIT(J658,"" "")"),"CIF")</f>
        <v>CIF</v>
      </c>
      <c r="L658" s="28" t="str">
        <f aca="false">IFERROR(__xludf.dummyfunction("""COMPUTED_VALUE"""),"Germany")</f>
        <v>Germany</v>
      </c>
      <c r="M658" s="27" t="str">
        <f aca="false">IFERROR(__xludf.dummyfunction("""COMPUTED_VALUE"""),"(Diff)")</f>
        <v>(Diff)</v>
      </c>
      <c r="N658" s="25"/>
      <c r="O658" s="25"/>
      <c r="P658" s="25"/>
      <c r="Q658" s="29" t="s">
        <v>354</v>
      </c>
      <c r="R658" s="8" t="str">
        <f aca="false">B658&amp;" "&amp;C658&amp;" "&amp;D658&amp;" "&amp;E658&amp;" "&amp;G658&amp;" "&amp;H658&amp;" "&amp;J658&amp;" "&amp;N658</f>
        <v>Differentials Graphite     CIF Germany (Diff) </v>
      </c>
      <c r="S658" s="25"/>
      <c r="T658" s="8"/>
      <c r="U658" s="8"/>
      <c r="V658" s="27" t="s">
        <v>49</v>
      </c>
      <c r="W658" s="25"/>
      <c r="X658" s="25"/>
      <c r="Y658" s="25"/>
      <c r="Z658" s="25"/>
      <c r="AA658" s="25"/>
      <c r="AB658" s="25"/>
      <c r="AC658" s="25"/>
      <c r="AD658" s="25"/>
    </row>
    <row r="659" customFormat="false" ht="15.75" hidden="false" customHeight="false" outlineLevel="0" collapsed="false">
      <c r="A659" s="28" t="s">
        <v>1029</v>
      </c>
      <c r="B659" s="27" t="s">
        <v>438</v>
      </c>
      <c r="C659" s="27" t="s">
        <v>308</v>
      </c>
      <c r="D659" s="25"/>
      <c r="E659" s="25"/>
      <c r="F659" s="25"/>
      <c r="G659" s="25"/>
      <c r="H659" s="25"/>
      <c r="I659" s="25"/>
      <c r="J659" s="27" t="s">
        <v>982</v>
      </c>
      <c r="K659" s="25" t="str">
        <f aca="false">IFERROR(__xludf.dummyfunction("SPLIT(J659,"" "")"),"CIF")</f>
        <v>CIF</v>
      </c>
      <c r="L659" s="28" t="str">
        <f aca="false">IFERROR(__xludf.dummyfunction("""COMPUTED_VALUE"""),"Germany")</f>
        <v>Germany</v>
      </c>
      <c r="M659" s="27" t="str">
        <f aca="false">IFERROR(__xludf.dummyfunction("""COMPUTED_VALUE"""),"(Diff)")</f>
        <v>(Diff)</v>
      </c>
      <c r="N659" s="25"/>
      <c r="O659" s="25"/>
      <c r="P659" s="25"/>
      <c r="Q659" s="29" t="s">
        <v>352</v>
      </c>
      <c r="R659" s="8" t="str">
        <f aca="false">B659&amp;" "&amp;C659&amp;" "&amp;D659&amp;" "&amp;E659&amp;" "&amp;G659&amp;" "&amp;H659&amp;" "&amp;J659&amp;" "&amp;N659</f>
        <v>Differentials Graphite     CIF Germany (Diff) </v>
      </c>
      <c r="S659" s="25"/>
      <c r="T659" s="8"/>
      <c r="U659" s="8"/>
      <c r="V659" s="27" t="s">
        <v>49</v>
      </c>
      <c r="W659" s="25"/>
      <c r="X659" s="25"/>
      <c r="Y659" s="25"/>
      <c r="Z659" s="25"/>
      <c r="AA659" s="25"/>
      <c r="AB659" s="25"/>
      <c r="AC659" s="25"/>
      <c r="AD659" s="25"/>
    </row>
    <row r="660" customFormat="false" ht="15.75" hidden="false" customHeight="false" outlineLevel="0" collapsed="false">
      <c r="A660" s="28" t="s">
        <v>1030</v>
      </c>
      <c r="B660" s="27" t="s">
        <v>438</v>
      </c>
      <c r="C660" s="27" t="s">
        <v>308</v>
      </c>
      <c r="D660" s="25"/>
      <c r="E660" s="25"/>
      <c r="F660" s="25"/>
      <c r="G660" s="25"/>
      <c r="H660" s="25"/>
      <c r="I660" s="25"/>
      <c r="J660" s="27" t="s">
        <v>982</v>
      </c>
      <c r="K660" s="25" t="str">
        <f aca="false">IFERROR(__xludf.dummyfunction("SPLIT(J660,"" "")"),"CIF")</f>
        <v>CIF</v>
      </c>
      <c r="L660" s="28" t="str">
        <f aca="false">IFERROR(__xludf.dummyfunction("""COMPUTED_VALUE"""),"Germany")</f>
        <v>Germany</v>
      </c>
      <c r="M660" s="27" t="str">
        <f aca="false">IFERROR(__xludf.dummyfunction("""COMPUTED_VALUE"""),"(Diff)")</f>
        <v>(Diff)</v>
      </c>
      <c r="N660" s="25"/>
      <c r="O660" s="25"/>
      <c r="P660" s="25"/>
      <c r="Q660" s="29" t="s">
        <v>350</v>
      </c>
      <c r="R660" s="8" t="str">
        <f aca="false">B660&amp;" "&amp;C660&amp;" "&amp;D660&amp;" "&amp;E660&amp;" "&amp;G660&amp;" "&amp;H660&amp;" "&amp;J660&amp;" "&amp;N660</f>
        <v>Differentials Graphite     CIF Germany (Diff) </v>
      </c>
      <c r="S660" s="25"/>
      <c r="T660" s="8"/>
      <c r="U660" s="8"/>
      <c r="V660" s="27" t="s">
        <v>49</v>
      </c>
      <c r="W660" s="25"/>
      <c r="X660" s="25"/>
      <c r="Y660" s="25"/>
      <c r="Z660" s="25"/>
      <c r="AA660" s="25"/>
      <c r="AB660" s="25"/>
      <c r="AC660" s="25"/>
      <c r="AD660" s="25"/>
    </row>
    <row r="661" customFormat="false" ht="15.75" hidden="false" customHeight="false" outlineLevel="0" collapsed="false">
      <c r="A661" s="28" t="s">
        <v>1031</v>
      </c>
      <c r="B661" s="27" t="s">
        <v>438</v>
      </c>
      <c r="C661" s="27" t="s">
        <v>308</v>
      </c>
      <c r="D661" s="25"/>
      <c r="E661" s="25"/>
      <c r="F661" s="25"/>
      <c r="G661" s="25"/>
      <c r="H661" s="25"/>
      <c r="I661" s="25"/>
      <c r="J661" s="27" t="s">
        <v>982</v>
      </c>
      <c r="K661" s="25" t="str">
        <f aca="false">IFERROR(__xludf.dummyfunction("SPLIT(J661,"" "")"),"CIF")</f>
        <v>CIF</v>
      </c>
      <c r="L661" s="28" t="str">
        <f aca="false">IFERROR(__xludf.dummyfunction("""COMPUTED_VALUE"""),"Germany")</f>
        <v>Germany</v>
      </c>
      <c r="M661" s="27" t="str">
        <f aca="false">IFERROR(__xludf.dummyfunction("""COMPUTED_VALUE"""),"(Diff)")</f>
        <v>(Diff)</v>
      </c>
      <c r="N661" s="25"/>
      <c r="O661" s="25"/>
      <c r="P661" s="25"/>
      <c r="Q661" s="29" t="s">
        <v>347</v>
      </c>
      <c r="R661" s="8" t="str">
        <f aca="false">B661&amp;" "&amp;C661&amp;" "&amp;D661&amp;" "&amp;E661&amp;" "&amp;G661&amp;" "&amp;H661&amp;" "&amp;J661&amp;" "&amp;N661</f>
        <v>Differentials Graphite     CIF Germany (Diff) </v>
      </c>
      <c r="S661" s="25"/>
      <c r="T661" s="8"/>
      <c r="U661" s="8"/>
      <c r="V661" s="27" t="s">
        <v>49</v>
      </c>
      <c r="W661" s="25"/>
      <c r="X661" s="25"/>
      <c r="Y661" s="25"/>
      <c r="Z661" s="25"/>
      <c r="AA661" s="25"/>
      <c r="AB661" s="25"/>
      <c r="AC661" s="25"/>
      <c r="AD661" s="25"/>
    </row>
    <row r="662" customFormat="false" ht="15.75" hidden="false" customHeight="false" outlineLevel="0" collapsed="false">
      <c r="A662" s="28" t="s">
        <v>1032</v>
      </c>
      <c r="B662" s="27" t="s">
        <v>438</v>
      </c>
      <c r="C662" s="27" t="s">
        <v>308</v>
      </c>
      <c r="D662" s="25"/>
      <c r="E662" s="25"/>
      <c r="F662" s="25"/>
      <c r="G662" s="25"/>
      <c r="H662" s="25"/>
      <c r="I662" s="25"/>
      <c r="J662" s="27" t="s">
        <v>982</v>
      </c>
      <c r="K662" s="25" t="str">
        <f aca="false">IFERROR(__xludf.dummyfunction("SPLIT(J662,"" "")"),"CIF")</f>
        <v>CIF</v>
      </c>
      <c r="L662" s="28" t="str">
        <f aca="false">IFERROR(__xludf.dummyfunction("""COMPUTED_VALUE"""),"Germany")</f>
        <v>Germany</v>
      </c>
      <c r="M662" s="27" t="str">
        <f aca="false">IFERROR(__xludf.dummyfunction("""COMPUTED_VALUE"""),"(Diff)")</f>
        <v>(Diff)</v>
      </c>
      <c r="N662" s="25"/>
      <c r="O662" s="25"/>
      <c r="P662" s="25"/>
      <c r="Q662" s="29" t="s">
        <v>344</v>
      </c>
      <c r="R662" s="8" t="str">
        <f aca="false">B662&amp;" "&amp;C662&amp;" "&amp;D662&amp;" "&amp;E662&amp;" "&amp;G662&amp;" "&amp;H662&amp;" "&amp;J662&amp;" "&amp;N662</f>
        <v>Differentials Graphite     CIF Germany (Diff) </v>
      </c>
      <c r="S662" s="25"/>
      <c r="T662" s="8"/>
      <c r="U662" s="8"/>
      <c r="V662" s="27" t="s">
        <v>49</v>
      </c>
      <c r="W662" s="25"/>
      <c r="X662" s="25"/>
      <c r="Y662" s="25"/>
      <c r="Z662" s="25"/>
      <c r="AA662" s="25"/>
      <c r="AB662" s="25"/>
      <c r="AC662" s="25"/>
      <c r="AD662" s="25"/>
    </row>
    <row r="663" customFormat="false" ht="15.75" hidden="false" customHeight="false" outlineLevel="0" collapsed="false">
      <c r="A663" s="28" t="s">
        <v>1033</v>
      </c>
      <c r="B663" s="27" t="s">
        <v>438</v>
      </c>
      <c r="C663" s="27" t="s">
        <v>308</v>
      </c>
      <c r="D663" s="25"/>
      <c r="E663" s="25"/>
      <c r="F663" s="25"/>
      <c r="G663" s="25"/>
      <c r="H663" s="25"/>
      <c r="I663" s="25"/>
      <c r="J663" s="27" t="s">
        <v>982</v>
      </c>
      <c r="K663" s="25" t="str">
        <f aca="false">IFERROR(__xludf.dummyfunction("SPLIT(J663,"" "")"),"CIF")</f>
        <v>CIF</v>
      </c>
      <c r="L663" s="28" t="str">
        <f aca="false">IFERROR(__xludf.dummyfunction("""COMPUTED_VALUE"""),"Germany")</f>
        <v>Germany</v>
      </c>
      <c r="M663" s="27" t="str">
        <f aca="false">IFERROR(__xludf.dummyfunction("""COMPUTED_VALUE"""),"(Diff)")</f>
        <v>(Diff)</v>
      </c>
      <c r="N663" s="25"/>
      <c r="O663" s="25"/>
      <c r="P663" s="25"/>
      <c r="Q663" s="29" t="s">
        <v>340</v>
      </c>
      <c r="R663" s="8" t="str">
        <f aca="false">B663&amp;" "&amp;C663&amp;" "&amp;D663&amp;" "&amp;E663&amp;" "&amp;G663&amp;" "&amp;H663&amp;" "&amp;J663&amp;" "&amp;N663</f>
        <v>Differentials Graphite     CIF Germany (Diff) </v>
      </c>
      <c r="S663" s="25"/>
      <c r="T663" s="8"/>
      <c r="U663" s="8"/>
      <c r="V663" s="27" t="s">
        <v>49</v>
      </c>
      <c r="W663" s="25"/>
      <c r="X663" s="25"/>
      <c r="Y663" s="25"/>
      <c r="Z663" s="25"/>
      <c r="AA663" s="25"/>
      <c r="AB663" s="25"/>
      <c r="AC663" s="25"/>
      <c r="AD663" s="25"/>
    </row>
    <row r="664" customFormat="false" ht="15.75" hidden="false" customHeight="false" outlineLevel="0" collapsed="false">
      <c r="A664" s="28" t="s">
        <v>1034</v>
      </c>
      <c r="B664" s="27" t="s">
        <v>438</v>
      </c>
      <c r="C664" s="27" t="s">
        <v>308</v>
      </c>
      <c r="D664" s="25"/>
      <c r="E664" s="25"/>
      <c r="F664" s="25"/>
      <c r="G664" s="25"/>
      <c r="H664" s="25"/>
      <c r="I664" s="25"/>
      <c r="J664" s="27" t="s">
        <v>982</v>
      </c>
      <c r="K664" s="25" t="str">
        <f aca="false">IFERROR(__xludf.dummyfunction("SPLIT(J664,"" "")"),"CIF")</f>
        <v>CIF</v>
      </c>
      <c r="L664" s="28" t="str">
        <f aca="false">IFERROR(__xludf.dummyfunction("""COMPUTED_VALUE"""),"Germany")</f>
        <v>Germany</v>
      </c>
      <c r="M664" s="27" t="str">
        <f aca="false">IFERROR(__xludf.dummyfunction("""COMPUTED_VALUE"""),"(Diff)")</f>
        <v>(Diff)</v>
      </c>
      <c r="N664" s="25"/>
      <c r="O664" s="25"/>
      <c r="P664" s="25"/>
      <c r="Q664" s="29" t="s">
        <v>338</v>
      </c>
      <c r="R664" s="8" t="str">
        <f aca="false">B664&amp;" "&amp;C664&amp;" "&amp;D664&amp;" "&amp;E664&amp;" "&amp;G664&amp;" "&amp;H664&amp;" "&amp;J664&amp;" "&amp;N664</f>
        <v>Differentials Graphite     CIF Germany (Diff) </v>
      </c>
      <c r="S664" s="25"/>
      <c r="T664" s="8"/>
      <c r="U664" s="8"/>
      <c r="V664" s="27" t="s">
        <v>49</v>
      </c>
      <c r="W664" s="25"/>
      <c r="X664" s="25"/>
      <c r="Y664" s="25"/>
      <c r="Z664" s="25"/>
      <c r="AA664" s="25"/>
      <c r="AB664" s="25"/>
      <c r="AC664" s="25"/>
      <c r="AD664" s="25"/>
    </row>
    <row r="665" customFormat="false" ht="15.75" hidden="false" customHeight="false" outlineLevel="0" collapsed="false">
      <c r="A665" s="28" t="s">
        <v>1035</v>
      </c>
      <c r="B665" s="27" t="s">
        <v>438</v>
      </c>
      <c r="C665" s="27" t="s">
        <v>308</v>
      </c>
      <c r="D665" s="25"/>
      <c r="E665" s="25"/>
      <c r="F665" s="25"/>
      <c r="G665" s="25"/>
      <c r="H665" s="25"/>
      <c r="I665" s="25"/>
      <c r="J665" s="27" t="s">
        <v>982</v>
      </c>
      <c r="K665" s="25" t="str">
        <f aca="false">IFERROR(__xludf.dummyfunction("SPLIT(J665,"" "")"),"CIF")</f>
        <v>CIF</v>
      </c>
      <c r="L665" s="28" t="str">
        <f aca="false">IFERROR(__xludf.dummyfunction("""COMPUTED_VALUE"""),"Germany")</f>
        <v>Germany</v>
      </c>
      <c r="M665" s="27" t="str">
        <f aca="false">IFERROR(__xludf.dummyfunction("""COMPUTED_VALUE"""),"(Diff)")</f>
        <v>(Diff)</v>
      </c>
      <c r="N665" s="25"/>
      <c r="O665" s="25"/>
      <c r="P665" s="25"/>
      <c r="Q665" s="29" t="s">
        <v>335</v>
      </c>
      <c r="R665" s="8" t="str">
        <f aca="false">B665&amp;" "&amp;C665&amp;" "&amp;D665&amp;" "&amp;E665&amp;" "&amp;G665&amp;" "&amp;H665&amp;" "&amp;J665&amp;" "&amp;N665</f>
        <v>Differentials Graphite     CIF Germany (Diff) </v>
      </c>
      <c r="S665" s="25"/>
      <c r="T665" s="8"/>
      <c r="U665" s="8"/>
      <c r="V665" s="27" t="s">
        <v>49</v>
      </c>
      <c r="W665" s="25"/>
      <c r="X665" s="25"/>
      <c r="Y665" s="25"/>
      <c r="Z665" s="25"/>
      <c r="AA665" s="25"/>
      <c r="AB665" s="25"/>
      <c r="AC665" s="25"/>
      <c r="AD665" s="25"/>
    </row>
    <row r="666" customFormat="false" ht="15.75" hidden="false" customHeight="false" outlineLevel="0" collapsed="false">
      <c r="A666" s="28" t="s">
        <v>1036</v>
      </c>
      <c r="B666" s="27" t="s">
        <v>438</v>
      </c>
      <c r="C666" s="27" t="s">
        <v>308</v>
      </c>
      <c r="D666" s="25"/>
      <c r="E666" s="25"/>
      <c r="F666" s="25"/>
      <c r="G666" s="25"/>
      <c r="H666" s="25"/>
      <c r="I666" s="25"/>
      <c r="J666" s="27" t="s">
        <v>982</v>
      </c>
      <c r="K666" s="25" t="str">
        <f aca="false">IFERROR(__xludf.dummyfunction("SPLIT(J666,"" "")"),"CIF")</f>
        <v>CIF</v>
      </c>
      <c r="L666" s="28" t="str">
        <f aca="false">IFERROR(__xludf.dummyfunction("""COMPUTED_VALUE"""),"Germany")</f>
        <v>Germany</v>
      </c>
      <c r="M666" s="27" t="str">
        <f aca="false">IFERROR(__xludf.dummyfunction("""COMPUTED_VALUE"""),"(Diff)")</f>
        <v>(Diff)</v>
      </c>
      <c r="N666" s="25"/>
      <c r="O666" s="25"/>
      <c r="P666" s="25"/>
      <c r="Q666" s="29" t="s">
        <v>332</v>
      </c>
      <c r="R666" s="8" t="str">
        <f aca="false">B666&amp;" "&amp;C666&amp;" "&amp;D666&amp;" "&amp;E666&amp;" "&amp;G666&amp;" "&amp;H666&amp;" "&amp;J666&amp;" "&amp;N666</f>
        <v>Differentials Graphite     CIF Germany (Diff) </v>
      </c>
      <c r="S666" s="25"/>
      <c r="T666" s="8"/>
      <c r="U666" s="8"/>
      <c r="V666" s="27" t="s">
        <v>49</v>
      </c>
      <c r="W666" s="25"/>
      <c r="X666" s="25"/>
      <c r="Y666" s="25"/>
      <c r="Z666" s="25"/>
      <c r="AA666" s="25"/>
      <c r="AB666" s="25"/>
      <c r="AC666" s="25"/>
      <c r="AD666" s="25"/>
    </row>
    <row r="667" customFormat="false" ht="15.75" hidden="false" customHeight="false" outlineLevel="0" collapsed="false">
      <c r="A667" s="28" t="s">
        <v>1037</v>
      </c>
      <c r="B667" s="27" t="s">
        <v>438</v>
      </c>
      <c r="C667" s="27" t="s">
        <v>308</v>
      </c>
      <c r="D667" s="25"/>
      <c r="E667" s="25"/>
      <c r="F667" s="25"/>
      <c r="G667" s="25"/>
      <c r="H667" s="25"/>
      <c r="I667" s="25"/>
      <c r="J667" s="27" t="s">
        <v>982</v>
      </c>
      <c r="K667" s="25" t="str">
        <f aca="false">IFERROR(__xludf.dummyfunction("SPLIT(J667,"" "")"),"CIF")</f>
        <v>CIF</v>
      </c>
      <c r="L667" s="28" t="str">
        <f aca="false">IFERROR(__xludf.dummyfunction("""COMPUTED_VALUE"""),"Germany")</f>
        <v>Germany</v>
      </c>
      <c r="M667" s="27" t="str">
        <f aca="false">IFERROR(__xludf.dummyfunction("""COMPUTED_VALUE"""),"(Diff)")</f>
        <v>(Diff)</v>
      </c>
      <c r="N667" s="25"/>
      <c r="O667" s="25"/>
      <c r="P667" s="25"/>
      <c r="Q667" s="29" t="s">
        <v>329</v>
      </c>
      <c r="R667" s="8" t="str">
        <f aca="false">B667&amp;" "&amp;C667&amp;" "&amp;D667&amp;" "&amp;E667&amp;" "&amp;G667&amp;" "&amp;H667&amp;" "&amp;J667&amp;" "&amp;N667</f>
        <v>Differentials Graphite     CIF Germany (Diff) </v>
      </c>
      <c r="S667" s="25"/>
      <c r="T667" s="8"/>
      <c r="U667" s="8"/>
      <c r="V667" s="27" t="s">
        <v>49</v>
      </c>
      <c r="W667" s="25"/>
      <c r="X667" s="25"/>
      <c r="Y667" s="25"/>
      <c r="Z667" s="25"/>
      <c r="AA667" s="25"/>
      <c r="AB667" s="25"/>
      <c r="AC667" s="25"/>
      <c r="AD667" s="25"/>
    </row>
    <row r="668" customFormat="false" ht="15.75" hidden="false" customHeight="false" outlineLevel="0" collapsed="false">
      <c r="A668" s="28" t="s">
        <v>1038</v>
      </c>
      <c r="B668" s="27" t="s">
        <v>438</v>
      </c>
      <c r="C668" s="27" t="s">
        <v>308</v>
      </c>
      <c r="D668" s="25"/>
      <c r="E668" s="25"/>
      <c r="F668" s="25"/>
      <c r="G668" s="25"/>
      <c r="H668" s="25"/>
      <c r="I668" s="25"/>
      <c r="J668" s="27" t="s">
        <v>982</v>
      </c>
      <c r="K668" s="25" t="str">
        <f aca="false">IFERROR(__xludf.dummyfunction("SPLIT(J668,"" "")"),"CIF")</f>
        <v>CIF</v>
      </c>
      <c r="L668" s="28" t="str">
        <f aca="false">IFERROR(__xludf.dummyfunction("""COMPUTED_VALUE"""),"Germany")</f>
        <v>Germany</v>
      </c>
      <c r="M668" s="27" t="str">
        <f aca="false">IFERROR(__xludf.dummyfunction("""COMPUTED_VALUE"""),"(Diff)")</f>
        <v>(Diff)</v>
      </c>
      <c r="N668" s="25"/>
      <c r="O668" s="25"/>
      <c r="P668" s="25"/>
      <c r="Q668" s="29" t="s">
        <v>326</v>
      </c>
      <c r="R668" s="8" t="str">
        <f aca="false">B668&amp;" "&amp;C668&amp;" "&amp;D668&amp;" "&amp;E668&amp;" "&amp;G668&amp;" "&amp;H668&amp;" "&amp;J668&amp;" "&amp;N668</f>
        <v>Differentials Graphite     CIF Germany (Diff) </v>
      </c>
      <c r="S668" s="25"/>
      <c r="T668" s="8"/>
      <c r="U668" s="8"/>
      <c r="V668" s="27" t="s">
        <v>49</v>
      </c>
      <c r="W668" s="25"/>
      <c r="X668" s="25"/>
      <c r="Y668" s="25"/>
      <c r="Z668" s="25"/>
      <c r="AA668" s="25"/>
      <c r="AB668" s="25"/>
      <c r="AC668" s="25"/>
      <c r="AD668" s="25"/>
    </row>
    <row r="669" customFormat="false" ht="15.75" hidden="false" customHeight="false" outlineLevel="0" collapsed="false">
      <c r="A669" s="28" t="s">
        <v>1039</v>
      </c>
      <c r="B669" s="27" t="s">
        <v>438</v>
      </c>
      <c r="C669" s="27" t="s">
        <v>308</v>
      </c>
      <c r="D669" s="25"/>
      <c r="E669" s="25"/>
      <c r="F669" s="25"/>
      <c r="G669" s="25"/>
      <c r="H669" s="25"/>
      <c r="I669" s="25"/>
      <c r="J669" s="27" t="s">
        <v>982</v>
      </c>
      <c r="K669" s="25" t="str">
        <f aca="false">IFERROR(__xludf.dummyfunction("SPLIT(J669,"" "")"),"CIF")</f>
        <v>CIF</v>
      </c>
      <c r="L669" s="28" t="str">
        <f aca="false">IFERROR(__xludf.dummyfunction("""COMPUTED_VALUE"""),"Germany")</f>
        <v>Germany</v>
      </c>
      <c r="M669" s="27" t="str">
        <f aca="false">IFERROR(__xludf.dummyfunction("""COMPUTED_VALUE"""),"(Diff)")</f>
        <v>(Diff)</v>
      </c>
      <c r="N669" s="25"/>
      <c r="O669" s="25"/>
      <c r="P669" s="25"/>
      <c r="Q669" s="29" t="s">
        <v>323</v>
      </c>
      <c r="R669" s="8" t="str">
        <f aca="false">B669&amp;" "&amp;C669&amp;" "&amp;D669&amp;" "&amp;E669&amp;" "&amp;G669&amp;" "&amp;H669&amp;" "&amp;J669&amp;" "&amp;N669</f>
        <v>Differentials Graphite     CIF Germany (Diff) </v>
      </c>
      <c r="S669" s="25"/>
      <c r="T669" s="8"/>
      <c r="U669" s="8"/>
      <c r="V669" s="27" t="s">
        <v>49</v>
      </c>
      <c r="W669" s="25"/>
      <c r="X669" s="25"/>
      <c r="Y669" s="25"/>
      <c r="Z669" s="25"/>
      <c r="AA669" s="25"/>
      <c r="AB669" s="25"/>
      <c r="AC669" s="25"/>
      <c r="AD669" s="25"/>
    </row>
    <row r="670" customFormat="false" ht="15.75" hidden="false" customHeight="false" outlineLevel="0" collapsed="false">
      <c r="A670" s="28" t="s">
        <v>1040</v>
      </c>
      <c r="B670" s="27" t="s">
        <v>438</v>
      </c>
      <c r="C670" s="27" t="s">
        <v>308</v>
      </c>
      <c r="D670" s="25"/>
      <c r="E670" s="25"/>
      <c r="F670" s="25"/>
      <c r="G670" s="25"/>
      <c r="H670" s="25"/>
      <c r="I670" s="25"/>
      <c r="J670" s="27" t="s">
        <v>982</v>
      </c>
      <c r="K670" s="25" t="str">
        <f aca="false">IFERROR(__xludf.dummyfunction("SPLIT(J670,"" "")"),"CIF")</f>
        <v>CIF</v>
      </c>
      <c r="L670" s="28" t="str">
        <f aca="false">IFERROR(__xludf.dummyfunction("""COMPUTED_VALUE"""),"Germany")</f>
        <v>Germany</v>
      </c>
      <c r="M670" s="27" t="str">
        <f aca="false">IFERROR(__xludf.dummyfunction("""COMPUTED_VALUE"""),"(Diff)")</f>
        <v>(Diff)</v>
      </c>
      <c r="N670" s="25"/>
      <c r="O670" s="25"/>
      <c r="P670" s="25"/>
      <c r="Q670" s="29" t="s">
        <v>319</v>
      </c>
      <c r="R670" s="8" t="str">
        <f aca="false">B670&amp;" "&amp;C670&amp;" "&amp;D670&amp;" "&amp;E670&amp;" "&amp;G670&amp;" "&amp;H670&amp;" "&amp;J670&amp;" "&amp;N670</f>
        <v>Differentials Graphite     CIF Germany (Diff) </v>
      </c>
      <c r="S670" s="25"/>
      <c r="T670" s="8"/>
      <c r="U670" s="8"/>
      <c r="V670" s="27" t="s">
        <v>49</v>
      </c>
      <c r="W670" s="25"/>
      <c r="X670" s="25"/>
      <c r="Y670" s="25"/>
      <c r="Z670" s="25"/>
      <c r="AA670" s="25"/>
      <c r="AB670" s="25"/>
      <c r="AC670" s="25"/>
      <c r="AD670" s="25"/>
    </row>
    <row r="671" customFormat="false" ht="15.75" hidden="false" customHeight="false" outlineLevel="0" collapsed="false">
      <c r="A671" s="28" t="s">
        <v>1041</v>
      </c>
      <c r="B671" s="27" t="s">
        <v>438</v>
      </c>
      <c r="C671" s="27" t="s">
        <v>308</v>
      </c>
      <c r="D671" s="25"/>
      <c r="E671" s="25"/>
      <c r="F671" s="25"/>
      <c r="G671" s="25"/>
      <c r="H671" s="25"/>
      <c r="I671" s="25"/>
      <c r="J671" s="27" t="s">
        <v>982</v>
      </c>
      <c r="K671" s="25" t="str">
        <f aca="false">IFERROR(__xludf.dummyfunction("SPLIT(J671,"" "")"),"CIF")</f>
        <v>CIF</v>
      </c>
      <c r="L671" s="28" t="str">
        <f aca="false">IFERROR(__xludf.dummyfunction("""COMPUTED_VALUE"""),"Germany")</f>
        <v>Germany</v>
      </c>
      <c r="M671" s="27" t="str">
        <f aca="false">IFERROR(__xludf.dummyfunction("""COMPUTED_VALUE"""),"(Diff)")</f>
        <v>(Diff)</v>
      </c>
      <c r="N671" s="25"/>
      <c r="O671" s="25"/>
      <c r="P671" s="25"/>
      <c r="Q671" s="29" t="s">
        <v>315</v>
      </c>
      <c r="R671" s="8" t="str">
        <f aca="false">B671&amp;" "&amp;C671&amp;" "&amp;D671&amp;" "&amp;E671&amp;" "&amp;G671&amp;" "&amp;H671&amp;" "&amp;J671&amp;" "&amp;N671</f>
        <v>Differentials Graphite     CIF Germany (Diff) </v>
      </c>
      <c r="S671" s="25"/>
      <c r="T671" s="8"/>
      <c r="U671" s="8"/>
      <c r="V671" s="27" t="s">
        <v>49</v>
      </c>
      <c r="W671" s="25"/>
      <c r="X671" s="25"/>
      <c r="Y671" s="25"/>
      <c r="Z671" s="25"/>
      <c r="AA671" s="25"/>
      <c r="AB671" s="25"/>
      <c r="AC671" s="25"/>
      <c r="AD671" s="25"/>
    </row>
    <row r="672" customFormat="false" ht="15.75" hidden="false" customHeight="false" outlineLevel="0" collapsed="false">
      <c r="A672" s="28" t="s">
        <v>1042</v>
      </c>
      <c r="B672" s="27" t="s">
        <v>438</v>
      </c>
      <c r="C672" s="27" t="s">
        <v>308</v>
      </c>
      <c r="D672" s="25"/>
      <c r="E672" s="25"/>
      <c r="F672" s="25"/>
      <c r="G672" s="25"/>
      <c r="H672" s="25"/>
      <c r="I672" s="25"/>
      <c r="J672" s="27" t="s">
        <v>982</v>
      </c>
      <c r="K672" s="25" t="str">
        <f aca="false">IFERROR(__xludf.dummyfunction("SPLIT(J672,"" "")"),"CIF")</f>
        <v>CIF</v>
      </c>
      <c r="L672" s="28" t="str">
        <f aca="false">IFERROR(__xludf.dummyfunction("""COMPUTED_VALUE"""),"Germany")</f>
        <v>Germany</v>
      </c>
      <c r="M672" s="27" t="str">
        <f aca="false">IFERROR(__xludf.dummyfunction("""COMPUTED_VALUE"""),"(Diff)")</f>
        <v>(Diff)</v>
      </c>
      <c r="N672" s="25"/>
      <c r="O672" s="25"/>
      <c r="P672" s="25"/>
      <c r="Q672" s="29" t="s">
        <v>311</v>
      </c>
      <c r="R672" s="8" t="str">
        <f aca="false">B672&amp;" "&amp;C672&amp;" "&amp;D672&amp;" "&amp;E672&amp;" "&amp;G672&amp;" "&amp;H672&amp;" "&amp;J672&amp;" "&amp;N672</f>
        <v>Differentials Graphite     CIF Germany (Diff) </v>
      </c>
      <c r="S672" s="25"/>
      <c r="T672" s="8"/>
      <c r="U672" s="8"/>
      <c r="V672" s="27" t="s">
        <v>49</v>
      </c>
      <c r="W672" s="25"/>
      <c r="X672" s="25"/>
      <c r="Y672" s="25"/>
      <c r="Z672" s="25"/>
      <c r="AA672" s="25"/>
      <c r="AB672" s="25"/>
      <c r="AC672" s="25"/>
      <c r="AD672" s="25"/>
    </row>
    <row r="673" customFormat="false" ht="15.75" hidden="false" customHeight="false" outlineLevel="0" collapsed="false">
      <c r="A673" s="28" t="s">
        <v>1043</v>
      </c>
      <c r="B673" s="27" t="s">
        <v>438</v>
      </c>
      <c r="C673" s="27" t="s">
        <v>360</v>
      </c>
      <c r="D673" s="25"/>
      <c r="E673" s="25"/>
      <c r="F673" s="25"/>
      <c r="G673" s="25"/>
      <c r="H673" s="25"/>
      <c r="I673" s="25"/>
      <c r="J673" s="27" t="s">
        <v>982</v>
      </c>
      <c r="K673" s="25" t="str">
        <f aca="false">IFERROR(__xludf.dummyfunction("SPLIT(J673,"" "")"),"CIF")</f>
        <v>CIF</v>
      </c>
      <c r="L673" s="28" t="str">
        <f aca="false">IFERROR(__xludf.dummyfunction("""COMPUTED_VALUE"""),"Germany")</f>
        <v>Germany</v>
      </c>
      <c r="M673" s="27" t="str">
        <f aca="false">IFERROR(__xludf.dummyfunction("""COMPUTED_VALUE"""),"(Diff)")</f>
        <v>(Diff)</v>
      </c>
      <c r="N673" s="25"/>
      <c r="O673" s="25"/>
      <c r="P673" s="25"/>
      <c r="Q673" s="29" t="s">
        <v>368</v>
      </c>
      <c r="R673" s="8" t="str">
        <f aca="false">B673&amp;" "&amp;C673&amp;" "&amp;D673&amp;" "&amp;E673&amp;" "&amp;G673&amp;" "&amp;H673&amp;" "&amp;J673&amp;" "&amp;N673</f>
        <v>Differentials Lithium     CIF Germany (Diff) </v>
      </c>
      <c r="S673" s="25"/>
      <c r="T673" s="8"/>
      <c r="U673" s="8"/>
      <c r="V673" s="27" t="s">
        <v>49</v>
      </c>
      <c r="W673" s="25"/>
      <c r="X673" s="25"/>
      <c r="Y673" s="25"/>
      <c r="Z673" s="25"/>
      <c r="AA673" s="25"/>
      <c r="AB673" s="25"/>
      <c r="AC673" s="25"/>
      <c r="AD673" s="25"/>
    </row>
    <row r="674" customFormat="false" ht="15.75" hidden="false" customHeight="false" outlineLevel="0" collapsed="false">
      <c r="A674" s="28" t="s">
        <v>1044</v>
      </c>
      <c r="B674" s="27" t="s">
        <v>438</v>
      </c>
      <c r="C674" s="27" t="s">
        <v>360</v>
      </c>
      <c r="D674" s="25"/>
      <c r="E674" s="25"/>
      <c r="F674" s="25"/>
      <c r="G674" s="25"/>
      <c r="H674" s="25"/>
      <c r="I674" s="25"/>
      <c r="J674" s="27" t="s">
        <v>982</v>
      </c>
      <c r="K674" s="25" t="str">
        <f aca="false">IFERROR(__xludf.dummyfunction("SPLIT(J674,"" "")"),"CIF")</f>
        <v>CIF</v>
      </c>
      <c r="L674" s="28" t="str">
        <f aca="false">IFERROR(__xludf.dummyfunction("""COMPUTED_VALUE"""),"Germany")</f>
        <v>Germany</v>
      </c>
      <c r="M674" s="27" t="str">
        <f aca="false">IFERROR(__xludf.dummyfunction("""COMPUTED_VALUE"""),"(Diff)")</f>
        <v>(Diff)</v>
      </c>
      <c r="N674" s="25"/>
      <c r="O674" s="25"/>
      <c r="P674" s="25"/>
      <c r="Q674" s="29" t="s">
        <v>366</v>
      </c>
      <c r="R674" s="8" t="str">
        <f aca="false">B674&amp;" "&amp;C674&amp;" "&amp;D674&amp;" "&amp;E674&amp;" "&amp;G674&amp;" "&amp;H674&amp;" "&amp;J674&amp;" "&amp;N674</f>
        <v>Differentials Lithium     CIF Germany (Diff) </v>
      </c>
      <c r="S674" s="25"/>
      <c r="T674" s="8"/>
      <c r="U674" s="8"/>
      <c r="V674" s="27" t="s">
        <v>49</v>
      </c>
      <c r="W674" s="25"/>
      <c r="X674" s="25"/>
      <c r="Y674" s="25"/>
      <c r="Z674" s="25"/>
      <c r="AA674" s="25"/>
      <c r="AB674" s="25"/>
      <c r="AC674" s="25"/>
      <c r="AD674" s="25"/>
    </row>
    <row r="675" customFormat="false" ht="15.75" hidden="false" customHeight="false" outlineLevel="0" collapsed="false">
      <c r="A675" s="28" t="s">
        <v>1045</v>
      </c>
      <c r="B675" s="27" t="s">
        <v>438</v>
      </c>
      <c r="C675" s="27" t="s">
        <v>360</v>
      </c>
      <c r="D675" s="25"/>
      <c r="E675" s="25"/>
      <c r="F675" s="25"/>
      <c r="G675" s="25"/>
      <c r="H675" s="25"/>
      <c r="I675" s="25"/>
      <c r="J675" s="27" t="s">
        <v>982</v>
      </c>
      <c r="K675" s="25" t="str">
        <f aca="false">IFERROR(__xludf.dummyfunction("SPLIT(J675,"" "")"),"CIF")</f>
        <v>CIF</v>
      </c>
      <c r="L675" s="28" t="str">
        <f aca="false">IFERROR(__xludf.dummyfunction("""COMPUTED_VALUE"""),"Germany")</f>
        <v>Germany</v>
      </c>
      <c r="M675" s="27" t="str">
        <f aca="false">IFERROR(__xludf.dummyfunction("""COMPUTED_VALUE"""),"(Diff)")</f>
        <v>(Diff)</v>
      </c>
      <c r="N675" s="25"/>
      <c r="O675" s="25"/>
      <c r="P675" s="25"/>
      <c r="Q675" s="29" t="s">
        <v>361</v>
      </c>
      <c r="R675" s="8" t="str">
        <f aca="false">B675&amp;" "&amp;C675&amp;" "&amp;D675&amp;" "&amp;E675&amp;" "&amp;G675&amp;" "&amp;H675&amp;" "&amp;J675&amp;" "&amp;N675</f>
        <v>Differentials Lithium     CIF Germany (Diff) </v>
      </c>
      <c r="S675" s="25"/>
      <c r="T675" s="8"/>
      <c r="U675" s="8"/>
      <c r="V675" s="27" t="s">
        <v>49</v>
      </c>
      <c r="W675" s="25"/>
      <c r="X675" s="25"/>
      <c r="Y675" s="25"/>
      <c r="Z675" s="25"/>
      <c r="AA675" s="25"/>
      <c r="AB675" s="25"/>
      <c r="AC675" s="25"/>
      <c r="AD675" s="25"/>
    </row>
    <row r="676" customFormat="false" ht="15.75" hidden="false" customHeight="false" outlineLevel="0" collapsed="false">
      <c r="A676" s="28" t="s">
        <v>1046</v>
      </c>
      <c r="B676" s="27" t="s">
        <v>438</v>
      </c>
      <c r="C676" s="27" t="s">
        <v>360</v>
      </c>
      <c r="D676" s="25"/>
      <c r="E676" s="25"/>
      <c r="F676" s="25"/>
      <c r="G676" s="25"/>
      <c r="H676" s="25"/>
      <c r="I676" s="25"/>
      <c r="J676" s="27" t="s">
        <v>982</v>
      </c>
      <c r="K676" s="25" t="str">
        <f aca="false">IFERROR(__xludf.dummyfunction("SPLIT(J676,"" "")"),"CIF")</f>
        <v>CIF</v>
      </c>
      <c r="L676" s="28" t="str">
        <f aca="false">IFERROR(__xludf.dummyfunction("""COMPUTED_VALUE"""),"Germany")</f>
        <v>Germany</v>
      </c>
      <c r="M676" s="27" t="str">
        <f aca="false">IFERROR(__xludf.dummyfunction("""COMPUTED_VALUE"""),"(Diff)")</f>
        <v>(Diff)</v>
      </c>
      <c r="N676" s="25"/>
      <c r="O676" s="25"/>
      <c r="P676" s="25"/>
      <c r="Q676" s="29" t="s">
        <v>363</v>
      </c>
      <c r="R676" s="8" t="str">
        <f aca="false">B676&amp;" "&amp;C676&amp;" "&amp;D676&amp;" "&amp;E676&amp;" "&amp;G676&amp;" "&amp;H676&amp;" "&amp;J676&amp;" "&amp;N676</f>
        <v>Differentials Lithium     CIF Germany (Diff) </v>
      </c>
      <c r="S676" s="25"/>
      <c r="T676" s="8"/>
      <c r="U676" s="8"/>
      <c r="V676" s="27" t="s">
        <v>49</v>
      </c>
      <c r="W676" s="25"/>
      <c r="X676" s="25"/>
      <c r="Y676" s="25"/>
      <c r="Z676" s="25"/>
      <c r="AA676" s="25"/>
      <c r="AB676" s="25"/>
      <c r="AC676" s="25"/>
      <c r="AD676" s="25"/>
    </row>
    <row r="677" customFormat="false" ht="15.75" hidden="false" customHeight="false" outlineLevel="0" collapsed="false">
      <c r="A677" s="28" t="s">
        <v>1047</v>
      </c>
      <c r="B677" s="27" t="s">
        <v>438</v>
      </c>
      <c r="C677" s="27" t="s">
        <v>360</v>
      </c>
      <c r="D677" s="25"/>
      <c r="E677" s="25"/>
      <c r="F677" s="25"/>
      <c r="G677" s="25"/>
      <c r="H677" s="25"/>
      <c r="I677" s="25"/>
      <c r="J677" s="27" t="s">
        <v>982</v>
      </c>
      <c r="K677" s="25" t="str">
        <f aca="false">IFERROR(__xludf.dummyfunction("SPLIT(J677,"" "")"),"CIF")</f>
        <v>CIF</v>
      </c>
      <c r="L677" s="28" t="str">
        <f aca="false">IFERROR(__xludf.dummyfunction("""COMPUTED_VALUE"""),"Germany")</f>
        <v>Germany</v>
      </c>
      <c r="M677" s="27" t="str">
        <f aca="false">IFERROR(__xludf.dummyfunction("""COMPUTED_VALUE"""),"(Diff)")</f>
        <v>(Diff)</v>
      </c>
      <c r="N677" s="25"/>
      <c r="O677" s="25"/>
      <c r="P677" s="25"/>
      <c r="Q677" s="29" t="s">
        <v>361</v>
      </c>
      <c r="R677" s="8" t="str">
        <f aca="false">B677&amp;" "&amp;C677&amp;" "&amp;D677&amp;" "&amp;E677&amp;" "&amp;G677&amp;" "&amp;H677&amp;" "&amp;J677&amp;" "&amp;N677</f>
        <v>Differentials Lithium     CIF Germany (Diff) </v>
      </c>
      <c r="S677" s="25"/>
      <c r="T677" s="8"/>
      <c r="U677" s="8"/>
      <c r="V677" s="27" t="s">
        <v>49</v>
      </c>
      <c r="W677" s="25"/>
      <c r="X677" s="25"/>
      <c r="Y677" s="25"/>
      <c r="Z677" s="25"/>
      <c r="AA677" s="25"/>
      <c r="AB677" s="25"/>
      <c r="AC677" s="25"/>
      <c r="AD677" s="25"/>
    </row>
    <row r="678" customFormat="false" ht="15.75" hidden="false" customHeight="false" outlineLevel="0" collapsed="false">
      <c r="A678" s="28" t="s">
        <v>1048</v>
      </c>
      <c r="B678" s="27" t="s">
        <v>438</v>
      </c>
      <c r="C678" s="27" t="s">
        <v>370</v>
      </c>
      <c r="D678" s="25"/>
      <c r="E678" s="25"/>
      <c r="F678" s="25"/>
      <c r="G678" s="25"/>
      <c r="H678" s="25"/>
      <c r="I678" s="25"/>
      <c r="J678" s="27" t="s">
        <v>982</v>
      </c>
      <c r="K678" s="25" t="str">
        <f aca="false">IFERROR(__xludf.dummyfunction("SPLIT(J678,"" "")"),"CIF")</f>
        <v>CIF</v>
      </c>
      <c r="L678" s="28" t="str">
        <f aca="false">IFERROR(__xludf.dummyfunction("""COMPUTED_VALUE"""),"Germany")</f>
        <v>Germany</v>
      </c>
      <c r="M678" s="27" t="str">
        <f aca="false">IFERROR(__xludf.dummyfunction("""COMPUTED_VALUE"""),"(Diff)")</f>
        <v>(Diff)</v>
      </c>
      <c r="N678" s="25"/>
      <c r="O678" s="25"/>
      <c r="P678" s="25"/>
      <c r="Q678" s="29" t="s">
        <v>374</v>
      </c>
      <c r="R678" s="8" t="str">
        <f aca="false">B678&amp;" "&amp;C678&amp;" "&amp;D678&amp;" "&amp;E678&amp;" "&amp;G678&amp;" "&amp;H678&amp;" "&amp;J678&amp;" "&amp;N678</f>
        <v>Differentials Manganese     CIF Germany (Diff) </v>
      </c>
      <c r="S678" s="25"/>
      <c r="T678" s="8"/>
      <c r="U678" s="8"/>
      <c r="V678" s="27" t="s">
        <v>49</v>
      </c>
      <c r="W678" s="25"/>
      <c r="X678" s="25"/>
      <c r="Y678" s="25"/>
      <c r="Z678" s="25"/>
      <c r="AA678" s="25"/>
      <c r="AB678" s="25"/>
      <c r="AC678" s="25"/>
      <c r="AD678" s="25"/>
    </row>
    <row r="679" customFormat="false" ht="15.75" hidden="false" customHeight="false" outlineLevel="0" collapsed="false">
      <c r="A679" s="28" t="s">
        <v>1049</v>
      </c>
      <c r="B679" s="27" t="s">
        <v>438</v>
      </c>
      <c r="C679" s="27" t="s">
        <v>370</v>
      </c>
      <c r="D679" s="25"/>
      <c r="E679" s="25"/>
      <c r="F679" s="25"/>
      <c r="G679" s="25"/>
      <c r="H679" s="25"/>
      <c r="I679" s="25"/>
      <c r="J679" s="27" t="s">
        <v>982</v>
      </c>
      <c r="K679" s="25" t="str">
        <f aca="false">IFERROR(__xludf.dummyfunction("SPLIT(J679,"" "")"),"CIF")</f>
        <v>CIF</v>
      </c>
      <c r="L679" s="28" t="str">
        <f aca="false">IFERROR(__xludf.dummyfunction("""COMPUTED_VALUE"""),"Germany")</f>
        <v>Germany</v>
      </c>
      <c r="M679" s="27" t="str">
        <f aca="false">IFERROR(__xludf.dummyfunction("""COMPUTED_VALUE"""),"(Diff)")</f>
        <v>(Diff)</v>
      </c>
      <c r="N679" s="25"/>
      <c r="O679" s="25"/>
      <c r="P679" s="25"/>
      <c r="Q679" s="29" t="s">
        <v>371</v>
      </c>
      <c r="R679" s="8" t="str">
        <f aca="false">B679&amp;" "&amp;C679&amp;" "&amp;D679&amp;" "&amp;E679&amp;" "&amp;G679&amp;" "&amp;H679&amp;" "&amp;J679&amp;" "&amp;N679</f>
        <v>Differentials Manganese     CIF Germany (Diff) </v>
      </c>
      <c r="S679" s="25"/>
      <c r="T679" s="8"/>
      <c r="U679" s="8"/>
      <c r="V679" s="27" t="s">
        <v>49</v>
      </c>
      <c r="W679" s="25"/>
      <c r="X679" s="25"/>
      <c r="Y679" s="25"/>
      <c r="Z679" s="25"/>
      <c r="AA679" s="25"/>
      <c r="AB679" s="25"/>
      <c r="AC679" s="25"/>
      <c r="AD679" s="25"/>
    </row>
    <row r="680" customFormat="false" ht="15.75" hidden="false" customHeight="false" outlineLevel="0" collapsed="false">
      <c r="A680" s="28" t="s">
        <v>1050</v>
      </c>
      <c r="B680" s="27" t="s">
        <v>438</v>
      </c>
      <c r="C680" s="27" t="s">
        <v>376</v>
      </c>
      <c r="D680" s="25"/>
      <c r="E680" s="25"/>
      <c r="F680" s="25"/>
      <c r="G680" s="25"/>
      <c r="H680" s="25"/>
      <c r="I680" s="25"/>
      <c r="J680" s="27" t="s">
        <v>982</v>
      </c>
      <c r="K680" s="25" t="str">
        <f aca="false">IFERROR(__xludf.dummyfunction("SPLIT(J680,"" "")"),"CIF")</f>
        <v>CIF</v>
      </c>
      <c r="L680" s="28" t="str">
        <f aca="false">IFERROR(__xludf.dummyfunction("""COMPUTED_VALUE"""),"Germany")</f>
        <v>Germany</v>
      </c>
      <c r="M680" s="27" t="str">
        <f aca="false">IFERROR(__xludf.dummyfunction("""COMPUTED_VALUE"""),"(Diff)")</f>
        <v>(Diff)</v>
      </c>
      <c r="N680" s="25"/>
      <c r="O680" s="25"/>
      <c r="P680" s="25"/>
      <c r="Q680" s="29" t="s">
        <v>381</v>
      </c>
      <c r="R680" s="8" t="str">
        <f aca="false">B680&amp;" "&amp;C680&amp;" "&amp;D680&amp;" "&amp;E680&amp;" "&amp;G680&amp;" "&amp;H680&amp;" "&amp;J680&amp;" "&amp;N680</f>
        <v>Differentials Nickel     CIF Germany (Diff) </v>
      </c>
      <c r="S680" s="25"/>
      <c r="T680" s="8"/>
      <c r="U680" s="8"/>
      <c r="V680" s="27" t="s">
        <v>49</v>
      </c>
      <c r="W680" s="25"/>
      <c r="X680" s="25"/>
      <c r="Y680" s="25"/>
      <c r="Z680" s="25"/>
      <c r="AA680" s="25"/>
      <c r="AB680" s="25"/>
      <c r="AC680" s="25"/>
      <c r="AD680" s="25"/>
    </row>
    <row r="681" customFormat="false" ht="15.75" hidden="false" customHeight="false" outlineLevel="0" collapsed="false">
      <c r="A681" s="28" t="s">
        <v>1051</v>
      </c>
      <c r="B681" s="27" t="s">
        <v>438</v>
      </c>
      <c r="C681" s="27" t="s">
        <v>376</v>
      </c>
      <c r="D681" s="25"/>
      <c r="E681" s="25"/>
      <c r="F681" s="25"/>
      <c r="G681" s="25"/>
      <c r="H681" s="25"/>
      <c r="I681" s="25"/>
      <c r="J681" s="27" t="s">
        <v>982</v>
      </c>
      <c r="K681" s="25" t="str">
        <f aca="false">IFERROR(__xludf.dummyfunction("SPLIT(J681,"" "")"),"CIF")</f>
        <v>CIF</v>
      </c>
      <c r="L681" s="28" t="str">
        <f aca="false">IFERROR(__xludf.dummyfunction("""COMPUTED_VALUE"""),"Germany")</f>
        <v>Germany</v>
      </c>
      <c r="M681" s="27" t="str">
        <f aca="false">IFERROR(__xludf.dummyfunction("""COMPUTED_VALUE"""),"(Diff)")</f>
        <v>(Diff)</v>
      </c>
      <c r="N681" s="25"/>
      <c r="O681" s="25"/>
      <c r="P681" s="25"/>
      <c r="Q681" s="29" t="s">
        <v>379</v>
      </c>
      <c r="R681" s="8" t="str">
        <f aca="false">B681&amp;" "&amp;C681&amp;" "&amp;D681&amp;" "&amp;E681&amp;" "&amp;G681&amp;" "&amp;H681&amp;" "&amp;J681&amp;" "&amp;N681</f>
        <v>Differentials Nickel     CIF Germany (Diff) </v>
      </c>
      <c r="S681" s="25"/>
      <c r="T681" s="8"/>
      <c r="U681" s="8"/>
      <c r="V681" s="27" t="s">
        <v>49</v>
      </c>
      <c r="W681" s="25"/>
      <c r="X681" s="25"/>
      <c r="Y681" s="25"/>
      <c r="Z681" s="25"/>
      <c r="AA681" s="25"/>
      <c r="AB681" s="25"/>
      <c r="AC681" s="25"/>
      <c r="AD681" s="25"/>
    </row>
    <row r="682" customFormat="false" ht="15.75" hidden="false" customHeight="false" outlineLevel="0" collapsed="false">
      <c r="A682" s="28" t="s">
        <v>1052</v>
      </c>
      <c r="B682" s="27" t="s">
        <v>438</v>
      </c>
      <c r="C682" s="27" t="s">
        <v>376</v>
      </c>
      <c r="D682" s="25"/>
      <c r="E682" s="25"/>
      <c r="F682" s="25"/>
      <c r="G682" s="25"/>
      <c r="H682" s="25"/>
      <c r="I682" s="25"/>
      <c r="J682" s="27" t="s">
        <v>982</v>
      </c>
      <c r="K682" s="25" t="str">
        <f aca="false">IFERROR(__xludf.dummyfunction("SPLIT(J682,"" "")"),"CIF")</f>
        <v>CIF</v>
      </c>
      <c r="L682" s="28" t="str">
        <f aca="false">IFERROR(__xludf.dummyfunction("""COMPUTED_VALUE"""),"Germany")</f>
        <v>Germany</v>
      </c>
      <c r="M682" s="27" t="str">
        <f aca="false">IFERROR(__xludf.dummyfunction("""COMPUTED_VALUE"""),"(Diff)")</f>
        <v>(Diff)</v>
      </c>
      <c r="N682" s="25"/>
      <c r="O682" s="25"/>
      <c r="P682" s="25"/>
      <c r="Q682" s="29" t="s">
        <v>377</v>
      </c>
      <c r="R682" s="8" t="str">
        <f aca="false">B682&amp;" "&amp;C682&amp;" "&amp;D682&amp;" "&amp;E682&amp;" "&amp;G682&amp;" "&amp;H682&amp;" "&amp;J682&amp;" "&amp;N682</f>
        <v>Differentials Nickel     CIF Germany (Diff) </v>
      </c>
      <c r="S682" s="25"/>
      <c r="T682" s="8"/>
      <c r="U682" s="8"/>
      <c r="V682" s="27" t="s">
        <v>49</v>
      </c>
      <c r="W682" s="25"/>
      <c r="X682" s="25"/>
      <c r="Y682" s="25"/>
      <c r="Z682" s="25"/>
      <c r="AA682" s="25"/>
      <c r="AB682" s="25"/>
      <c r="AC682" s="25"/>
      <c r="AD682" s="25"/>
    </row>
    <row r="683" customFormat="false" ht="15.75" hidden="false" customHeight="false" outlineLevel="0" collapsed="false">
      <c r="A683" s="28" t="s">
        <v>1053</v>
      </c>
      <c r="B683" s="27" t="s">
        <v>438</v>
      </c>
      <c r="C683" s="27" t="s">
        <v>383</v>
      </c>
      <c r="D683" s="25"/>
      <c r="E683" s="25"/>
      <c r="F683" s="25"/>
      <c r="G683" s="25"/>
      <c r="H683" s="25"/>
      <c r="I683" s="25"/>
      <c r="J683" s="27" t="s">
        <v>982</v>
      </c>
      <c r="K683" s="25" t="str">
        <f aca="false">IFERROR(__xludf.dummyfunction("SPLIT(J683,"" "")"),"CIF")</f>
        <v>CIF</v>
      </c>
      <c r="L683" s="28" t="str">
        <f aca="false">IFERROR(__xludf.dummyfunction("""COMPUTED_VALUE"""),"Germany")</f>
        <v>Germany</v>
      </c>
      <c r="M683" s="27" t="str">
        <f aca="false">IFERROR(__xludf.dummyfunction("""COMPUTED_VALUE"""),"(Diff)")</f>
        <v>(Diff)</v>
      </c>
      <c r="N683" s="25"/>
      <c r="O683" s="25"/>
      <c r="P683" s="25"/>
      <c r="Q683" s="29" t="s">
        <v>406</v>
      </c>
      <c r="R683" s="8" t="str">
        <f aca="false">B683&amp;" "&amp;C683&amp;" "&amp;D683&amp;" "&amp;E683&amp;" "&amp;G683&amp;" "&amp;H683&amp;" "&amp;J683&amp;" "&amp;N683</f>
        <v>Differentials Precursor     CIF Germany (Diff) </v>
      </c>
      <c r="S683" s="25"/>
      <c r="T683" s="8"/>
      <c r="U683" s="8"/>
      <c r="V683" s="27" t="s">
        <v>49</v>
      </c>
      <c r="W683" s="25"/>
      <c r="X683" s="25"/>
      <c r="Y683" s="25"/>
      <c r="Z683" s="25"/>
      <c r="AA683" s="25"/>
      <c r="AB683" s="25"/>
      <c r="AC683" s="25"/>
      <c r="AD683" s="25"/>
    </row>
    <row r="684" customFormat="false" ht="15.75" hidden="false" customHeight="false" outlineLevel="0" collapsed="false">
      <c r="A684" s="28" t="s">
        <v>1054</v>
      </c>
      <c r="B684" s="27" t="s">
        <v>438</v>
      </c>
      <c r="C684" s="27" t="s">
        <v>383</v>
      </c>
      <c r="D684" s="25"/>
      <c r="E684" s="25"/>
      <c r="F684" s="25"/>
      <c r="G684" s="25"/>
      <c r="H684" s="25"/>
      <c r="I684" s="25"/>
      <c r="J684" s="27" t="s">
        <v>982</v>
      </c>
      <c r="K684" s="25" t="str">
        <f aca="false">IFERROR(__xludf.dummyfunction("SPLIT(J684,"" "")"),"CIF")</f>
        <v>CIF</v>
      </c>
      <c r="L684" s="28" t="str">
        <f aca="false">IFERROR(__xludf.dummyfunction("""COMPUTED_VALUE"""),"Germany")</f>
        <v>Germany</v>
      </c>
      <c r="M684" s="27" t="str">
        <f aca="false">IFERROR(__xludf.dummyfunction("""COMPUTED_VALUE"""),"(Diff)")</f>
        <v>(Diff)</v>
      </c>
      <c r="N684" s="25"/>
      <c r="O684" s="25"/>
      <c r="P684" s="25"/>
      <c r="Q684" s="29" t="s">
        <v>404</v>
      </c>
      <c r="R684" s="8" t="str">
        <f aca="false">B684&amp;" "&amp;C684&amp;" "&amp;D684&amp;" "&amp;E684&amp;" "&amp;G684&amp;" "&amp;H684&amp;" "&amp;J684&amp;" "&amp;N684</f>
        <v>Differentials Precursor     CIF Germany (Diff) </v>
      </c>
      <c r="S684" s="25"/>
      <c r="T684" s="8"/>
      <c r="U684" s="8"/>
      <c r="V684" s="27" t="s">
        <v>49</v>
      </c>
      <c r="W684" s="25"/>
      <c r="X684" s="25"/>
      <c r="Y684" s="25"/>
      <c r="Z684" s="25"/>
      <c r="AA684" s="25"/>
      <c r="AB684" s="25"/>
      <c r="AC684" s="25"/>
      <c r="AD684" s="25"/>
    </row>
    <row r="685" customFormat="false" ht="15.75" hidden="false" customHeight="false" outlineLevel="0" collapsed="false">
      <c r="A685" s="28" t="s">
        <v>1055</v>
      </c>
      <c r="B685" s="27" t="s">
        <v>438</v>
      </c>
      <c r="C685" s="27" t="s">
        <v>383</v>
      </c>
      <c r="D685" s="25"/>
      <c r="E685" s="25"/>
      <c r="F685" s="25"/>
      <c r="G685" s="25"/>
      <c r="H685" s="25"/>
      <c r="I685" s="25"/>
      <c r="J685" s="27" t="s">
        <v>982</v>
      </c>
      <c r="K685" s="25" t="str">
        <f aca="false">IFERROR(__xludf.dummyfunction("SPLIT(J685,"" "")"),"CIF")</f>
        <v>CIF</v>
      </c>
      <c r="L685" s="28" t="str">
        <f aca="false">IFERROR(__xludf.dummyfunction("""COMPUTED_VALUE"""),"Germany")</f>
        <v>Germany</v>
      </c>
      <c r="M685" s="27" t="str">
        <f aca="false">IFERROR(__xludf.dummyfunction("""COMPUTED_VALUE"""),"(Diff)")</f>
        <v>(Diff)</v>
      </c>
      <c r="N685" s="25"/>
      <c r="O685" s="25"/>
      <c r="P685" s="25"/>
      <c r="Q685" s="29" t="s">
        <v>402</v>
      </c>
      <c r="R685" s="8" t="str">
        <f aca="false">B685&amp;" "&amp;C685&amp;" "&amp;D685&amp;" "&amp;E685&amp;" "&amp;G685&amp;" "&amp;H685&amp;" "&amp;J685&amp;" "&amp;N685</f>
        <v>Differentials Precursor     CIF Germany (Diff) </v>
      </c>
      <c r="S685" s="25"/>
      <c r="T685" s="8"/>
      <c r="U685" s="8"/>
      <c r="V685" s="27" t="s">
        <v>49</v>
      </c>
      <c r="W685" s="25"/>
      <c r="X685" s="25"/>
      <c r="Y685" s="25"/>
      <c r="Z685" s="25"/>
      <c r="AA685" s="25"/>
      <c r="AB685" s="25"/>
      <c r="AC685" s="25"/>
      <c r="AD685" s="25"/>
    </row>
    <row r="686" customFormat="false" ht="15.75" hidden="false" customHeight="false" outlineLevel="0" collapsed="false">
      <c r="A686" s="28" t="s">
        <v>1056</v>
      </c>
      <c r="B686" s="27" t="s">
        <v>438</v>
      </c>
      <c r="C686" s="27" t="s">
        <v>383</v>
      </c>
      <c r="D686" s="25"/>
      <c r="E686" s="25"/>
      <c r="F686" s="25"/>
      <c r="G686" s="25"/>
      <c r="H686" s="25"/>
      <c r="I686" s="25"/>
      <c r="J686" s="27" t="s">
        <v>982</v>
      </c>
      <c r="K686" s="25" t="str">
        <f aca="false">IFERROR(__xludf.dummyfunction("SPLIT(J686,"" "")"),"CIF")</f>
        <v>CIF</v>
      </c>
      <c r="L686" s="28" t="str">
        <f aca="false">IFERROR(__xludf.dummyfunction("""COMPUTED_VALUE"""),"Germany")</f>
        <v>Germany</v>
      </c>
      <c r="M686" s="27" t="str">
        <f aca="false">IFERROR(__xludf.dummyfunction("""COMPUTED_VALUE"""),"(Diff)")</f>
        <v>(Diff)</v>
      </c>
      <c r="N686" s="25"/>
      <c r="O686" s="25"/>
      <c r="P686" s="25"/>
      <c r="Q686" s="29" t="s">
        <v>400</v>
      </c>
      <c r="R686" s="8" t="str">
        <f aca="false">B686&amp;" "&amp;C686&amp;" "&amp;D686&amp;" "&amp;E686&amp;" "&amp;G686&amp;" "&amp;H686&amp;" "&amp;J686&amp;" "&amp;N686</f>
        <v>Differentials Precursor     CIF Germany (Diff) </v>
      </c>
      <c r="S686" s="25"/>
      <c r="T686" s="8"/>
      <c r="U686" s="8"/>
      <c r="V686" s="27" t="s">
        <v>49</v>
      </c>
      <c r="W686" s="25"/>
      <c r="X686" s="25"/>
      <c r="Y686" s="25"/>
      <c r="Z686" s="25"/>
      <c r="AA686" s="25"/>
      <c r="AB686" s="25"/>
      <c r="AC686" s="25"/>
      <c r="AD686" s="25"/>
    </row>
    <row r="687" customFormat="false" ht="15.75" hidden="false" customHeight="false" outlineLevel="0" collapsed="false">
      <c r="A687" s="28" t="s">
        <v>1057</v>
      </c>
      <c r="B687" s="27" t="s">
        <v>438</v>
      </c>
      <c r="C687" s="27" t="s">
        <v>383</v>
      </c>
      <c r="D687" s="25"/>
      <c r="E687" s="25"/>
      <c r="F687" s="25"/>
      <c r="G687" s="25"/>
      <c r="H687" s="25"/>
      <c r="I687" s="25"/>
      <c r="J687" s="27" t="s">
        <v>982</v>
      </c>
      <c r="K687" s="25" t="str">
        <f aca="false">IFERROR(__xludf.dummyfunction("SPLIT(J687,"" "")"),"CIF")</f>
        <v>CIF</v>
      </c>
      <c r="L687" s="28" t="str">
        <f aca="false">IFERROR(__xludf.dummyfunction("""COMPUTED_VALUE"""),"Germany")</f>
        <v>Germany</v>
      </c>
      <c r="M687" s="27" t="str">
        <f aca="false">IFERROR(__xludf.dummyfunction("""COMPUTED_VALUE"""),"(Diff)")</f>
        <v>(Diff)</v>
      </c>
      <c r="N687" s="25"/>
      <c r="O687" s="25"/>
      <c r="P687" s="25"/>
      <c r="Q687" s="29" t="s">
        <v>398</v>
      </c>
      <c r="R687" s="8" t="str">
        <f aca="false">B687&amp;" "&amp;C687&amp;" "&amp;D687&amp;" "&amp;E687&amp;" "&amp;G687&amp;" "&amp;H687&amp;" "&amp;J687&amp;" "&amp;N687</f>
        <v>Differentials Precursor     CIF Germany (Diff) </v>
      </c>
      <c r="S687" s="25"/>
      <c r="T687" s="8"/>
      <c r="U687" s="8"/>
      <c r="V687" s="27" t="s">
        <v>49</v>
      </c>
      <c r="W687" s="25"/>
      <c r="X687" s="25"/>
      <c r="Y687" s="25"/>
      <c r="Z687" s="25"/>
      <c r="AA687" s="25"/>
      <c r="AB687" s="25"/>
      <c r="AC687" s="25"/>
      <c r="AD687" s="25"/>
    </row>
    <row r="688" customFormat="false" ht="15.75" hidden="false" customHeight="false" outlineLevel="0" collapsed="false">
      <c r="A688" s="28" t="s">
        <v>1058</v>
      </c>
      <c r="B688" s="27" t="s">
        <v>438</v>
      </c>
      <c r="C688" s="27" t="s">
        <v>383</v>
      </c>
      <c r="D688" s="25"/>
      <c r="E688" s="25"/>
      <c r="F688" s="25"/>
      <c r="G688" s="25"/>
      <c r="H688" s="25"/>
      <c r="I688" s="25"/>
      <c r="J688" s="27" t="s">
        <v>982</v>
      </c>
      <c r="K688" s="25" t="str">
        <f aca="false">IFERROR(__xludf.dummyfunction("SPLIT(J688,"" "")"),"CIF")</f>
        <v>CIF</v>
      </c>
      <c r="L688" s="28" t="str">
        <f aca="false">IFERROR(__xludf.dummyfunction("""COMPUTED_VALUE"""),"Germany")</f>
        <v>Germany</v>
      </c>
      <c r="M688" s="27" t="str">
        <f aca="false">IFERROR(__xludf.dummyfunction("""COMPUTED_VALUE"""),"(Diff)")</f>
        <v>(Diff)</v>
      </c>
      <c r="N688" s="25"/>
      <c r="O688" s="25"/>
      <c r="P688" s="25"/>
      <c r="Q688" s="29" t="s">
        <v>259</v>
      </c>
      <c r="R688" s="8" t="str">
        <f aca="false">B688&amp;" "&amp;C688&amp;" "&amp;D688&amp;" "&amp;E688&amp;" "&amp;G688&amp;" "&amp;H688&amp;" "&amp;J688&amp;" "&amp;N688</f>
        <v>Differentials Precursor     CIF Germany (Diff) </v>
      </c>
      <c r="S688" s="25"/>
      <c r="T688" s="8"/>
      <c r="U688" s="8"/>
      <c r="V688" s="27" t="s">
        <v>49</v>
      </c>
      <c r="W688" s="25"/>
      <c r="X688" s="25"/>
      <c r="Y688" s="25"/>
      <c r="Z688" s="25"/>
      <c r="AA688" s="25"/>
      <c r="AB688" s="25"/>
      <c r="AC688" s="25"/>
      <c r="AD688" s="25"/>
    </row>
    <row r="689" customFormat="false" ht="15.75" hidden="false" customHeight="false" outlineLevel="0" collapsed="false">
      <c r="A689" s="28" t="s">
        <v>1059</v>
      </c>
      <c r="B689" s="27" t="s">
        <v>438</v>
      </c>
      <c r="C689" s="27" t="s">
        <v>383</v>
      </c>
      <c r="D689" s="25"/>
      <c r="E689" s="25"/>
      <c r="F689" s="25"/>
      <c r="G689" s="25"/>
      <c r="H689" s="25"/>
      <c r="I689" s="25"/>
      <c r="J689" s="27" t="s">
        <v>982</v>
      </c>
      <c r="K689" s="25" t="str">
        <f aca="false">IFERROR(__xludf.dummyfunction("SPLIT(J689,"" "")"),"CIF")</f>
        <v>CIF</v>
      </c>
      <c r="L689" s="28" t="str">
        <f aca="false">IFERROR(__xludf.dummyfunction("""COMPUTED_VALUE"""),"Germany")</f>
        <v>Germany</v>
      </c>
      <c r="M689" s="27" t="str">
        <f aca="false">IFERROR(__xludf.dummyfunction("""COMPUTED_VALUE"""),"(Diff)")</f>
        <v>(Diff)</v>
      </c>
      <c r="N689" s="25"/>
      <c r="O689" s="25"/>
      <c r="P689" s="25"/>
      <c r="Q689" s="29" t="s">
        <v>395</v>
      </c>
      <c r="R689" s="8" t="str">
        <f aca="false">B689&amp;" "&amp;C689&amp;" "&amp;D689&amp;" "&amp;E689&amp;" "&amp;G689&amp;" "&amp;H689&amp;" "&amp;J689&amp;" "&amp;N689</f>
        <v>Differentials Precursor     CIF Germany (Diff) </v>
      </c>
      <c r="S689" s="25"/>
      <c r="T689" s="8"/>
      <c r="U689" s="8"/>
      <c r="V689" s="27" t="s">
        <v>49</v>
      </c>
      <c r="W689" s="25"/>
      <c r="X689" s="25"/>
      <c r="Y689" s="25"/>
      <c r="Z689" s="25"/>
      <c r="AA689" s="25"/>
      <c r="AB689" s="25"/>
      <c r="AC689" s="25"/>
      <c r="AD689" s="25"/>
    </row>
    <row r="690" customFormat="false" ht="15.75" hidden="false" customHeight="false" outlineLevel="0" collapsed="false">
      <c r="A690" s="28" t="s">
        <v>1060</v>
      </c>
      <c r="B690" s="27" t="s">
        <v>438</v>
      </c>
      <c r="C690" s="27" t="s">
        <v>383</v>
      </c>
      <c r="D690" s="25"/>
      <c r="E690" s="25"/>
      <c r="F690" s="25"/>
      <c r="G690" s="25"/>
      <c r="H690" s="25"/>
      <c r="I690" s="25"/>
      <c r="J690" s="27" t="s">
        <v>982</v>
      </c>
      <c r="K690" s="25" t="str">
        <f aca="false">IFERROR(__xludf.dummyfunction("SPLIT(J690,"" "")"),"CIF")</f>
        <v>CIF</v>
      </c>
      <c r="L690" s="28" t="str">
        <f aca="false">IFERROR(__xludf.dummyfunction("""COMPUTED_VALUE"""),"Germany")</f>
        <v>Germany</v>
      </c>
      <c r="M690" s="27" t="str">
        <f aca="false">IFERROR(__xludf.dummyfunction("""COMPUTED_VALUE"""),"(Diff)")</f>
        <v>(Diff)</v>
      </c>
      <c r="N690" s="25"/>
      <c r="O690" s="25"/>
      <c r="P690" s="25"/>
      <c r="Q690" s="29" t="s">
        <v>393</v>
      </c>
      <c r="R690" s="8" t="str">
        <f aca="false">B690&amp;" "&amp;C690&amp;" "&amp;D690&amp;" "&amp;E690&amp;" "&amp;G690&amp;" "&amp;H690&amp;" "&amp;J690&amp;" "&amp;N690</f>
        <v>Differentials Precursor     CIF Germany (Diff) </v>
      </c>
      <c r="S690" s="25"/>
      <c r="T690" s="8"/>
      <c r="U690" s="8"/>
      <c r="V690" s="27" t="s">
        <v>49</v>
      </c>
      <c r="W690" s="25"/>
      <c r="X690" s="25"/>
      <c r="Y690" s="25"/>
      <c r="Z690" s="25"/>
      <c r="AA690" s="25"/>
      <c r="AB690" s="25"/>
      <c r="AC690" s="25"/>
      <c r="AD690" s="25"/>
    </row>
    <row r="691" customFormat="false" ht="15.75" hidden="false" customHeight="false" outlineLevel="0" collapsed="false">
      <c r="A691" s="28" t="s">
        <v>1061</v>
      </c>
      <c r="B691" s="27" t="s">
        <v>438</v>
      </c>
      <c r="C691" s="27" t="s">
        <v>383</v>
      </c>
      <c r="D691" s="25"/>
      <c r="E691" s="25"/>
      <c r="F691" s="25"/>
      <c r="G691" s="25"/>
      <c r="H691" s="25"/>
      <c r="I691" s="25"/>
      <c r="J691" s="27" t="s">
        <v>982</v>
      </c>
      <c r="K691" s="25" t="str">
        <f aca="false">IFERROR(__xludf.dummyfunction("SPLIT(J691,"" "")"),"CIF")</f>
        <v>CIF</v>
      </c>
      <c r="L691" s="28" t="str">
        <f aca="false">IFERROR(__xludf.dummyfunction("""COMPUTED_VALUE"""),"Germany")</f>
        <v>Germany</v>
      </c>
      <c r="M691" s="27" t="str">
        <f aca="false">IFERROR(__xludf.dummyfunction("""COMPUTED_VALUE"""),"(Diff)")</f>
        <v>(Diff)</v>
      </c>
      <c r="N691" s="25"/>
      <c r="O691" s="25"/>
      <c r="P691" s="25"/>
      <c r="Q691" s="29" t="s">
        <v>391</v>
      </c>
      <c r="R691" s="8" t="str">
        <f aca="false">B691&amp;" "&amp;C691&amp;" "&amp;D691&amp;" "&amp;E691&amp;" "&amp;G691&amp;" "&amp;H691&amp;" "&amp;J691&amp;" "&amp;N691</f>
        <v>Differentials Precursor     CIF Germany (Diff) </v>
      </c>
      <c r="S691" s="25"/>
      <c r="T691" s="8"/>
      <c r="U691" s="8"/>
      <c r="V691" s="27" t="s">
        <v>49</v>
      </c>
      <c r="W691" s="25"/>
      <c r="X691" s="25"/>
      <c r="Y691" s="25"/>
      <c r="Z691" s="25"/>
      <c r="AA691" s="25"/>
      <c r="AB691" s="25"/>
      <c r="AC691" s="25"/>
      <c r="AD691" s="25"/>
    </row>
    <row r="692" customFormat="false" ht="15.75" hidden="false" customHeight="false" outlineLevel="0" collapsed="false">
      <c r="A692" s="28" t="s">
        <v>1062</v>
      </c>
      <c r="B692" s="27" t="s">
        <v>438</v>
      </c>
      <c r="C692" s="27" t="s">
        <v>383</v>
      </c>
      <c r="D692" s="25"/>
      <c r="E692" s="25"/>
      <c r="F692" s="25"/>
      <c r="G692" s="25"/>
      <c r="H692" s="25"/>
      <c r="I692" s="25"/>
      <c r="J692" s="27" t="s">
        <v>982</v>
      </c>
      <c r="K692" s="25" t="str">
        <f aca="false">IFERROR(__xludf.dummyfunction("SPLIT(J692,"" "")"),"CIF")</f>
        <v>CIF</v>
      </c>
      <c r="L692" s="28" t="str">
        <f aca="false">IFERROR(__xludf.dummyfunction("""COMPUTED_VALUE"""),"Germany")</f>
        <v>Germany</v>
      </c>
      <c r="M692" s="27" t="str">
        <f aca="false">IFERROR(__xludf.dummyfunction("""COMPUTED_VALUE"""),"(Diff)")</f>
        <v>(Diff)</v>
      </c>
      <c r="N692" s="25"/>
      <c r="O692" s="25"/>
      <c r="P692" s="25"/>
      <c r="Q692" s="29" t="s">
        <v>389</v>
      </c>
      <c r="R692" s="8" t="str">
        <f aca="false">B692&amp;" "&amp;C692&amp;" "&amp;D692&amp;" "&amp;E692&amp;" "&amp;G692&amp;" "&amp;H692&amp;" "&amp;J692&amp;" "&amp;N692</f>
        <v>Differentials Precursor     CIF Germany (Diff) </v>
      </c>
      <c r="S692" s="25"/>
      <c r="T692" s="8"/>
      <c r="U692" s="8"/>
      <c r="V692" s="27" t="s">
        <v>49</v>
      </c>
      <c r="W692" s="25"/>
      <c r="X692" s="25"/>
      <c r="Y692" s="25"/>
      <c r="Z692" s="25"/>
      <c r="AA692" s="25"/>
      <c r="AB692" s="25"/>
      <c r="AC692" s="25"/>
      <c r="AD692" s="25"/>
    </row>
    <row r="693" customFormat="false" ht="15.75" hidden="false" customHeight="false" outlineLevel="0" collapsed="false">
      <c r="A693" s="28" t="s">
        <v>1063</v>
      </c>
      <c r="B693" s="27" t="s">
        <v>438</v>
      </c>
      <c r="C693" s="27" t="s">
        <v>383</v>
      </c>
      <c r="D693" s="25"/>
      <c r="E693" s="25"/>
      <c r="F693" s="25"/>
      <c r="G693" s="25"/>
      <c r="H693" s="25"/>
      <c r="I693" s="25"/>
      <c r="J693" s="27" t="s">
        <v>982</v>
      </c>
      <c r="K693" s="25" t="str">
        <f aca="false">IFERROR(__xludf.dummyfunction("SPLIT(J693,"" "")"),"CIF")</f>
        <v>CIF</v>
      </c>
      <c r="L693" s="28" t="str">
        <f aca="false">IFERROR(__xludf.dummyfunction("""COMPUTED_VALUE"""),"Germany")</f>
        <v>Germany</v>
      </c>
      <c r="M693" s="27" t="str">
        <f aca="false">IFERROR(__xludf.dummyfunction("""COMPUTED_VALUE"""),"(Diff)")</f>
        <v>(Diff)</v>
      </c>
      <c r="N693" s="25"/>
      <c r="O693" s="25"/>
      <c r="P693" s="25"/>
      <c r="Q693" s="29" t="s">
        <v>387</v>
      </c>
      <c r="R693" s="8" t="str">
        <f aca="false">B693&amp;" "&amp;C693&amp;" "&amp;D693&amp;" "&amp;E693&amp;" "&amp;G693&amp;" "&amp;H693&amp;" "&amp;J693&amp;" "&amp;N693</f>
        <v>Differentials Precursor     CIF Germany (Diff) </v>
      </c>
      <c r="S693" s="25"/>
      <c r="T693" s="8"/>
      <c r="U693" s="8"/>
      <c r="V693" s="27" t="s">
        <v>49</v>
      </c>
      <c r="W693" s="25"/>
      <c r="X693" s="25"/>
      <c r="Y693" s="25"/>
      <c r="Z693" s="25"/>
      <c r="AA693" s="25"/>
      <c r="AB693" s="25"/>
      <c r="AC693" s="25"/>
      <c r="AD693" s="25"/>
    </row>
    <row r="694" customFormat="false" ht="15.75" hidden="false" customHeight="false" outlineLevel="0" collapsed="false">
      <c r="A694" s="28" t="s">
        <v>1064</v>
      </c>
      <c r="B694" s="27" t="s">
        <v>438</v>
      </c>
      <c r="C694" s="27" t="s">
        <v>383</v>
      </c>
      <c r="D694" s="25"/>
      <c r="E694" s="25"/>
      <c r="F694" s="25"/>
      <c r="G694" s="25"/>
      <c r="H694" s="25"/>
      <c r="I694" s="25"/>
      <c r="J694" s="27" t="s">
        <v>982</v>
      </c>
      <c r="K694" s="25" t="str">
        <f aca="false">IFERROR(__xludf.dummyfunction("SPLIT(J694,"" "")"),"CIF")</f>
        <v>CIF</v>
      </c>
      <c r="L694" s="28" t="str">
        <f aca="false">IFERROR(__xludf.dummyfunction("""COMPUTED_VALUE"""),"Germany")</f>
        <v>Germany</v>
      </c>
      <c r="M694" s="27" t="str">
        <f aca="false">IFERROR(__xludf.dummyfunction("""COMPUTED_VALUE"""),"(Diff)")</f>
        <v>(Diff)</v>
      </c>
      <c r="N694" s="25"/>
      <c r="O694" s="25"/>
      <c r="P694" s="25"/>
      <c r="Q694" s="29" t="s">
        <v>385</v>
      </c>
      <c r="R694" s="8" t="str">
        <f aca="false">B694&amp;" "&amp;C694&amp;" "&amp;D694&amp;" "&amp;E694&amp;" "&amp;G694&amp;" "&amp;H694&amp;" "&amp;J694&amp;" "&amp;N694</f>
        <v>Differentials Precursor     CIF Germany (Diff) </v>
      </c>
      <c r="S694" s="25"/>
      <c r="T694" s="8"/>
      <c r="U694" s="8"/>
      <c r="V694" s="27" t="s">
        <v>49</v>
      </c>
      <c r="W694" s="25"/>
      <c r="X694" s="25"/>
      <c r="Y694" s="25"/>
      <c r="Z694" s="25"/>
      <c r="AA694" s="25"/>
      <c r="AB694" s="25"/>
      <c r="AC694" s="25"/>
      <c r="AD694" s="25"/>
    </row>
    <row r="695" customFormat="false" ht="15.75" hidden="false" customHeight="false" outlineLevel="0" collapsed="false">
      <c r="A695" s="28" t="s">
        <v>1065</v>
      </c>
      <c r="B695" s="27" t="s">
        <v>438</v>
      </c>
      <c r="C695" s="27" t="s">
        <v>408</v>
      </c>
      <c r="D695" s="25"/>
      <c r="E695" s="25"/>
      <c r="F695" s="25"/>
      <c r="G695" s="25"/>
      <c r="H695" s="25"/>
      <c r="I695" s="25"/>
      <c r="J695" s="27" t="s">
        <v>982</v>
      </c>
      <c r="K695" s="25" t="str">
        <f aca="false">IFERROR(__xludf.dummyfunction("SPLIT(J695,"" "")"),"CIF")</f>
        <v>CIF</v>
      </c>
      <c r="L695" s="28" t="str">
        <f aca="false">IFERROR(__xludf.dummyfunction("""COMPUTED_VALUE"""),"Germany")</f>
        <v>Germany</v>
      </c>
      <c r="M695" s="27" t="str">
        <f aca="false">IFERROR(__xludf.dummyfunction("""COMPUTED_VALUE"""),"(Diff)")</f>
        <v>(Diff)</v>
      </c>
      <c r="N695" s="25"/>
      <c r="O695" s="25"/>
      <c r="P695" s="25"/>
      <c r="Q695" s="29" t="s">
        <v>415</v>
      </c>
      <c r="R695" s="8" t="str">
        <f aca="false">B695&amp;" "&amp;C695&amp;" "&amp;D695&amp;" "&amp;E695&amp;" "&amp;G695&amp;" "&amp;H695&amp;" "&amp;J695&amp;" "&amp;N695</f>
        <v>Differentials Rare Earths     CIF Germany (Diff) </v>
      </c>
      <c r="S695" s="25"/>
      <c r="T695" s="8"/>
      <c r="U695" s="8"/>
      <c r="V695" s="27" t="s">
        <v>49</v>
      </c>
      <c r="W695" s="25"/>
      <c r="X695" s="25"/>
      <c r="Y695" s="25"/>
      <c r="Z695" s="25"/>
      <c r="AA695" s="25"/>
      <c r="AB695" s="25"/>
      <c r="AC695" s="25"/>
      <c r="AD695" s="25"/>
    </row>
    <row r="696" customFormat="false" ht="15.75" hidden="false" customHeight="false" outlineLevel="0" collapsed="false">
      <c r="A696" s="28" t="s">
        <v>1066</v>
      </c>
      <c r="B696" s="27" t="s">
        <v>438</v>
      </c>
      <c r="C696" s="27" t="s">
        <v>408</v>
      </c>
      <c r="D696" s="25"/>
      <c r="E696" s="25"/>
      <c r="F696" s="25"/>
      <c r="G696" s="25"/>
      <c r="H696" s="25"/>
      <c r="I696" s="25"/>
      <c r="J696" s="27" t="s">
        <v>982</v>
      </c>
      <c r="K696" s="25" t="str">
        <f aca="false">IFERROR(__xludf.dummyfunction("SPLIT(J696,"" "")"),"CIF")</f>
        <v>CIF</v>
      </c>
      <c r="L696" s="28" t="str">
        <f aca="false">IFERROR(__xludf.dummyfunction("""COMPUTED_VALUE"""),"Germany")</f>
        <v>Germany</v>
      </c>
      <c r="M696" s="27" t="str">
        <f aca="false">IFERROR(__xludf.dummyfunction("""COMPUTED_VALUE"""),"(Diff)")</f>
        <v>(Diff)</v>
      </c>
      <c r="N696" s="25"/>
      <c r="O696" s="25"/>
      <c r="P696" s="25"/>
      <c r="Q696" s="29" t="s">
        <v>413</v>
      </c>
      <c r="R696" s="8" t="str">
        <f aca="false">B696&amp;" "&amp;C696&amp;" "&amp;D696&amp;" "&amp;E696&amp;" "&amp;G696&amp;" "&amp;H696&amp;" "&amp;J696&amp;" "&amp;N696</f>
        <v>Differentials Rare Earths     CIF Germany (Diff) </v>
      </c>
      <c r="S696" s="25"/>
      <c r="T696" s="8"/>
      <c r="U696" s="8"/>
      <c r="V696" s="27" t="s">
        <v>49</v>
      </c>
      <c r="W696" s="25"/>
      <c r="X696" s="25"/>
      <c r="Y696" s="25"/>
      <c r="Z696" s="25"/>
      <c r="AA696" s="25"/>
      <c r="AB696" s="25"/>
      <c r="AC696" s="25"/>
      <c r="AD696" s="25"/>
    </row>
    <row r="697" customFormat="false" ht="15.75" hidden="false" customHeight="false" outlineLevel="0" collapsed="false">
      <c r="A697" s="28" t="s">
        <v>1067</v>
      </c>
      <c r="B697" s="27" t="s">
        <v>438</v>
      </c>
      <c r="C697" s="27" t="s">
        <v>408</v>
      </c>
      <c r="D697" s="25"/>
      <c r="E697" s="25"/>
      <c r="F697" s="25"/>
      <c r="G697" s="25"/>
      <c r="H697" s="25"/>
      <c r="I697" s="25"/>
      <c r="J697" s="27" t="s">
        <v>982</v>
      </c>
      <c r="K697" s="25" t="str">
        <f aca="false">IFERROR(__xludf.dummyfunction("SPLIT(J697,"" "")"),"CIF")</f>
        <v>CIF</v>
      </c>
      <c r="L697" s="28" t="str">
        <f aca="false">IFERROR(__xludf.dummyfunction("""COMPUTED_VALUE"""),"Germany")</f>
        <v>Germany</v>
      </c>
      <c r="M697" s="27" t="str">
        <f aca="false">IFERROR(__xludf.dummyfunction("""COMPUTED_VALUE"""),"(Diff)")</f>
        <v>(Diff)</v>
      </c>
      <c r="N697" s="25"/>
      <c r="O697" s="25"/>
      <c r="P697" s="25"/>
      <c r="Q697" s="29" t="s">
        <v>411</v>
      </c>
      <c r="R697" s="8" t="str">
        <f aca="false">B697&amp;" "&amp;C697&amp;" "&amp;D697&amp;" "&amp;E697&amp;" "&amp;G697&amp;" "&amp;H697&amp;" "&amp;J697&amp;" "&amp;N697</f>
        <v>Differentials Rare Earths     CIF Germany (Diff) </v>
      </c>
      <c r="S697" s="25"/>
      <c r="T697" s="8"/>
      <c r="U697" s="8"/>
      <c r="V697" s="27" t="s">
        <v>49</v>
      </c>
      <c r="W697" s="25"/>
      <c r="X697" s="25"/>
      <c r="Y697" s="25"/>
      <c r="Z697" s="25"/>
      <c r="AA697" s="25"/>
      <c r="AB697" s="25"/>
      <c r="AC697" s="25"/>
      <c r="AD697" s="25"/>
    </row>
    <row r="698" customFormat="false" ht="15.75" hidden="false" customHeight="false" outlineLevel="0" collapsed="false">
      <c r="A698" s="28" t="s">
        <v>1068</v>
      </c>
      <c r="B698" s="27" t="s">
        <v>438</v>
      </c>
      <c r="C698" s="27" t="s">
        <v>408</v>
      </c>
      <c r="D698" s="25"/>
      <c r="E698" s="25"/>
      <c r="F698" s="25"/>
      <c r="G698" s="25"/>
      <c r="H698" s="25"/>
      <c r="I698" s="25"/>
      <c r="J698" s="27" t="s">
        <v>982</v>
      </c>
      <c r="K698" s="25" t="str">
        <f aca="false">IFERROR(__xludf.dummyfunction("SPLIT(J698,"" "")"),"CIF")</f>
        <v>CIF</v>
      </c>
      <c r="L698" s="28" t="str">
        <f aca="false">IFERROR(__xludf.dummyfunction("""COMPUTED_VALUE"""),"Germany")</f>
        <v>Germany</v>
      </c>
      <c r="M698" s="27" t="str">
        <f aca="false">IFERROR(__xludf.dummyfunction("""COMPUTED_VALUE"""),"(Diff)")</f>
        <v>(Diff)</v>
      </c>
      <c r="N698" s="25"/>
      <c r="O698" s="25"/>
      <c r="P698" s="25"/>
      <c r="Q698" s="29" t="s">
        <v>409</v>
      </c>
      <c r="R698" s="8" t="str">
        <f aca="false">B698&amp;" "&amp;C698&amp;" "&amp;D698&amp;" "&amp;E698&amp;" "&amp;G698&amp;" "&amp;H698&amp;" "&amp;J698&amp;" "&amp;N698</f>
        <v>Differentials Rare Earths     CIF Germany (Diff) </v>
      </c>
      <c r="S698" s="25"/>
      <c r="T698" s="8"/>
      <c r="U698" s="8"/>
      <c r="V698" s="27" t="s">
        <v>49</v>
      </c>
      <c r="W698" s="25"/>
      <c r="X698" s="25"/>
      <c r="Y698" s="25"/>
      <c r="Z698" s="25"/>
      <c r="AA698" s="25"/>
      <c r="AB698" s="25"/>
      <c r="AC698" s="25"/>
      <c r="AD698" s="25"/>
    </row>
    <row r="699" customFormat="false" ht="15.75" hidden="false" customHeight="false" outlineLevel="0" collapsed="false">
      <c r="A699" s="28" t="s">
        <v>1069</v>
      </c>
      <c r="B699" s="27" t="s">
        <v>438</v>
      </c>
      <c r="C699" s="27" t="s">
        <v>417</v>
      </c>
      <c r="D699" s="25"/>
      <c r="E699" s="25"/>
      <c r="F699" s="25"/>
      <c r="G699" s="25"/>
      <c r="H699" s="25"/>
      <c r="I699" s="25"/>
      <c r="J699" s="27" t="s">
        <v>982</v>
      </c>
      <c r="K699" s="25" t="str">
        <f aca="false">IFERROR(__xludf.dummyfunction("SPLIT(J699,"" "")"),"CIF")</f>
        <v>CIF</v>
      </c>
      <c r="L699" s="28" t="str">
        <f aca="false">IFERROR(__xludf.dummyfunction("""COMPUTED_VALUE"""),"Germany")</f>
        <v>Germany</v>
      </c>
      <c r="M699" s="27" t="str">
        <f aca="false">IFERROR(__xludf.dummyfunction("""COMPUTED_VALUE"""),"(Diff)")</f>
        <v>(Diff)</v>
      </c>
      <c r="N699" s="25"/>
      <c r="O699" s="25"/>
      <c r="P699" s="25"/>
      <c r="Q699" s="29" t="s">
        <v>436</v>
      </c>
      <c r="R699" s="8" t="str">
        <f aca="false">B699&amp;" "&amp;C699&amp;" "&amp;D699&amp;" "&amp;E699&amp;" "&amp;G699&amp;" "&amp;H699&amp;" "&amp;J699&amp;" "&amp;N699</f>
        <v>Differentials Solvent     CIF Germany (Diff) </v>
      </c>
      <c r="S699" s="25"/>
      <c r="T699" s="8"/>
      <c r="U699" s="8"/>
      <c r="V699" s="27" t="s">
        <v>49</v>
      </c>
      <c r="W699" s="25"/>
      <c r="X699" s="25"/>
      <c r="Y699" s="25"/>
      <c r="Z699" s="25"/>
      <c r="AA699" s="25"/>
      <c r="AB699" s="25"/>
      <c r="AC699" s="25"/>
      <c r="AD699" s="25"/>
    </row>
    <row r="700" customFormat="false" ht="15.75" hidden="false" customHeight="false" outlineLevel="0" collapsed="false">
      <c r="A700" s="28" t="s">
        <v>1070</v>
      </c>
      <c r="B700" s="27" t="s">
        <v>438</v>
      </c>
      <c r="C700" s="27" t="s">
        <v>417</v>
      </c>
      <c r="D700" s="25"/>
      <c r="E700" s="25"/>
      <c r="F700" s="25"/>
      <c r="G700" s="25"/>
      <c r="H700" s="25"/>
      <c r="I700" s="25"/>
      <c r="J700" s="27" t="s">
        <v>982</v>
      </c>
      <c r="K700" s="25" t="str">
        <f aca="false">IFERROR(__xludf.dummyfunction("SPLIT(J700,"" "")"),"CIF")</f>
        <v>CIF</v>
      </c>
      <c r="L700" s="28" t="str">
        <f aca="false">IFERROR(__xludf.dummyfunction("""COMPUTED_VALUE"""),"Germany")</f>
        <v>Germany</v>
      </c>
      <c r="M700" s="27" t="str">
        <f aca="false">IFERROR(__xludf.dummyfunction("""COMPUTED_VALUE"""),"(Diff)")</f>
        <v>(Diff)</v>
      </c>
      <c r="N700" s="25"/>
      <c r="O700" s="25"/>
      <c r="P700" s="25"/>
      <c r="Q700" s="29" t="s">
        <v>434</v>
      </c>
      <c r="R700" s="8" t="str">
        <f aca="false">B700&amp;" "&amp;C700&amp;" "&amp;D700&amp;" "&amp;E700&amp;" "&amp;G700&amp;" "&amp;H700&amp;" "&amp;J700&amp;" "&amp;N700</f>
        <v>Differentials Solvent     CIF Germany (Diff) </v>
      </c>
      <c r="S700" s="25"/>
      <c r="T700" s="8"/>
      <c r="U700" s="8"/>
      <c r="V700" s="27" t="s">
        <v>49</v>
      </c>
      <c r="W700" s="25"/>
      <c r="X700" s="25"/>
      <c r="Y700" s="25"/>
      <c r="Z700" s="25"/>
      <c r="AA700" s="25"/>
      <c r="AB700" s="25"/>
      <c r="AC700" s="25"/>
      <c r="AD700" s="25"/>
    </row>
    <row r="701" customFormat="false" ht="15.75" hidden="false" customHeight="false" outlineLevel="0" collapsed="false">
      <c r="A701" s="28" t="s">
        <v>1071</v>
      </c>
      <c r="B701" s="27" t="s">
        <v>438</v>
      </c>
      <c r="C701" s="27" t="s">
        <v>417</v>
      </c>
      <c r="D701" s="25"/>
      <c r="E701" s="25"/>
      <c r="F701" s="25"/>
      <c r="G701" s="25"/>
      <c r="H701" s="25"/>
      <c r="I701" s="25"/>
      <c r="J701" s="27" t="s">
        <v>982</v>
      </c>
      <c r="K701" s="25" t="str">
        <f aca="false">IFERROR(__xludf.dummyfunction("SPLIT(J701,"" "")"),"CIF")</f>
        <v>CIF</v>
      </c>
      <c r="L701" s="28" t="str">
        <f aca="false">IFERROR(__xludf.dummyfunction("""COMPUTED_VALUE"""),"Germany")</f>
        <v>Germany</v>
      </c>
      <c r="M701" s="27" t="str">
        <f aca="false">IFERROR(__xludf.dummyfunction("""COMPUTED_VALUE"""),"(Diff)")</f>
        <v>(Diff)</v>
      </c>
      <c r="N701" s="25"/>
      <c r="O701" s="25"/>
      <c r="P701" s="25"/>
      <c r="Q701" s="29" t="s">
        <v>432</v>
      </c>
      <c r="R701" s="8" t="str">
        <f aca="false">B701&amp;" "&amp;C701&amp;" "&amp;D701&amp;" "&amp;E701&amp;" "&amp;G701&amp;" "&amp;H701&amp;" "&amp;J701&amp;" "&amp;N701</f>
        <v>Differentials Solvent     CIF Germany (Diff) </v>
      </c>
      <c r="S701" s="25"/>
      <c r="T701" s="8"/>
      <c r="U701" s="8"/>
      <c r="V701" s="27" t="s">
        <v>49</v>
      </c>
      <c r="W701" s="25"/>
      <c r="X701" s="25"/>
      <c r="Y701" s="25"/>
      <c r="Z701" s="25"/>
      <c r="AA701" s="25"/>
      <c r="AB701" s="25"/>
      <c r="AC701" s="25"/>
      <c r="AD701" s="25"/>
    </row>
    <row r="702" customFormat="false" ht="15.75" hidden="false" customHeight="false" outlineLevel="0" collapsed="false">
      <c r="A702" s="28" t="s">
        <v>1072</v>
      </c>
      <c r="B702" s="27" t="s">
        <v>438</v>
      </c>
      <c r="C702" s="27" t="s">
        <v>417</v>
      </c>
      <c r="D702" s="25"/>
      <c r="E702" s="25"/>
      <c r="F702" s="25"/>
      <c r="G702" s="25"/>
      <c r="H702" s="25"/>
      <c r="I702" s="25"/>
      <c r="J702" s="27" t="s">
        <v>982</v>
      </c>
      <c r="K702" s="25" t="str">
        <f aca="false">IFERROR(__xludf.dummyfunction("SPLIT(J702,"" "")"),"CIF")</f>
        <v>CIF</v>
      </c>
      <c r="L702" s="28" t="str">
        <f aca="false">IFERROR(__xludf.dummyfunction("""COMPUTED_VALUE"""),"Germany")</f>
        <v>Germany</v>
      </c>
      <c r="M702" s="27" t="str">
        <f aca="false">IFERROR(__xludf.dummyfunction("""COMPUTED_VALUE"""),"(Diff)")</f>
        <v>(Diff)</v>
      </c>
      <c r="N702" s="25"/>
      <c r="O702" s="25"/>
      <c r="P702" s="25"/>
      <c r="Q702" s="29" t="s">
        <v>430</v>
      </c>
      <c r="R702" s="8" t="str">
        <f aca="false">B702&amp;" "&amp;C702&amp;" "&amp;D702&amp;" "&amp;E702&amp;" "&amp;G702&amp;" "&amp;H702&amp;" "&amp;J702&amp;" "&amp;N702</f>
        <v>Differentials Solvent     CIF Germany (Diff) </v>
      </c>
      <c r="S702" s="25"/>
      <c r="T702" s="8"/>
      <c r="U702" s="8"/>
      <c r="V702" s="27" t="s">
        <v>49</v>
      </c>
      <c r="W702" s="25"/>
      <c r="X702" s="25"/>
      <c r="Y702" s="25"/>
      <c r="Z702" s="25"/>
      <c r="AA702" s="25"/>
      <c r="AB702" s="25"/>
      <c r="AC702" s="25"/>
      <c r="AD702" s="25"/>
    </row>
    <row r="703" customFormat="false" ht="15.75" hidden="false" customHeight="false" outlineLevel="0" collapsed="false">
      <c r="A703" s="28" t="s">
        <v>1073</v>
      </c>
      <c r="B703" s="27" t="s">
        <v>438</v>
      </c>
      <c r="C703" s="27" t="s">
        <v>417</v>
      </c>
      <c r="D703" s="25"/>
      <c r="E703" s="25"/>
      <c r="F703" s="25"/>
      <c r="G703" s="25"/>
      <c r="H703" s="25"/>
      <c r="I703" s="25"/>
      <c r="J703" s="27" t="s">
        <v>982</v>
      </c>
      <c r="K703" s="25" t="str">
        <f aca="false">IFERROR(__xludf.dummyfunction("SPLIT(J703,"" "")"),"CIF")</f>
        <v>CIF</v>
      </c>
      <c r="L703" s="28" t="str">
        <f aca="false">IFERROR(__xludf.dummyfunction("""COMPUTED_VALUE"""),"Germany")</f>
        <v>Germany</v>
      </c>
      <c r="M703" s="27" t="str">
        <f aca="false">IFERROR(__xludf.dummyfunction("""COMPUTED_VALUE"""),"(Diff)")</f>
        <v>(Diff)</v>
      </c>
      <c r="N703" s="25"/>
      <c r="O703" s="25"/>
      <c r="P703" s="25"/>
      <c r="Q703" s="29" t="s">
        <v>428</v>
      </c>
      <c r="R703" s="8" t="str">
        <f aca="false">B703&amp;" "&amp;C703&amp;" "&amp;D703&amp;" "&amp;E703&amp;" "&amp;G703&amp;" "&amp;H703&amp;" "&amp;J703&amp;" "&amp;N703</f>
        <v>Differentials Solvent     CIF Germany (Diff) </v>
      </c>
      <c r="S703" s="25"/>
      <c r="T703" s="8"/>
      <c r="U703" s="8"/>
      <c r="V703" s="27" t="s">
        <v>49</v>
      </c>
      <c r="W703" s="25"/>
      <c r="X703" s="25"/>
      <c r="Y703" s="25"/>
      <c r="Z703" s="25"/>
      <c r="AA703" s="25"/>
      <c r="AB703" s="25"/>
      <c r="AC703" s="25"/>
      <c r="AD703" s="25"/>
    </row>
    <row r="704" customFormat="false" ht="15.75" hidden="false" customHeight="false" outlineLevel="0" collapsed="false">
      <c r="A704" s="28" t="s">
        <v>1074</v>
      </c>
      <c r="B704" s="27" t="s">
        <v>438</v>
      </c>
      <c r="C704" s="27" t="s">
        <v>417</v>
      </c>
      <c r="D704" s="25"/>
      <c r="E704" s="25"/>
      <c r="F704" s="25"/>
      <c r="G704" s="25"/>
      <c r="H704" s="25"/>
      <c r="I704" s="25"/>
      <c r="J704" s="27" t="s">
        <v>982</v>
      </c>
      <c r="K704" s="25" t="str">
        <f aca="false">IFERROR(__xludf.dummyfunction("SPLIT(J704,"" "")"),"CIF")</f>
        <v>CIF</v>
      </c>
      <c r="L704" s="28" t="str">
        <f aca="false">IFERROR(__xludf.dummyfunction("""COMPUTED_VALUE"""),"Germany")</f>
        <v>Germany</v>
      </c>
      <c r="M704" s="27" t="str">
        <f aca="false">IFERROR(__xludf.dummyfunction("""COMPUTED_VALUE"""),"(Diff)")</f>
        <v>(Diff)</v>
      </c>
      <c r="N704" s="25"/>
      <c r="O704" s="25"/>
      <c r="P704" s="25"/>
      <c r="Q704" s="29" t="s">
        <v>426</v>
      </c>
      <c r="R704" s="8" t="str">
        <f aca="false">B704&amp;" "&amp;C704&amp;" "&amp;D704&amp;" "&amp;E704&amp;" "&amp;G704&amp;" "&amp;H704&amp;" "&amp;J704&amp;" "&amp;N704</f>
        <v>Differentials Solvent     CIF Germany (Diff) </v>
      </c>
      <c r="S704" s="25"/>
      <c r="T704" s="8"/>
      <c r="U704" s="8"/>
      <c r="V704" s="27" t="s">
        <v>49</v>
      </c>
      <c r="W704" s="25"/>
      <c r="X704" s="25"/>
      <c r="Y704" s="25"/>
      <c r="Z704" s="25"/>
      <c r="AA704" s="25"/>
      <c r="AB704" s="25"/>
      <c r="AC704" s="25"/>
      <c r="AD704" s="25"/>
    </row>
    <row r="705" customFormat="false" ht="15.75" hidden="false" customHeight="false" outlineLevel="0" collapsed="false">
      <c r="A705" s="28" t="s">
        <v>1075</v>
      </c>
      <c r="B705" s="27" t="s">
        <v>438</v>
      </c>
      <c r="C705" s="27" t="s">
        <v>417</v>
      </c>
      <c r="D705" s="25"/>
      <c r="E705" s="25"/>
      <c r="F705" s="25"/>
      <c r="G705" s="25"/>
      <c r="H705" s="25"/>
      <c r="I705" s="25"/>
      <c r="J705" s="27" t="s">
        <v>982</v>
      </c>
      <c r="K705" s="25" t="str">
        <f aca="false">IFERROR(__xludf.dummyfunction("SPLIT(J705,"" "")"),"CIF")</f>
        <v>CIF</v>
      </c>
      <c r="L705" s="28" t="str">
        <f aca="false">IFERROR(__xludf.dummyfunction("""COMPUTED_VALUE"""),"Germany")</f>
        <v>Germany</v>
      </c>
      <c r="M705" s="27" t="str">
        <f aca="false">IFERROR(__xludf.dummyfunction("""COMPUTED_VALUE"""),"(Diff)")</f>
        <v>(Diff)</v>
      </c>
      <c r="N705" s="25"/>
      <c r="O705" s="25"/>
      <c r="P705" s="25"/>
      <c r="Q705" s="29" t="s">
        <v>424</v>
      </c>
      <c r="R705" s="8" t="str">
        <f aca="false">B705&amp;" "&amp;C705&amp;" "&amp;D705&amp;" "&amp;E705&amp;" "&amp;G705&amp;" "&amp;H705&amp;" "&amp;J705&amp;" "&amp;N705</f>
        <v>Differentials Solvent     CIF Germany (Diff) </v>
      </c>
      <c r="S705" s="25"/>
      <c r="T705" s="8"/>
      <c r="U705" s="8"/>
      <c r="V705" s="27" t="s">
        <v>49</v>
      </c>
      <c r="W705" s="25"/>
      <c r="X705" s="25"/>
      <c r="Y705" s="25"/>
      <c r="Z705" s="25"/>
      <c r="AA705" s="25"/>
      <c r="AB705" s="25"/>
      <c r="AC705" s="25"/>
      <c r="AD705" s="25"/>
    </row>
    <row r="706" customFormat="false" ht="15.75" hidden="false" customHeight="false" outlineLevel="0" collapsed="false">
      <c r="A706" s="28" t="s">
        <v>1076</v>
      </c>
      <c r="B706" s="27" t="s">
        <v>438</v>
      </c>
      <c r="C706" s="27" t="s">
        <v>417</v>
      </c>
      <c r="D706" s="25"/>
      <c r="E706" s="25"/>
      <c r="F706" s="25"/>
      <c r="G706" s="25"/>
      <c r="H706" s="25"/>
      <c r="I706" s="25"/>
      <c r="J706" s="27" t="s">
        <v>982</v>
      </c>
      <c r="K706" s="25" t="str">
        <f aca="false">IFERROR(__xludf.dummyfunction("SPLIT(J706,"" "")"),"CIF")</f>
        <v>CIF</v>
      </c>
      <c r="L706" s="28" t="str">
        <f aca="false">IFERROR(__xludf.dummyfunction("""COMPUTED_VALUE"""),"Germany")</f>
        <v>Germany</v>
      </c>
      <c r="M706" s="27" t="str">
        <f aca="false">IFERROR(__xludf.dummyfunction("""COMPUTED_VALUE"""),"(Diff)")</f>
        <v>(Diff)</v>
      </c>
      <c r="N706" s="25"/>
      <c r="O706" s="25"/>
      <c r="P706" s="25"/>
      <c r="Q706" s="29" t="s">
        <v>422</v>
      </c>
      <c r="R706" s="8" t="str">
        <f aca="false">B706&amp;" "&amp;C706&amp;" "&amp;D706&amp;" "&amp;E706&amp;" "&amp;G706&amp;" "&amp;H706&amp;" "&amp;J706&amp;" "&amp;N706</f>
        <v>Differentials Solvent     CIF Germany (Diff) </v>
      </c>
      <c r="S706" s="25"/>
      <c r="T706" s="8"/>
      <c r="U706" s="8"/>
      <c r="V706" s="27" t="s">
        <v>49</v>
      </c>
      <c r="W706" s="25"/>
      <c r="X706" s="25"/>
      <c r="Y706" s="25"/>
      <c r="Z706" s="25"/>
      <c r="AA706" s="25"/>
      <c r="AB706" s="25"/>
      <c r="AC706" s="25"/>
      <c r="AD706" s="25"/>
    </row>
    <row r="707" customFormat="false" ht="15.75" hidden="false" customHeight="false" outlineLevel="0" collapsed="false">
      <c r="A707" s="28" t="s">
        <v>1077</v>
      </c>
      <c r="B707" s="27" t="s">
        <v>438</v>
      </c>
      <c r="C707" s="27" t="s">
        <v>417</v>
      </c>
      <c r="D707" s="25"/>
      <c r="E707" s="25"/>
      <c r="F707" s="25"/>
      <c r="G707" s="25"/>
      <c r="H707" s="25"/>
      <c r="I707" s="25"/>
      <c r="J707" s="27" t="s">
        <v>982</v>
      </c>
      <c r="K707" s="25" t="str">
        <f aca="false">IFERROR(__xludf.dummyfunction("SPLIT(J707,"" "")"),"CIF")</f>
        <v>CIF</v>
      </c>
      <c r="L707" s="28" t="str">
        <f aca="false">IFERROR(__xludf.dummyfunction("""COMPUTED_VALUE"""),"Germany")</f>
        <v>Germany</v>
      </c>
      <c r="M707" s="27" t="str">
        <f aca="false">IFERROR(__xludf.dummyfunction("""COMPUTED_VALUE"""),"(Diff)")</f>
        <v>(Diff)</v>
      </c>
      <c r="N707" s="25"/>
      <c r="O707" s="25"/>
      <c r="P707" s="25"/>
      <c r="Q707" s="29" t="s">
        <v>420</v>
      </c>
      <c r="R707" s="8" t="str">
        <f aca="false">B707&amp;" "&amp;C707&amp;" "&amp;D707&amp;" "&amp;E707&amp;" "&amp;G707&amp;" "&amp;H707&amp;" "&amp;J707&amp;" "&amp;N707</f>
        <v>Differentials Solvent     CIF Germany (Diff) </v>
      </c>
      <c r="S707" s="25"/>
      <c r="T707" s="8"/>
      <c r="U707" s="8"/>
      <c r="V707" s="27" t="s">
        <v>49</v>
      </c>
      <c r="W707" s="25"/>
      <c r="X707" s="25"/>
      <c r="Y707" s="25"/>
      <c r="Z707" s="25"/>
      <c r="AA707" s="25"/>
      <c r="AB707" s="25"/>
      <c r="AC707" s="25"/>
      <c r="AD707" s="25"/>
    </row>
    <row r="708" customFormat="false" ht="15.75" hidden="false" customHeight="false" outlineLevel="0" collapsed="false">
      <c r="A708" s="28" t="s">
        <v>1078</v>
      </c>
      <c r="B708" s="27" t="s">
        <v>438</v>
      </c>
      <c r="C708" s="27" t="s">
        <v>417</v>
      </c>
      <c r="D708" s="25"/>
      <c r="E708" s="25"/>
      <c r="F708" s="25"/>
      <c r="G708" s="25"/>
      <c r="H708" s="25"/>
      <c r="I708" s="25"/>
      <c r="J708" s="27" t="s">
        <v>982</v>
      </c>
      <c r="K708" s="25" t="str">
        <f aca="false">IFERROR(__xludf.dummyfunction("SPLIT(J708,"" "")"),"CIF")</f>
        <v>CIF</v>
      </c>
      <c r="L708" s="28" t="str">
        <f aca="false">IFERROR(__xludf.dummyfunction("""COMPUTED_VALUE"""),"Germany")</f>
        <v>Germany</v>
      </c>
      <c r="M708" s="27" t="str">
        <f aca="false">IFERROR(__xludf.dummyfunction("""COMPUTED_VALUE"""),"(Diff)")</f>
        <v>(Diff)</v>
      </c>
      <c r="N708" s="25"/>
      <c r="O708" s="25"/>
      <c r="P708" s="25"/>
      <c r="Q708" s="29" t="s">
        <v>418</v>
      </c>
      <c r="R708" s="8" t="str">
        <f aca="false">B708&amp;" "&amp;C708&amp;" "&amp;D708&amp;" "&amp;E708&amp;" "&amp;G708&amp;" "&amp;H708&amp;" "&amp;J708&amp;" "&amp;N708</f>
        <v>Differentials Solvent     CIF Germany (Diff) </v>
      </c>
      <c r="S708" s="25"/>
      <c r="T708" s="8"/>
      <c r="U708" s="8"/>
      <c r="V708" s="27" t="s">
        <v>49</v>
      </c>
      <c r="W708" s="25"/>
      <c r="X708" s="25"/>
      <c r="Y708" s="25"/>
      <c r="Z708" s="25"/>
      <c r="AA708" s="25"/>
      <c r="AB708" s="25"/>
      <c r="AC708" s="25"/>
      <c r="AD708" s="25"/>
    </row>
    <row r="709" customFormat="false" ht="15.75" hidden="false" customHeight="false" outlineLevel="0" collapsed="false">
      <c r="A709" s="28" t="s">
        <v>1079</v>
      </c>
      <c r="B709" s="27" t="s">
        <v>438</v>
      </c>
      <c r="C709" s="27" t="s">
        <v>168</v>
      </c>
      <c r="D709" s="25"/>
      <c r="E709" s="25"/>
      <c r="F709" s="25"/>
      <c r="G709" s="25"/>
      <c r="H709" s="25"/>
      <c r="I709" s="25"/>
      <c r="J709" s="27" t="s">
        <v>1080</v>
      </c>
      <c r="K709" s="25" t="str">
        <f aca="false">IFERROR(__xludf.dummyfunction("SPLIT(J709,"" "")"),"CIF")</f>
        <v>CIF</v>
      </c>
      <c r="L709" s="28" t="str">
        <f aca="false">IFERROR(__xludf.dummyfunction("""COMPUTED_VALUE"""),"Hungary")</f>
        <v>Hungary</v>
      </c>
      <c r="M709" s="27" t="str">
        <f aca="false">IFERROR(__xludf.dummyfunction("""COMPUTED_VALUE"""),"(Diff)")</f>
        <v>(Diff)</v>
      </c>
      <c r="N709" s="25"/>
      <c r="O709" s="25"/>
      <c r="P709" s="25"/>
      <c r="Q709" s="29" t="s">
        <v>175</v>
      </c>
      <c r="R709" s="8" t="str">
        <f aca="false">B709&amp;" "&amp;C709&amp;" "&amp;D709&amp;" "&amp;E709&amp;" "&amp;G709&amp;" "&amp;H709&amp;" "&amp;J709&amp;" "&amp;N709</f>
        <v>Differentials Aluminium (Battery Grade)     CIF Hungary (Diff) </v>
      </c>
      <c r="S709" s="25"/>
      <c r="T709" s="8"/>
      <c r="U709" s="8"/>
      <c r="V709" s="27" t="s">
        <v>49</v>
      </c>
      <c r="W709" s="25"/>
      <c r="X709" s="25"/>
      <c r="Y709" s="25"/>
      <c r="Z709" s="25"/>
      <c r="AA709" s="25"/>
      <c r="AB709" s="25"/>
      <c r="AC709" s="25"/>
      <c r="AD709" s="25"/>
    </row>
    <row r="710" customFormat="false" ht="15.75" hidden="false" customHeight="false" outlineLevel="0" collapsed="false">
      <c r="A710" s="28" t="s">
        <v>1081</v>
      </c>
      <c r="B710" s="27" t="s">
        <v>438</v>
      </c>
      <c r="C710" s="27" t="s">
        <v>168</v>
      </c>
      <c r="D710" s="25"/>
      <c r="E710" s="25"/>
      <c r="F710" s="25"/>
      <c r="G710" s="25"/>
      <c r="H710" s="25"/>
      <c r="I710" s="25"/>
      <c r="J710" s="27" t="s">
        <v>1080</v>
      </c>
      <c r="K710" s="25" t="str">
        <f aca="false">IFERROR(__xludf.dummyfunction("SPLIT(J710,"" "")"),"CIF")</f>
        <v>CIF</v>
      </c>
      <c r="L710" s="28" t="str">
        <f aca="false">IFERROR(__xludf.dummyfunction("""COMPUTED_VALUE"""),"Hungary")</f>
        <v>Hungary</v>
      </c>
      <c r="M710" s="27" t="str">
        <f aca="false">IFERROR(__xludf.dummyfunction("""COMPUTED_VALUE"""),"(Diff)")</f>
        <v>(Diff)</v>
      </c>
      <c r="N710" s="25"/>
      <c r="O710" s="25"/>
      <c r="P710" s="25"/>
      <c r="Q710" s="29" t="s">
        <v>173</v>
      </c>
      <c r="R710" s="8" t="str">
        <f aca="false">B710&amp;" "&amp;C710&amp;" "&amp;D710&amp;" "&amp;E710&amp;" "&amp;G710&amp;" "&amp;H710&amp;" "&amp;J710&amp;" "&amp;N710</f>
        <v>Differentials Aluminium (Battery Grade)     CIF Hungary (Diff) </v>
      </c>
      <c r="S710" s="25"/>
      <c r="T710" s="8"/>
      <c r="U710" s="8"/>
      <c r="V710" s="27" t="s">
        <v>49</v>
      </c>
      <c r="W710" s="25"/>
      <c r="X710" s="25"/>
      <c r="Y710" s="25"/>
      <c r="Z710" s="25"/>
      <c r="AA710" s="25"/>
      <c r="AB710" s="25"/>
      <c r="AC710" s="25"/>
      <c r="AD710" s="25"/>
    </row>
    <row r="711" customFormat="false" ht="15.75" hidden="false" customHeight="false" outlineLevel="0" collapsed="false">
      <c r="A711" s="28" t="s">
        <v>1082</v>
      </c>
      <c r="B711" s="27" t="s">
        <v>438</v>
      </c>
      <c r="C711" s="27" t="s">
        <v>168</v>
      </c>
      <c r="D711" s="25"/>
      <c r="E711" s="25"/>
      <c r="F711" s="25"/>
      <c r="G711" s="25"/>
      <c r="H711" s="25"/>
      <c r="I711" s="25"/>
      <c r="J711" s="27" t="s">
        <v>1080</v>
      </c>
      <c r="K711" s="25" t="str">
        <f aca="false">IFERROR(__xludf.dummyfunction("SPLIT(J711,"" "")"),"CIF")</f>
        <v>CIF</v>
      </c>
      <c r="L711" s="28" t="str">
        <f aca="false">IFERROR(__xludf.dummyfunction("""COMPUTED_VALUE"""),"Hungary")</f>
        <v>Hungary</v>
      </c>
      <c r="M711" s="27" t="str">
        <f aca="false">IFERROR(__xludf.dummyfunction("""COMPUTED_VALUE"""),"(Diff)")</f>
        <v>(Diff)</v>
      </c>
      <c r="N711" s="25"/>
      <c r="O711" s="25"/>
      <c r="P711" s="25"/>
      <c r="Q711" s="29" t="s">
        <v>169</v>
      </c>
      <c r="R711" s="8" t="str">
        <f aca="false">B711&amp;" "&amp;C711&amp;" "&amp;D711&amp;" "&amp;E711&amp;" "&amp;G711&amp;" "&amp;H711&amp;" "&amp;J711&amp;" "&amp;N711</f>
        <v>Differentials Aluminium (Battery Grade)     CIF Hungary (Diff) </v>
      </c>
      <c r="S711" s="25"/>
      <c r="T711" s="8"/>
      <c r="U711" s="8"/>
      <c r="V711" s="27" t="s">
        <v>49</v>
      </c>
      <c r="W711" s="25"/>
      <c r="X711" s="25"/>
      <c r="Y711" s="25"/>
      <c r="Z711" s="25"/>
      <c r="AA711" s="25"/>
      <c r="AB711" s="25"/>
      <c r="AC711" s="25"/>
      <c r="AD711" s="25"/>
    </row>
    <row r="712" customFormat="false" ht="15.75" hidden="false" customHeight="false" outlineLevel="0" collapsed="false">
      <c r="A712" s="28" t="s">
        <v>1083</v>
      </c>
      <c r="B712" s="27" t="s">
        <v>438</v>
      </c>
      <c r="C712" s="27" t="s">
        <v>177</v>
      </c>
      <c r="D712" s="25"/>
      <c r="E712" s="25"/>
      <c r="F712" s="25"/>
      <c r="G712" s="25"/>
      <c r="H712" s="25"/>
      <c r="I712" s="25"/>
      <c r="J712" s="27" t="s">
        <v>1080</v>
      </c>
      <c r="K712" s="25" t="str">
        <f aca="false">IFERROR(__xludf.dummyfunction("SPLIT(J712,"" "")"),"CIF")</f>
        <v>CIF</v>
      </c>
      <c r="L712" s="28" t="str">
        <f aca="false">IFERROR(__xludf.dummyfunction("""COMPUTED_VALUE"""),"Hungary")</f>
        <v>Hungary</v>
      </c>
      <c r="M712" s="27" t="str">
        <f aca="false">IFERROR(__xludf.dummyfunction("""COMPUTED_VALUE"""),"(Diff)")</f>
        <v>(Diff)</v>
      </c>
      <c r="N712" s="25"/>
      <c r="O712" s="25"/>
      <c r="P712" s="25"/>
      <c r="Q712" s="29" t="s">
        <v>209</v>
      </c>
      <c r="R712" s="8" t="str">
        <f aca="false">B712&amp;" "&amp;C712&amp;" "&amp;D712&amp;" "&amp;E712&amp;" "&amp;G712&amp;" "&amp;H712&amp;" "&amp;J712&amp;" "&amp;N712</f>
        <v>Differentials Anode     CIF Hungary (Diff) </v>
      </c>
      <c r="S712" s="25"/>
      <c r="T712" s="8"/>
      <c r="U712" s="8"/>
      <c r="V712" s="27" t="s">
        <v>49</v>
      </c>
      <c r="W712" s="25"/>
      <c r="X712" s="25"/>
      <c r="Y712" s="25"/>
      <c r="Z712" s="25"/>
      <c r="AA712" s="25"/>
      <c r="AB712" s="25"/>
      <c r="AC712" s="25"/>
      <c r="AD712" s="25"/>
    </row>
    <row r="713" customFormat="false" ht="15.75" hidden="false" customHeight="false" outlineLevel="0" collapsed="false">
      <c r="A713" s="28" t="s">
        <v>1084</v>
      </c>
      <c r="B713" s="27" t="s">
        <v>438</v>
      </c>
      <c r="C713" s="27" t="s">
        <v>177</v>
      </c>
      <c r="D713" s="25"/>
      <c r="E713" s="25"/>
      <c r="F713" s="25"/>
      <c r="G713" s="25"/>
      <c r="H713" s="25"/>
      <c r="I713" s="25"/>
      <c r="J713" s="27" t="s">
        <v>1080</v>
      </c>
      <c r="K713" s="25" t="str">
        <f aca="false">IFERROR(__xludf.dummyfunction("SPLIT(J713,"" "")"),"CIF")</f>
        <v>CIF</v>
      </c>
      <c r="L713" s="28" t="str">
        <f aca="false">IFERROR(__xludf.dummyfunction("""COMPUTED_VALUE"""),"Hungary")</f>
        <v>Hungary</v>
      </c>
      <c r="M713" s="27" t="str">
        <f aca="false">IFERROR(__xludf.dummyfunction("""COMPUTED_VALUE"""),"(Diff)")</f>
        <v>(Diff)</v>
      </c>
      <c r="N713" s="25"/>
      <c r="O713" s="25"/>
      <c r="P713" s="25"/>
      <c r="Q713" s="29" t="s">
        <v>205</v>
      </c>
      <c r="R713" s="8" t="str">
        <f aca="false">B713&amp;" "&amp;C713&amp;" "&amp;D713&amp;" "&amp;E713&amp;" "&amp;G713&amp;" "&amp;H713&amp;" "&amp;J713&amp;" "&amp;N713</f>
        <v>Differentials Anode     CIF Hungary (Diff) </v>
      </c>
      <c r="S713" s="25"/>
      <c r="T713" s="8"/>
      <c r="U713" s="8"/>
      <c r="V713" s="27" t="s">
        <v>49</v>
      </c>
      <c r="W713" s="25"/>
      <c r="X713" s="25"/>
      <c r="Y713" s="25"/>
      <c r="Z713" s="25"/>
      <c r="AA713" s="25"/>
      <c r="AB713" s="25"/>
      <c r="AC713" s="25"/>
      <c r="AD713" s="25"/>
    </row>
    <row r="714" customFormat="false" ht="15.75" hidden="false" customHeight="false" outlineLevel="0" collapsed="false">
      <c r="A714" s="28" t="s">
        <v>1085</v>
      </c>
      <c r="B714" s="27" t="s">
        <v>438</v>
      </c>
      <c r="C714" s="27" t="s">
        <v>177</v>
      </c>
      <c r="D714" s="25"/>
      <c r="E714" s="25"/>
      <c r="F714" s="25"/>
      <c r="G714" s="25"/>
      <c r="H714" s="25"/>
      <c r="I714" s="25"/>
      <c r="J714" s="27" t="s">
        <v>1080</v>
      </c>
      <c r="K714" s="25" t="str">
        <f aca="false">IFERROR(__xludf.dummyfunction("SPLIT(J714,"" "")"),"CIF")</f>
        <v>CIF</v>
      </c>
      <c r="L714" s="28" t="str">
        <f aca="false">IFERROR(__xludf.dummyfunction("""COMPUTED_VALUE"""),"Hungary")</f>
        <v>Hungary</v>
      </c>
      <c r="M714" s="27" t="str">
        <f aca="false">IFERROR(__xludf.dummyfunction("""COMPUTED_VALUE"""),"(Diff)")</f>
        <v>(Diff)</v>
      </c>
      <c r="N714" s="25"/>
      <c r="O714" s="25"/>
      <c r="P714" s="25"/>
      <c r="Q714" s="29" t="s">
        <v>202</v>
      </c>
      <c r="R714" s="8" t="str">
        <f aca="false">B714&amp;" "&amp;C714&amp;" "&amp;D714&amp;" "&amp;E714&amp;" "&amp;G714&amp;" "&amp;H714&amp;" "&amp;J714&amp;" "&amp;N714</f>
        <v>Differentials Anode     CIF Hungary (Diff) </v>
      </c>
      <c r="S714" s="25"/>
      <c r="T714" s="8"/>
      <c r="U714" s="8"/>
      <c r="V714" s="27" t="s">
        <v>49</v>
      </c>
      <c r="W714" s="25"/>
      <c r="X714" s="25"/>
      <c r="Y714" s="25"/>
      <c r="Z714" s="25"/>
      <c r="AA714" s="25"/>
      <c r="AB714" s="25"/>
      <c r="AC714" s="25"/>
      <c r="AD714" s="25"/>
    </row>
    <row r="715" customFormat="false" ht="15.75" hidden="false" customHeight="false" outlineLevel="0" collapsed="false">
      <c r="A715" s="28" t="s">
        <v>1086</v>
      </c>
      <c r="B715" s="27" t="s">
        <v>438</v>
      </c>
      <c r="C715" s="27" t="s">
        <v>177</v>
      </c>
      <c r="D715" s="25"/>
      <c r="E715" s="25"/>
      <c r="F715" s="25"/>
      <c r="G715" s="25"/>
      <c r="H715" s="25"/>
      <c r="I715" s="25"/>
      <c r="J715" s="27" t="s">
        <v>1080</v>
      </c>
      <c r="K715" s="25" t="str">
        <f aca="false">IFERROR(__xludf.dummyfunction("SPLIT(J715,"" "")"),"CIF")</f>
        <v>CIF</v>
      </c>
      <c r="L715" s="28" t="str">
        <f aca="false">IFERROR(__xludf.dummyfunction("""COMPUTED_VALUE"""),"Hungary")</f>
        <v>Hungary</v>
      </c>
      <c r="M715" s="27" t="str">
        <f aca="false">IFERROR(__xludf.dummyfunction("""COMPUTED_VALUE"""),"(Diff)")</f>
        <v>(Diff)</v>
      </c>
      <c r="N715" s="25"/>
      <c r="O715" s="25"/>
      <c r="P715" s="25"/>
      <c r="Q715" s="29" t="s">
        <v>197</v>
      </c>
      <c r="R715" s="8" t="str">
        <f aca="false">B715&amp;" "&amp;C715&amp;" "&amp;D715&amp;" "&amp;E715&amp;" "&amp;G715&amp;" "&amp;H715&amp;" "&amp;J715&amp;" "&amp;N715</f>
        <v>Differentials Anode     CIF Hungary (Diff) </v>
      </c>
      <c r="S715" s="25"/>
      <c r="T715" s="8"/>
      <c r="U715" s="8"/>
      <c r="V715" s="27" t="s">
        <v>49</v>
      </c>
      <c r="W715" s="25"/>
      <c r="X715" s="25"/>
      <c r="Y715" s="25"/>
      <c r="Z715" s="25"/>
      <c r="AA715" s="25"/>
      <c r="AB715" s="25"/>
      <c r="AC715" s="25"/>
      <c r="AD715" s="25"/>
    </row>
    <row r="716" customFormat="false" ht="15.75" hidden="false" customHeight="false" outlineLevel="0" collapsed="false">
      <c r="A716" s="28" t="s">
        <v>1087</v>
      </c>
      <c r="B716" s="27" t="s">
        <v>438</v>
      </c>
      <c r="C716" s="27" t="s">
        <v>177</v>
      </c>
      <c r="D716" s="25"/>
      <c r="E716" s="25"/>
      <c r="F716" s="25"/>
      <c r="G716" s="25"/>
      <c r="H716" s="25"/>
      <c r="I716" s="25"/>
      <c r="J716" s="27" t="s">
        <v>1080</v>
      </c>
      <c r="K716" s="25" t="str">
        <f aca="false">IFERROR(__xludf.dummyfunction("SPLIT(J716,"" "")"),"CIF")</f>
        <v>CIF</v>
      </c>
      <c r="L716" s="28" t="str">
        <f aca="false">IFERROR(__xludf.dummyfunction("""COMPUTED_VALUE"""),"Hungary")</f>
        <v>Hungary</v>
      </c>
      <c r="M716" s="27" t="str">
        <f aca="false">IFERROR(__xludf.dummyfunction("""COMPUTED_VALUE"""),"(Diff)")</f>
        <v>(Diff)</v>
      </c>
      <c r="N716" s="25"/>
      <c r="O716" s="25"/>
      <c r="P716" s="25"/>
      <c r="Q716" s="29" t="s">
        <v>193</v>
      </c>
      <c r="R716" s="8" t="str">
        <f aca="false">B716&amp;" "&amp;C716&amp;" "&amp;D716&amp;" "&amp;E716&amp;" "&amp;G716&amp;" "&amp;H716&amp;" "&amp;J716&amp;" "&amp;N716</f>
        <v>Differentials Anode     CIF Hungary (Diff) </v>
      </c>
      <c r="S716" s="25"/>
      <c r="T716" s="8"/>
      <c r="U716" s="8"/>
      <c r="V716" s="27" t="s">
        <v>49</v>
      </c>
      <c r="W716" s="25"/>
      <c r="X716" s="25"/>
      <c r="Y716" s="25"/>
      <c r="Z716" s="25"/>
      <c r="AA716" s="25"/>
      <c r="AB716" s="25"/>
      <c r="AC716" s="25"/>
      <c r="AD716" s="25"/>
    </row>
    <row r="717" customFormat="false" ht="15.75" hidden="false" customHeight="false" outlineLevel="0" collapsed="false">
      <c r="A717" s="28" t="s">
        <v>1088</v>
      </c>
      <c r="B717" s="27" t="s">
        <v>438</v>
      </c>
      <c r="C717" s="27" t="s">
        <v>177</v>
      </c>
      <c r="D717" s="25"/>
      <c r="E717" s="25"/>
      <c r="F717" s="25"/>
      <c r="G717" s="25"/>
      <c r="H717" s="25"/>
      <c r="I717" s="25"/>
      <c r="J717" s="27" t="s">
        <v>1080</v>
      </c>
      <c r="K717" s="25" t="str">
        <f aca="false">IFERROR(__xludf.dummyfunction("SPLIT(J717,"" "")"),"CIF")</f>
        <v>CIF</v>
      </c>
      <c r="L717" s="28" t="str">
        <f aca="false">IFERROR(__xludf.dummyfunction("""COMPUTED_VALUE"""),"Hungary")</f>
        <v>Hungary</v>
      </c>
      <c r="M717" s="27" t="str">
        <f aca="false">IFERROR(__xludf.dummyfunction("""COMPUTED_VALUE"""),"(Diff)")</f>
        <v>(Diff)</v>
      </c>
      <c r="N717" s="25"/>
      <c r="O717" s="25"/>
      <c r="P717" s="25"/>
      <c r="Q717" s="29" t="s">
        <v>188</v>
      </c>
      <c r="R717" s="8" t="str">
        <f aca="false">B717&amp;" "&amp;C717&amp;" "&amp;D717&amp;" "&amp;E717&amp;" "&amp;G717&amp;" "&amp;H717&amp;" "&amp;J717&amp;" "&amp;N717</f>
        <v>Differentials Anode     CIF Hungary (Diff) </v>
      </c>
      <c r="S717" s="25"/>
      <c r="T717" s="8"/>
      <c r="U717" s="8"/>
      <c r="V717" s="27" t="s">
        <v>49</v>
      </c>
      <c r="W717" s="25"/>
      <c r="X717" s="25"/>
      <c r="Y717" s="25"/>
      <c r="Z717" s="25"/>
      <c r="AA717" s="25"/>
      <c r="AB717" s="25"/>
      <c r="AC717" s="25"/>
      <c r="AD717" s="25"/>
    </row>
    <row r="718" customFormat="false" ht="15.75" hidden="false" customHeight="false" outlineLevel="0" collapsed="false">
      <c r="A718" s="28" t="s">
        <v>1089</v>
      </c>
      <c r="B718" s="27" t="s">
        <v>438</v>
      </c>
      <c r="C718" s="27" t="s">
        <v>177</v>
      </c>
      <c r="D718" s="25"/>
      <c r="E718" s="25"/>
      <c r="F718" s="25"/>
      <c r="G718" s="25"/>
      <c r="H718" s="25"/>
      <c r="I718" s="25"/>
      <c r="J718" s="27" t="s">
        <v>1080</v>
      </c>
      <c r="K718" s="25" t="str">
        <f aca="false">IFERROR(__xludf.dummyfunction("SPLIT(J718,"" "")"),"CIF")</f>
        <v>CIF</v>
      </c>
      <c r="L718" s="28" t="str">
        <f aca="false">IFERROR(__xludf.dummyfunction("""COMPUTED_VALUE"""),"Hungary")</f>
        <v>Hungary</v>
      </c>
      <c r="M718" s="27" t="str">
        <f aca="false">IFERROR(__xludf.dummyfunction("""COMPUTED_VALUE"""),"(Diff)")</f>
        <v>(Diff)</v>
      </c>
      <c r="N718" s="25"/>
      <c r="O718" s="25"/>
      <c r="P718" s="25"/>
      <c r="Q718" s="29" t="s">
        <v>180</v>
      </c>
      <c r="R718" s="8" t="str">
        <f aca="false">B718&amp;" "&amp;C718&amp;" "&amp;D718&amp;" "&amp;E718&amp;" "&amp;G718&amp;" "&amp;H718&amp;" "&amp;J718&amp;" "&amp;N718</f>
        <v>Differentials Anode     CIF Hungary (Diff) </v>
      </c>
      <c r="S718" s="25"/>
      <c r="T718" s="8"/>
      <c r="U718" s="8"/>
      <c r="V718" s="27" t="s">
        <v>49</v>
      </c>
      <c r="W718" s="25"/>
      <c r="X718" s="25"/>
      <c r="Y718" s="25"/>
      <c r="Z718" s="25"/>
      <c r="AA718" s="25"/>
      <c r="AB718" s="25"/>
      <c r="AC718" s="25"/>
      <c r="AD718" s="25"/>
    </row>
    <row r="719" customFormat="false" ht="15.75" hidden="false" customHeight="false" outlineLevel="0" collapsed="false">
      <c r="A719" s="28" t="s">
        <v>1090</v>
      </c>
      <c r="B719" s="27" t="s">
        <v>438</v>
      </c>
      <c r="C719" s="27" t="s">
        <v>211</v>
      </c>
      <c r="D719" s="25"/>
      <c r="E719" s="25"/>
      <c r="F719" s="25"/>
      <c r="G719" s="25"/>
      <c r="H719" s="25"/>
      <c r="I719" s="25"/>
      <c r="J719" s="27" t="s">
        <v>1080</v>
      </c>
      <c r="K719" s="25" t="str">
        <f aca="false">IFERROR(__xludf.dummyfunction("SPLIT(J719,"" "")"),"CIF")</f>
        <v>CIF</v>
      </c>
      <c r="L719" s="28" t="str">
        <f aca="false">IFERROR(__xludf.dummyfunction("""COMPUTED_VALUE"""),"Hungary")</f>
        <v>Hungary</v>
      </c>
      <c r="M719" s="27" t="str">
        <f aca="false">IFERROR(__xludf.dummyfunction("""COMPUTED_VALUE"""),"(Diff)")</f>
        <v>(Diff)</v>
      </c>
      <c r="N719" s="25"/>
      <c r="O719" s="25"/>
      <c r="P719" s="25"/>
      <c r="Q719" s="29" t="s">
        <v>234</v>
      </c>
      <c r="R719" s="8" t="str">
        <f aca="false">B719&amp;" "&amp;C719&amp;" "&amp;D719&amp;" "&amp;E719&amp;" "&amp;G719&amp;" "&amp;H719&amp;" "&amp;J719&amp;" "&amp;N719</f>
        <v>Differentials Binders &amp; Additives     CIF Hungary (Diff) </v>
      </c>
      <c r="S719" s="25"/>
      <c r="T719" s="8"/>
      <c r="U719" s="8"/>
      <c r="V719" s="27" t="s">
        <v>49</v>
      </c>
      <c r="W719" s="25"/>
      <c r="X719" s="25"/>
      <c r="Y719" s="25"/>
      <c r="Z719" s="25"/>
      <c r="AA719" s="25"/>
      <c r="AB719" s="25"/>
      <c r="AC719" s="25"/>
      <c r="AD719" s="25"/>
    </row>
    <row r="720" customFormat="false" ht="15.75" hidden="false" customHeight="false" outlineLevel="0" collapsed="false">
      <c r="A720" s="28" t="s">
        <v>1091</v>
      </c>
      <c r="B720" s="27" t="s">
        <v>438</v>
      </c>
      <c r="C720" s="27" t="s">
        <v>211</v>
      </c>
      <c r="D720" s="25"/>
      <c r="E720" s="25"/>
      <c r="F720" s="25"/>
      <c r="G720" s="25"/>
      <c r="H720" s="25"/>
      <c r="I720" s="25"/>
      <c r="J720" s="27" t="s">
        <v>1080</v>
      </c>
      <c r="K720" s="25" t="str">
        <f aca="false">IFERROR(__xludf.dummyfunction("SPLIT(J720,"" "")"),"CIF")</f>
        <v>CIF</v>
      </c>
      <c r="L720" s="28" t="str">
        <f aca="false">IFERROR(__xludf.dummyfunction("""COMPUTED_VALUE"""),"Hungary")</f>
        <v>Hungary</v>
      </c>
      <c r="M720" s="27" t="str">
        <f aca="false">IFERROR(__xludf.dummyfunction("""COMPUTED_VALUE"""),"(Diff)")</f>
        <v>(Diff)</v>
      </c>
      <c r="N720" s="25"/>
      <c r="O720" s="25"/>
      <c r="P720" s="25"/>
      <c r="Q720" s="26" t="s">
        <v>232</v>
      </c>
      <c r="R720" s="8" t="str">
        <f aca="false">B720&amp;" "&amp;C720&amp;" "&amp;D720&amp;" "&amp;E720&amp;" "&amp;G720&amp;" "&amp;H720&amp;" "&amp;J720&amp;" "&amp;N720</f>
        <v>Differentials Binders &amp; Additives     CIF Hungary (Diff) </v>
      </c>
      <c r="S720" s="25"/>
      <c r="T720" s="8"/>
      <c r="U720" s="8"/>
      <c r="V720" s="27" t="s">
        <v>49</v>
      </c>
      <c r="W720" s="25"/>
      <c r="X720" s="25"/>
      <c r="Y720" s="25"/>
      <c r="Z720" s="25"/>
      <c r="AA720" s="25"/>
      <c r="AB720" s="25"/>
      <c r="AC720" s="25"/>
      <c r="AD720" s="25"/>
    </row>
    <row r="721" customFormat="false" ht="15.75" hidden="false" customHeight="false" outlineLevel="0" collapsed="false">
      <c r="A721" s="28" t="s">
        <v>1092</v>
      </c>
      <c r="B721" s="27" t="s">
        <v>438</v>
      </c>
      <c r="C721" s="27" t="s">
        <v>211</v>
      </c>
      <c r="D721" s="25"/>
      <c r="E721" s="25"/>
      <c r="F721" s="25"/>
      <c r="G721" s="25"/>
      <c r="H721" s="25"/>
      <c r="I721" s="25"/>
      <c r="J721" s="27" t="s">
        <v>1080</v>
      </c>
      <c r="K721" s="25" t="str">
        <f aca="false">IFERROR(__xludf.dummyfunction("SPLIT(J721,"" "")"),"CIF")</f>
        <v>CIF</v>
      </c>
      <c r="L721" s="28" t="str">
        <f aca="false">IFERROR(__xludf.dummyfunction("""COMPUTED_VALUE"""),"Hungary")</f>
        <v>Hungary</v>
      </c>
      <c r="M721" s="27" t="str">
        <f aca="false">IFERROR(__xludf.dummyfunction("""COMPUTED_VALUE"""),"(Diff)")</f>
        <v>(Diff)</v>
      </c>
      <c r="N721" s="25"/>
      <c r="O721" s="25"/>
      <c r="P721" s="25"/>
      <c r="Q721" s="29" t="s">
        <v>230</v>
      </c>
      <c r="R721" s="8" t="str">
        <f aca="false">B721&amp;" "&amp;C721&amp;" "&amp;D721&amp;" "&amp;E721&amp;" "&amp;G721&amp;" "&amp;H721&amp;" "&amp;J721&amp;" "&amp;N721</f>
        <v>Differentials Binders &amp; Additives     CIF Hungary (Diff) </v>
      </c>
      <c r="S721" s="25"/>
      <c r="T721" s="8"/>
      <c r="U721" s="8"/>
      <c r="V721" s="27" t="s">
        <v>49</v>
      </c>
      <c r="W721" s="25"/>
      <c r="X721" s="25"/>
      <c r="Y721" s="25"/>
      <c r="Z721" s="25"/>
      <c r="AA721" s="25"/>
      <c r="AB721" s="25"/>
      <c r="AC721" s="25"/>
      <c r="AD721" s="25"/>
    </row>
    <row r="722" customFormat="false" ht="15.75" hidden="false" customHeight="false" outlineLevel="0" collapsed="false">
      <c r="A722" s="28" t="s">
        <v>1093</v>
      </c>
      <c r="B722" s="27" t="s">
        <v>438</v>
      </c>
      <c r="C722" s="27" t="s">
        <v>211</v>
      </c>
      <c r="D722" s="25"/>
      <c r="E722" s="25"/>
      <c r="F722" s="25"/>
      <c r="G722" s="25"/>
      <c r="H722" s="25"/>
      <c r="I722" s="25"/>
      <c r="J722" s="27" t="s">
        <v>1080</v>
      </c>
      <c r="K722" s="25" t="str">
        <f aca="false">IFERROR(__xludf.dummyfunction("SPLIT(J722,"" "")"),"CIF")</f>
        <v>CIF</v>
      </c>
      <c r="L722" s="28" t="str">
        <f aca="false">IFERROR(__xludf.dummyfunction("""COMPUTED_VALUE"""),"Hungary")</f>
        <v>Hungary</v>
      </c>
      <c r="M722" s="27" t="str">
        <f aca="false">IFERROR(__xludf.dummyfunction("""COMPUTED_VALUE"""),"(Diff)")</f>
        <v>(Diff)</v>
      </c>
      <c r="N722" s="25"/>
      <c r="O722" s="25"/>
      <c r="P722" s="25"/>
      <c r="Q722" s="29" t="s">
        <v>228</v>
      </c>
      <c r="R722" s="8" t="str">
        <f aca="false">B722&amp;" "&amp;C722&amp;" "&amp;D722&amp;" "&amp;E722&amp;" "&amp;G722&amp;" "&amp;H722&amp;" "&amp;J722&amp;" "&amp;N722</f>
        <v>Differentials Binders &amp; Additives     CIF Hungary (Diff) </v>
      </c>
      <c r="S722" s="25"/>
      <c r="T722" s="8"/>
      <c r="U722" s="8"/>
      <c r="V722" s="27" t="s">
        <v>49</v>
      </c>
      <c r="W722" s="25"/>
      <c r="X722" s="25"/>
      <c r="Y722" s="25"/>
      <c r="Z722" s="25"/>
      <c r="AA722" s="25"/>
      <c r="AB722" s="25"/>
      <c r="AC722" s="25"/>
      <c r="AD722" s="25"/>
    </row>
    <row r="723" customFormat="false" ht="15.75" hidden="false" customHeight="false" outlineLevel="0" collapsed="false">
      <c r="A723" s="28" t="s">
        <v>1094</v>
      </c>
      <c r="B723" s="27" t="s">
        <v>438</v>
      </c>
      <c r="C723" s="27" t="s">
        <v>211</v>
      </c>
      <c r="D723" s="25"/>
      <c r="E723" s="25"/>
      <c r="F723" s="25"/>
      <c r="G723" s="25"/>
      <c r="H723" s="25"/>
      <c r="I723" s="25"/>
      <c r="J723" s="27" t="s">
        <v>1080</v>
      </c>
      <c r="K723" s="25" t="str">
        <f aca="false">IFERROR(__xludf.dummyfunction("SPLIT(J723,"" "")"),"CIF")</f>
        <v>CIF</v>
      </c>
      <c r="L723" s="28" t="str">
        <f aca="false">IFERROR(__xludf.dummyfunction("""COMPUTED_VALUE"""),"Hungary")</f>
        <v>Hungary</v>
      </c>
      <c r="M723" s="27" t="str">
        <f aca="false">IFERROR(__xludf.dummyfunction("""COMPUTED_VALUE"""),"(Diff)")</f>
        <v>(Diff)</v>
      </c>
      <c r="N723" s="25"/>
      <c r="O723" s="25"/>
      <c r="P723" s="25"/>
      <c r="Q723" s="29" t="s">
        <v>226</v>
      </c>
      <c r="R723" s="8" t="str">
        <f aca="false">B723&amp;" "&amp;C723&amp;" "&amp;D723&amp;" "&amp;E723&amp;" "&amp;G723&amp;" "&amp;H723&amp;" "&amp;J723&amp;" "&amp;N723</f>
        <v>Differentials Binders &amp; Additives     CIF Hungary (Diff) </v>
      </c>
      <c r="S723" s="25"/>
      <c r="T723" s="8"/>
      <c r="U723" s="8"/>
      <c r="V723" s="27" t="s">
        <v>49</v>
      </c>
      <c r="W723" s="25"/>
      <c r="X723" s="25"/>
      <c r="Y723" s="25"/>
      <c r="Z723" s="25"/>
      <c r="AA723" s="25"/>
      <c r="AB723" s="25"/>
      <c r="AC723" s="25"/>
      <c r="AD723" s="25"/>
    </row>
    <row r="724" customFormat="false" ht="15.75" hidden="false" customHeight="false" outlineLevel="0" collapsed="false">
      <c r="A724" s="28" t="s">
        <v>1095</v>
      </c>
      <c r="B724" s="27" t="s">
        <v>438</v>
      </c>
      <c r="C724" s="27" t="s">
        <v>211</v>
      </c>
      <c r="D724" s="25"/>
      <c r="E724" s="25"/>
      <c r="F724" s="25"/>
      <c r="G724" s="25"/>
      <c r="H724" s="25"/>
      <c r="I724" s="25"/>
      <c r="J724" s="27" t="s">
        <v>1080</v>
      </c>
      <c r="K724" s="25" t="str">
        <f aca="false">IFERROR(__xludf.dummyfunction("SPLIT(J724,"" "")"),"CIF")</f>
        <v>CIF</v>
      </c>
      <c r="L724" s="28" t="str">
        <f aca="false">IFERROR(__xludf.dummyfunction("""COMPUTED_VALUE"""),"Hungary")</f>
        <v>Hungary</v>
      </c>
      <c r="M724" s="27" t="str">
        <f aca="false">IFERROR(__xludf.dummyfunction("""COMPUTED_VALUE"""),"(Diff)")</f>
        <v>(Diff)</v>
      </c>
      <c r="N724" s="25"/>
      <c r="O724" s="25"/>
      <c r="P724" s="25"/>
      <c r="Q724" s="29" t="s">
        <v>224</v>
      </c>
      <c r="R724" s="8" t="str">
        <f aca="false">B724&amp;" "&amp;C724&amp;" "&amp;D724&amp;" "&amp;E724&amp;" "&amp;G724&amp;" "&amp;H724&amp;" "&amp;J724&amp;" "&amp;N724</f>
        <v>Differentials Binders &amp; Additives     CIF Hungary (Diff) </v>
      </c>
      <c r="S724" s="25"/>
      <c r="T724" s="8"/>
      <c r="U724" s="8"/>
      <c r="V724" s="27" t="s">
        <v>49</v>
      </c>
      <c r="W724" s="25"/>
      <c r="X724" s="25"/>
      <c r="Y724" s="25"/>
      <c r="Z724" s="25"/>
      <c r="AA724" s="25"/>
      <c r="AB724" s="25"/>
      <c r="AC724" s="25"/>
      <c r="AD724" s="25"/>
    </row>
    <row r="725" customFormat="false" ht="15.75" hidden="false" customHeight="false" outlineLevel="0" collapsed="false">
      <c r="A725" s="28" t="s">
        <v>1096</v>
      </c>
      <c r="B725" s="27" t="s">
        <v>438</v>
      </c>
      <c r="C725" s="27" t="s">
        <v>211</v>
      </c>
      <c r="D725" s="25"/>
      <c r="E725" s="25"/>
      <c r="F725" s="25"/>
      <c r="G725" s="25"/>
      <c r="H725" s="25"/>
      <c r="I725" s="25"/>
      <c r="J725" s="27" t="s">
        <v>1080</v>
      </c>
      <c r="K725" s="25" t="str">
        <f aca="false">IFERROR(__xludf.dummyfunction("SPLIT(J725,"" "")"),"CIF")</f>
        <v>CIF</v>
      </c>
      <c r="L725" s="28" t="str">
        <f aca="false">IFERROR(__xludf.dummyfunction("""COMPUTED_VALUE"""),"Hungary")</f>
        <v>Hungary</v>
      </c>
      <c r="M725" s="27" t="str">
        <f aca="false">IFERROR(__xludf.dummyfunction("""COMPUTED_VALUE"""),"(Diff)")</f>
        <v>(Diff)</v>
      </c>
      <c r="N725" s="25"/>
      <c r="O725" s="25"/>
      <c r="P725" s="25"/>
      <c r="Q725" s="29" t="s">
        <v>222</v>
      </c>
      <c r="R725" s="8" t="str">
        <f aca="false">B725&amp;" "&amp;C725&amp;" "&amp;D725&amp;" "&amp;E725&amp;" "&amp;G725&amp;" "&amp;H725&amp;" "&amp;J725&amp;" "&amp;N725</f>
        <v>Differentials Binders &amp; Additives     CIF Hungary (Diff) </v>
      </c>
      <c r="S725" s="25"/>
      <c r="T725" s="8"/>
      <c r="U725" s="8"/>
      <c r="V725" s="27" t="s">
        <v>49</v>
      </c>
      <c r="W725" s="25"/>
      <c r="X725" s="25"/>
      <c r="Y725" s="25"/>
      <c r="Z725" s="25"/>
      <c r="AA725" s="25"/>
      <c r="AB725" s="25"/>
      <c r="AC725" s="25"/>
      <c r="AD725" s="25"/>
    </row>
    <row r="726" customFormat="false" ht="15.75" hidden="false" customHeight="false" outlineLevel="0" collapsed="false">
      <c r="A726" s="28" t="s">
        <v>1097</v>
      </c>
      <c r="B726" s="27" t="s">
        <v>438</v>
      </c>
      <c r="C726" s="27" t="s">
        <v>211</v>
      </c>
      <c r="D726" s="25"/>
      <c r="E726" s="25"/>
      <c r="F726" s="25"/>
      <c r="G726" s="25"/>
      <c r="H726" s="25"/>
      <c r="I726" s="25"/>
      <c r="J726" s="27" t="s">
        <v>1080</v>
      </c>
      <c r="K726" s="25" t="str">
        <f aca="false">IFERROR(__xludf.dummyfunction("SPLIT(J726,"" "")"),"CIF")</f>
        <v>CIF</v>
      </c>
      <c r="L726" s="28" t="str">
        <f aca="false">IFERROR(__xludf.dummyfunction("""COMPUTED_VALUE"""),"Hungary")</f>
        <v>Hungary</v>
      </c>
      <c r="M726" s="27" t="str">
        <f aca="false">IFERROR(__xludf.dummyfunction("""COMPUTED_VALUE"""),"(Diff)")</f>
        <v>(Diff)</v>
      </c>
      <c r="N726" s="25"/>
      <c r="O726" s="25"/>
      <c r="P726" s="25"/>
      <c r="Q726" s="29" t="s">
        <v>220</v>
      </c>
      <c r="R726" s="8" t="str">
        <f aca="false">B726&amp;" "&amp;C726&amp;" "&amp;D726&amp;" "&amp;E726&amp;" "&amp;G726&amp;" "&amp;H726&amp;" "&amp;J726&amp;" "&amp;N726</f>
        <v>Differentials Binders &amp; Additives     CIF Hungary (Diff) </v>
      </c>
      <c r="S726" s="25"/>
      <c r="T726" s="8"/>
      <c r="U726" s="8"/>
      <c r="V726" s="27" t="s">
        <v>49</v>
      </c>
      <c r="W726" s="25"/>
      <c r="X726" s="25"/>
      <c r="Y726" s="25"/>
      <c r="Z726" s="25"/>
      <c r="AA726" s="25"/>
      <c r="AB726" s="25"/>
      <c r="AC726" s="25"/>
      <c r="AD726" s="25"/>
    </row>
    <row r="727" customFormat="false" ht="15.75" hidden="false" customHeight="false" outlineLevel="0" collapsed="false">
      <c r="A727" s="28" t="s">
        <v>1098</v>
      </c>
      <c r="B727" s="27" t="s">
        <v>438</v>
      </c>
      <c r="C727" s="27" t="s">
        <v>211</v>
      </c>
      <c r="D727" s="25"/>
      <c r="E727" s="25"/>
      <c r="F727" s="25"/>
      <c r="G727" s="25"/>
      <c r="H727" s="25"/>
      <c r="I727" s="25"/>
      <c r="J727" s="27" t="s">
        <v>1080</v>
      </c>
      <c r="K727" s="25" t="str">
        <f aca="false">IFERROR(__xludf.dummyfunction("SPLIT(J727,"" "")"),"CIF")</f>
        <v>CIF</v>
      </c>
      <c r="L727" s="28" t="str">
        <f aca="false">IFERROR(__xludf.dummyfunction("""COMPUTED_VALUE"""),"Hungary")</f>
        <v>Hungary</v>
      </c>
      <c r="M727" s="27" t="str">
        <f aca="false">IFERROR(__xludf.dummyfunction("""COMPUTED_VALUE"""),"(Diff)")</f>
        <v>(Diff)</v>
      </c>
      <c r="N727" s="25"/>
      <c r="O727" s="25"/>
      <c r="P727" s="25"/>
      <c r="Q727" s="29" t="s">
        <v>218</v>
      </c>
      <c r="R727" s="8" t="str">
        <f aca="false">B727&amp;" "&amp;C727&amp;" "&amp;D727&amp;" "&amp;E727&amp;" "&amp;G727&amp;" "&amp;H727&amp;" "&amp;J727&amp;" "&amp;N727</f>
        <v>Differentials Binders &amp; Additives     CIF Hungary (Diff) </v>
      </c>
      <c r="S727" s="25"/>
      <c r="T727" s="8"/>
      <c r="U727" s="8"/>
      <c r="V727" s="27" t="s">
        <v>49</v>
      </c>
      <c r="W727" s="25"/>
      <c r="X727" s="25"/>
      <c r="Y727" s="25"/>
      <c r="Z727" s="25"/>
      <c r="AA727" s="25"/>
      <c r="AB727" s="25"/>
      <c r="AC727" s="25"/>
      <c r="AD727" s="25"/>
    </row>
    <row r="728" customFormat="false" ht="15.75" hidden="false" customHeight="false" outlineLevel="0" collapsed="false">
      <c r="A728" s="28" t="s">
        <v>1099</v>
      </c>
      <c r="B728" s="27" t="s">
        <v>438</v>
      </c>
      <c r="C728" s="27" t="s">
        <v>211</v>
      </c>
      <c r="D728" s="25"/>
      <c r="E728" s="25"/>
      <c r="F728" s="25"/>
      <c r="G728" s="25"/>
      <c r="H728" s="25"/>
      <c r="I728" s="25"/>
      <c r="J728" s="27" t="s">
        <v>1080</v>
      </c>
      <c r="K728" s="25" t="str">
        <f aca="false">IFERROR(__xludf.dummyfunction("SPLIT(J728,"" "")"),"CIF")</f>
        <v>CIF</v>
      </c>
      <c r="L728" s="28" t="str">
        <f aca="false">IFERROR(__xludf.dummyfunction("""COMPUTED_VALUE"""),"Hungary")</f>
        <v>Hungary</v>
      </c>
      <c r="M728" s="27" t="str">
        <f aca="false">IFERROR(__xludf.dummyfunction("""COMPUTED_VALUE"""),"(Diff)")</f>
        <v>(Diff)</v>
      </c>
      <c r="N728" s="25"/>
      <c r="O728" s="25"/>
      <c r="P728" s="25"/>
      <c r="Q728" s="29" t="s">
        <v>215</v>
      </c>
      <c r="R728" s="8" t="str">
        <f aca="false">B728&amp;" "&amp;C728&amp;" "&amp;D728&amp;" "&amp;E728&amp;" "&amp;G728&amp;" "&amp;H728&amp;" "&amp;J728&amp;" "&amp;N728</f>
        <v>Differentials Binders &amp; Additives     CIF Hungary (Diff) </v>
      </c>
      <c r="S728" s="25"/>
      <c r="T728" s="8"/>
      <c r="U728" s="8"/>
      <c r="V728" s="27" t="s">
        <v>49</v>
      </c>
      <c r="W728" s="25"/>
      <c r="X728" s="25"/>
      <c r="Y728" s="25"/>
      <c r="Z728" s="25"/>
      <c r="AA728" s="25"/>
      <c r="AB728" s="25"/>
      <c r="AC728" s="25"/>
      <c r="AD728" s="25"/>
    </row>
    <row r="729" customFormat="false" ht="15.75" hidden="false" customHeight="false" outlineLevel="0" collapsed="false">
      <c r="A729" s="28" t="s">
        <v>1100</v>
      </c>
      <c r="B729" s="27" t="s">
        <v>438</v>
      </c>
      <c r="C729" s="27" t="s">
        <v>211</v>
      </c>
      <c r="D729" s="25"/>
      <c r="E729" s="25"/>
      <c r="F729" s="25"/>
      <c r="G729" s="25"/>
      <c r="H729" s="25"/>
      <c r="I729" s="25"/>
      <c r="J729" s="27" t="s">
        <v>1080</v>
      </c>
      <c r="K729" s="25" t="str">
        <f aca="false">IFERROR(__xludf.dummyfunction("SPLIT(J729,"" "")"),"CIF")</f>
        <v>CIF</v>
      </c>
      <c r="L729" s="28" t="str">
        <f aca="false">IFERROR(__xludf.dummyfunction("""COMPUTED_VALUE"""),"Hungary")</f>
        <v>Hungary</v>
      </c>
      <c r="M729" s="27" t="str">
        <f aca="false">IFERROR(__xludf.dummyfunction("""COMPUTED_VALUE"""),"(Diff)")</f>
        <v>(Diff)</v>
      </c>
      <c r="N729" s="25"/>
      <c r="O729" s="25"/>
      <c r="P729" s="25"/>
      <c r="Q729" s="29" t="s">
        <v>213</v>
      </c>
      <c r="R729" s="8" t="str">
        <f aca="false">B729&amp;" "&amp;C729&amp;" "&amp;D729&amp;" "&amp;E729&amp;" "&amp;G729&amp;" "&amp;H729&amp;" "&amp;J729&amp;" "&amp;N729</f>
        <v>Differentials Binders &amp; Additives     CIF Hungary (Diff) </v>
      </c>
      <c r="S729" s="25"/>
      <c r="T729" s="8"/>
      <c r="U729" s="8"/>
      <c r="V729" s="27" t="s">
        <v>49</v>
      </c>
      <c r="W729" s="25"/>
      <c r="X729" s="25"/>
      <c r="Y729" s="25"/>
      <c r="Z729" s="25"/>
      <c r="AA729" s="25"/>
      <c r="AB729" s="25"/>
      <c r="AC729" s="25"/>
      <c r="AD729" s="25"/>
    </row>
    <row r="730" customFormat="false" ht="15.75" hidden="false" customHeight="false" outlineLevel="0" collapsed="false">
      <c r="A730" s="28" t="s">
        <v>1101</v>
      </c>
      <c r="B730" s="27" t="s">
        <v>438</v>
      </c>
      <c r="C730" s="27" t="s">
        <v>236</v>
      </c>
      <c r="D730" s="25"/>
      <c r="E730" s="25"/>
      <c r="F730" s="25"/>
      <c r="G730" s="25"/>
      <c r="H730" s="25"/>
      <c r="I730" s="25"/>
      <c r="J730" s="27" t="s">
        <v>1080</v>
      </c>
      <c r="K730" s="25" t="str">
        <f aca="false">IFERROR(__xludf.dummyfunction("SPLIT(J730,"" "")"),"CIF")</f>
        <v>CIF</v>
      </c>
      <c r="L730" s="28" t="str">
        <f aca="false">IFERROR(__xludf.dummyfunction("""COMPUTED_VALUE"""),"Hungary")</f>
        <v>Hungary</v>
      </c>
      <c r="M730" s="27" t="str">
        <f aca="false">IFERROR(__xludf.dummyfunction("""COMPUTED_VALUE"""),"(Diff)")</f>
        <v>(Diff)</v>
      </c>
      <c r="N730" s="25"/>
      <c r="O730" s="25"/>
      <c r="P730" s="25"/>
      <c r="Q730" s="29" t="s">
        <v>271</v>
      </c>
      <c r="R730" s="8" t="str">
        <f aca="false">B730&amp;" "&amp;C730&amp;" "&amp;D730&amp;" "&amp;E730&amp;" "&amp;G730&amp;" "&amp;H730&amp;" "&amp;J730&amp;" "&amp;N730</f>
        <v>Differentials Cathode     CIF Hungary (Diff) </v>
      </c>
      <c r="S730" s="25"/>
      <c r="T730" s="8"/>
      <c r="U730" s="8"/>
      <c r="V730" s="27" t="s">
        <v>49</v>
      </c>
      <c r="W730" s="25"/>
      <c r="X730" s="25"/>
      <c r="Y730" s="25"/>
      <c r="Z730" s="25"/>
      <c r="AA730" s="25"/>
      <c r="AB730" s="25"/>
      <c r="AC730" s="25"/>
      <c r="AD730" s="25"/>
    </row>
    <row r="731" customFormat="false" ht="15.75" hidden="false" customHeight="false" outlineLevel="0" collapsed="false">
      <c r="A731" s="28" t="s">
        <v>1102</v>
      </c>
      <c r="B731" s="27" t="s">
        <v>438</v>
      </c>
      <c r="C731" s="27" t="s">
        <v>236</v>
      </c>
      <c r="D731" s="25"/>
      <c r="E731" s="25"/>
      <c r="F731" s="25"/>
      <c r="G731" s="25"/>
      <c r="H731" s="25"/>
      <c r="I731" s="25"/>
      <c r="J731" s="27" t="s">
        <v>1080</v>
      </c>
      <c r="K731" s="25" t="str">
        <f aca="false">IFERROR(__xludf.dummyfunction("SPLIT(J731,"" "")"),"CIF")</f>
        <v>CIF</v>
      </c>
      <c r="L731" s="28" t="str">
        <f aca="false">IFERROR(__xludf.dummyfunction("""COMPUTED_VALUE"""),"Hungary")</f>
        <v>Hungary</v>
      </c>
      <c r="M731" s="27" t="str">
        <f aca="false">IFERROR(__xludf.dummyfunction("""COMPUTED_VALUE"""),"(Diff)")</f>
        <v>(Diff)</v>
      </c>
      <c r="N731" s="25"/>
      <c r="O731" s="25"/>
      <c r="P731" s="25"/>
      <c r="Q731" s="29" t="s">
        <v>266</v>
      </c>
      <c r="R731" s="8" t="str">
        <f aca="false">B731&amp;" "&amp;C731&amp;" "&amp;D731&amp;" "&amp;E731&amp;" "&amp;G731&amp;" "&amp;H731&amp;" "&amp;J731&amp;" "&amp;N731</f>
        <v>Differentials Cathode     CIF Hungary (Diff) </v>
      </c>
      <c r="S731" s="25"/>
      <c r="T731" s="8"/>
      <c r="U731" s="8"/>
      <c r="V731" s="27" t="s">
        <v>49</v>
      </c>
      <c r="W731" s="25"/>
      <c r="X731" s="25"/>
      <c r="Y731" s="25"/>
      <c r="Z731" s="25"/>
      <c r="AA731" s="25"/>
      <c r="AB731" s="25"/>
      <c r="AC731" s="25"/>
      <c r="AD731" s="25"/>
    </row>
    <row r="732" customFormat="false" ht="15.75" hidden="false" customHeight="false" outlineLevel="0" collapsed="false">
      <c r="A732" s="28" t="s">
        <v>1103</v>
      </c>
      <c r="B732" s="27" t="s">
        <v>438</v>
      </c>
      <c r="C732" s="27" t="s">
        <v>236</v>
      </c>
      <c r="D732" s="25"/>
      <c r="E732" s="25"/>
      <c r="F732" s="25"/>
      <c r="G732" s="25"/>
      <c r="H732" s="25"/>
      <c r="I732" s="25"/>
      <c r="J732" s="27" t="s">
        <v>1080</v>
      </c>
      <c r="K732" s="25" t="str">
        <f aca="false">IFERROR(__xludf.dummyfunction("SPLIT(J732,"" "")"),"CIF")</f>
        <v>CIF</v>
      </c>
      <c r="L732" s="28" t="str">
        <f aca="false">IFERROR(__xludf.dummyfunction("""COMPUTED_VALUE"""),"Hungary")</f>
        <v>Hungary</v>
      </c>
      <c r="M732" s="27" t="str">
        <f aca="false">IFERROR(__xludf.dummyfunction("""COMPUTED_VALUE"""),"(Diff)")</f>
        <v>(Diff)</v>
      </c>
      <c r="N732" s="25"/>
      <c r="O732" s="25"/>
      <c r="P732" s="25"/>
      <c r="Q732" s="29" t="s">
        <v>261</v>
      </c>
      <c r="R732" s="8" t="str">
        <f aca="false">B732&amp;" "&amp;C732&amp;" "&amp;D732&amp;" "&amp;E732&amp;" "&amp;G732&amp;" "&amp;H732&amp;" "&amp;J732&amp;" "&amp;N732</f>
        <v>Differentials Cathode     CIF Hungary (Diff) </v>
      </c>
      <c r="S732" s="25"/>
      <c r="T732" s="8"/>
      <c r="U732" s="8"/>
      <c r="V732" s="27" t="s">
        <v>49</v>
      </c>
      <c r="W732" s="25"/>
      <c r="X732" s="25"/>
      <c r="Y732" s="25"/>
      <c r="Z732" s="25"/>
      <c r="AA732" s="25"/>
      <c r="AB732" s="25"/>
      <c r="AC732" s="25"/>
      <c r="AD732" s="25"/>
    </row>
    <row r="733" customFormat="false" ht="15.75" hidden="false" customHeight="false" outlineLevel="0" collapsed="false">
      <c r="A733" s="28" t="s">
        <v>1104</v>
      </c>
      <c r="B733" s="27" t="s">
        <v>438</v>
      </c>
      <c r="C733" s="27" t="s">
        <v>236</v>
      </c>
      <c r="D733" s="25"/>
      <c r="E733" s="25"/>
      <c r="F733" s="25"/>
      <c r="G733" s="25"/>
      <c r="H733" s="25"/>
      <c r="I733" s="25"/>
      <c r="J733" s="27" t="s">
        <v>1080</v>
      </c>
      <c r="K733" s="25" t="str">
        <f aca="false">IFERROR(__xludf.dummyfunction("SPLIT(J733,"" "")"),"CIF")</f>
        <v>CIF</v>
      </c>
      <c r="L733" s="28" t="str">
        <f aca="false">IFERROR(__xludf.dummyfunction("""COMPUTED_VALUE"""),"Hungary")</f>
        <v>Hungary</v>
      </c>
      <c r="M733" s="27" t="str">
        <f aca="false">IFERROR(__xludf.dummyfunction("""COMPUTED_VALUE"""),"(Diff)")</f>
        <v>(Diff)</v>
      </c>
      <c r="N733" s="25"/>
      <c r="O733" s="25"/>
      <c r="P733" s="25"/>
      <c r="Q733" s="29" t="s">
        <v>256</v>
      </c>
      <c r="R733" s="8" t="str">
        <f aca="false">B733&amp;" "&amp;C733&amp;" "&amp;D733&amp;" "&amp;E733&amp;" "&amp;G733&amp;" "&amp;H733&amp;" "&amp;J733&amp;" "&amp;N733</f>
        <v>Differentials Cathode     CIF Hungary (Diff) </v>
      </c>
      <c r="S733" s="25"/>
      <c r="T733" s="8"/>
      <c r="U733" s="8"/>
      <c r="V733" s="27" t="s">
        <v>49</v>
      </c>
      <c r="W733" s="25"/>
      <c r="X733" s="25"/>
      <c r="Y733" s="25"/>
      <c r="Z733" s="25"/>
      <c r="AA733" s="25"/>
      <c r="AB733" s="25"/>
      <c r="AC733" s="25"/>
      <c r="AD733" s="25"/>
    </row>
    <row r="734" customFormat="false" ht="15.75" hidden="false" customHeight="false" outlineLevel="0" collapsed="false">
      <c r="A734" s="28" t="s">
        <v>1105</v>
      </c>
      <c r="B734" s="27" t="s">
        <v>438</v>
      </c>
      <c r="C734" s="27" t="s">
        <v>236</v>
      </c>
      <c r="D734" s="25"/>
      <c r="E734" s="25"/>
      <c r="F734" s="25"/>
      <c r="G734" s="25"/>
      <c r="H734" s="25"/>
      <c r="I734" s="25"/>
      <c r="J734" s="27" t="s">
        <v>1080</v>
      </c>
      <c r="K734" s="25" t="str">
        <f aca="false">IFERROR(__xludf.dummyfunction("SPLIT(J734,"" "")"),"CIF")</f>
        <v>CIF</v>
      </c>
      <c r="L734" s="28" t="str">
        <f aca="false">IFERROR(__xludf.dummyfunction("""COMPUTED_VALUE"""),"Hungary")</f>
        <v>Hungary</v>
      </c>
      <c r="M734" s="27" t="str">
        <f aca="false">IFERROR(__xludf.dummyfunction("""COMPUTED_VALUE"""),"(Diff)")</f>
        <v>(Diff)</v>
      </c>
      <c r="N734" s="25"/>
      <c r="O734" s="25"/>
      <c r="P734" s="25"/>
      <c r="Q734" s="29" t="s">
        <v>251</v>
      </c>
      <c r="R734" s="8" t="str">
        <f aca="false">B734&amp;" "&amp;C734&amp;" "&amp;D734&amp;" "&amp;E734&amp;" "&amp;G734&amp;" "&amp;H734&amp;" "&amp;J734&amp;" "&amp;N734</f>
        <v>Differentials Cathode     CIF Hungary (Diff) </v>
      </c>
      <c r="S734" s="25"/>
      <c r="T734" s="8"/>
      <c r="U734" s="8"/>
      <c r="V734" s="27" t="s">
        <v>49</v>
      </c>
      <c r="W734" s="25"/>
      <c r="X734" s="25"/>
      <c r="Y734" s="25"/>
      <c r="Z734" s="25"/>
      <c r="AA734" s="25"/>
      <c r="AB734" s="25"/>
      <c r="AC734" s="25"/>
      <c r="AD734" s="25"/>
    </row>
    <row r="735" customFormat="false" ht="15.75" hidden="false" customHeight="false" outlineLevel="0" collapsed="false">
      <c r="A735" s="28" t="s">
        <v>1106</v>
      </c>
      <c r="B735" s="27" t="s">
        <v>438</v>
      </c>
      <c r="C735" s="27" t="s">
        <v>236</v>
      </c>
      <c r="D735" s="25"/>
      <c r="E735" s="25"/>
      <c r="F735" s="25"/>
      <c r="G735" s="25"/>
      <c r="H735" s="25"/>
      <c r="I735" s="25"/>
      <c r="J735" s="27" t="s">
        <v>1080</v>
      </c>
      <c r="K735" s="25" t="str">
        <f aca="false">IFERROR(__xludf.dummyfunction("SPLIT(J735,"" "")"),"CIF")</f>
        <v>CIF</v>
      </c>
      <c r="L735" s="28" t="str">
        <f aca="false">IFERROR(__xludf.dummyfunction("""COMPUTED_VALUE"""),"Hungary")</f>
        <v>Hungary</v>
      </c>
      <c r="M735" s="27" t="str">
        <f aca="false">IFERROR(__xludf.dummyfunction("""COMPUTED_VALUE"""),"(Diff)")</f>
        <v>(Diff)</v>
      </c>
      <c r="N735" s="25"/>
      <c r="O735" s="25"/>
      <c r="P735" s="25"/>
      <c r="Q735" s="29" t="s">
        <v>247</v>
      </c>
      <c r="R735" s="8" t="str">
        <f aca="false">B735&amp;" "&amp;C735&amp;" "&amp;D735&amp;" "&amp;E735&amp;" "&amp;G735&amp;" "&amp;H735&amp;" "&amp;J735&amp;" "&amp;N735</f>
        <v>Differentials Cathode     CIF Hungary (Diff) </v>
      </c>
      <c r="S735" s="25"/>
      <c r="T735" s="8"/>
      <c r="U735" s="8"/>
      <c r="V735" s="27" t="s">
        <v>49</v>
      </c>
      <c r="W735" s="25"/>
      <c r="X735" s="25"/>
      <c r="Y735" s="25"/>
      <c r="Z735" s="25"/>
      <c r="AA735" s="25"/>
      <c r="AB735" s="25"/>
      <c r="AC735" s="25"/>
      <c r="AD735" s="25"/>
    </row>
    <row r="736" customFormat="false" ht="15.75" hidden="false" customHeight="false" outlineLevel="0" collapsed="false">
      <c r="A736" s="28" t="s">
        <v>1107</v>
      </c>
      <c r="B736" s="27" t="s">
        <v>438</v>
      </c>
      <c r="C736" s="27" t="s">
        <v>236</v>
      </c>
      <c r="D736" s="25"/>
      <c r="E736" s="25"/>
      <c r="F736" s="25"/>
      <c r="G736" s="25"/>
      <c r="H736" s="25"/>
      <c r="I736" s="25"/>
      <c r="J736" s="27" t="s">
        <v>1080</v>
      </c>
      <c r="K736" s="25" t="str">
        <f aca="false">IFERROR(__xludf.dummyfunction("SPLIT(J736,"" "")"),"CIF")</f>
        <v>CIF</v>
      </c>
      <c r="L736" s="28" t="str">
        <f aca="false">IFERROR(__xludf.dummyfunction("""COMPUTED_VALUE"""),"Hungary")</f>
        <v>Hungary</v>
      </c>
      <c r="M736" s="27" t="str">
        <f aca="false">IFERROR(__xludf.dummyfunction("""COMPUTED_VALUE"""),"(Diff)")</f>
        <v>(Diff)</v>
      </c>
      <c r="N736" s="25"/>
      <c r="O736" s="25"/>
      <c r="P736" s="25"/>
      <c r="Q736" s="29" t="s">
        <v>243</v>
      </c>
      <c r="R736" s="8" t="str">
        <f aca="false">B736&amp;" "&amp;C736&amp;" "&amp;D736&amp;" "&amp;E736&amp;" "&amp;G736&amp;" "&amp;H736&amp;" "&amp;J736&amp;" "&amp;N736</f>
        <v>Differentials Cathode     CIF Hungary (Diff) </v>
      </c>
      <c r="S736" s="25"/>
      <c r="T736" s="8"/>
      <c r="U736" s="8"/>
      <c r="V736" s="27" t="s">
        <v>49</v>
      </c>
      <c r="W736" s="25"/>
      <c r="X736" s="25"/>
      <c r="Y736" s="25"/>
      <c r="Z736" s="25"/>
      <c r="AA736" s="25"/>
      <c r="AB736" s="25"/>
      <c r="AC736" s="25"/>
      <c r="AD736" s="25"/>
    </row>
    <row r="737" customFormat="false" ht="15.75" hidden="false" customHeight="false" outlineLevel="0" collapsed="false">
      <c r="A737" s="28" t="s">
        <v>1108</v>
      </c>
      <c r="B737" s="27" t="s">
        <v>438</v>
      </c>
      <c r="C737" s="27" t="s">
        <v>236</v>
      </c>
      <c r="D737" s="25"/>
      <c r="E737" s="25"/>
      <c r="F737" s="25"/>
      <c r="G737" s="25"/>
      <c r="H737" s="25"/>
      <c r="I737" s="25"/>
      <c r="J737" s="27" t="s">
        <v>1080</v>
      </c>
      <c r="K737" s="25" t="str">
        <f aca="false">IFERROR(__xludf.dummyfunction("SPLIT(J737,"" "")"),"CIF")</f>
        <v>CIF</v>
      </c>
      <c r="L737" s="28" t="str">
        <f aca="false">IFERROR(__xludf.dummyfunction("""COMPUTED_VALUE"""),"Hungary")</f>
        <v>Hungary</v>
      </c>
      <c r="M737" s="27" t="str">
        <f aca="false">IFERROR(__xludf.dummyfunction("""COMPUTED_VALUE"""),"(Diff)")</f>
        <v>(Diff)</v>
      </c>
      <c r="N737" s="25"/>
      <c r="O737" s="25"/>
      <c r="P737" s="25"/>
      <c r="Q737" s="29" t="s">
        <v>239</v>
      </c>
      <c r="R737" s="8" t="str">
        <f aca="false">B737&amp;" "&amp;C737&amp;" "&amp;D737&amp;" "&amp;E737&amp;" "&amp;G737&amp;" "&amp;H737&amp;" "&amp;J737&amp;" "&amp;N737</f>
        <v>Differentials Cathode     CIF Hungary (Diff) </v>
      </c>
      <c r="S737" s="25"/>
      <c r="T737" s="8"/>
      <c r="U737" s="8"/>
      <c r="V737" s="27" t="s">
        <v>49</v>
      </c>
      <c r="W737" s="25"/>
      <c r="X737" s="25"/>
      <c r="Y737" s="25"/>
      <c r="Z737" s="25"/>
      <c r="AA737" s="25"/>
      <c r="AB737" s="25"/>
      <c r="AC737" s="25"/>
      <c r="AD737" s="25"/>
    </row>
    <row r="738" customFormat="false" ht="15.75" hidden="false" customHeight="false" outlineLevel="0" collapsed="false">
      <c r="A738" s="28" t="s">
        <v>1109</v>
      </c>
      <c r="B738" s="27" t="s">
        <v>438</v>
      </c>
      <c r="C738" s="27" t="s">
        <v>273</v>
      </c>
      <c r="D738" s="25"/>
      <c r="E738" s="25"/>
      <c r="F738" s="25"/>
      <c r="G738" s="25"/>
      <c r="H738" s="25"/>
      <c r="I738" s="25"/>
      <c r="J738" s="27" t="s">
        <v>1080</v>
      </c>
      <c r="K738" s="25" t="str">
        <f aca="false">IFERROR(__xludf.dummyfunction("SPLIT(J738,"" "")"),"CIF")</f>
        <v>CIF</v>
      </c>
      <c r="L738" s="28" t="str">
        <f aca="false">IFERROR(__xludf.dummyfunction("""COMPUTED_VALUE"""),"Hungary")</f>
        <v>Hungary</v>
      </c>
      <c r="M738" s="27" t="str">
        <f aca="false">IFERROR(__xludf.dummyfunction("""COMPUTED_VALUE"""),"(Diff)")</f>
        <v>(Diff)</v>
      </c>
      <c r="N738" s="25"/>
      <c r="O738" s="25"/>
      <c r="P738" s="25"/>
      <c r="Q738" s="29" t="s">
        <v>274</v>
      </c>
      <c r="R738" s="8" t="str">
        <f aca="false">B738&amp;" "&amp;C738&amp;" "&amp;D738&amp;" "&amp;E738&amp;" "&amp;G738&amp;" "&amp;H738&amp;" "&amp;J738&amp;" "&amp;N738</f>
        <v>Differentials Cobalt     CIF Hungary (Diff) </v>
      </c>
      <c r="S738" s="25"/>
      <c r="T738" s="8"/>
      <c r="U738" s="8"/>
      <c r="V738" s="27" t="s">
        <v>49</v>
      </c>
      <c r="W738" s="25"/>
      <c r="X738" s="25"/>
      <c r="Y738" s="25"/>
      <c r="Z738" s="25"/>
      <c r="AA738" s="25"/>
      <c r="AB738" s="25"/>
      <c r="AC738" s="25"/>
      <c r="AD738" s="25"/>
    </row>
    <row r="739" customFormat="false" ht="15.75" hidden="false" customHeight="false" outlineLevel="0" collapsed="false">
      <c r="A739" s="28" t="s">
        <v>1110</v>
      </c>
      <c r="B739" s="27" t="s">
        <v>438</v>
      </c>
      <c r="C739" s="27" t="s">
        <v>273</v>
      </c>
      <c r="D739" s="25"/>
      <c r="E739" s="25"/>
      <c r="F739" s="25"/>
      <c r="G739" s="25"/>
      <c r="H739" s="25"/>
      <c r="I739" s="25"/>
      <c r="J739" s="27" t="s">
        <v>1080</v>
      </c>
      <c r="K739" s="25" t="str">
        <f aca="false">IFERROR(__xludf.dummyfunction("SPLIT(J739,"" "")"),"CIF")</f>
        <v>CIF</v>
      </c>
      <c r="L739" s="28" t="str">
        <f aca="false">IFERROR(__xludf.dummyfunction("""COMPUTED_VALUE"""),"Hungary")</f>
        <v>Hungary</v>
      </c>
      <c r="M739" s="27" t="str">
        <f aca="false">IFERROR(__xludf.dummyfunction("""COMPUTED_VALUE"""),"(Diff)")</f>
        <v>(Diff)</v>
      </c>
      <c r="N739" s="25"/>
      <c r="O739" s="25"/>
      <c r="P739" s="25"/>
      <c r="Q739" s="29" t="s">
        <v>282</v>
      </c>
      <c r="R739" s="8" t="str">
        <f aca="false">B739&amp;" "&amp;C739&amp;" "&amp;D739&amp;" "&amp;E739&amp;" "&amp;G739&amp;" "&amp;H739&amp;" "&amp;J739&amp;" "&amp;N739</f>
        <v>Differentials Cobalt     CIF Hungary (Diff) </v>
      </c>
      <c r="S739" s="25"/>
      <c r="T739" s="8"/>
      <c r="U739" s="8"/>
      <c r="V739" s="27" t="s">
        <v>49</v>
      </c>
      <c r="W739" s="25"/>
      <c r="X739" s="25"/>
      <c r="Y739" s="25"/>
      <c r="Z739" s="25"/>
      <c r="AA739" s="25"/>
      <c r="AB739" s="25"/>
      <c r="AC739" s="25"/>
      <c r="AD739" s="25"/>
    </row>
    <row r="740" customFormat="false" ht="15.75" hidden="false" customHeight="false" outlineLevel="0" collapsed="false">
      <c r="A740" s="28" t="s">
        <v>1111</v>
      </c>
      <c r="B740" s="27" t="s">
        <v>438</v>
      </c>
      <c r="C740" s="27" t="s">
        <v>273</v>
      </c>
      <c r="D740" s="25"/>
      <c r="E740" s="25"/>
      <c r="F740" s="25"/>
      <c r="G740" s="25"/>
      <c r="H740" s="25"/>
      <c r="I740" s="25"/>
      <c r="J740" s="27" t="s">
        <v>1080</v>
      </c>
      <c r="K740" s="25" t="str">
        <f aca="false">IFERROR(__xludf.dummyfunction("SPLIT(J740,"" "")"),"CIF")</f>
        <v>CIF</v>
      </c>
      <c r="L740" s="28" t="str">
        <f aca="false">IFERROR(__xludf.dummyfunction("""COMPUTED_VALUE"""),"Hungary")</f>
        <v>Hungary</v>
      </c>
      <c r="M740" s="27" t="str">
        <f aca="false">IFERROR(__xludf.dummyfunction("""COMPUTED_VALUE"""),"(Diff)")</f>
        <v>(Diff)</v>
      </c>
      <c r="N740" s="25"/>
      <c r="O740" s="25"/>
      <c r="P740" s="25"/>
      <c r="Q740" s="29" t="s">
        <v>280</v>
      </c>
      <c r="R740" s="8" t="str">
        <f aca="false">B740&amp;" "&amp;C740&amp;" "&amp;D740&amp;" "&amp;E740&amp;" "&amp;G740&amp;" "&amp;H740&amp;" "&amp;J740&amp;" "&amp;N740</f>
        <v>Differentials Cobalt     CIF Hungary (Diff) </v>
      </c>
      <c r="S740" s="25"/>
      <c r="T740" s="8"/>
      <c r="U740" s="8"/>
      <c r="V740" s="27" t="s">
        <v>49</v>
      </c>
      <c r="W740" s="25"/>
      <c r="X740" s="25"/>
      <c r="Y740" s="25"/>
      <c r="Z740" s="25"/>
      <c r="AA740" s="25"/>
      <c r="AB740" s="25"/>
      <c r="AC740" s="25"/>
      <c r="AD740" s="25"/>
    </row>
    <row r="741" customFormat="false" ht="15.75" hidden="false" customHeight="false" outlineLevel="0" collapsed="false">
      <c r="A741" s="28" t="s">
        <v>1112</v>
      </c>
      <c r="B741" s="27" t="s">
        <v>438</v>
      </c>
      <c r="C741" s="27" t="s">
        <v>273</v>
      </c>
      <c r="D741" s="25"/>
      <c r="E741" s="25"/>
      <c r="F741" s="25"/>
      <c r="G741" s="25"/>
      <c r="H741" s="25"/>
      <c r="I741" s="25"/>
      <c r="J741" s="27" t="s">
        <v>1080</v>
      </c>
      <c r="K741" s="25" t="str">
        <f aca="false">IFERROR(__xludf.dummyfunction("SPLIT(J741,"" "")"),"CIF")</f>
        <v>CIF</v>
      </c>
      <c r="L741" s="28" t="str">
        <f aca="false">IFERROR(__xludf.dummyfunction("""COMPUTED_VALUE"""),"Hungary")</f>
        <v>Hungary</v>
      </c>
      <c r="M741" s="27" t="str">
        <f aca="false">IFERROR(__xludf.dummyfunction("""COMPUTED_VALUE"""),"(Diff)")</f>
        <v>(Diff)</v>
      </c>
      <c r="N741" s="25"/>
      <c r="O741" s="25"/>
      <c r="P741" s="25"/>
      <c r="Q741" s="29" t="s">
        <v>278</v>
      </c>
      <c r="R741" s="8" t="str">
        <f aca="false">B741&amp;" "&amp;C741&amp;" "&amp;D741&amp;" "&amp;E741&amp;" "&amp;G741&amp;" "&amp;H741&amp;" "&amp;J741&amp;" "&amp;N741</f>
        <v>Differentials Cobalt     CIF Hungary (Diff) </v>
      </c>
      <c r="S741" s="25"/>
      <c r="T741" s="8"/>
      <c r="U741" s="8"/>
      <c r="V741" s="27" t="s">
        <v>49</v>
      </c>
      <c r="W741" s="25"/>
      <c r="X741" s="25"/>
      <c r="Y741" s="25"/>
      <c r="Z741" s="25"/>
      <c r="AA741" s="25"/>
      <c r="AB741" s="25"/>
      <c r="AC741" s="25"/>
      <c r="AD741" s="25"/>
    </row>
    <row r="742" customFormat="false" ht="15.75" hidden="false" customHeight="false" outlineLevel="0" collapsed="false">
      <c r="A742" s="28" t="s">
        <v>1113</v>
      </c>
      <c r="B742" s="27" t="s">
        <v>438</v>
      </c>
      <c r="C742" s="27" t="s">
        <v>273</v>
      </c>
      <c r="D742" s="25"/>
      <c r="E742" s="25"/>
      <c r="F742" s="25"/>
      <c r="G742" s="25"/>
      <c r="H742" s="25"/>
      <c r="I742" s="25"/>
      <c r="J742" s="27" t="s">
        <v>1080</v>
      </c>
      <c r="K742" s="25" t="str">
        <f aca="false">IFERROR(__xludf.dummyfunction("SPLIT(J742,"" "")"),"CIF")</f>
        <v>CIF</v>
      </c>
      <c r="L742" s="28" t="str">
        <f aca="false">IFERROR(__xludf.dummyfunction("""COMPUTED_VALUE"""),"Hungary")</f>
        <v>Hungary</v>
      </c>
      <c r="M742" s="27" t="str">
        <f aca="false">IFERROR(__xludf.dummyfunction("""COMPUTED_VALUE"""),"(Diff)")</f>
        <v>(Diff)</v>
      </c>
      <c r="N742" s="25"/>
      <c r="O742" s="25"/>
      <c r="P742" s="25"/>
      <c r="Q742" s="29" t="s">
        <v>276</v>
      </c>
      <c r="R742" s="8" t="str">
        <f aca="false">B742&amp;" "&amp;C742&amp;" "&amp;D742&amp;" "&amp;E742&amp;" "&amp;G742&amp;" "&amp;H742&amp;" "&amp;J742&amp;" "&amp;N742</f>
        <v>Differentials Cobalt     CIF Hungary (Diff) </v>
      </c>
      <c r="S742" s="25"/>
      <c r="T742" s="8"/>
      <c r="U742" s="8"/>
      <c r="V742" s="27" t="s">
        <v>49</v>
      </c>
      <c r="W742" s="25"/>
      <c r="X742" s="25"/>
      <c r="Y742" s="25"/>
      <c r="Z742" s="25"/>
      <c r="AA742" s="25"/>
      <c r="AB742" s="25"/>
      <c r="AC742" s="25"/>
      <c r="AD742" s="25"/>
    </row>
    <row r="743" customFormat="false" ht="15.75" hidden="false" customHeight="false" outlineLevel="0" collapsed="false">
      <c r="A743" s="28" t="s">
        <v>1114</v>
      </c>
      <c r="B743" s="27" t="s">
        <v>438</v>
      </c>
      <c r="C743" s="27" t="s">
        <v>284</v>
      </c>
      <c r="D743" s="25"/>
      <c r="E743" s="25"/>
      <c r="F743" s="25"/>
      <c r="G743" s="25"/>
      <c r="H743" s="25"/>
      <c r="I743" s="25"/>
      <c r="J743" s="27" t="s">
        <v>1080</v>
      </c>
      <c r="K743" s="25" t="str">
        <f aca="false">IFERROR(__xludf.dummyfunction("SPLIT(J743,"" "")"),"CIF")</f>
        <v>CIF</v>
      </c>
      <c r="L743" s="28" t="str">
        <f aca="false">IFERROR(__xludf.dummyfunction("""COMPUTED_VALUE"""),"Hungary")</f>
        <v>Hungary</v>
      </c>
      <c r="M743" s="27" t="str">
        <f aca="false">IFERROR(__xludf.dummyfunction("""COMPUTED_VALUE"""),"(Diff)")</f>
        <v>(Diff)</v>
      </c>
      <c r="N743" s="25"/>
      <c r="O743" s="25"/>
      <c r="P743" s="25"/>
      <c r="Q743" s="29" t="s">
        <v>287</v>
      </c>
      <c r="R743" s="8" t="str">
        <f aca="false">B743&amp;" "&amp;C743&amp;" "&amp;D743&amp;" "&amp;E743&amp;" "&amp;G743&amp;" "&amp;H743&amp;" "&amp;J743&amp;" "&amp;N743</f>
        <v>Differentials Copper (Battery Grade)     CIF Hungary (Diff) </v>
      </c>
      <c r="S743" s="25"/>
      <c r="T743" s="8"/>
      <c r="U743" s="8"/>
      <c r="V743" s="27" t="s">
        <v>49</v>
      </c>
      <c r="W743" s="25"/>
      <c r="X743" s="25"/>
      <c r="Y743" s="25"/>
      <c r="Z743" s="25"/>
      <c r="AA743" s="25"/>
      <c r="AB743" s="25"/>
      <c r="AC743" s="25"/>
      <c r="AD743" s="25"/>
    </row>
    <row r="744" customFormat="false" ht="15.75" hidden="false" customHeight="false" outlineLevel="0" collapsed="false">
      <c r="A744" s="28" t="s">
        <v>1115</v>
      </c>
      <c r="B744" s="27" t="s">
        <v>438</v>
      </c>
      <c r="C744" s="27" t="s">
        <v>284</v>
      </c>
      <c r="D744" s="25"/>
      <c r="E744" s="25"/>
      <c r="F744" s="25"/>
      <c r="G744" s="25"/>
      <c r="H744" s="25"/>
      <c r="I744" s="25"/>
      <c r="J744" s="27" t="s">
        <v>1080</v>
      </c>
      <c r="K744" s="25" t="str">
        <f aca="false">IFERROR(__xludf.dummyfunction("SPLIT(J744,"" "")"),"CIF")</f>
        <v>CIF</v>
      </c>
      <c r="L744" s="28" t="str">
        <f aca="false">IFERROR(__xludf.dummyfunction("""COMPUTED_VALUE"""),"Hungary")</f>
        <v>Hungary</v>
      </c>
      <c r="M744" s="27" t="str">
        <f aca="false">IFERROR(__xludf.dummyfunction("""COMPUTED_VALUE"""),"(Diff)")</f>
        <v>(Diff)</v>
      </c>
      <c r="N744" s="25"/>
      <c r="O744" s="25"/>
      <c r="P744" s="25"/>
      <c r="Q744" s="29" t="s">
        <v>285</v>
      </c>
      <c r="R744" s="8" t="str">
        <f aca="false">B744&amp;" "&amp;C744&amp;" "&amp;D744&amp;" "&amp;E744&amp;" "&amp;G744&amp;" "&amp;H744&amp;" "&amp;J744&amp;" "&amp;N744</f>
        <v>Differentials Copper (Battery Grade)     CIF Hungary (Diff) </v>
      </c>
      <c r="S744" s="25"/>
      <c r="T744" s="8"/>
      <c r="U744" s="8"/>
      <c r="V744" s="27" t="s">
        <v>49</v>
      </c>
      <c r="W744" s="25"/>
      <c r="X744" s="25"/>
      <c r="Y744" s="25"/>
      <c r="Z744" s="25"/>
      <c r="AA744" s="25"/>
      <c r="AB744" s="25"/>
      <c r="AC744" s="25"/>
      <c r="AD744" s="25"/>
    </row>
    <row r="745" customFormat="false" ht="15.75" hidden="false" customHeight="false" outlineLevel="0" collapsed="false">
      <c r="A745" s="28" t="s">
        <v>1116</v>
      </c>
      <c r="B745" s="27" t="s">
        <v>438</v>
      </c>
      <c r="C745" s="27" t="s">
        <v>289</v>
      </c>
      <c r="D745" s="25"/>
      <c r="E745" s="25"/>
      <c r="F745" s="25"/>
      <c r="G745" s="25"/>
      <c r="H745" s="25"/>
      <c r="I745" s="25"/>
      <c r="J745" s="27" t="s">
        <v>1080</v>
      </c>
      <c r="K745" s="25" t="str">
        <f aca="false">IFERROR(__xludf.dummyfunction("SPLIT(J745,"" "")"),"CIF")</f>
        <v>CIF</v>
      </c>
      <c r="L745" s="28" t="str">
        <f aca="false">IFERROR(__xludf.dummyfunction("""COMPUTED_VALUE"""),"Hungary")</f>
        <v>Hungary</v>
      </c>
      <c r="M745" s="27" t="str">
        <f aca="false">IFERROR(__xludf.dummyfunction("""COMPUTED_VALUE"""),"(Diff)")</f>
        <v>(Diff)</v>
      </c>
      <c r="N745" s="25"/>
      <c r="O745" s="25"/>
      <c r="P745" s="25"/>
      <c r="Q745" s="29" t="s">
        <v>306</v>
      </c>
      <c r="R745" s="8" t="str">
        <f aca="false">B745&amp;" "&amp;C745&amp;" "&amp;D745&amp;" "&amp;E745&amp;" "&amp;G745&amp;" "&amp;H745&amp;" "&amp;J745&amp;" "&amp;N745</f>
        <v>Differentials Electrolyte     CIF Hungary (Diff) </v>
      </c>
      <c r="S745" s="25"/>
      <c r="T745" s="8"/>
      <c r="U745" s="8"/>
      <c r="V745" s="27" t="s">
        <v>49</v>
      </c>
      <c r="W745" s="25"/>
      <c r="X745" s="25"/>
      <c r="Y745" s="25"/>
      <c r="Z745" s="25"/>
      <c r="AA745" s="25"/>
      <c r="AB745" s="25"/>
      <c r="AC745" s="25"/>
      <c r="AD745" s="25"/>
    </row>
    <row r="746" customFormat="false" ht="15.75" hidden="false" customHeight="false" outlineLevel="0" collapsed="false">
      <c r="A746" s="28" t="s">
        <v>1117</v>
      </c>
      <c r="B746" s="27" t="s">
        <v>438</v>
      </c>
      <c r="C746" s="27" t="s">
        <v>289</v>
      </c>
      <c r="D746" s="25"/>
      <c r="E746" s="25"/>
      <c r="F746" s="25"/>
      <c r="G746" s="25"/>
      <c r="H746" s="25"/>
      <c r="I746" s="25"/>
      <c r="J746" s="27" t="s">
        <v>1080</v>
      </c>
      <c r="K746" s="25" t="str">
        <f aca="false">IFERROR(__xludf.dummyfunction("SPLIT(J746,"" "")"),"CIF")</f>
        <v>CIF</v>
      </c>
      <c r="L746" s="28" t="str">
        <f aca="false">IFERROR(__xludf.dummyfunction("""COMPUTED_VALUE"""),"Hungary")</f>
        <v>Hungary</v>
      </c>
      <c r="M746" s="27" t="str">
        <f aca="false">IFERROR(__xludf.dummyfunction("""COMPUTED_VALUE"""),"(Diff)")</f>
        <v>(Diff)</v>
      </c>
      <c r="N746" s="25"/>
      <c r="O746" s="25"/>
      <c r="P746" s="25"/>
      <c r="Q746" s="29" t="s">
        <v>304</v>
      </c>
      <c r="R746" s="8" t="str">
        <f aca="false">B746&amp;" "&amp;C746&amp;" "&amp;D746&amp;" "&amp;E746&amp;" "&amp;G746&amp;" "&amp;H746&amp;" "&amp;J746&amp;" "&amp;N746</f>
        <v>Differentials Electrolyte     CIF Hungary (Diff) </v>
      </c>
      <c r="S746" s="25"/>
      <c r="T746" s="8"/>
      <c r="U746" s="8"/>
      <c r="V746" s="27" t="s">
        <v>49</v>
      </c>
      <c r="W746" s="25"/>
      <c r="X746" s="25"/>
      <c r="Y746" s="25"/>
      <c r="Z746" s="25"/>
      <c r="AA746" s="25"/>
      <c r="AB746" s="25"/>
      <c r="AC746" s="25"/>
      <c r="AD746" s="25"/>
    </row>
    <row r="747" customFormat="false" ht="15.75" hidden="false" customHeight="false" outlineLevel="0" collapsed="false">
      <c r="A747" s="28" t="s">
        <v>1118</v>
      </c>
      <c r="B747" s="27" t="s">
        <v>438</v>
      </c>
      <c r="C747" s="27" t="s">
        <v>289</v>
      </c>
      <c r="D747" s="25"/>
      <c r="E747" s="25"/>
      <c r="F747" s="25"/>
      <c r="G747" s="25"/>
      <c r="H747" s="25"/>
      <c r="I747" s="25"/>
      <c r="J747" s="27" t="s">
        <v>1080</v>
      </c>
      <c r="K747" s="25" t="str">
        <f aca="false">IFERROR(__xludf.dummyfunction("SPLIT(J747,"" "")"),"CIF")</f>
        <v>CIF</v>
      </c>
      <c r="L747" s="28" t="str">
        <f aca="false">IFERROR(__xludf.dummyfunction("""COMPUTED_VALUE"""),"Hungary")</f>
        <v>Hungary</v>
      </c>
      <c r="M747" s="27" t="str">
        <f aca="false">IFERROR(__xludf.dummyfunction("""COMPUTED_VALUE"""),"(Diff)")</f>
        <v>(Diff)</v>
      </c>
      <c r="N747" s="25"/>
      <c r="O747" s="25"/>
      <c r="P747" s="25"/>
      <c r="Q747" s="29" t="s">
        <v>302</v>
      </c>
      <c r="R747" s="8" t="str">
        <f aca="false">B747&amp;" "&amp;C747&amp;" "&amp;D747&amp;" "&amp;E747&amp;" "&amp;G747&amp;" "&amp;H747&amp;" "&amp;J747&amp;" "&amp;N747</f>
        <v>Differentials Electrolyte     CIF Hungary (Diff) </v>
      </c>
      <c r="S747" s="25"/>
      <c r="T747" s="8"/>
      <c r="U747" s="8"/>
      <c r="V747" s="27" t="s">
        <v>49</v>
      </c>
      <c r="W747" s="25"/>
      <c r="X747" s="25"/>
      <c r="Y747" s="25"/>
      <c r="Z747" s="25"/>
      <c r="AA747" s="25"/>
      <c r="AB747" s="25"/>
      <c r="AC747" s="25"/>
      <c r="AD747" s="25"/>
    </row>
    <row r="748" customFormat="false" ht="15.75" hidden="false" customHeight="false" outlineLevel="0" collapsed="false">
      <c r="A748" s="28" t="s">
        <v>1119</v>
      </c>
      <c r="B748" s="27" t="s">
        <v>438</v>
      </c>
      <c r="C748" s="27" t="s">
        <v>289</v>
      </c>
      <c r="D748" s="25"/>
      <c r="E748" s="25"/>
      <c r="F748" s="25"/>
      <c r="G748" s="25"/>
      <c r="H748" s="25"/>
      <c r="I748" s="25"/>
      <c r="J748" s="27" t="s">
        <v>1080</v>
      </c>
      <c r="K748" s="25" t="str">
        <f aca="false">IFERROR(__xludf.dummyfunction("SPLIT(J748,"" "")"),"CIF")</f>
        <v>CIF</v>
      </c>
      <c r="L748" s="28" t="str">
        <f aca="false">IFERROR(__xludf.dummyfunction("""COMPUTED_VALUE"""),"Hungary")</f>
        <v>Hungary</v>
      </c>
      <c r="M748" s="27" t="str">
        <f aca="false">IFERROR(__xludf.dummyfunction("""COMPUTED_VALUE"""),"(Diff)")</f>
        <v>(Diff)</v>
      </c>
      <c r="N748" s="25"/>
      <c r="O748" s="25"/>
      <c r="P748" s="25"/>
      <c r="Q748" s="29" t="s">
        <v>300</v>
      </c>
      <c r="R748" s="8" t="str">
        <f aca="false">B748&amp;" "&amp;C748&amp;" "&amp;D748&amp;" "&amp;E748&amp;" "&amp;G748&amp;" "&amp;H748&amp;" "&amp;J748&amp;" "&amp;N748</f>
        <v>Differentials Electrolyte     CIF Hungary (Diff) </v>
      </c>
      <c r="S748" s="25"/>
      <c r="T748" s="8"/>
      <c r="U748" s="8"/>
      <c r="V748" s="27" t="s">
        <v>49</v>
      </c>
      <c r="W748" s="25"/>
      <c r="X748" s="25"/>
      <c r="Y748" s="25"/>
      <c r="Z748" s="25"/>
      <c r="AA748" s="25"/>
      <c r="AB748" s="25"/>
      <c r="AC748" s="25"/>
      <c r="AD748" s="25"/>
    </row>
    <row r="749" customFormat="false" ht="15.75" hidden="false" customHeight="false" outlineLevel="0" collapsed="false">
      <c r="A749" s="28" t="s">
        <v>1120</v>
      </c>
      <c r="B749" s="27" t="s">
        <v>438</v>
      </c>
      <c r="C749" s="27" t="s">
        <v>289</v>
      </c>
      <c r="D749" s="25"/>
      <c r="E749" s="25"/>
      <c r="F749" s="25"/>
      <c r="G749" s="25"/>
      <c r="H749" s="25"/>
      <c r="I749" s="25"/>
      <c r="J749" s="27" t="s">
        <v>1080</v>
      </c>
      <c r="K749" s="25" t="str">
        <f aca="false">IFERROR(__xludf.dummyfunction("SPLIT(J749,"" "")"),"CIF")</f>
        <v>CIF</v>
      </c>
      <c r="L749" s="28" t="str">
        <f aca="false">IFERROR(__xludf.dummyfunction("""COMPUTED_VALUE"""),"Hungary")</f>
        <v>Hungary</v>
      </c>
      <c r="M749" s="27" t="str">
        <f aca="false">IFERROR(__xludf.dummyfunction("""COMPUTED_VALUE"""),"(Diff)")</f>
        <v>(Diff)</v>
      </c>
      <c r="N749" s="25"/>
      <c r="O749" s="25"/>
      <c r="P749" s="25"/>
      <c r="Q749" s="29" t="s">
        <v>298</v>
      </c>
      <c r="R749" s="8" t="str">
        <f aca="false">B749&amp;" "&amp;C749&amp;" "&amp;D749&amp;" "&amp;E749&amp;" "&amp;G749&amp;" "&amp;H749&amp;" "&amp;J749&amp;" "&amp;N749</f>
        <v>Differentials Electrolyte     CIF Hungary (Diff) </v>
      </c>
      <c r="S749" s="25"/>
      <c r="T749" s="8"/>
      <c r="U749" s="8"/>
      <c r="V749" s="27" t="s">
        <v>49</v>
      </c>
      <c r="W749" s="25"/>
      <c r="X749" s="25"/>
      <c r="Y749" s="25"/>
      <c r="Z749" s="25"/>
      <c r="AA749" s="25"/>
      <c r="AB749" s="25"/>
      <c r="AC749" s="25"/>
      <c r="AD749" s="25"/>
    </row>
    <row r="750" customFormat="false" ht="15.75" hidden="false" customHeight="false" outlineLevel="0" collapsed="false">
      <c r="A750" s="28" t="s">
        <v>1121</v>
      </c>
      <c r="B750" s="27" t="s">
        <v>438</v>
      </c>
      <c r="C750" s="27" t="s">
        <v>289</v>
      </c>
      <c r="D750" s="25"/>
      <c r="E750" s="25"/>
      <c r="F750" s="25"/>
      <c r="G750" s="25"/>
      <c r="H750" s="25"/>
      <c r="I750" s="25"/>
      <c r="J750" s="27" t="s">
        <v>1080</v>
      </c>
      <c r="K750" s="25" t="str">
        <f aca="false">IFERROR(__xludf.dummyfunction("SPLIT(J750,"" "")"),"CIF")</f>
        <v>CIF</v>
      </c>
      <c r="L750" s="28" t="str">
        <f aca="false">IFERROR(__xludf.dummyfunction("""COMPUTED_VALUE"""),"Hungary")</f>
        <v>Hungary</v>
      </c>
      <c r="M750" s="27" t="str">
        <f aca="false">IFERROR(__xludf.dummyfunction("""COMPUTED_VALUE"""),"(Diff)")</f>
        <v>(Diff)</v>
      </c>
      <c r="N750" s="25"/>
      <c r="O750" s="25"/>
      <c r="P750" s="25"/>
      <c r="Q750" s="29" t="s">
        <v>296</v>
      </c>
      <c r="R750" s="8" t="str">
        <f aca="false">B750&amp;" "&amp;C750&amp;" "&amp;D750&amp;" "&amp;E750&amp;" "&amp;G750&amp;" "&amp;H750&amp;" "&amp;J750&amp;" "&amp;N750</f>
        <v>Differentials Electrolyte     CIF Hungary (Diff) </v>
      </c>
      <c r="S750" s="25"/>
      <c r="T750" s="8"/>
      <c r="U750" s="8"/>
      <c r="V750" s="27" t="s">
        <v>49</v>
      </c>
      <c r="W750" s="25"/>
      <c r="X750" s="25"/>
      <c r="Y750" s="25"/>
      <c r="Z750" s="25"/>
      <c r="AA750" s="25"/>
      <c r="AB750" s="25"/>
      <c r="AC750" s="25"/>
      <c r="AD750" s="25"/>
    </row>
    <row r="751" customFormat="false" ht="15.75" hidden="false" customHeight="false" outlineLevel="0" collapsed="false">
      <c r="A751" s="28" t="s">
        <v>1122</v>
      </c>
      <c r="B751" s="27" t="s">
        <v>438</v>
      </c>
      <c r="C751" s="27" t="s">
        <v>289</v>
      </c>
      <c r="D751" s="25"/>
      <c r="E751" s="25"/>
      <c r="F751" s="25"/>
      <c r="G751" s="25"/>
      <c r="H751" s="25"/>
      <c r="I751" s="25"/>
      <c r="J751" s="27" t="s">
        <v>1080</v>
      </c>
      <c r="K751" s="25" t="str">
        <f aca="false">IFERROR(__xludf.dummyfunction("SPLIT(J751,"" "")"),"CIF")</f>
        <v>CIF</v>
      </c>
      <c r="L751" s="28" t="str">
        <f aca="false">IFERROR(__xludf.dummyfunction("""COMPUTED_VALUE"""),"Hungary")</f>
        <v>Hungary</v>
      </c>
      <c r="M751" s="27" t="str">
        <f aca="false">IFERROR(__xludf.dummyfunction("""COMPUTED_VALUE"""),"(Diff)")</f>
        <v>(Diff)</v>
      </c>
      <c r="N751" s="25"/>
      <c r="O751" s="25"/>
      <c r="P751" s="25"/>
      <c r="Q751" s="29" t="s">
        <v>294</v>
      </c>
      <c r="R751" s="8" t="str">
        <f aca="false">B751&amp;" "&amp;C751&amp;" "&amp;D751&amp;" "&amp;E751&amp;" "&amp;G751&amp;" "&amp;H751&amp;" "&amp;J751&amp;" "&amp;N751</f>
        <v>Differentials Electrolyte     CIF Hungary (Diff) </v>
      </c>
      <c r="S751" s="25"/>
      <c r="T751" s="8"/>
      <c r="U751" s="8"/>
      <c r="V751" s="27" t="s">
        <v>49</v>
      </c>
      <c r="W751" s="25"/>
      <c r="X751" s="25"/>
      <c r="Y751" s="25"/>
      <c r="Z751" s="25"/>
      <c r="AA751" s="25"/>
      <c r="AB751" s="25"/>
      <c r="AC751" s="25"/>
      <c r="AD751" s="25"/>
    </row>
    <row r="752" customFormat="false" ht="15.75" hidden="false" customHeight="false" outlineLevel="0" collapsed="false">
      <c r="A752" s="28" t="s">
        <v>1123</v>
      </c>
      <c r="B752" s="27" t="s">
        <v>438</v>
      </c>
      <c r="C752" s="27" t="s">
        <v>289</v>
      </c>
      <c r="D752" s="25"/>
      <c r="E752" s="25"/>
      <c r="F752" s="25"/>
      <c r="G752" s="25"/>
      <c r="H752" s="25"/>
      <c r="I752" s="25"/>
      <c r="J752" s="27" t="s">
        <v>1080</v>
      </c>
      <c r="K752" s="25" t="str">
        <f aca="false">IFERROR(__xludf.dummyfunction("SPLIT(J752,"" "")"),"CIF")</f>
        <v>CIF</v>
      </c>
      <c r="L752" s="28" t="str">
        <f aca="false">IFERROR(__xludf.dummyfunction("""COMPUTED_VALUE"""),"Hungary")</f>
        <v>Hungary</v>
      </c>
      <c r="M752" s="27" t="str">
        <f aca="false">IFERROR(__xludf.dummyfunction("""COMPUTED_VALUE"""),"(Diff)")</f>
        <v>(Diff)</v>
      </c>
      <c r="N752" s="25"/>
      <c r="O752" s="25"/>
      <c r="P752" s="25"/>
      <c r="Q752" s="29" t="s">
        <v>291</v>
      </c>
      <c r="R752" s="8" t="str">
        <f aca="false">B752&amp;" "&amp;C752&amp;" "&amp;D752&amp;" "&amp;E752&amp;" "&amp;G752&amp;" "&amp;H752&amp;" "&amp;J752&amp;" "&amp;N752</f>
        <v>Differentials Electrolyte     CIF Hungary (Diff) </v>
      </c>
      <c r="S752" s="25"/>
      <c r="T752" s="8"/>
      <c r="U752" s="8"/>
      <c r="V752" s="27" t="s">
        <v>49</v>
      </c>
      <c r="W752" s="25"/>
      <c r="X752" s="25"/>
      <c r="Y752" s="25"/>
      <c r="Z752" s="25"/>
      <c r="AA752" s="25"/>
      <c r="AB752" s="25"/>
      <c r="AC752" s="25"/>
      <c r="AD752" s="25"/>
    </row>
    <row r="753" customFormat="false" ht="15.75" hidden="false" customHeight="false" outlineLevel="0" collapsed="false">
      <c r="A753" s="28" t="s">
        <v>1124</v>
      </c>
      <c r="B753" s="27" t="s">
        <v>438</v>
      </c>
      <c r="C753" s="27" t="s">
        <v>308</v>
      </c>
      <c r="D753" s="25"/>
      <c r="E753" s="25"/>
      <c r="F753" s="25"/>
      <c r="G753" s="25"/>
      <c r="H753" s="25"/>
      <c r="I753" s="25"/>
      <c r="J753" s="27" t="s">
        <v>1080</v>
      </c>
      <c r="K753" s="25" t="str">
        <f aca="false">IFERROR(__xludf.dummyfunction("SPLIT(J753,"" "")"),"CIF")</f>
        <v>CIF</v>
      </c>
      <c r="L753" s="28" t="str">
        <f aca="false">IFERROR(__xludf.dummyfunction("""COMPUTED_VALUE"""),"Hungary")</f>
        <v>Hungary</v>
      </c>
      <c r="M753" s="27" t="str">
        <f aca="false">IFERROR(__xludf.dummyfunction("""COMPUTED_VALUE"""),"(Diff)")</f>
        <v>(Diff)</v>
      </c>
      <c r="N753" s="25"/>
      <c r="O753" s="25"/>
      <c r="P753" s="25"/>
      <c r="Q753" s="29" t="s">
        <v>358</v>
      </c>
      <c r="R753" s="8" t="str">
        <f aca="false">B753&amp;" "&amp;C753&amp;" "&amp;D753&amp;" "&amp;E753&amp;" "&amp;G753&amp;" "&amp;H753&amp;" "&amp;J753&amp;" "&amp;N753</f>
        <v>Differentials Graphite     CIF Hungary (Diff) </v>
      </c>
      <c r="S753" s="25"/>
      <c r="T753" s="8"/>
      <c r="U753" s="8"/>
      <c r="V753" s="27" t="s">
        <v>49</v>
      </c>
      <c r="W753" s="25"/>
      <c r="X753" s="25"/>
      <c r="Y753" s="25"/>
      <c r="Z753" s="25"/>
      <c r="AA753" s="25"/>
      <c r="AB753" s="25"/>
      <c r="AC753" s="25"/>
      <c r="AD753" s="25"/>
    </row>
    <row r="754" customFormat="false" ht="15.75" hidden="false" customHeight="false" outlineLevel="0" collapsed="false">
      <c r="A754" s="28" t="s">
        <v>1125</v>
      </c>
      <c r="B754" s="27" t="s">
        <v>438</v>
      </c>
      <c r="C754" s="27" t="s">
        <v>308</v>
      </c>
      <c r="D754" s="25"/>
      <c r="E754" s="25"/>
      <c r="F754" s="25"/>
      <c r="G754" s="25"/>
      <c r="H754" s="25"/>
      <c r="I754" s="25"/>
      <c r="J754" s="27" t="s">
        <v>1080</v>
      </c>
      <c r="K754" s="25" t="str">
        <f aca="false">IFERROR(__xludf.dummyfunction("SPLIT(J754,"" "")"),"CIF")</f>
        <v>CIF</v>
      </c>
      <c r="L754" s="28" t="str">
        <f aca="false">IFERROR(__xludf.dummyfunction("""COMPUTED_VALUE"""),"Hungary")</f>
        <v>Hungary</v>
      </c>
      <c r="M754" s="27" t="str">
        <f aca="false">IFERROR(__xludf.dummyfunction("""COMPUTED_VALUE"""),"(Diff)")</f>
        <v>(Diff)</v>
      </c>
      <c r="N754" s="25"/>
      <c r="O754" s="25"/>
      <c r="P754" s="25"/>
      <c r="Q754" s="29" t="s">
        <v>356</v>
      </c>
      <c r="R754" s="8" t="str">
        <f aca="false">B754&amp;" "&amp;C754&amp;" "&amp;D754&amp;" "&amp;E754&amp;" "&amp;G754&amp;" "&amp;H754&amp;" "&amp;J754&amp;" "&amp;N754</f>
        <v>Differentials Graphite     CIF Hungary (Diff) </v>
      </c>
      <c r="S754" s="25"/>
      <c r="T754" s="8"/>
      <c r="U754" s="8"/>
      <c r="V754" s="27" t="s">
        <v>49</v>
      </c>
      <c r="W754" s="25"/>
      <c r="X754" s="25"/>
      <c r="Y754" s="25"/>
      <c r="Z754" s="25"/>
      <c r="AA754" s="25"/>
      <c r="AB754" s="25"/>
      <c r="AC754" s="25"/>
      <c r="AD754" s="25"/>
    </row>
    <row r="755" customFormat="false" ht="15.75" hidden="false" customHeight="false" outlineLevel="0" collapsed="false">
      <c r="A755" s="28" t="s">
        <v>1126</v>
      </c>
      <c r="B755" s="27" t="s">
        <v>438</v>
      </c>
      <c r="C755" s="27" t="s">
        <v>308</v>
      </c>
      <c r="D755" s="25"/>
      <c r="E755" s="25"/>
      <c r="F755" s="25"/>
      <c r="G755" s="25"/>
      <c r="H755" s="25"/>
      <c r="I755" s="25"/>
      <c r="J755" s="27" t="s">
        <v>1080</v>
      </c>
      <c r="K755" s="25" t="str">
        <f aca="false">IFERROR(__xludf.dummyfunction("SPLIT(J755,"" "")"),"CIF")</f>
        <v>CIF</v>
      </c>
      <c r="L755" s="28" t="str">
        <f aca="false">IFERROR(__xludf.dummyfunction("""COMPUTED_VALUE"""),"Hungary")</f>
        <v>Hungary</v>
      </c>
      <c r="M755" s="27" t="str">
        <f aca="false">IFERROR(__xludf.dummyfunction("""COMPUTED_VALUE"""),"(Diff)")</f>
        <v>(Diff)</v>
      </c>
      <c r="N755" s="25"/>
      <c r="O755" s="25"/>
      <c r="P755" s="25"/>
      <c r="Q755" s="29" t="s">
        <v>354</v>
      </c>
      <c r="R755" s="8" t="str">
        <f aca="false">B755&amp;" "&amp;C755&amp;" "&amp;D755&amp;" "&amp;E755&amp;" "&amp;G755&amp;" "&amp;H755&amp;" "&amp;J755&amp;" "&amp;N755</f>
        <v>Differentials Graphite     CIF Hungary (Diff) </v>
      </c>
      <c r="S755" s="25"/>
      <c r="T755" s="8"/>
      <c r="U755" s="8"/>
      <c r="V755" s="27" t="s">
        <v>49</v>
      </c>
      <c r="W755" s="25"/>
      <c r="X755" s="25"/>
      <c r="Y755" s="25"/>
      <c r="Z755" s="25"/>
      <c r="AA755" s="25"/>
      <c r="AB755" s="25"/>
      <c r="AC755" s="25"/>
      <c r="AD755" s="25"/>
    </row>
    <row r="756" customFormat="false" ht="15.75" hidden="false" customHeight="false" outlineLevel="0" collapsed="false">
      <c r="A756" s="28" t="s">
        <v>1127</v>
      </c>
      <c r="B756" s="27" t="s">
        <v>438</v>
      </c>
      <c r="C756" s="27" t="s">
        <v>308</v>
      </c>
      <c r="D756" s="25"/>
      <c r="E756" s="25"/>
      <c r="F756" s="25"/>
      <c r="G756" s="25"/>
      <c r="H756" s="25"/>
      <c r="I756" s="25"/>
      <c r="J756" s="27" t="s">
        <v>1080</v>
      </c>
      <c r="K756" s="25" t="str">
        <f aca="false">IFERROR(__xludf.dummyfunction("SPLIT(J756,"" "")"),"CIF")</f>
        <v>CIF</v>
      </c>
      <c r="L756" s="28" t="str">
        <f aca="false">IFERROR(__xludf.dummyfunction("""COMPUTED_VALUE"""),"Hungary")</f>
        <v>Hungary</v>
      </c>
      <c r="M756" s="27" t="str">
        <f aca="false">IFERROR(__xludf.dummyfunction("""COMPUTED_VALUE"""),"(Diff)")</f>
        <v>(Diff)</v>
      </c>
      <c r="N756" s="25"/>
      <c r="O756" s="25"/>
      <c r="P756" s="25"/>
      <c r="Q756" s="29" t="s">
        <v>352</v>
      </c>
      <c r="R756" s="8" t="str">
        <f aca="false">B756&amp;" "&amp;C756&amp;" "&amp;D756&amp;" "&amp;E756&amp;" "&amp;G756&amp;" "&amp;H756&amp;" "&amp;J756&amp;" "&amp;N756</f>
        <v>Differentials Graphite     CIF Hungary (Diff) </v>
      </c>
      <c r="S756" s="25"/>
      <c r="T756" s="8"/>
      <c r="U756" s="8"/>
      <c r="V756" s="27" t="s">
        <v>49</v>
      </c>
      <c r="W756" s="25"/>
      <c r="X756" s="25"/>
      <c r="Y756" s="25"/>
      <c r="Z756" s="25"/>
      <c r="AA756" s="25"/>
      <c r="AB756" s="25"/>
      <c r="AC756" s="25"/>
      <c r="AD756" s="25"/>
    </row>
    <row r="757" customFormat="false" ht="15.75" hidden="false" customHeight="false" outlineLevel="0" collapsed="false">
      <c r="A757" s="28" t="s">
        <v>1128</v>
      </c>
      <c r="B757" s="27" t="s">
        <v>438</v>
      </c>
      <c r="C757" s="27" t="s">
        <v>308</v>
      </c>
      <c r="D757" s="25"/>
      <c r="E757" s="25"/>
      <c r="F757" s="25"/>
      <c r="G757" s="25"/>
      <c r="H757" s="25"/>
      <c r="I757" s="25"/>
      <c r="J757" s="27" t="s">
        <v>1080</v>
      </c>
      <c r="K757" s="25" t="str">
        <f aca="false">IFERROR(__xludf.dummyfunction("SPLIT(J757,"" "")"),"CIF")</f>
        <v>CIF</v>
      </c>
      <c r="L757" s="28" t="str">
        <f aca="false">IFERROR(__xludf.dummyfunction("""COMPUTED_VALUE"""),"Hungary")</f>
        <v>Hungary</v>
      </c>
      <c r="M757" s="27" t="str">
        <f aca="false">IFERROR(__xludf.dummyfunction("""COMPUTED_VALUE"""),"(Diff)")</f>
        <v>(Diff)</v>
      </c>
      <c r="N757" s="25"/>
      <c r="O757" s="25"/>
      <c r="P757" s="25"/>
      <c r="Q757" s="29" t="s">
        <v>350</v>
      </c>
      <c r="R757" s="8" t="str">
        <f aca="false">B757&amp;" "&amp;C757&amp;" "&amp;D757&amp;" "&amp;E757&amp;" "&amp;G757&amp;" "&amp;H757&amp;" "&amp;J757&amp;" "&amp;N757</f>
        <v>Differentials Graphite     CIF Hungary (Diff) </v>
      </c>
      <c r="S757" s="25"/>
      <c r="T757" s="8"/>
      <c r="U757" s="8"/>
      <c r="V757" s="27" t="s">
        <v>49</v>
      </c>
      <c r="W757" s="25"/>
      <c r="X757" s="25"/>
      <c r="Y757" s="25"/>
      <c r="Z757" s="25"/>
      <c r="AA757" s="25"/>
      <c r="AB757" s="25"/>
      <c r="AC757" s="25"/>
      <c r="AD757" s="25"/>
    </row>
    <row r="758" customFormat="false" ht="15.75" hidden="false" customHeight="false" outlineLevel="0" collapsed="false">
      <c r="A758" s="28" t="s">
        <v>1129</v>
      </c>
      <c r="B758" s="27" t="s">
        <v>438</v>
      </c>
      <c r="C758" s="27" t="s">
        <v>308</v>
      </c>
      <c r="D758" s="25"/>
      <c r="E758" s="25"/>
      <c r="F758" s="25"/>
      <c r="G758" s="25"/>
      <c r="H758" s="25"/>
      <c r="I758" s="25"/>
      <c r="J758" s="27" t="s">
        <v>1080</v>
      </c>
      <c r="K758" s="25" t="str">
        <f aca="false">IFERROR(__xludf.dummyfunction("SPLIT(J758,"" "")"),"CIF")</f>
        <v>CIF</v>
      </c>
      <c r="L758" s="28" t="str">
        <f aca="false">IFERROR(__xludf.dummyfunction("""COMPUTED_VALUE"""),"Hungary")</f>
        <v>Hungary</v>
      </c>
      <c r="M758" s="27" t="str">
        <f aca="false">IFERROR(__xludf.dummyfunction("""COMPUTED_VALUE"""),"(Diff)")</f>
        <v>(Diff)</v>
      </c>
      <c r="N758" s="25"/>
      <c r="O758" s="25"/>
      <c r="P758" s="25"/>
      <c r="Q758" s="29" t="s">
        <v>347</v>
      </c>
      <c r="R758" s="8" t="str">
        <f aca="false">B758&amp;" "&amp;C758&amp;" "&amp;D758&amp;" "&amp;E758&amp;" "&amp;G758&amp;" "&amp;H758&amp;" "&amp;J758&amp;" "&amp;N758</f>
        <v>Differentials Graphite     CIF Hungary (Diff) </v>
      </c>
      <c r="S758" s="25"/>
      <c r="T758" s="8"/>
      <c r="U758" s="8"/>
      <c r="V758" s="27" t="s">
        <v>49</v>
      </c>
      <c r="W758" s="25"/>
      <c r="X758" s="25"/>
      <c r="Y758" s="25"/>
      <c r="Z758" s="25"/>
      <c r="AA758" s="25"/>
      <c r="AB758" s="25"/>
      <c r="AC758" s="25"/>
      <c r="AD758" s="25"/>
    </row>
    <row r="759" customFormat="false" ht="15.75" hidden="false" customHeight="false" outlineLevel="0" collapsed="false">
      <c r="A759" s="28" t="s">
        <v>1130</v>
      </c>
      <c r="B759" s="27" t="s">
        <v>438</v>
      </c>
      <c r="C759" s="27" t="s">
        <v>308</v>
      </c>
      <c r="D759" s="25"/>
      <c r="E759" s="25"/>
      <c r="F759" s="25"/>
      <c r="G759" s="25"/>
      <c r="H759" s="25"/>
      <c r="I759" s="25"/>
      <c r="J759" s="27" t="s">
        <v>1080</v>
      </c>
      <c r="K759" s="25" t="str">
        <f aca="false">IFERROR(__xludf.dummyfunction("SPLIT(J759,"" "")"),"CIF")</f>
        <v>CIF</v>
      </c>
      <c r="L759" s="28" t="str">
        <f aca="false">IFERROR(__xludf.dummyfunction("""COMPUTED_VALUE"""),"Hungary")</f>
        <v>Hungary</v>
      </c>
      <c r="M759" s="27" t="str">
        <f aca="false">IFERROR(__xludf.dummyfunction("""COMPUTED_VALUE"""),"(Diff)")</f>
        <v>(Diff)</v>
      </c>
      <c r="N759" s="25"/>
      <c r="O759" s="25"/>
      <c r="P759" s="25"/>
      <c r="Q759" s="29" t="s">
        <v>344</v>
      </c>
      <c r="R759" s="8" t="str">
        <f aca="false">B759&amp;" "&amp;C759&amp;" "&amp;D759&amp;" "&amp;E759&amp;" "&amp;G759&amp;" "&amp;H759&amp;" "&amp;J759&amp;" "&amp;N759</f>
        <v>Differentials Graphite     CIF Hungary (Diff) </v>
      </c>
      <c r="S759" s="25"/>
      <c r="T759" s="8"/>
      <c r="U759" s="8"/>
      <c r="V759" s="27" t="s">
        <v>49</v>
      </c>
      <c r="W759" s="25"/>
      <c r="X759" s="25"/>
      <c r="Y759" s="25"/>
      <c r="Z759" s="25"/>
      <c r="AA759" s="25"/>
      <c r="AB759" s="25"/>
      <c r="AC759" s="25"/>
      <c r="AD759" s="25"/>
    </row>
    <row r="760" customFormat="false" ht="15.75" hidden="false" customHeight="false" outlineLevel="0" collapsed="false">
      <c r="A760" s="28" t="s">
        <v>1131</v>
      </c>
      <c r="B760" s="27" t="s">
        <v>438</v>
      </c>
      <c r="C760" s="27" t="s">
        <v>308</v>
      </c>
      <c r="D760" s="25"/>
      <c r="E760" s="25"/>
      <c r="F760" s="25"/>
      <c r="G760" s="25"/>
      <c r="H760" s="25"/>
      <c r="I760" s="25"/>
      <c r="J760" s="27" t="s">
        <v>1080</v>
      </c>
      <c r="K760" s="25" t="str">
        <f aca="false">IFERROR(__xludf.dummyfunction("SPLIT(J760,"" "")"),"CIF")</f>
        <v>CIF</v>
      </c>
      <c r="L760" s="28" t="str">
        <f aca="false">IFERROR(__xludf.dummyfunction("""COMPUTED_VALUE"""),"Hungary")</f>
        <v>Hungary</v>
      </c>
      <c r="M760" s="27" t="str">
        <f aca="false">IFERROR(__xludf.dummyfunction("""COMPUTED_VALUE"""),"(Diff)")</f>
        <v>(Diff)</v>
      </c>
      <c r="N760" s="25"/>
      <c r="O760" s="25"/>
      <c r="P760" s="25"/>
      <c r="Q760" s="29" t="s">
        <v>340</v>
      </c>
      <c r="R760" s="8" t="str">
        <f aca="false">B760&amp;" "&amp;C760&amp;" "&amp;D760&amp;" "&amp;E760&amp;" "&amp;G760&amp;" "&amp;H760&amp;" "&amp;J760&amp;" "&amp;N760</f>
        <v>Differentials Graphite     CIF Hungary (Diff) </v>
      </c>
      <c r="S760" s="25"/>
      <c r="T760" s="8"/>
      <c r="U760" s="8"/>
      <c r="V760" s="27" t="s">
        <v>49</v>
      </c>
      <c r="W760" s="25"/>
      <c r="X760" s="25"/>
      <c r="Y760" s="25"/>
      <c r="Z760" s="25"/>
      <c r="AA760" s="25"/>
      <c r="AB760" s="25"/>
      <c r="AC760" s="25"/>
      <c r="AD760" s="25"/>
    </row>
    <row r="761" customFormat="false" ht="15.75" hidden="false" customHeight="false" outlineLevel="0" collapsed="false">
      <c r="A761" s="28" t="s">
        <v>1132</v>
      </c>
      <c r="B761" s="27" t="s">
        <v>438</v>
      </c>
      <c r="C761" s="27" t="s">
        <v>308</v>
      </c>
      <c r="D761" s="25"/>
      <c r="E761" s="25"/>
      <c r="F761" s="25"/>
      <c r="G761" s="25"/>
      <c r="H761" s="25"/>
      <c r="I761" s="25"/>
      <c r="J761" s="27" t="s">
        <v>1080</v>
      </c>
      <c r="K761" s="25" t="str">
        <f aca="false">IFERROR(__xludf.dummyfunction("SPLIT(J761,"" "")"),"CIF")</f>
        <v>CIF</v>
      </c>
      <c r="L761" s="28" t="str">
        <f aca="false">IFERROR(__xludf.dummyfunction("""COMPUTED_VALUE"""),"Hungary")</f>
        <v>Hungary</v>
      </c>
      <c r="M761" s="27" t="str">
        <f aca="false">IFERROR(__xludf.dummyfunction("""COMPUTED_VALUE"""),"(Diff)")</f>
        <v>(Diff)</v>
      </c>
      <c r="N761" s="25"/>
      <c r="O761" s="25"/>
      <c r="P761" s="25"/>
      <c r="Q761" s="29" t="s">
        <v>338</v>
      </c>
      <c r="R761" s="8" t="str">
        <f aca="false">B761&amp;" "&amp;C761&amp;" "&amp;D761&amp;" "&amp;E761&amp;" "&amp;G761&amp;" "&amp;H761&amp;" "&amp;J761&amp;" "&amp;N761</f>
        <v>Differentials Graphite     CIF Hungary (Diff) </v>
      </c>
      <c r="S761" s="25"/>
      <c r="T761" s="8"/>
      <c r="U761" s="8"/>
      <c r="V761" s="27" t="s">
        <v>49</v>
      </c>
      <c r="W761" s="25"/>
      <c r="X761" s="25"/>
      <c r="Y761" s="25"/>
      <c r="Z761" s="25"/>
      <c r="AA761" s="25"/>
      <c r="AB761" s="25"/>
      <c r="AC761" s="25"/>
      <c r="AD761" s="25"/>
    </row>
    <row r="762" customFormat="false" ht="15.75" hidden="false" customHeight="false" outlineLevel="0" collapsed="false">
      <c r="A762" s="28" t="s">
        <v>1133</v>
      </c>
      <c r="B762" s="27" t="s">
        <v>438</v>
      </c>
      <c r="C762" s="27" t="s">
        <v>308</v>
      </c>
      <c r="D762" s="25"/>
      <c r="E762" s="25"/>
      <c r="F762" s="25"/>
      <c r="G762" s="25"/>
      <c r="H762" s="25"/>
      <c r="I762" s="25"/>
      <c r="J762" s="27" t="s">
        <v>1080</v>
      </c>
      <c r="K762" s="25" t="str">
        <f aca="false">IFERROR(__xludf.dummyfunction("SPLIT(J762,"" "")"),"CIF")</f>
        <v>CIF</v>
      </c>
      <c r="L762" s="28" t="str">
        <f aca="false">IFERROR(__xludf.dummyfunction("""COMPUTED_VALUE"""),"Hungary")</f>
        <v>Hungary</v>
      </c>
      <c r="M762" s="27" t="str">
        <f aca="false">IFERROR(__xludf.dummyfunction("""COMPUTED_VALUE"""),"(Diff)")</f>
        <v>(Diff)</v>
      </c>
      <c r="N762" s="25"/>
      <c r="O762" s="25"/>
      <c r="P762" s="25"/>
      <c r="Q762" s="29" t="s">
        <v>335</v>
      </c>
      <c r="R762" s="8" t="str">
        <f aca="false">B762&amp;" "&amp;C762&amp;" "&amp;D762&amp;" "&amp;E762&amp;" "&amp;G762&amp;" "&amp;H762&amp;" "&amp;J762&amp;" "&amp;N762</f>
        <v>Differentials Graphite     CIF Hungary (Diff) </v>
      </c>
      <c r="S762" s="25"/>
      <c r="T762" s="8"/>
      <c r="U762" s="8"/>
      <c r="V762" s="27" t="s">
        <v>49</v>
      </c>
      <c r="W762" s="25"/>
      <c r="X762" s="25"/>
      <c r="Y762" s="25"/>
      <c r="Z762" s="25"/>
      <c r="AA762" s="25"/>
      <c r="AB762" s="25"/>
      <c r="AC762" s="25"/>
      <c r="AD762" s="25"/>
    </row>
    <row r="763" customFormat="false" ht="15.75" hidden="false" customHeight="false" outlineLevel="0" collapsed="false">
      <c r="A763" s="28" t="s">
        <v>1134</v>
      </c>
      <c r="B763" s="27" t="s">
        <v>438</v>
      </c>
      <c r="C763" s="27" t="s">
        <v>308</v>
      </c>
      <c r="D763" s="25"/>
      <c r="E763" s="25"/>
      <c r="F763" s="25"/>
      <c r="G763" s="25"/>
      <c r="H763" s="25"/>
      <c r="I763" s="25"/>
      <c r="J763" s="27" t="s">
        <v>1080</v>
      </c>
      <c r="K763" s="25" t="str">
        <f aca="false">IFERROR(__xludf.dummyfunction("SPLIT(J763,"" "")"),"CIF")</f>
        <v>CIF</v>
      </c>
      <c r="L763" s="28" t="str">
        <f aca="false">IFERROR(__xludf.dummyfunction("""COMPUTED_VALUE"""),"Hungary")</f>
        <v>Hungary</v>
      </c>
      <c r="M763" s="27" t="str">
        <f aca="false">IFERROR(__xludf.dummyfunction("""COMPUTED_VALUE"""),"(Diff)")</f>
        <v>(Diff)</v>
      </c>
      <c r="N763" s="25"/>
      <c r="O763" s="25"/>
      <c r="P763" s="25"/>
      <c r="Q763" s="29" t="s">
        <v>332</v>
      </c>
      <c r="R763" s="8" t="str">
        <f aca="false">B763&amp;" "&amp;C763&amp;" "&amp;D763&amp;" "&amp;E763&amp;" "&amp;G763&amp;" "&amp;H763&amp;" "&amp;J763&amp;" "&amp;N763</f>
        <v>Differentials Graphite     CIF Hungary (Diff) </v>
      </c>
      <c r="S763" s="25"/>
      <c r="T763" s="8"/>
      <c r="U763" s="8"/>
      <c r="V763" s="27" t="s">
        <v>49</v>
      </c>
      <c r="W763" s="25"/>
      <c r="X763" s="25"/>
      <c r="Y763" s="25"/>
      <c r="Z763" s="25"/>
      <c r="AA763" s="25"/>
      <c r="AB763" s="25"/>
      <c r="AC763" s="25"/>
      <c r="AD763" s="25"/>
    </row>
    <row r="764" customFormat="false" ht="15.75" hidden="false" customHeight="false" outlineLevel="0" collapsed="false">
      <c r="A764" s="28" t="s">
        <v>1135</v>
      </c>
      <c r="B764" s="27" t="s">
        <v>438</v>
      </c>
      <c r="C764" s="27" t="s">
        <v>308</v>
      </c>
      <c r="D764" s="25"/>
      <c r="E764" s="25"/>
      <c r="F764" s="25"/>
      <c r="G764" s="25"/>
      <c r="H764" s="25"/>
      <c r="I764" s="25"/>
      <c r="J764" s="27" t="s">
        <v>1080</v>
      </c>
      <c r="K764" s="25" t="str">
        <f aca="false">IFERROR(__xludf.dummyfunction("SPLIT(J764,"" "")"),"CIF")</f>
        <v>CIF</v>
      </c>
      <c r="L764" s="28" t="str">
        <f aca="false">IFERROR(__xludf.dummyfunction("""COMPUTED_VALUE"""),"Hungary")</f>
        <v>Hungary</v>
      </c>
      <c r="M764" s="27" t="str">
        <f aca="false">IFERROR(__xludf.dummyfunction("""COMPUTED_VALUE"""),"(Diff)")</f>
        <v>(Diff)</v>
      </c>
      <c r="N764" s="25"/>
      <c r="O764" s="25"/>
      <c r="P764" s="25"/>
      <c r="Q764" s="29" t="s">
        <v>329</v>
      </c>
      <c r="R764" s="8" t="str">
        <f aca="false">B764&amp;" "&amp;C764&amp;" "&amp;D764&amp;" "&amp;E764&amp;" "&amp;G764&amp;" "&amp;H764&amp;" "&amp;J764&amp;" "&amp;N764</f>
        <v>Differentials Graphite     CIF Hungary (Diff) </v>
      </c>
      <c r="S764" s="25"/>
      <c r="T764" s="8"/>
      <c r="U764" s="8"/>
      <c r="V764" s="27" t="s">
        <v>49</v>
      </c>
      <c r="W764" s="25"/>
      <c r="X764" s="25"/>
      <c r="Y764" s="25"/>
      <c r="Z764" s="25"/>
      <c r="AA764" s="25"/>
      <c r="AB764" s="25"/>
      <c r="AC764" s="25"/>
      <c r="AD764" s="25"/>
    </row>
    <row r="765" customFormat="false" ht="15.75" hidden="false" customHeight="false" outlineLevel="0" collapsed="false">
      <c r="A765" s="28" t="s">
        <v>1136</v>
      </c>
      <c r="B765" s="27" t="s">
        <v>438</v>
      </c>
      <c r="C765" s="27" t="s">
        <v>308</v>
      </c>
      <c r="D765" s="25"/>
      <c r="E765" s="25"/>
      <c r="F765" s="25"/>
      <c r="G765" s="25"/>
      <c r="H765" s="25"/>
      <c r="I765" s="25"/>
      <c r="J765" s="27" t="s">
        <v>1080</v>
      </c>
      <c r="K765" s="25" t="str">
        <f aca="false">IFERROR(__xludf.dummyfunction("SPLIT(J765,"" "")"),"CIF")</f>
        <v>CIF</v>
      </c>
      <c r="L765" s="28" t="str">
        <f aca="false">IFERROR(__xludf.dummyfunction("""COMPUTED_VALUE"""),"Hungary")</f>
        <v>Hungary</v>
      </c>
      <c r="M765" s="27" t="str">
        <f aca="false">IFERROR(__xludf.dummyfunction("""COMPUTED_VALUE"""),"(Diff)")</f>
        <v>(Diff)</v>
      </c>
      <c r="N765" s="25"/>
      <c r="O765" s="25"/>
      <c r="P765" s="25"/>
      <c r="Q765" s="29" t="s">
        <v>326</v>
      </c>
      <c r="R765" s="8" t="str">
        <f aca="false">B765&amp;" "&amp;C765&amp;" "&amp;D765&amp;" "&amp;E765&amp;" "&amp;G765&amp;" "&amp;H765&amp;" "&amp;J765&amp;" "&amp;N765</f>
        <v>Differentials Graphite     CIF Hungary (Diff) </v>
      </c>
      <c r="S765" s="25"/>
      <c r="T765" s="8"/>
      <c r="U765" s="8"/>
      <c r="V765" s="27" t="s">
        <v>49</v>
      </c>
      <c r="W765" s="25"/>
      <c r="X765" s="25"/>
      <c r="Y765" s="25"/>
      <c r="Z765" s="25"/>
      <c r="AA765" s="25"/>
      <c r="AB765" s="25"/>
      <c r="AC765" s="25"/>
      <c r="AD765" s="25"/>
    </row>
    <row r="766" customFormat="false" ht="15.75" hidden="false" customHeight="false" outlineLevel="0" collapsed="false">
      <c r="A766" s="28" t="s">
        <v>1137</v>
      </c>
      <c r="B766" s="27" t="s">
        <v>438</v>
      </c>
      <c r="C766" s="27" t="s">
        <v>308</v>
      </c>
      <c r="D766" s="25"/>
      <c r="E766" s="25"/>
      <c r="F766" s="25"/>
      <c r="G766" s="25"/>
      <c r="H766" s="25"/>
      <c r="I766" s="25"/>
      <c r="J766" s="27" t="s">
        <v>1080</v>
      </c>
      <c r="K766" s="25" t="str">
        <f aca="false">IFERROR(__xludf.dummyfunction("SPLIT(J766,"" "")"),"CIF")</f>
        <v>CIF</v>
      </c>
      <c r="L766" s="28" t="str">
        <f aca="false">IFERROR(__xludf.dummyfunction("""COMPUTED_VALUE"""),"Hungary")</f>
        <v>Hungary</v>
      </c>
      <c r="M766" s="27" t="str">
        <f aca="false">IFERROR(__xludf.dummyfunction("""COMPUTED_VALUE"""),"(Diff)")</f>
        <v>(Diff)</v>
      </c>
      <c r="N766" s="25"/>
      <c r="O766" s="25"/>
      <c r="P766" s="25"/>
      <c r="Q766" s="29" t="s">
        <v>323</v>
      </c>
      <c r="R766" s="8" t="str">
        <f aca="false">B766&amp;" "&amp;C766&amp;" "&amp;D766&amp;" "&amp;E766&amp;" "&amp;G766&amp;" "&amp;H766&amp;" "&amp;J766&amp;" "&amp;N766</f>
        <v>Differentials Graphite     CIF Hungary (Diff) </v>
      </c>
      <c r="S766" s="25"/>
      <c r="T766" s="8"/>
      <c r="U766" s="8"/>
      <c r="V766" s="27" t="s">
        <v>49</v>
      </c>
      <c r="W766" s="25"/>
      <c r="X766" s="25"/>
      <c r="Y766" s="25"/>
      <c r="Z766" s="25"/>
      <c r="AA766" s="25"/>
      <c r="AB766" s="25"/>
      <c r="AC766" s="25"/>
      <c r="AD766" s="25"/>
    </row>
    <row r="767" customFormat="false" ht="15.75" hidden="false" customHeight="false" outlineLevel="0" collapsed="false">
      <c r="A767" s="28" t="s">
        <v>1138</v>
      </c>
      <c r="B767" s="27" t="s">
        <v>438</v>
      </c>
      <c r="C767" s="27" t="s">
        <v>308</v>
      </c>
      <c r="D767" s="25"/>
      <c r="E767" s="25"/>
      <c r="F767" s="25"/>
      <c r="G767" s="25"/>
      <c r="H767" s="25"/>
      <c r="I767" s="25"/>
      <c r="J767" s="27" t="s">
        <v>1080</v>
      </c>
      <c r="K767" s="25" t="str">
        <f aca="false">IFERROR(__xludf.dummyfunction("SPLIT(J767,"" "")"),"CIF")</f>
        <v>CIF</v>
      </c>
      <c r="L767" s="28" t="str">
        <f aca="false">IFERROR(__xludf.dummyfunction("""COMPUTED_VALUE"""),"Hungary")</f>
        <v>Hungary</v>
      </c>
      <c r="M767" s="27" t="str">
        <f aca="false">IFERROR(__xludf.dummyfunction("""COMPUTED_VALUE"""),"(Diff)")</f>
        <v>(Diff)</v>
      </c>
      <c r="N767" s="25"/>
      <c r="O767" s="25"/>
      <c r="P767" s="25"/>
      <c r="Q767" s="29" t="s">
        <v>319</v>
      </c>
      <c r="R767" s="8" t="str">
        <f aca="false">B767&amp;" "&amp;C767&amp;" "&amp;D767&amp;" "&amp;E767&amp;" "&amp;G767&amp;" "&amp;H767&amp;" "&amp;J767&amp;" "&amp;N767</f>
        <v>Differentials Graphite     CIF Hungary (Diff) </v>
      </c>
      <c r="S767" s="25"/>
      <c r="T767" s="8"/>
      <c r="U767" s="8"/>
      <c r="V767" s="27" t="s">
        <v>49</v>
      </c>
      <c r="W767" s="25"/>
      <c r="X767" s="25"/>
      <c r="Y767" s="25"/>
      <c r="Z767" s="25"/>
      <c r="AA767" s="25"/>
      <c r="AB767" s="25"/>
      <c r="AC767" s="25"/>
      <c r="AD767" s="25"/>
    </row>
    <row r="768" customFormat="false" ht="15.75" hidden="false" customHeight="false" outlineLevel="0" collapsed="false">
      <c r="A768" s="28" t="s">
        <v>1139</v>
      </c>
      <c r="B768" s="27" t="s">
        <v>438</v>
      </c>
      <c r="C768" s="27" t="s">
        <v>308</v>
      </c>
      <c r="D768" s="25"/>
      <c r="E768" s="25"/>
      <c r="F768" s="25"/>
      <c r="G768" s="25"/>
      <c r="H768" s="25"/>
      <c r="I768" s="25"/>
      <c r="J768" s="27" t="s">
        <v>1080</v>
      </c>
      <c r="K768" s="25" t="str">
        <f aca="false">IFERROR(__xludf.dummyfunction("SPLIT(J768,"" "")"),"CIF")</f>
        <v>CIF</v>
      </c>
      <c r="L768" s="28" t="str">
        <f aca="false">IFERROR(__xludf.dummyfunction("""COMPUTED_VALUE"""),"Hungary")</f>
        <v>Hungary</v>
      </c>
      <c r="M768" s="27" t="str">
        <f aca="false">IFERROR(__xludf.dummyfunction("""COMPUTED_VALUE"""),"(Diff)")</f>
        <v>(Diff)</v>
      </c>
      <c r="N768" s="25"/>
      <c r="O768" s="25"/>
      <c r="P768" s="25"/>
      <c r="Q768" s="29" t="s">
        <v>315</v>
      </c>
      <c r="R768" s="8" t="str">
        <f aca="false">B768&amp;" "&amp;C768&amp;" "&amp;D768&amp;" "&amp;E768&amp;" "&amp;G768&amp;" "&amp;H768&amp;" "&amp;J768&amp;" "&amp;N768</f>
        <v>Differentials Graphite     CIF Hungary (Diff) </v>
      </c>
      <c r="S768" s="25"/>
      <c r="T768" s="8"/>
      <c r="U768" s="8"/>
      <c r="V768" s="27" t="s">
        <v>49</v>
      </c>
      <c r="W768" s="25"/>
      <c r="X768" s="25"/>
      <c r="Y768" s="25"/>
      <c r="Z768" s="25"/>
      <c r="AA768" s="25"/>
      <c r="AB768" s="25"/>
      <c r="AC768" s="25"/>
      <c r="AD768" s="25"/>
    </row>
    <row r="769" customFormat="false" ht="15.75" hidden="false" customHeight="false" outlineLevel="0" collapsed="false">
      <c r="A769" s="28" t="s">
        <v>1140</v>
      </c>
      <c r="B769" s="27" t="s">
        <v>438</v>
      </c>
      <c r="C769" s="27" t="s">
        <v>308</v>
      </c>
      <c r="D769" s="25"/>
      <c r="E769" s="25"/>
      <c r="F769" s="25"/>
      <c r="G769" s="25"/>
      <c r="H769" s="25"/>
      <c r="I769" s="25"/>
      <c r="J769" s="27" t="s">
        <v>1080</v>
      </c>
      <c r="K769" s="25" t="str">
        <f aca="false">IFERROR(__xludf.dummyfunction("SPLIT(J769,"" "")"),"CIF")</f>
        <v>CIF</v>
      </c>
      <c r="L769" s="28" t="str">
        <f aca="false">IFERROR(__xludf.dummyfunction("""COMPUTED_VALUE"""),"Hungary")</f>
        <v>Hungary</v>
      </c>
      <c r="M769" s="27" t="str">
        <f aca="false">IFERROR(__xludf.dummyfunction("""COMPUTED_VALUE"""),"(Diff)")</f>
        <v>(Diff)</v>
      </c>
      <c r="N769" s="25"/>
      <c r="O769" s="25"/>
      <c r="P769" s="25"/>
      <c r="Q769" s="29" t="s">
        <v>311</v>
      </c>
      <c r="R769" s="8" t="str">
        <f aca="false">B769&amp;" "&amp;C769&amp;" "&amp;D769&amp;" "&amp;E769&amp;" "&amp;G769&amp;" "&amp;H769&amp;" "&amp;J769&amp;" "&amp;N769</f>
        <v>Differentials Graphite     CIF Hungary (Diff) </v>
      </c>
      <c r="S769" s="25"/>
      <c r="T769" s="8"/>
      <c r="U769" s="8"/>
      <c r="V769" s="27" t="s">
        <v>49</v>
      </c>
      <c r="W769" s="25"/>
      <c r="X769" s="25"/>
      <c r="Y769" s="25"/>
      <c r="Z769" s="25"/>
      <c r="AA769" s="25"/>
      <c r="AB769" s="25"/>
      <c r="AC769" s="25"/>
      <c r="AD769" s="25"/>
    </row>
    <row r="770" customFormat="false" ht="15.75" hidden="false" customHeight="false" outlineLevel="0" collapsed="false">
      <c r="A770" s="28" t="s">
        <v>1141</v>
      </c>
      <c r="B770" s="27" t="s">
        <v>438</v>
      </c>
      <c r="C770" s="27" t="s">
        <v>360</v>
      </c>
      <c r="D770" s="25"/>
      <c r="E770" s="25"/>
      <c r="F770" s="25"/>
      <c r="G770" s="25"/>
      <c r="H770" s="25"/>
      <c r="I770" s="25"/>
      <c r="J770" s="27" t="s">
        <v>1080</v>
      </c>
      <c r="K770" s="25" t="str">
        <f aca="false">IFERROR(__xludf.dummyfunction("SPLIT(J770,"" "")"),"CIF")</f>
        <v>CIF</v>
      </c>
      <c r="L770" s="28" t="str">
        <f aca="false">IFERROR(__xludf.dummyfunction("""COMPUTED_VALUE"""),"Hungary")</f>
        <v>Hungary</v>
      </c>
      <c r="M770" s="27" t="str">
        <f aca="false">IFERROR(__xludf.dummyfunction("""COMPUTED_VALUE"""),"(Diff)")</f>
        <v>(Diff)</v>
      </c>
      <c r="N770" s="25"/>
      <c r="O770" s="25"/>
      <c r="P770" s="25"/>
      <c r="Q770" s="29" t="s">
        <v>368</v>
      </c>
      <c r="R770" s="8" t="str">
        <f aca="false">B770&amp;" "&amp;C770&amp;" "&amp;D770&amp;" "&amp;E770&amp;" "&amp;G770&amp;" "&amp;H770&amp;" "&amp;J770&amp;" "&amp;N770</f>
        <v>Differentials Lithium     CIF Hungary (Diff) </v>
      </c>
      <c r="S770" s="25"/>
      <c r="T770" s="8"/>
      <c r="U770" s="8"/>
      <c r="V770" s="27" t="s">
        <v>49</v>
      </c>
      <c r="W770" s="25"/>
      <c r="X770" s="25"/>
      <c r="Y770" s="25"/>
      <c r="Z770" s="25"/>
      <c r="AA770" s="25"/>
      <c r="AB770" s="25"/>
      <c r="AC770" s="25"/>
      <c r="AD770" s="25"/>
    </row>
    <row r="771" customFormat="false" ht="15.75" hidden="false" customHeight="false" outlineLevel="0" collapsed="false">
      <c r="A771" s="28" t="s">
        <v>1142</v>
      </c>
      <c r="B771" s="27" t="s">
        <v>438</v>
      </c>
      <c r="C771" s="27" t="s">
        <v>360</v>
      </c>
      <c r="D771" s="25"/>
      <c r="E771" s="25"/>
      <c r="F771" s="25"/>
      <c r="G771" s="25"/>
      <c r="H771" s="25"/>
      <c r="I771" s="25"/>
      <c r="J771" s="27" t="s">
        <v>1080</v>
      </c>
      <c r="K771" s="25" t="str">
        <f aca="false">IFERROR(__xludf.dummyfunction("SPLIT(J771,"" "")"),"CIF")</f>
        <v>CIF</v>
      </c>
      <c r="L771" s="28" t="str">
        <f aca="false">IFERROR(__xludf.dummyfunction("""COMPUTED_VALUE"""),"Hungary")</f>
        <v>Hungary</v>
      </c>
      <c r="M771" s="27" t="str">
        <f aca="false">IFERROR(__xludf.dummyfunction("""COMPUTED_VALUE"""),"(Diff)")</f>
        <v>(Diff)</v>
      </c>
      <c r="N771" s="25"/>
      <c r="O771" s="25"/>
      <c r="P771" s="25"/>
      <c r="Q771" s="29" t="s">
        <v>366</v>
      </c>
      <c r="R771" s="8" t="str">
        <f aca="false">B771&amp;" "&amp;C771&amp;" "&amp;D771&amp;" "&amp;E771&amp;" "&amp;G771&amp;" "&amp;H771&amp;" "&amp;J771&amp;" "&amp;N771</f>
        <v>Differentials Lithium     CIF Hungary (Diff) </v>
      </c>
      <c r="S771" s="25"/>
      <c r="T771" s="8"/>
      <c r="U771" s="8"/>
      <c r="V771" s="27" t="s">
        <v>49</v>
      </c>
      <c r="W771" s="25"/>
      <c r="X771" s="25"/>
      <c r="Y771" s="25"/>
      <c r="Z771" s="25"/>
      <c r="AA771" s="25"/>
      <c r="AB771" s="25"/>
      <c r="AC771" s="25"/>
      <c r="AD771" s="25"/>
    </row>
    <row r="772" customFormat="false" ht="15.75" hidden="false" customHeight="false" outlineLevel="0" collapsed="false">
      <c r="A772" s="28" t="s">
        <v>1143</v>
      </c>
      <c r="B772" s="27" t="s">
        <v>438</v>
      </c>
      <c r="C772" s="27" t="s">
        <v>360</v>
      </c>
      <c r="D772" s="25"/>
      <c r="E772" s="25"/>
      <c r="F772" s="25"/>
      <c r="G772" s="25"/>
      <c r="H772" s="25"/>
      <c r="I772" s="25"/>
      <c r="J772" s="27" t="s">
        <v>1080</v>
      </c>
      <c r="K772" s="25" t="str">
        <f aca="false">IFERROR(__xludf.dummyfunction("SPLIT(J772,"" "")"),"CIF")</f>
        <v>CIF</v>
      </c>
      <c r="L772" s="28" t="str">
        <f aca="false">IFERROR(__xludf.dummyfunction("""COMPUTED_VALUE"""),"Hungary")</f>
        <v>Hungary</v>
      </c>
      <c r="M772" s="27" t="str">
        <f aca="false">IFERROR(__xludf.dummyfunction("""COMPUTED_VALUE"""),"(Diff)")</f>
        <v>(Diff)</v>
      </c>
      <c r="N772" s="25"/>
      <c r="O772" s="25"/>
      <c r="P772" s="25"/>
      <c r="Q772" s="29" t="s">
        <v>361</v>
      </c>
      <c r="R772" s="8" t="str">
        <f aca="false">B772&amp;" "&amp;C772&amp;" "&amp;D772&amp;" "&amp;E772&amp;" "&amp;G772&amp;" "&amp;H772&amp;" "&amp;J772&amp;" "&amp;N772</f>
        <v>Differentials Lithium     CIF Hungary (Diff) </v>
      </c>
      <c r="S772" s="25"/>
      <c r="T772" s="8"/>
      <c r="U772" s="8"/>
      <c r="V772" s="27" t="s">
        <v>49</v>
      </c>
      <c r="W772" s="25"/>
      <c r="X772" s="25"/>
      <c r="Y772" s="25"/>
      <c r="Z772" s="25"/>
      <c r="AA772" s="25"/>
      <c r="AB772" s="25"/>
      <c r="AC772" s="25"/>
      <c r="AD772" s="25"/>
    </row>
    <row r="773" customFormat="false" ht="15.75" hidden="false" customHeight="false" outlineLevel="0" collapsed="false">
      <c r="A773" s="28" t="s">
        <v>1144</v>
      </c>
      <c r="B773" s="27" t="s">
        <v>438</v>
      </c>
      <c r="C773" s="27" t="s">
        <v>360</v>
      </c>
      <c r="D773" s="25"/>
      <c r="E773" s="25"/>
      <c r="F773" s="25"/>
      <c r="G773" s="25"/>
      <c r="H773" s="25"/>
      <c r="I773" s="25"/>
      <c r="J773" s="27" t="s">
        <v>1080</v>
      </c>
      <c r="K773" s="25" t="str">
        <f aca="false">IFERROR(__xludf.dummyfunction("SPLIT(J773,"" "")"),"CIF")</f>
        <v>CIF</v>
      </c>
      <c r="L773" s="28" t="str">
        <f aca="false">IFERROR(__xludf.dummyfunction("""COMPUTED_VALUE"""),"Hungary")</f>
        <v>Hungary</v>
      </c>
      <c r="M773" s="27" t="str">
        <f aca="false">IFERROR(__xludf.dummyfunction("""COMPUTED_VALUE"""),"(Diff)")</f>
        <v>(Diff)</v>
      </c>
      <c r="N773" s="25"/>
      <c r="O773" s="25"/>
      <c r="P773" s="25"/>
      <c r="Q773" s="29" t="s">
        <v>363</v>
      </c>
      <c r="R773" s="8" t="str">
        <f aca="false">B773&amp;" "&amp;C773&amp;" "&amp;D773&amp;" "&amp;E773&amp;" "&amp;G773&amp;" "&amp;H773&amp;" "&amp;J773&amp;" "&amp;N773</f>
        <v>Differentials Lithium     CIF Hungary (Diff) </v>
      </c>
      <c r="S773" s="25"/>
      <c r="T773" s="8"/>
      <c r="U773" s="8"/>
      <c r="V773" s="27" t="s">
        <v>49</v>
      </c>
      <c r="W773" s="25"/>
      <c r="X773" s="25"/>
      <c r="Y773" s="25"/>
      <c r="Z773" s="25"/>
      <c r="AA773" s="25"/>
      <c r="AB773" s="25"/>
      <c r="AC773" s="25"/>
      <c r="AD773" s="25"/>
    </row>
    <row r="774" customFormat="false" ht="15.75" hidden="false" customHeight="false" outlineLevel="0" collapsed="false">
      <c r="A774" s="28" t="s">
        <v>1145</v>
      </c>
      <c r="B774" s="27" t="s">
        <v>438</v>
      </c>
      <c r="C774" s="27" t="s">
        <v>360</v>
      </c>
      <c r="D774" s="25"/>
      <c r="E774" s="25"/>
      <c r="F774" s="25"/>
      <c r="G774" s="25"/>
      <c r="H774" s="25"/>
      <c r="I774" s="25"/>
      <c r="J774" s="27" t="s">
        <v>1080</v>
      </c>
      <c r="K774" s="25" t="str">
        <f aca="false">IFERROR(__xludf.dummyfunction("SPLIT(J774,"" "")"),"CIF")</f>
        <v>CIF</v>
      </c>
      <c r="L774" s="28" t="str">
        <f aca="false">IFERROR(__xludf.dummyfunction("""COMPUTED_VALUE"""),"Hungary")</f>
        <v>Hungary</v>
      </c>
      <c r="M774" s="27" t="str">
        <f aca="false">IFERROR(__xludf.dummyfunction("""COMPUTED_VALUE"""),"(Diff)")</f>
        <v>(Diff)</v>
      </c>
      <c r="N774" s="25"/>
      <c r="O774" s="25"/>
      <c r="P774" s="25"/>
      <c r="Q774" s="29" t="s">
        <v>361</v>
      </c>
      <c r="R774" s="8" t="str">
        <f aca="false">B774&amp;" "&amp;C774&amp;" "&amp;D774&amp;" "&amp;E774&amp;" "&amp;G774&amp;" "&amp;H774&amp;" "&amp;J774&amp;" "&amp;N774</f>
        <v>Differentials Lithium     CIF Hungary (Diff) </v>
      </c>
      <c r="S774" s="25"/>
      <c r="T774" s="8"/>
      <c r="U774" s="8"/>
      <c r="V774" s="27" t="s">
        <v>49</v>
      </c>
      <c r="W774" s="25"/>
      <c r="X774" s="25"/>
      <c r="Y774" s="25"/>
      <c r="Z774" s="25"/>
      <c r="AA774" s="25"/>
      <c r="AB774" s="25"/>
      <c r="AC774" s="25"/>
      <c r="AD774" s="25"/>
    </row>
    <row r="775" customFormat="false" ht="15.75" hidden="false" customHeight="false" outlineLevel="0" collapsed="false">
      <c r="A775" s="28" t="s">
        <v>1146</v>
      </c>
      <c r="B775" s="27" t="s">
        <v>438</v>
      </c>
      <c r="C775" s="27" t="s">
        <v>370</v>
      </c>
      <c r="D775" s="25"/>
      <c r="E775" s="25"/>
      <c r="F775" s="25"/>
      <c r="G775" s="25"/>
      <c r="H775" s="25"/>
      <c r="I775" s="25"/>
      <c r="J775" s="27" t="s">
        <v>1080</v>
      </c>
      <c r="K775" s="25" t="str">
        <f aca="false">IFERROR(__xludf.dummyfunction("SPLIT(J775,"" "")"),"CIF")</f>
        <v>CIF</v>
      </c>
      <c r="L775" s="28" t="str">
        <f aca="false">IFERROR(__xludf.dummyfunction("""COMPUTED_VALUE"""),"Hungary")</f>
        <v>Hungary</v>
      </c>
      <c r="M775" s="27" t="str">
        <f aca="false">IFERROR(__xludf.dummyfunction("""COMPUTED_VALUE"""),"(Diff)")</f>
        <v>(Diff)</v>
      </c>
      <c r="N775" s="25"/>
      <c r="O775" s="25"/>
      <c r="P775" s="25"/>
      <c r="Q775" s="29" t="s">
        <v>374</v>
      </c>
      <c r="R775" s="8" t="str">
        <f aca="false">B775&amp;" "&amp;C775&amp;" "&amp;D775&amp;" "&amp;E775&amp;" "&amp;G775&amp;" "&amp;H775&amp;" "&amp;J775&amp;" "&amp;N775</f>
        <v>Differentials Manganese     CIF Hungary (Diff) </v>
      </c>
      <c r="S775" s="25"/>
      <c r="T775" s="8"/>
      <c r="U775" s="8"/>
      <c r="V775" s="27" t="s">
        <v>49</v>
      </c>
      <c r="W775" s="25"/>
      <c r="X775" s="25"/>
      <c r="Y775" s="25"/>
      <c r="Z775" s="25"/>
      <c r="AA775" s="25"/>
      <c r="AB775" s="25"/>
      <c r="AC775" s="25"/>
      <c r="AD775" s="25"/>
    </row>
    <row r="776" customFormat="false" ht="15.75" hidden="false" customHeight="false" outlineLevel="0" collapsed="false">
      <c r="A776" s="28" t="s">
        <v>1147</v>
      </c>
      <c r="B776" s="27" t="s">
        <v>438</v>
      </c>
      <c r="C776" s="27" t="s">
        <v>370</v>
      </c>
      <c r="D776" s="25"/>
      <c r="E776" s="25"/>
      <c r="F776" s="25"/>
      <c r="G776" s="25"/>
      <c r="H776" s="25"/>
      <c r="I776" s="25"/>
      <c r="J776" s="27" t="s">
        <v>1080</v>
      </c>
      <c r="K776" s="25" t="str">
        <f aca="false">IFERROR(__xludf.dummyfunction("SPLIT(J776,"" "")"),"CIF")</f>
        <v>CIF</v>
      </c>
      <c r="L776" s="28" t="str">
        <f aca="false">IFERROR(__xludf.dummyfunction("""COMPUTED_VALUE"""),"Hungary")</f>
        <v>Hungary</v>
      </c>
      <c r="M776" s="27" t="str">
        <f aca="false">IFERROR(__xludf.dummyfunction("""COMPUTED_VALUE"""),"(Diff)")</f>
        <v>(Diff)</v>
      </c>
      <c r="N776" s="25"/>
      <c r="O776" s="25"/>
      <c r="P776" s="25"/>
      <c r="Q776" s="29" t="s">
        <v>371</v>
      </c>
      <c r="R776" s="8" t="str">
        <f aca="false">B776&amp;" "&amp;C776&amp;" "&amp;D776&amp;" "&amp;E776&amp;" "&amp;G776&amp;" "&amp;H776&amp;" "&amp;J776&amp;" "&amp;N776</f>
        <v>Differentials Manganese     CIF Hungary (Diff) </v>
      </c>
      <c r="S776" s="25"/>
      <c r="T776" s="8"/>
      <c r="U776" s="8"/>
      <c r="V776" s="27" t="s">
        <v>49</v>
      </c>
      <c r="W776" s="25"/>
      <c r="X776" s="25"/>
      <c r="Y776" s="25"/>
      <c r="Z776" s="25"/>
      <c r="AA776" s="25"/>
      <c r="AB776" s="25"/>
      <c r="AC776" s="25"/>
      <c r="AD776" s="25"/>
    </row>
    <row r="777" customFormat="false" ht="15.75" hidden="false" customHeight="false" outlineLevel="0" collapsed="false">
      <c r="A777" s="28" t="s">
        <v>1148</v>
      </c>
      <c r="B777" s="27" t="s">
        <v>438</v>
      </c>
      <c r="C777" s="27" t="s">
        <v>376</v>
      </c>
      <c r="D777" s="25"/>
      <c r="E777" s="25"/>
      <c r="F777" s="25"/>
      <c r="G777" s="25"/>
      <c r="H777" s="25"/>
      <c r="I777" s="25"/>
      <c r="J777" s="27" t="s">
        <v>1080</v>
      </c>
      <c r="K777" s="25" t="str">
        <f aca="false">IFERROR(__xludf.dummyfunction("SPLIT(J777,"" "")"),"CIF")</f>
        <v>CIF</v>
      </c>
      <c r="L777" s="28" t="str">
        <f aca="false">IFERROR(__xludf.dummyfunction("""COMPUTED_VALUE"""),"Hungary")</f>
        <v>Hungary</v>
      </c>
      <c r="M777" s="27" t="str">
        <f aca="false">IFERROR(__xludf.dummyfunction("""COMPUTED_VALUE"""),"(Diff)")</f>
        <v>(Diff)</v>
      </c>
      <c r="N777" s="25"/>
      <c r="O777" s="25"/>
      <c r="P777" s="25"/>
      <c r="Q777" s="29" t="s">
        <v>381</v>
      </c>
      <c r="R777" s="8" t="str">
        <f aca="false">B777&amp;" "&amp;C777&amp;" "&amp;D777&amp;" "&amp;E777&amp;" "&amp;G777&amp;" "&amp;H777&amp;" "&amp;J777&amp;" "&amp;N777</f>
        <v>Differentials Nickel     CIF Hungary (Diff) </v>
      </c>
      <c r="S777" s="25"/>
      <c r="T777" s="8"/>
      <c r="U777" s="8"/>
      <c r="V777" s="27" t="s">
        <v>49</v>
      </c>
      <c r="W777" s="25"/>
      <c r="X777" s="25"/>
      <c r="Y777" s="25"/>
      <c r="Z777" s="25"/>
      <c r="AA777" s="25"/>
      <c r="AB777" s="25"/>
      <c r="AC777" s="25"/>
      <c r="AD777" s="25"/>
    </row>
    <row r="778" customFormat="false" ht="15.75" hidden="false" customHeight="false" outlineLevel="0" collapsed="false">
      <c r="A778" s="28" t="s">
        <v>1149</v>
      </c>
      <c r="B778" s="27" t="s">
        <v>438</v>
      </c>
      <c r="C778" s="27" t="s">
        <v>376</v>
      </c>
      <c r="D778" s="25"/>
      <c r="E778" s="25"/>
      <c r="F778" s="25"/>
      <c r="G778" s="25"/>
      <c r="H778" s="25"/>
      <c r="I778" s="25"/>
      <c r="J778" s="27" t="s">
        <v>1080</v>
      </c>
      <c r="K778" s="25" t="str">
        <f aca="false">IFERROR(__xludf.dummyfunction("SPLIT(J778,"" "")"),"CIF")</f>
        <v>CIF</v>
      </c>
      <c r="L778" s="28" t="str">
        <f aca="false">IFERROR(__xludf.dummyfunction("""COMPUTED_VALUE"""),"Hungary")</f>
        <v>Hungary</v>
      </c>
      <c r="M778" s="27" t="str">
        <f aca="false">IFERROR(__xludf.dummyfunction("""COMPUTED_VALUE"""),"(Diff)")</f>
        <v>(Diff)</v>
      </c>
      <c r="N778" s="25"/>
      <c r="O778" s="25"/>
      <c r="P778" s="25"/>
      <c r="Q778" s="29" t="s">
        <v>379</v>
      </c>
      <c r="R778" s="8" t="str">
        <f aca="false">B778&amp;" "&amp;C778&amp;" "&amp;D778&amp;" "&amp;E778&amp;" "&amp;G778&amp;" "&amp;H778&amp;" "&amp;J778&amp;" "&amp;N778</f>
        <v>Differentials Nickel     CIF Hungary (Diff) </v>
      </c>
      <c r="S778" s="25"/>
      <c r="T778" s="8"/>
      <c r="U778" s="8"/>
      <c r="V778" s="27" t="s">
        <v>49</v>
      </c>
      <c r="W778" s="25"/>
      <c r="X778" s="25"/>
      <c r="Y778" s="25"/>
      <c r="Z778" s="25"/>
      <c r="AA778" s="25"/>
      <c r="AB778" s="25"/>
      <c r="AC778" s="25"/>
      <c r="AD778" s="25"/>
    </row>
    <row r="779" customFormat="false" ht="15.75" hidden="false" customHeight="false" outlineLevel="0" collapsed="false">
      <c r="A779" s="28" t="s">
        <v>1150</v>
      </c>
      <c r="B779" s="27" t="s">
        <v>438</v>
      </c>
      <c r="C779" s="27" t="s">
        <v>376</v>
      </c>
      <c r="D779" s="25"/>
      <c r="E779" s="25"/>
      <c r="F779" s="25"/>
      <c r="G779" s="25"/>
      <c r="H779" s="25"/>
      <c r="I779" s="25"/>
      <c r="J779" s="27" t="s">
        <v>1080</v>
      </c>
      <c r="K779" s="25" t="str">
        <f aca="false">IFERROR(__xludf.dummyfunction("SPLIT(J779,"" "")"),"CIF")</f>
        <v>CIF</v>
      </c>
      <c r="L779" s="28" t="str">
        <f aca="false">IFERROR(__xludf.dummyfunction("""COMPUTED_VALUE"""),"Hungary")</f>
        <v>Hungary</v>
      </c>
      <c r="M779" s="27" t="str">
        <f aca="false">IFERROR(__xludf.dummyfunction("""COMPUTED_VALUE"""),"(Diff)")</f>
        <v>(Diff)</v>
      </c>
      <c r="N779" s="25"/>
      <c r="O779" s="25"/>
      <c r="P779" s="25"/>
      <c r="Q779" s="29" t="s">
        <v>377</v>
      </c>
      <c r="R779" s="8" t="str">
        <f aca="false">B779&amp;" "&amp;C779&amp;" "&amp;D779&amp;" "&amp;E779&amp;" "&amp;G779&amp;" "&amp;H779&amp;" "&amp;J779&amp;" "&amp;N779</f>
        <v>Differentials Nickel     CIF Hungary (Diff) </v>
      </c>
      <c r="S779" s="25"/>
      <c r="T779" s="8"/>
      <c r="U779" s="8"/>
      <c r="V779" s="27" t="s">
        <v>49</v>
      </c>
      <c r="W779" s="25"/>
      <c r="X779" s="25"/>
      <c r="Y779" s="25"/>
      <c r="Z779" s="25"/>
      <c r="AA779" s="25"/>
      <c r="AB779" s="25"/>
      <c r="AC779" s="25"/>
      <c r="AD779" s="25"/>
    </row>
    <row r="780" customFormat="false" ht="15.75" hidden="false" customHeight="false" outlineLevel="0" collapsed="false">
      <c r="A780" s="28" t="s">
        <v>1151</v>
      </c>
      <c r="B780" s="27" t="s">
        <v>438</v>
      </c>
      <c r="C780" s="27" t="s">
        <v>383</v>
      </c>
      <c r="D780" s="25"/>
      <c r="E780" s="25"/>
      <c r="F780" s="25"/>
      <c r="G780" s="25"/>
      <c r="H780" s="25"/>
      <c r="I780" s="25"/>
      <c r="J780" s="27" t="s">
        <v>1080</v>
      </c>
      <c r="K780" s="25" t="str">
        <f aca="false">IFERROR(__xludf.dummyfunction("SPLIT(J780,"" "")"),"CIF")</f>
        <v>CIF</v>
      </c>
      <c r="L780" s="28" t="str">
        <f aca="false">IFERROR(__xludf.dummyfunction("""COMPUTED_VALUE"""),"Hungary")</f>
        <v>Hungary</v>
      </c>
      <c r="M780" s="27" t="str">
        <f aca="false">IFERROR(__xludf.dummyfunction("""COMPUTED_VALUE"""),"(Diff)")</f>
        <v>(Diff)</v>
      </c>
      <c r="N780" s="25"/>
      <c r="O780" s="25"/>
      <c r="P780" s="25"/>
      <c r="Q780" s="29" t="s">
        <v>406</v>
      </c>
      <c r="R780" s="8" t="str">
        <f aca="false">B780&amp;" "&amp;C780&amp;" "&amp;D780&amp;" "&amp;E780&amp;" "&amp;G780&amp;" "&amp;H780&amp;" "&amp;J780&amp;" "&amp;N780</f>
        <v>Differentials Precursor     CIF Hungary (Diff) </v>
      </c>
      <c r="S780" s="25"/>
      <c r="T780" s="8"/>
      <c r="U780" s="8"/>
      <c r="V780" s="27" t="s">
        <v>49</v>
      </c>
      <c r="W780" s="25"/>
      <c r="X780" s="25"/>
      <c r="Y780" s="25"/>
      <c r="Z780" s="25"/>
      <c r="AA780" s="25"/>
      <c r="AB780" s="25"/>
      <c r="AC780" s="25"/>
      <c r="AD780" s="25"/>
    </row>
    <row r="781" customFormat="false" ht="15.75" hidden="false" customHeight="false" outlineLevel="0" collapsed="false">
      <c r="A781" s="28" t="s">
        <v>1152</v>
      </c>
      <c r="B781" s="27" t="s">
        <v>438</v>
      </c>
      <c r="C781" s="27" t="s">
        <v>383</v>
      </c>
      <c r="D781" s="25"/>
      <c r="E781" s="25"/>
      <c r="F781" s="25"/>
      <c r="G781" s="25"/>
      <c r="H781" s="25"/>
      <c r="I781" s="25"/>
      <c r="J781" s="27" t="s">
        <v>1080</v>
      </c>
      <c r="K781" s="25" t="str">
        <f aca="false">IFERROR(__xludf.dummyfunction("SPLIT(J781,"" "")"),"CIF")</f>
        <v>CIF</v>
      </c>
      <c r="L781" s="28" t="str">
        <f aca="false">IFERROR(__xludf.dummyfunction("""COMPUTED_VALUE"""),"Hungary")</f>
        <v>Hungary</v>
      </c>
      <c r="M781" s="27" t="str">
        <f aca="false">IFERROR(__xludf.dummyfunction("""COMPUTED_VALUE"""),"(Diff)")</f>
        <v>(Diff)</v>
      </c>
      <c r="N781" s="25"/>
      <c r="O781" s="25"/>
      <c r="P781" s="25"/>
      <c r="Q781" s="29" t="s">
        <v>404</v>
      </c>
      <c r="R781" s="8" t="str">
        <f aca="false">B781&amp;" "&amp;C781&amp;" "&amp;D781&amp;" "&amp;E781&amp;" "&amp;G781&amp;" "&amp;H781&amp;" "&amp;J781&amp;" "&amp;N781</f>
        <v>Differentials Precursor     CIF Hungary (Diff) </v>
      </c>
      <c r="S781" s="25"/>
      <c r="T781" s="8"/>
      <c r="U781" s="8"/>
      <c r="V781" s="27" t="s">
        <v>49</v>
      </c>
      <c r="W781" s="25"/>
      <c r="X781" s="25"/>
      <c r="Y781" s="25"/>
      <c r="Z781" s="25"/>
      <c r="AA781" s="25"/>
      <c r="AB781" s="25"/>
      <c r="AC781" s="25"/>
      <c r="AD781" s="25"/>
    </row>
    <row r="782" customFormat="false" ht="15.75" hidden="false" customHeight="false" outlineLevel="0" collapsed="false">
      <c r="A782" s="28" t="s">
        <v>1153</v>
      </c>
      <c r="B782" s="27" t="s">
        <v>438</v>
      </c>
      <c r="C782" s="27" t="s">
        <v>383</v>
      </c>
      <c r="D782" s="25"/>
      <c r="E782" s="25"/>
      <c r="F782" s="25"/>
      <c r="G782" s="25"/>
      <c r="H782" s="25"/>
      <c r="I782" s="25"/>
      <c r="J782" s="27" t="s">
        <v>1080</v>
      </c>
      <c r="K782" s="25" t="str">
        <f aca="false">IFERROR(__xludf.dummyfunction("SPLIT(J782,"" "")"),"CIF")</f>
        <v>CIF</v>
      </c>
      <c r="L782" s="28" t="str">
        <f aca="false">IFERROR(__xludf.dummyfunction("""COMPUTED_VALUE"""),"Hungary")</f>
        <v>Hungary</v>
      </c>
      <c r="M782" s="27" t="str">
        <f aca="false">IFERROR(__xludf.dummyfunction("""COMPUTED_VALUE"""),"(Diff)")</f>
        <v>(Diff)</v>
      </c>
      <c r="N782" s="25"/>
      <c r="O782" s="25"/>
      <c r="P782" s="25"/>
      <c r="Q782" s="29" t="s">
        <v>402</v>
      </c>
      <c r="R782" s="8" t="str">
        <f aca="false">B782&amp;" "&amp;C782&amp;" "&amp;D782&amp;" "&amp;E782&amp;" "&amp;G782&amp;" "&amp;H782&amp;" "&amp;J782&amp;" "&amp;N782</f>
        <v>Differentials Precursor     CIF Hungary (Diff) </v>
      </c>
      <c r="S782" s="25"/>
      <c r="T782" s="8"/>
      <c r="U782" s="8"/>
      <c r="V782" s="27" t="s">
        <v>49</v>
      </c>
      <c r="W782" s="25"/>
      <c r="X782" s="25"/>
      <c r="Y782" s="25"/>
      <c r="Z782" s="25"/>
      <c r="AA782" s="25"/>
      <c r="AB782" s="25"/>
      <c r="AC782" s="25"/>
      <c r="AD782" s="25"/>
    </row>
    <row r="783" customFormat="false" ht="15.75" hidden="false" customHeight="false" outlineLevel="0" collapsed="false">
      <c r="A783" s="28" t="s">
        <v>1154</v>
      </c>
      <c r="B783" s="27" t="s">
        <v>438</v>
      </c>
      <c r="C783" s="27" t="s">
        <v>383</v>
      </c>
      <c r="D783" s="25"/>
      <c r="E783" s="25"/>
      <c r="F783" s="25"/>
      <c r="G783" s="25"/>
      <c r="H783" s="25"/>
      <c r="I783" s="25"/>
      <c r="J783" s="27" t="s">
        <v>1080</v>
      </c>
      <c r="K783" s="25" t="str">
        <f aca="false">IFERROR(__xludf.dummyfunction("SPLIT(J783,"" "")"),"CIF")</f>
        <v>CIF</v>
      </c>
      <c r="L783" s="28" t="str">
        <f aca="false">IFERROR(__xludf.dummyfunction("""COMPUTED_VALUE"""),"Hungary")</f>
        <v>Hungary</v>
      </c>
      <c r="M783" s="27" t="str">
        <f aca="false">IFERROR(__xludf.dummyfunction("""COMPUTED_VALUE"""),"(Diff)")</f>
        <v>(Diff)</v>
      </c>
      <c r="N783" s="25"/>
      <c r="O783" s="25"/>
      <c r="P783" s="25"/>
      <c r="Q783" s="29" t="s">
        <v>400</v>
      </c>
      <c r="R783" s="8" t="str">
        <f aca="false">B783&amp;" "&amp;C783&amp;" "&amp;D783&amp;" "&amp;E783&amp;" "&amp;G783&amp;" "&amp;H783&amp;" "&amp;J783&amp;" "&amp;N783</f>
        <v>Differentials Precursor     CIF Hungary (Diff) </v>
      </c>
      <c r="S783" s="25"/>
      <c r="T783" s="8"/>
      <c r="U783" s="8"/>
      <c r="V783" s="27" t="s">
        <v>49</v>
      </c>
      <c r="W783" s="25"/>
      <c r="X783" s="25"/>
      <c r="Y783" s="25"/>
      <c r="Z783" s="25"/>
      <c r="AA783" s="25"/>
      <c r="AB783" s="25"/>
      <c r="AC783" s="25"/>
      <c r="AD783" s="25"/>
    </row>
    <row r="784" customFormat="false" ht="15.75" hidden="false" customHeight="false" outlineLevel="0" collapsed="false">
      <c r="A784" s="28" t="s">
        <v>1155</v>
      </c>
      <c r="B784" s="27" t="s">
        <v>438</v>
      </c>
      <c r="C784" s="27" t="s">
        <v>383</v>
      </c>
      <c r="D784" s="25"/>
      <c r="E784" s="25"/>
      <c r="F784" s="25"/>
      <c r="G784" s="25"/>
      <c r="H784" s="25"/>
      <c r="I784" s="25"/>
      <c r="J784" s="27" t="s">
        <v>1080</v>
      </c>
      <c r="K784" s="25" t="str">
        <f aca="false">IFERROR(__xludf.dummyfunction("SPLIT(J784,"" "")"),"CIF")</f>
        <v>CIF</v>
      </c>
      <c r="L784" s="28" t="str">
        <f aca="false">IFERROR(__xludf.dummyfunction("""COMPUTED_VALUE"""),"Hungary")</f>
        <v>Hungary</v>
      </c>
      <c r="M784" s="27" t="str">
        <f aca="false">IFERROR(__xludf.dummyfunction("""COMPUTED_VALUE"""),"(Diff)")</f>
        <v>(Diff)</v>
      </c>
      <c r="N784" s="25"/>
      <c r="O784" s="25"/>
      <c r="P784" s="25"/>
      <c r="Q784" s="29" t="s">
        <v>398</v>
      </c>
      <c r="R784" s="8" t="str">
        <f aca="false">B784&amp;" "&amp;C784&amp;" "&amp;D784&amp;" "&amp;E784&amp;" "&amp;G784&amp;" "&amp;H784&amp;" "&amp;J784&amp;" "&amp;N784</f>
        <v>Differentials Precursor     CIF Hungary (Diff) </v>
      </c>
      <c r="S784" s="25"/>
      <c r="T784" s="8"/>
      <c r="U784" s="8"/>
      <c r="V784" s="27" t="s">
        <v>49</v>
      </c>
      <c r="W784" s="25"/>
      <c r="X784" s="25"/>
      <c r="Y784" s="25"/>
      <c r="Z784" s="25"/>
      <c r="AA784" s="25"/>
      <c r="AB784" s="25"/>
      <c r="AC784" s="25"/>
      <c r="AD784" s="25"/>
    </row>
    <row r="785" customFormat="false" ht="15.75" hidden="false" customHeight="false" outlineLevel="0" collapsed="false">
      <c r="A785" s="28" t="s">
        <v>1156</v>
      </c>
      <c r="B785" s="27" t="s">
        <v>438</v>
      </c>
      <c r="C785" s="27" t="s">
        <v>383</v>
      </c>
      <c r="D785" s="25"/>
      <c r="E785" s="25"/>
      <c r="F785" s="25"/>
      <c r="G785" s="25"/>
      <c r="H785" s="25"/>
      <c r="I785" s="25"/>
      <c r="J785" s="27" t="s">
        <v>1080</v>
      </c>
      <c r="K785" s="25" t="str">
        <f aca="false">IFERROR(__xludf.dummyfunction("SPLIT(J785,"" "")"),"CIF")</f>
        <v>CIF</v>
      </c>
      <c r="L785" s="28" t="str">
        <f aca="false">IFERROR(__xludf.dummyfunction("""COMPUTED_VALUE"""),"Hungary")</f>
        <v>Hungary</v>
      </c>
      <c r="M785" s="27" t="str">
        <f aca="false">IFERROR(__xludf.dummyfunction("""COMPUTED_VALUE"""),"(Diff)")</f>
        <v>(Diff)</v>
      </c>
      <c r="N785" s="25"/>
      <c r="O785" s="25"/>
      <c r="P785" s="25"/>
      <c r="Q785" s="29" t="s">
        <v>259</v>
      </c>
      <c r="R785" s="8" t="str">
        <f aca="false">B785&amp;" "&amp;C785&amp;" "&amp;D785&amp;" "&amp;E785&amp;" "&amp;G785&amp;" "&amp;H785&amp;" "&amp;J785&amp;" "&amp;N785</f>
        <v>Differentials Precursor     CIF Hungary (Diff) </v>
      </c>
      <c r="S785" s="25"/>
      <c r="T785" s="8"/>
      <c r="U785" s="8"/>
      <c r="V785" s="27" t="s">
        <v>49</v>
      </c>
      <c r="W785" s="25"/>
      <c r="X785" s="25"/>
      <c r="Y785" s="25"/>
      <c r="Z785" s="25"/>
      <c r="AA785" s="25"/>
      <c r="AB785" s="25"/>
      <c r="AC785" s="25"/>
      <c r="AD785" s="25"/>
    </row>
    <row r="786" customFormat="false" ht="15.75" hidden="false" customHeight="false" outlineLevel="0" collapsed="false">
      <c r="A786" s="28" t="s">
        <v>1157</v>
      </c>
      <c r="B786" s="27" t="s">
        <v>438</v>
      </c>
      <c r="C786" s="27" t="s">
        <v>383</v>
      </c>
      <c r="D786" s="25"/>
      <c r="E786" s="25"/>
      <c r="F786" s="25"/>
      <c r="G786" s="25"/>
      <c r="H786" s="25"/>
      <c r="I786" s="25"/>
      <c r="J786" s="27" t="s">
        <v>1080</v>
      </c>
      <c r="K786" s="25" t="str">
        <f aca="false">IFERROR(__xludf.dummyfunction("SPLIT(J786,"" "")"),"CIF")</f>
        <v>CIF</v>
      </c>
      <c r="L786" s="28" t="str">
        <f aca="false">IFERROR(__xludf.dummyfunction("""COMPUTED_VALUE"""),"Hungary")</f>
        <v>Hungary</v>
      </c>
      <c r="M786" s="27" t="str">
        <f aca="false">IFERROR(__xludf.dummyfunction("""COMPUTED_VALUE"""),"(Diff)")</f>
        <v>(Diff)</v>
      </c>
      <c r="N786" s="25"/>
      <c r="O786" s="25"/>
      <c r="P786" s="25"/>
      <c r="Q786" s="29" t="s">
        <v>395</v>
      </c>
      <c r="R786" s="8" t="str">
        <f aca="false">B786&amp;" "&amp;C786&amp;" "&amp;D786&amp;" "&amp;E786&amp;" "&amp;G786&amp;" "&amp;H786&amp;" "&amp;J786&amp;" "&amp;N786</f>
        <v>Differentials Precursor     CIF Hungary (Diff) </v>
      </c>
      <c r="S786" s="25"/>
      <c r="T786" s="8"/>
      <c r="U786" s="8"/>
      <c r="V786" s="27" t="s">
        <v>49</v>
      </c>
      <c r="W786" s="25"/>
      <c r="X786" s="25"/>
      <c r="Y786" s="25"/>
      <c r="Z786" s="25"/>
      <c r="AA786" s="25"/>
      <c r="AB786" s="25"/>
      <c r="AC786" s="25"/>
      <c r="AD786" s="25"/>
    </row>
    <row r="787" customFormat="false" ht="15.75" hidden="false" customHeight="false" outlineLevel="0" collapsed="false">
      <c r="A787" s="28" t="s">
        <v>1158</v>
      </c>
      <c r="B787" s="27" t="s">
        <v>438</v>
      </c>
      <c r="C787" s="27" t="s">
        <v>383</v>
      </c>
      <c r="D787" s="25"/>
      <c r="E787" s="25"/>
      <c r="F787" s="25"/>
      <c r="G787" s="25"/>
      <c r="H787" s="25"/>
      <c r="I787" s="25"/>
      <c r="J787" s="27" t="s">
        <v>1080</v>
      </c>
      <c r="K787" s="25" t="str">
        <f aca="false">IFERROR(__xludf.dummyfunction("SPLIT(J787,"" "")"),"CIF")</f>
        <v>CIF</v>
      </c>
      <c r="L787" s="28" t="str">
        <f aca="false">IFERROR(__xludf.dummyfunction("""COMPUTED_VALUE"""),"Hungary")</f>
        <v>Hungary</v>
      </c>
      <c r="M787" s="27" t="str">
        <f aca="false">IFERROR(__xludf.dummyfunction("""COMPUTED_VALUE"""),"(Diff)")</f>
        <v>(Diff)</v>
      </c>
      <c r="N787" s="25"/>
      <c r="O787" s="25"/>
      <c r="P787" s="25"/>
      <c r="Q787" s="29" t="s">
        <v>393</v>
      </c>
      <c r="R787" s="8" t="str">
        <f aca="false">B787&amp;" "&amp;C787&amp;" "&amp;D787&amp;" "&amp;E787&amp;" "&amp;G787&amp;" "&amp;H787&amp;" "&amp;J787&amp;" "&amp;N787</f>
        <v>Differentials Precursor     CIF Hungary (Diff) </v>
      </c>
      <c r="S787" s="25"/>
      <c r="T787" s="8"/>
      <c r="U787" s="8"/>
      <c r="V787" s="27" t="s">
        <v>49</v>
      </c>
      <c r="W787" s="25"/>
      <c r="X787" s="25"/>
      <c r="Y787" s="25"/>
      <c r="Z787" s="25"/>
      <c r="AA787" s="25"/>
      <c r="AB787" s="25"/>
      <c r="AC787" s="25"/>
      <c r="AD787" s="25"/>
    </row>
    <row r="788" customFormat="false" ht="15.75" hidden="false" customHeight="false" outlineLevel="0" collapsed="false">
      <c r="A788" s="28" t="s">
        <v>1159</v>
      </c>
      <c r="B788" s="27" t="s">
        <v>438</v>
      </c>
      <c r="C788" s="27" t="s">
        <v>383</v>
      </c>
      <c r="D788" s="25"/>
      <c r="E788" s="25"/>
      <c r="F788" s="25"/>
      <c r="G788" s="25"/>
      <c r="H788" s="25"/>
      <c r="I788" s="25"/>
      <c r="J788" s="27" t="s">
        <v>1080</v>
      </c>
      <c r="K788" s="25" t="str">
        <f aca="false">IFERROR(__xludf.dummyfunction("SPLIT(J788,"" "")"),"CIF")</f>
        <v>CIF</v>
      </c>
      <c r="L788" s="28" t="str">
        <f aca="false">IFERROR(__xludf.dummyfunction("""COMPUTED_VALUE"""),"Hungary")</f>
        <v>Hungary</v>
      </c>
      <c r="M788" s="27" t="str">
        <f aca="false">IFERROR(__xludf.dummyfunction("""COMPUTED_VALUE"""),"(Diff)")</f>
        <v>(Diff)</v>
      </c>
      <c r="N788" s="25"/>
      <c r="O788" s="25"/>
      <c r="P788" s="25"/>
      <c r="Q788" s="29" t="s">
        <v>391</v>
      </c>
      <c r="R788" s="8" t="str">
        <f aca="false">B788&amp;" "&amp;C788&amp;" "&amp;D788&amp;" "&amp;E788&amp;" "&amp;G788&amp;" "&amp;H788&amp;" "&amp;J788&amp;" "&amp;N788</f>
        <v>Differentials Precursor     CIF Hungary (Diff) </v>
      </c>
      <c r="S788" s="25"/>
      <c r="T788" s="8"/>
      <c r="U788" s="8"/>
      <c r="V788" s="27" t="s">
        <v>49</v>
      </c>
      <c r="W788" s="25"/>
      <c r="X788" s="25"/>
      <c r="Y788" s="25"/>
      <c r="Z788" s="25"/>
      <c r="AA788" s="25"/>
      <c r="AB788" s="25"/>
      <c r="AC788" s="25"/>
      <c r="AD788" s="25"/>
    </row>
    <row r="789" customFormat="false" ht="15.75" hidden="false" customHeight="false" outlineLevel="0" collapsed="false">
      <c r="A789" s="28" t="s">
        <v>1160</v>
      </c>
      <c r="B789" s="27" t="s">
        <v>438</v>
      </c>
      <c r="C789" s="27" t="s">
        <v>383</v>
      </c>
      <c r="D789" s="25"/>
      <c r="E789" s="25"/>
      <c r="F789" s="25"/>
      <c r="G789" s="25"/>
      <c r="H789" s="25"/>
      <c r="I789" s="25"/>
      <c r="J789" s="27" t="s">
        <v>1080</v>
      </c>
      <c r="K789" s="25" t="str">
        <f aca="false">IFERROR(__xludf.dummyfunction("SPLIT(J789,"" "")"),"CIF")</f>
        <v>CIF</v>
      </c>
      <c r="L789" s="28" t="str">
        <f aca="false">IFERROR(__xludf.dummyfunction("""COMPUTED_VALUE"""),"Hungary")</f>
        <v>Hungary</v>
      </c>
      <c r="M789" s="27" t="str">
        <f aca="false">IFERROR(__xludf.dummyfunction("""COMPUTED_VALUE"""),"(Diff)")</f>
        <v>(Diff)</v>
      </c>
      <c r="N789" s="25"/>
      <c r="O789" s="25"/>
      <c r="P789" s="25"/>
      <c r="Q789" s="29" t="s">
        <v>389</v>
      </c>
      <c r="R789" s="8" t="str">
        <f aca="false">B789&amp;" "&amp;C789&amp;" "&amp;D789&amp;" "&amp;E789&amp;" "&amp;G789&amp;" "&amp;H789&amp;" "&amp;J789&amp;" "&amp;N789</f>
        <v>Differentials Precursor     CIF Hungary (Diff) </v>
      </c>
      <c r="S789" s="25"/>
      <c r="T789" s="8"/>
      <c r="U789" s="8"/>
      <c r="V789" s="27" t="s">
        <v>49</v>
      </c>
      <c r="W789" s="25"/>
      <c r="X789" s="25"/>
      <c r="Y789" s="25"/>
      <c r="Z789" s="25"/>
      <c r="AA789" s="25"/>
      <c r="AB789" s="25"/>
      <c r="AC789" s="25"/>
      <c r="AD789" s="25"/>
    </row>
    <row r="790" customFormat="false" ht="15.75" hidden="false" customHeight="false" outlineLevel="0" collapsed="false">
      <c r="A790" s="28" t="s">
        <v>1161</v>
      </c>
      <c r="B790" s="27" t="s">
        <v>438</v>
      </c>
      <c r="C790" s="27" t="s">
        <v>383</v>
      </c>
      <c r="D790" s="25"/>
      <c r="E790" s="25"/>
      <c r="F790" s="25"/>
      <c r="G790" s="25"/>
      <c r="H790" s="25"/>
      <c r="I790" s="25"/>
      <c r="J790" s="27" t="s">
        <v>1080</v>
      </c>
      <c r="K790" s="25" t="str">
        <f aca="false">IFERROR(__xludf.dummyfunction("SPLIT(J790,"" "")"),"CIF")</f>
        <v>CIF</v>
      </c>
      <c r="L790" s="28" t="str">
        <f aca="false">IFERROR(__xludf.dummyfunction("""COMPUTED_VALUE"""),"Hungary")</f>
        <v>Hungary</v>
      </c>
      <c r="M790" s="27" t="str">
        <f aca="false">IFERROR(__xludf.dummyfunction("""COMPUTED_VALUE"""),"(Diff)")</f>
        <v>(Diff)</v>
      </c>
      <c r="N790" s="25"/>
      <c r="O790" s="25"/>
      <c r="P790" s="25"/>
      <c r="Q790" s="29" t="s">
        <v>387</v>
      </c>
      <c r="R790" s="8" t="str">
        <f aca="false">B790&amp;" "&amp;C790&amp;" "&amp;D790&amp;" "&amp;E790&amp;" "&amp;G790&amp;" "&amp;H790&amp;" "&amp;J790&amp;" "&amp;N790</f>
        <v>Differentials Precursor     CIF Hungary (Diff) </v>
      </c>
      <c r="S790" s="25"/>
      <c r="T790" s="8"/>
      <c r="U790" s="8"/>
      <c r="V790" s="27" t="s">
        <v>49</v>
      </c>
      <c r="W790" s="25"/>
      <c r="X790" s="25"/>
      <c r="Y790" s="25"/>
      <c r="Z790" s="25"/>
      <c r="AA790" s="25"/>
      <c r="AB790" s="25"/>
      <c r="AC790" s="25"/>
      <c r="AD790" s="25"/>
    </row>
    <row r="791" customFormat="false" ht="15.75" hidden="false" customHeight="false" outlineLevel="0" collapsed="false">
      <c r="A791" s="28" t="s">
        <v>1162</v>
      </c>
      <c r="B791" s="27" t="s">
        <v>438</v>
      </c>
      <c r="C791" s="27" t="s">
        <v>383</v>
      </c>
      <c r="D791" s="25"/>
      <c r="E791" s="25"/>
      <c r="F791" s="25"/>
      <c r="G791" s="25"/>
      <c r="H791" s="25"/>
      <c r="I791" s="25"/>
      <c r="J791" s="27" t="s">
        <v>1080</v>
      </c>
      <c r="K791" s="25" t="str">
        <f aca="false">IFERROR(__xludf.dummyfunction("SPLIT(J791,"" "")"),"CIF")</f>
        <v>CIF</v>
      </c>
      <c r="L791" s="28" t="str">
        <f aca="false">IFERROR(__xludf.dummyfunction("""COMPUTED_VALUE"""),"Hungary")</f>
        <v>Hungary</v>
      </c>
      <c r="M791" s="27" t="str">
        <f aca="false">IFERROR(__xludf.dummyfunction("""COMPUTED_VALUE"""),"(Diff)")</f>
        <v>(Diff)</v>
      </c>
      <c r="N791" s="25"/>
      <c r="O791" s="25"/>
      <c r="P791" s="25"/>
      <c r="Q791" s="29" t="s">
        <v>385</v>
      </c>
      <c r="R791" s="8" t="str">
        <f aca="false">B791&amp;" "&amp;C791&amp;" "&amp;D791&amp;" "&amp;E791&amp;" "&amp;G791&amp;" "&amp;H791&amp;" "&amp;J791&amp;" "&amp;N791</f>
        <v>Differentials Precursor     CIF Hungary (Diff) </v>
      </c>
      <c r="S791" s="25"/>
      <c r="T791" s="8"/>
      <c r="U791" s="8"/>
      <c r="V791" s="27" t="s">
        <v>49</v>
      </c>
      <c r="W791" s="25"/>
      <c r="X791" s="25"/>
      <c r="Y791" s="25"/>
      <c r="Z791" s="25"/>
      <c r="AA791" s="25"/>
      <c r="AB791" s="25"/>
      <c r="AC791" s="25"/>
      <c r="AD791" s="25"/>
    </row>
    <row r="792" customFormat="false" ht="15.75" hidden="false" customHeight="false" outlineLevel="0" collapsed="false">
      <c r="A792" s="28" t="s">
        <v>1163</v>
      </c>
      <c r="B792" s="27" t="s">
        <v>438</v>
      </c>
      <c r="C792" s="27" t="s">
        <v>417</v>
      </c>
      <c r="D792" s="25"/>
      <c r="E792" s="25"/>
      <c r="F792" s="25"/>
      <c r="G792" s="25"/>
      <c r="H792" s="25"/>
      <c r="I792" s="25"/>
      <c r="J792" s="27" t="s">
        <v>1080</v>
      </c>
      <c r="K792" s="25" t="str">
        <f aca="false">IFERROR(__xludf.dummyfunction("SPLIT(J792,"" "")"),"CIF")</f>
        <v>CIF</v>
      </c>
      <c r="L792" s="28" t="str">
        <f aca="false">IFERROR(__xludf.dummyfunction("""COMPUTED_VALUE"""),"Hungary")</f>
        <v>Hungary</v>
      </c>
      <c r="M792" s="27" t="str">
        <f aca="false">IFERROR(__xludf.dummyfunction("""COMPUTED_VALUE"""),"(Diff)")</f>
        <v>(Diff)</v>
      </c>
      <c r="N792" s="25"/>
      <c r="O792" s="25"/>
      <c r="P792" s="25"/>
      <c r="Q792" s="29" t="s">
        <v>436</v>
      </c>
      <c r="R792" s="8" t="str">
        <f aca="false">B792&amp;" "&amp;C792&amp;" "&amp;D792&amp;" "&amp;E792&amp;" "&amp;G792&amp;" "&amp;H792&amp;" "&amp;J792&amp;" "&amp;N792</f>
        <v>Differentials Solvent     CIF Hungary (Diff) </v>
      </c>
      <c r="S792" s="25"/>
      <c r="T792" s="8"/>
      <c r="U792" s="8"/>
      <c r="V792" s="27" t="s">
        <v>49</v>
      </c>
      <c r="W792" s="25"/>
      <c r="X792" s="25"/>
      <c r="Y792" s="25"/>
      <c r="Z792" s="25"/>
      <c r="AA792" s="25"/>
      <c r="AB792" s="25"/>
      <c r="AC792" s="25"/>
      <c r="AD792" s="25"/>
    </row>
    <row r="793" customFormat="false" ht="15.75" hidden="false" customHeight="false" outlineLevel="0" collapsed="false">
      <c r="A793" s="28" t="s">
        <v>1164</v>
      </c>
      <c r="B793" s="27" t="s">
        <v>438</v>
      </c>
      <c r="C793" s="27" t="s">
        <v>417</v>
      </c>
      <c r="D793" s="25"/>
      <c r="E793" s="25"/>
      <c r="F793" s="25"/>
      <c r="G793" s="25"/>
      <c r="H793" s="25"/>
      <c r="I793" s="25"/>
      <c r="J793" s="27" t="s">
        <v>1080</v>
      </c>
      <c r="K793" s="25" t="str">
        <f aca="false">IFERROR(__xludf.dummyfunction("SPLIT(J793,"" "")"),"CIF")</f>
        <v>CIF</v>
      </c>
      <c r="L793" s="28" t="str">
        <f aca="false">IFERROR(__xludf.dummyfunction("""COMPUTED_VALUE"""),"Hungary")</f>
        <v>Hungary</v>
      </c>
      <c r="M793" s="27" t="str">
        <f aca="false">IFERROR(__xludf.dummyfunction("""COMPUTED_VALUE"""),"(Diff)")</f>
        <v>(Diff)</v>
      </c>
      <c r="N793" s="25"/>
      <c r="O793" s="25"/>
      <c r="P793" s="25"/>
      <c r="Q793" s="29" t="s">
        <v>434</v>
      </c>
      <c r="R793" s="8" t="str">
        <f aca="false">B793&amp;" "&amp;C793&amp;" "&amp;D793&amp;" "&amp;E793&amp;" "&amp;G793&amp;" "&amp;H793&amp;" "&amp;J793&amp;" "&amp;N793</f>
        <v>Differentials Solvent     CIF Hungary (Diff) </v>
      </c>
      <c r="S793" s="25"/>
      <c r="T793" s="8"/>
      <c r="U793" s="8"/>
      <c r="V793" s="27" t="s">
        <v>49</v>
      </c>
      <c r="W793" s="25"/>
      <c r="X793" s="25"/>
      <c r="Y793" s="25"/>
      <c r="Z793" s="25"/>
      <c r="AA793" s="25"/>
      <c r="AB793" s="25"/>
      <c r="AC793" s="25"/>
      <c r="AD793" s="25"/>
    </row>
    <row r="794" customFormat="false" ht="15.75" hidden="false" customHeight="false" outlineLevel="0" collapsed="false">
      <c r="A794" s="28" t="s">
        <v>1165</v>
      </c>
      <c r="B794" s="27" t="s">
        <v>438</v>
      </c>
      <c r="C794" s="27" t="s">
        <v>417</v>
      </c>
      <c r="D794" s="25"/>
      <c r="E794" s="25"/>
      <c r="F794" s="25"/>
      <c r="G794" s="25"/>
      <c r="H794" s="25"/>
      <c r="I794" s="25"/>
      <c r="J794" s="27" t="s">
        <v>1080</v>
      </c>
      <c r="K794" s="25" t="str">
        <f aca="false">IFERROR(__xludf.dummyfunction("SPLIT(J794,"" "")"),"CIF")</f>
        <v>CIF</v>
      </c>
      <c r="L794" s="28" t="str">
        <f aca="false">IFERROR(__xludf.dummyfunction("""COMPUTED_VALUE"""),"Hungary")</f>
        <v>Hungary</v>
      </c>
      <c r="M794" s="27" t="str">
        <f aca="false">IFERROR(__xludf.dummyfunction("""COMPUTED_VALUE"""),"(Diff)")</f>
        <v>(Diff)</v>
      </c>
      <c r="N794" s="25"/>
      <c r="O794" s="25"/>
      <c r="P794" s="25"/>
      <c r="Q794" s="29" t="s">
        <v>432</v>
      </c>
      <c r="R794" s="8" t="str">
        <f aca="false">B794&amp;" "&amp;C794&amp;" "&amp;D794&amp;" "&amp;E794&amp;" "&amp;G794&amp;" "&amp;H794&amp;" "&amp;J794&amp;" "&amp;N794</f>
        <v>Differentials Solvent     CIF Hungary (Diff) </v>
      </c>
      <c r="S794" s="25"/>
      <c r="T794" s="8"/>
      <c r="U794" s="8"/>
      <c r="V794" s="27" t="s">
        <v>49</v>
      </c>
      <c r="W794" s="25"/>
      <c r="X794" s="25"/>
      <c r="Y794" s="25"/>
      <c r="Z794" s="25"/>
      <c r="AA794" s="25"/>
      <c r="AB794" s="25"/>
      <c r="AC794" s="25"/>
      <c r="AD794" s="25"/>
    </row>
    <row r="795" customFormat="false" ht="15.75" hidden="false" customHeight="false" outlineLevel="0" collapsed="false">
      <c r="A795" s="28" t="s">
        <v>1166</v>
      </c>
      <c r="B795" s="27" t="s">
        <v>438</v>
      </c>
      <c r="C795" s="27" t="s">
        <v>417</v>
      </c>
      <c r="D795" s="25"/>
      <c r="E795" s="25"/>
      <c r="F795" s="25"/>
      <c r="G795" s="25"/>
      <c r="H795" s="25"/>
      <c r="I795" s="25"/>
      <c r="J795" s="27" t="s">
        <v>1080</v>
      </c>
      <c r="K795" s="25" t="str">
        <f aca="false">IFERROR(__xludf.dummyfunction("SPLIT(J795,"" "")"),"CIF")</f>
        <v>CIF</v>
      </c>
      <c r="L795" s="28" t="str">
        <f aca="false">IFERROR(__xludf.dummyfunction("""COMPUTED_VALUE"""),"Hungary")</f>
        <v>Hungary</v>
      </c>
      <c r="M795" s="27" t="str">
        <f aca="false">IFERROR(__xludf.dummyfunction("""COMPUTED_VALUE"""),"(Diff)")</f>
        <v>(Diff)</v>
      </c>
      <c r="N795" s="25"/>
      <c r="O795" s="25"/>
      <c r="P795" s="25"/>
      <c r="Q795" s="29" t="s">
        <v>430</v>
      </c>
      <c r="R795" s="8" t="str">
        <f aca="false">B795&amp;" "&amp;C795&amp;" "&amp;D795&amp;" "&amp;E795&amp;" "&amp;G795&amp;" "&amp;H795&amp;" "&amp;J795&amp;" "&amp;N795</f>
        <v>Differentials Solvent     CIF Hungary (Diff) </v>
      </c>
      <c r="S795" s="25"/>
      <c r="T795" s="8"/>
      <c r="U795" s="8"/>
      <c r="V795" s="27" t="s">
        <v>49</v>
      </c>
      <c r="W795" s="25"/>
      <c r="X795" s="25"/>
      <c r="Y795" s="25"/>
      <c r="Z795" s="25"/>
      <c r="AA795" s="25"/>
      <c r="AB795" s="25"/>
      <c r="AC795" s="25"/>
      <c r="AD795" s="25"/>
    </row>
    <row r="796" customFormat="false" ht="15.75" hidden="false" customHeight="false" outlineLevel="0" collapsed="false">
      <c r="A796" s="28" t="s">
        <v>1167</v>
      </c>
      <c r="B796" s="27" t="s">
        <v>438</v>
      </c>
      <c r="C796" s="27" t="s">
        <v>417</v>
      </c>
      <c r="D796" s="25"/>
      <c r="E796" s="25"/>
      <c r="F796" s="25"/>
      <c r="G796" s="25"/>
      <c r="H796" s="25"/>
      <c r="I796" s="25"/>
      <c r="J796" s="27" t="s">
        <v>1080</v>
      </c>
      <c r="K796" s="25" t="str">
        <f aca="false">IFERROR(__xludf.dummyfunction("SPLIT(J796,"" "")"),"CIF")</f>
        <v>CIF</v>
      </c>
      <c r="L796" s="28" t="str">
        <f aca="false">IFERROR(__xludf.dummyfunction("""COMPUTED_VALUE"""),"Hungary")</f>
        <v>Hungary</v>
      </c>
      <c r="M796" s="27" t="str">
        <f aca="false">IFERROR(__xludf.dummyfunction("""COMPUTED_VALUE"""),"(Diff)")</f>
        <v>(Diff)</v>
      </c>
      <c r="N796" s="25"/>
      <c r="O796" s="25"/>
      <c r="P796" s="25"/>
      <c r="Q796" s="29" t="s">
        <v>428</v>
      </c>
      <c r="R796" s="8" t="str">
        <f aca="false">B796&amp;" "&amp;C796&amp;" "&amp;D796&amp;" "&amp;E796&amp;" "&amp;G796&amp;" "&amp;H796&amp;" "&amp;J796&amp;" "&amp;N796</f>
        <v>Differentials Solvent     CIF Hungary (Diff) </v>
      </c>
      <c r="S796" s="25"/>
      <c r="T796" s="8"/>
      <c r="U796" s="8"/>
      <c r="V796" s="27" t="s">
        <v>49</v>
      </c>
      <c r="W796" s="25"/>
      <c r="X796" s="25"/>
      <c r="Y796" s="25"/>
      <c r="Z796" s="25"/>
      <c r="AA796" s="25"/>
      <c r="AB796" s="25"/>
      <c r="AC796" s="25"/>
      <c r="AD796" s="25"/>
    </row>
    <row r="797" customFormat="false" ht="15.75" hidden="false" customHeight="false" outlineLevel="0" collapsed="false">
      <c r="A797" s="28" t="s">
        <v>1168</v>
      </c>
      <c r="B797" s="27" t="s">
        <v>438</v>
      </c>
      <c r="C797" s="27" t="s">
        <v>417</v>
      </c>
      <c r="D797" s="25"/>
      <c r="E797" s="25"/>
      <c r="F797" s="25"/>
      <c r="G797" s="25"/>
      <c r="H797" s="25"/>
      <c r="I797" s="25"/>
      <c r="J797" s="27" t="s">
        <v>1080</v>
      </c>
      <c r="K797" s="25" t="str">
        <f aca="false">IFERROR(__xludf.dummyfunction("SPLIT(J797,"" "")"),"CIF")</f>
        <v>CIF</v>
      </c>
      <c r="L797" s="28" t="str">
        <f aca="false">IFERROR(__xludf.dummyfunction("""COMPUTED_VALUE"""),"Hungary")</f>
        <v>Hungary</v>
      </c>
      <c r="M797" s="27" t="str">
        <f aca="false">IFERROR(__xludf.dummyfunction("""COMPUTED_VALUE"""),"(Diff)")</f>
        <v>(Diff)</v>
      </c>
      <c r="N797" s="25"/>
      <c r="O797" s="25"/>
      <c r="P797" s="25"/>
      <c r="Q797" s="29" t="s">
        <v>426</v>
      </c>
      <c r="R797" s="8" t="str">
        <f aca="false">B797&amp;" "&amp;C797&amp;" "&amp;D797&amp;" "&amp;E797&amp;" "&amp;G797&amp;" "&amp;H797&amp;" "&amp;J797&amp;" "&amp;N797</f>
        <v>Differentials Solvent     CIF Hungary (Diff) </v>
      </c>
      <c r="S797" s="25"/>
      <c r="T797" s="8"/>
      <c r="U797" s="8"/>
      <c r="V797" s="27" t="s">
        <v>49</v>
      </c>
      <c r="W797" s="25"/>
      <c r="X797" s="25"/>
      <c r="Y797" s="25"/>
      <c r="Z797" s="25"/>
      <c r="AA797" s="25"/>
      <c r="AB797" s="25"/>
      <c r="AC797" s="25"/>
      <c r="AD797" s="25"/>
    </row>
    <row r="798" customFormat="false" ht="15.75" hidden="false" customHeight="false" outlineLevel="0" collapsed="false">
      <c r="A798" s="28" t="s">
        <v>1169</v>
      </c>
      <c r="B798" s="27" t="s">
        <v>438</v>
      </c>
      <c r="C798" s="27" t="s">
        <v>417</v>
      </c>
      <c r="D798" s="25"/>
      <c r="E798" s="25"/>
      <c r="F798" s="25"/>
      <c r="G798" s="25"/>
      <c r="H798" s="25"/>
      <c r="I798" s="25"/>
      <c r="J798" s="27" t="s">
        <v>1080</v>
      </c>
      <c r="K798" s="25" t="str">
        <f aca="false">IFERROR(__xludf.dummyfunction("SPLIT(J798,"" "")"),"CIF")</f>
        <v>CIF</v>
      </c>
      <c r="L798" s="28" t="str">
        <f aca="false">IFERROR(__xludf.dummyfunction("""COMPUTED_VALUE"""),"Hungary")</f>
        <v>Hungary</v>
      </c>
      <c r="M798" s="27" t="str">
        <f aca="false">IFERROR(__xludf.dummyfunction("""COMPUTED_VALUE"""),"(Diff)")</f>
        <v>(Diff)</v>
      </c>
      <c r="N798" s="25"/>
      <c r="O798" s="25"/>
      <c r="P798" s="25"/>
      <c r="Q798" s="29" t="s">
        <v>424</v>
      </c>
      <c r="R798" s="8" t="str">
        <f aca="false">B798&amp;" "&amp;C798&amp;" "&amp;D798&amp;" "&amp;E798&amp;" "&amp;G798&amp;" "&amp;H798&amp;" "&amp;J798&amp;" "&amp;N798</f>
        <v>Differentials Solvent     CIF Hungary (Diff) </v>
      </c>
      <c r="S798" s="25"/>
      <c r="T798" s="8"/>
      <c r="U798" s="8"/>
      <c r="V798" s="27" t="s">
        <v>49</v>
      </c>
      <c r="W798" s="25"/>
      <c r="X798" s="25"/>
      <c r="Y798" s="25"/>
      <c r="Z798" s="25"/>
      <c r="AA798" s="25"/>
      <c r="AB798" s="25"/>
      <c r="AC798" s="25"/>
      <c r="AD798" s="25"/>
    </row>
    <row r="799" customFormat="false" ht="15.75" hidden="false" customHeight="false" outlineLevel="0" collapsed="false">
      <c r="A799" s="28" t="s">
        <v>1170</v>
      </c>
      <c r="B799" s="27" t="s">
        <v>438</v>
      </c>
      <c r="C799" s="27" t="s">
        <v>417</v>
      </c>
      <c r="D799" s="25"/>
      <c r="E799" s="25"/>
      <c r="F799" s="25"/>
      <c r="G799" s="25"/>
      <c r="H799" s="25"/>
      <c r="I799" s="25"/>
      <c r="J799" s="27" t="s">
        <v>1080</v>
      </c>
      <c r="K799" s="25" t="str">
        <f aca="false">IFERROR(__xludf.dummyfunction("SPLIT(J799,"" "")"),"CIF")</f>
        <v>CIF</v>
      </c>
      <c r="L799" s="28" t="str">
        <f aca="false">IFERROR(__xludf.dummyfunction("""COMPUTED_VALUE"""),"Hungary")</f>
        <v>Hungary</v>
      </c>
      <c r="M799" s="27" t="str">
        <f aca="false">IFERROR(__xludf.dummyfunction("""COMPUTED_VALUE"""),"(Diff)")</f>
        <v>(Diff)</v>
      </c>
      <c r="N799" s="25"/>
      <c r="O799" s="25"/>
      <c r="P799" s="25"/>
      <c r="Q799" s="29" t="s">
        <v>422</v>
      </c>
      <c r="R799" s="8" t="str">
        <f aca="false">B799&amp;" "&amp;C799&amp;" "&amp;D799&amp;" "&amp;E799&amp;" "&amp;G799&amp;" "&amp;H799&amp;" "&amp;J799&amp;" "&amp;N799</f>
        <v>Differentials Solvent     CIF Hungary (Diff) </v>
      </c>
      <c r="S799" s="25"/>
      <c r="T799" s="8"/>
      <c r="U799" s="8"/>
      <c r="V799" s="27" t="s">
        <v>49</v>
      </c>
      <c r="W799" s="25"/>
      <c r="X799" s="25"/>
      <c r="Y799" s="25"/>
      <c r="Z799" s="25"/>
      <c r="AA799" s="25"/>
      <c r="AB799" s="25"/>
      <c r="AC799" s="25"/>
      <c r="AD799" s="25"/>
    </row>
    <row r="800" customFormat="false" ht="15.75" hidden="false" customHeight="false" outlineLevel="0" collapsed="false">
      <c r="A800" s="28" t="s">
        <v>1171</v>
      </c>
      <c r="B800" s="27" t="s">
        <v>438</v>
      </c>
      <c r="C800" s="27" t="s">
        <v>417</v>
      </c>
      <c r="D800" s="25"/>
      <c r="E800" s="25"/>
      <c r="F800" s="25"/>
      <c r="G800" s="25"/>
      <c r="H800" s="25"/>
      <c r="I800" s="25"/>
      <c r="J800" s="27" t="s">
        <v>1080</v>
      </c>
      <c r="K800" s="25" t="str">
        <f aca="false">IFERROR(__xludf.dummyfunction("SPLIT(J800,"" "")"),"CIF")</f>
        <v>CIF</v>
      </c>
      <c r="L800" s="28" t="str">
        <f aca="false">IFERROR(__xludf.dummyfunction("""COMPUTED_VALUE"""),"Hungary")</f>
        <v>Hungary</v>
      </c>
      <c r="M800" s="27" t="str">
        <f aca="false">IFERROR(__xludf.dummyfunction("""COMPUTED_VALUE"""),"(Diff)")</f>
        <v>(Diff)</v>
      </c>
      <c r="N800" s="25"/>
      <c r="O800" s="25"/>
      <c r="P800" s="25"/>
      <c r="Q800" s="29" t="s">
        <v>420</v>
      </c>
      <c r="R800" s="8" t="str">
        <f aca="false">B800&amp;" "&amp;C800&amp;" "&amp;D800&amp;" "&amp;E800&amp;" "&amp;G800&amp;" "&amp;H800&amp;" "&amp;J800&amp;" "&amp;N800</f>
        <v>Differentials Solvent     CIF Hungary (Diff) </v>
      </c>
      <c r="S800" s="25"/>
      <c r="T800" s="8"/>
      <c r="U800" s="8"/>
      <c r="V800" s="27" t="s">
        <v>49</v>
      </c>
      <c r="W800" s="25"/>
      <c r="X800" s="25"/>
      <c r="Y800" s="25"/>
      <c r="Z800" s="25"/>
      <c r="AA800" s="25"/>
      <c r="AB800" s="25"/>
      <c r="AC800" s="25"/>
      <c r="AD800" s="25"/>
    </row>
    <row r="801" customFormat="false" ht="15.75" hidden="false" customHeight="false" outlineLevel="0" collapsed="false">
      <c r="A801" s="28" t="s">
        <v>1172</v>
      </c>
      <c r="B801" s="27" t="s">
        <v>438</v>
      </c>
      <c r="C801" s="27" t="s">
        <v>417</v>
      </c>
      <c r="D801" s="25"/>
      <c r="E801" s="25"/>
      <c r="F801" s="25"/>
      <c r="G801" s="25"/>
      <c r="H801" s="25"/>
      <c r="I801" s="25"/>
      <c r="J801" s="27" t="s">
        <v>1080</v>
      </c>
      <c r="K801" s="25" t="str">
        <f aca="false">IFERROR(__xludf.dummyfunction("SPLIT(J801,"" "")"),"CIF")</f>
        <v>CIF</v>
      </c>
      <c r="L801" s="28" t="str">
        <f aca="false">IFERROR(__xludf.dummyfunction("""COMPUTED_VALUE"""),"Hungary")</f>
        <v>Hungary</v>
      </c>
      <c r="M801" s="27" t="str">
        <f aca="false">IFERROR(__xludf.dummyfunction("""COMPUTED_VALUE"""),"(Diff)")</f>
        <v>(Diff)</v>
      </c>
      <c r="N801" s="25"/>
      <c r="O801" s="25"/>
      <c r="P801" s="25"/>
      <c r="Q801" s="29" t="s">
        <v>418</v>
      </c>
      <c r="R801" s="8" t="str">
        <f aca="false">B801&amp;" "&amp;C801&amp;" "&amp;D801&amp;" "&amp;E801&amp;" "&amp;G801&amp;" "&amp;H801&amp;" "&amp;J801&amp;" "&amp;N801</f>
        <v>Differentials Solvent     CIF Hungary (Diff) </v>
      </c>
      <c r="S801" s="25"/>
      <c r="T801" s="8"/>
      <c r="U801" s="8"/>
      <c r="V801" s="27" t="s">
        <v>49</v>
      </c>
      <c r="W801" s="25"/>
      <c r="X801" s="25"/>
      <c r="Y801" s="25"/>
      <c r="Z801" s="25"/>
      <c r="AA801" s="25"/>
      <c r="AB801" s="25"/>
      <c r="AC801" s="25"/>
      <c r="AD801" s="25"/>
    </row>
    <row r="802" customFormat="false" ht="15.75" hidden="false" customHeight="false" outlineLevel="0" collapsed="false">
      <c r="A802" s="28" t="s">
        <v>1173</v>
      </c>
      <c r="B802" s="27" t="s">
        <v>438</v>
      </c>
      <c r="C802" s="27" t="s">
        <v>168</v>
      </c>
      <c r="D802" s="25"/>
      <c r="E802" s="25"/>
      <c r="F802" s="25"/>
      <c r="G802" s="25"/>
      <c r="H802" s="25"/>
      <c r="I802" s="25"/>
      <c r="J802" s="27" t="s">
        <v>1174</v>
      </c>
      <c r="K802" s="25" t="str">
        <f aca="false">IFERROR(__xludf.dummyfunction("SPLIT(J802,"" "")"),"CIF")</f>
        <v>CIF</v>
      </c>
      <c r="L802" s="28" t="str">
        <f aca="false">IFERROR(__xludf.dummyfunction("""COMPUTED_VALUE"""),"India")</f>
        <v>India</v>
      </c>
      <c r="M802" s="27" t="str">
        <f aca="false">IFERROR(__xludf.dummyfunction("""COMPUTED_VALUE"""),"(Diff)")</f>
        <v>(Diff)</v>
      </c>
      <c r="N802" s="25"/>
      <c r="O802" s="25"/>
      <c r="P802" s="25"/>
      <c r="Q802" s="29" t="s">
        <v>175</v>
      </c>
      <c r="R802" s="8" t="str">
        <f aca="false">B802&amp;" "&amp;C802&amp;" "&amp;D802&amp;" "&amp;E802&amp;" "&amp;G802&amp;" "&amp;H802&amp;" "&amp;J802&amp;" "&amp;N802</f>
        <v>Differentials Aluminium (Battery Grade)     CIF India (Diff) </v>
      </c>
      <c r="S802" s="25"/>
      <c r="T802" s="8"/>
      <c r="U802" s="8"/>
      <c r="V802" s="27" t="s">
        <v>49</v>
      </c>
      <c r="W802" s="25"/>
      <c r="X802" s="25"/>
      <c r="Y802" s="25"/>
      <c r="Z802" s="25"/>
      <c r="AA802" s="25"/>
      <c r="AB802" s="25"/>
      <c r="AC802" s="25"/>
      <c r="AD802" s="25"/>
    </row>
    <row r="803" customFormat="false" ht="15.75" hidden="false" customHeight="false" outlineLevel="0" collapsed="false">
      <c r="A803" s="28" t="s">
        <v>1175</v>
      </c>
      <c r="B803" s="27" t="s">
        <v>438</v>
      </c>
      <c r="C803" s="27" t="s">
        <v>168</v>
      </c>
      <c r="D803" s="25"/>
      <c r="E803" s="25"/>
      <c r="F803" s="25"/>
      <c r="G803" s="25"/>
      <c r="H803" s="25"/>
      <c r="I803" s="25"/>
      <c r="J803" s="27" t="s">
        <v>1174</v>
      </c>
      <c r="K803" s="25" t="str">
        <f aca="false">IFERROR(__xludf.dummyfunction("SPLIT(J803,"" "")"),"CIF")</f>
        <v>CIF</v>
      </c>
      <c r="L803" s="28" t="str">
        <f aca="false">IFERROR(__xludf.dummyfunction("""COMPUTED_VALUE"""),"India")</f>
        <v>India</v>
      </c>
      <c r="M803" s="27" t="str">
        <f aca="false">IFERROR(__xludf.dummyfunction("""COMPUTED_VALUE"""),"(Diff)")</f>
        <v>(Diff)</v>
      </c>
      <c r="N803" s="25"/>
      <c r="O803" s="25"/>
      <c r="P803" s="25"/>
      <c r="Q803" s="29" t="s">
        <v>173</v>
      </c>
      <c r="R803" s="8" t="str">
        <f aca="false">B803&amp;" "&amp;C803&amp;" "&amp;D803&amp;" "&amp;E803&amp;" "&amp;G803&amp;" "&amp;H803&amp;" "&amp;J803&amp;" "&amp;N803</f>
        <v>Differentials Aluminium (Battery Grade)     CIF India (Diff) </v>
      </c>
      <c r="S803" s="25"/>
      <c r="T803" s="8"/>
      <c r="U803" s="8"/>
      <c r="V803" s="27" t="s">
        <v>49</v>
      </c>
      <c r="W803" s="25"/>
      <c r="X803" s="25"/>
      <c r="Y803" s="25"/>
      <c r="Z803" s="25"/>
      <c r="AA803" s="25"/>
      <c r="AB803" s="25"/>
      <c r="AC803" s="25"/>
      <c r="AD803" s="25"/>
    </row>
    <row r="804" customFormat="false" ht="15.75" hidden="false" customHeight="false" outlineLevel="0" collapsed="false">
      <c r="A804" s="28" t="s">
        <v>1176</v>
      </c>
      <c r="B804" s="27" t="s">
        <v>438</v>
      </c>
      <c r="C804" s="27" t="s">
        <v>168</v>
      </c>
      <c r="D804" s="25"/>
      <c r="E804" s="25"/>
      <c r="F804" s="25"/>
      <c r="G804" s="25"/>
      <c r="H804" s="25"/>
      <c r="I804" s="25"/>
      <c r="J804" s="27" t="s">
        <v>1174</v>
      </c>
      <c r="K804" s="25" t="str">
        <f aca="false">IFERROR(__xludf.dummyfunction("SPLIT(J804,"" "")"),"CIF")</f>
        <v>CIF</v>
      </c>
      <c r="L804" s="28" t="str">
        <f aca="false">IFERROR(__xludf.dummyfunction("""COMPUTED_VALUE"""),"India")</f>
        <v>India</v>
      </c>
      <c r="M804" s="27" t="str">
        <f aca="false">IFERROR(__xludf.dummyfunction("""COMPUTED_VALUE"""),"(Diff)")</f>
        <v>(Diff)</v>
      </c>
      <c r="N804" s="25"/>
      <c r="O804" s="25"/>
      <c r="P804" s="25"/>
      <c r="Q804" s="29" t="s">
        <v>169</v>
      </c>
      <c r="R804" s="8" t="str">
        <f aca="false">B804&amp;" "&amp;C804&amp;" "&amp;D804&amp;" "&amp;E804&amp;" "&amp;G804&amp;" "&amp;H804&amp;" "&amp;J804&amp;" "&amp;N804</f>
        <v>Differentials Aluminium (Battery Grade)     CIF India (Diff) </v>
      </c>
      <c r="S804" s="25"/>
      <c r="T804" s="8"/>
      <c r="U804" s="8"/>
      <c r="V804" s="27" t="s">
        <v>49</v>
      </c>
      <c r="W804" s="25"/>
      <c r="X804" s="25"/>
      <c r="Y804" s="25"/>
      <c r="Z804" s="25"/>
      <c r="AA804" s="25"/>
      <c r="AB804" s="25"/>
      <c r="AC804" s="25"/>
      <c r="AD804" s="25"/>
    </row>
    <row r="805" customFormat="false" ht="15.75" hidden="false" customHeight="false" outlineLevel="0" collapsed="false">
      <c r="A805" s="28" t="s">
        <v>1177</v>
      </c>
      <c r="B805" s="27" t="s">
        <v>438</v>
      </c>
      <c r="C805" s="27" t="s">
        <v>177</v>
      </c>
      <c r="D805" s="25"/>
      <c r="E805" s="25"/>
      <c r="F805" s="25"/>
      <c r="G805" s="25"/>
      <c r="H805" s="25"/>
      <c r="I805" s="25"/>
      <c r="J805" s="27" t="s">
        <v>1174</v>
      </c>
      <c r="K805" s="25" t="str">
        <f aca="false">IFERROR(__xludf.dummyfunction("SPLIT(J805,"" "")"),"CIF")</f>
        <v>CIF</v>
      </c>
      <c r="L805" s="28" t="str">
        <f aca="false">IFERROR(__xludf.dummyfunction("""COMPUTED_VALUE"""),"India")</f>
        <v>India</v>
      </c>
      <c r="M805" s="27" t="str">
        <f aca="false">IFERROR(__xludf.dummyfunction("""COMPUTED_VALUE"""),"(Diff)")</f>
        <v>(Diff)</v>
      </c>
      <c r="N805" s="25"/>
      <c r="O805" s="25"/>
      <c r="P805" s="25"/>
      <c r="Q805" s="29" t="s">
        <v>209</v>
      </c>
      <c r="R805" s="8" t="str">
        <f aca="false">B805&amp;" "&amp;C805&amp;" "&amp;D805&amp;" "&amp;E805&amp;" "&amp;G805&amp;" "&amp;H805&amp;" "&amp;J805&amp;" "&amp;N805</f>
        <v>Differentials Anode     CIF India (Diff) </v>
      </c>
      <c r="S805" s="25"/>
      <c r="T805" s="8"/>
      <c r="U805" s="8"/>
      <c r="V805" s="27" t="s">
        <v>49</v>
      </c>
      <c r="W805" s="25"/>
      <c r="X805" s="25"/>
      <c r="Y805" s="25"/>
      <c r="Z805" s="25"/>
      <c r="AA805" s="25"/>
      <c r="AB805" s="25"/>
      <c r="AC805" s="25"/>
      <c r="AD805" s="25"/>
    </row>
    <row r="806" customFormat="false" ht="15.75" hidden="false" customHeight="false" outlineLevel="0" collapsed="false">
      <c r="A806" s="28" t="s">
        <v>1178</v>
      </c>
      <c r="B806" s="27" t="s">
        <v>438</v>
      </c>
      <c r="C806" s="27" t="s">
        <v>177</v>
      </c>
      <c r="D806" s="25"/>
      <c r="E806" s="25"/>
      <c r="F806" s="25"/>
      <c r="G806" s="25"/>
      <c r="H806" s="25"/>
      <c r="I806" s="25"/>
      <c r="J806" s="27" t="s">
        <v>1174</v>
      </c>
      <c r="K806" s="25" t="str">
        <f aca="false">IFERROR(__xludf.dummyfunction("SPLIT(J806,"" "")"),"CIF")</f>
        <v>CIF</v>
      </c>
      <c r="L806" s="28" t="str">
        <f aca="false">IFERROR(__xludf.dummyfunction("""COMPUTED_VALUE"""),"India")</f>
        <v>India</v>
      </c>
      <c r="M806" s="27" t="str">
        <f aca="false">IFERROR(__xludf.dummyfunction("""COMPUTED_VALUE"""),"(Diff)")</f>
        <v>(Diff)</v>
      </c>
      <c r="N806" s="25"/>
      <c r="O806" s="25"/>
      <c r="P806" s="25"/>
      <c r="Q806" s="29" t="s">
        <v>205</v>
      </c>
      <c r="R806" s="8" t="str">
        <f aca="false">B806&amp;" "&amp;C806&amp;" "&amp;D806&amp;" "&amp;E806&amp;" "&amp;G806&amp;" "&amp;H806&amp;" "&amp;J806&amp;" "&amp;N806</f>
        <v>Differentials Anode     CIF India (Diff) </v>
      </c>
      <c r="S806" s="25"/>
      <c r="T806" s="8"/>
      <c r="U806" s="8"/>
      <c r="V806" s="27" t="s">
        <v>49</v>
      </c>
      <c r="W806" s="25"/>
      <c r="X806" s="25"/>
      <c r="Y806" s="25"/>
      <c r="Z806" s="25"/>
      <c r="AA806" s="25"/>
      <c r="AB806" s="25"/>
      <c r="AC806" s="25"/>
      <c r="AD806" s="25"/>
    </row>
    <row r="807" customFormat="false" ht="15.75" hidden="false" customHeight="false" outlineLevel="0" collapsed="false">
      <c r="A807" s="28" t="s">
        <v>1179</v>
      </c>
      <c r="B807" s="27" t="s">
        <v>438</v>
      </c>
      <c r="C807" s="27" t="s">
        <v>177</v>
      </c>
      <c r="D807" s="25"/>
      <c r="E807" s="25"/>
      <c r="F807" s="25"/>
      <c r="G807" s="25"/>
      <c r="H807" s="25"/>
      <c r="I807" s="25"/>
      <c r="J807" s="27" t="s">
        <v>1174</v>
      </c>
      <c r="K807" s="25" t="str">
        <f aca="false">IFERROR(__xludf.dummyfunction("SPLIT(J807,"" "")"),"CIF")</f>
        <v>CIF</v>
      </c>
      <c r="L807" s="28" t="str">
        <f aca="false">IFERROR(__xludf.dummyfunction("""COMPUTED_VALUE"""),"India")</f>
        <v>India</v>
      </c>
      <c r="M807" s="27" t="str">
        <f aca="false">IFERROR(__xludf.dummyfunction("""COMPUTED_VALUE"""),"(Diff)")</f>
        <v>(Diff)</v>
      </c>
      <c r="N807" s="25"/>
      <c r="O807" s="25"/>
      <c r="P807" s="25"/>
      <c r="Q807" s="29" t="s">
        <v>202</v>
      </c>
      <c r="R807" s="8" t="str">
        <f aca="false">B807&amp;" "&amp;C807&amp;" "&amp;D807&amp;" "&amp;E807&amp;" "&amp;G807&amp;" "&amp;H807&amp;" "&amp;J807&amp;" "&amp;N807</f>
        <v>Differentials Anode     CIF India (Diff) </v>
      </c>
      <c r="S807" s="25"/>
      <c r="T807" s="8"/>
      <c r="U807" s="8"/>
      <c r="V807" s="27" t="s">
        <v>49</v>
      </c>
      <c r="W807" s="25"/>
      <c r="X807" s="25"/>
      <c r="Y807" s="25"/>
      <c r="Z807" s="25"/>
      <c r="AA807" s="25"/>
      <c r="AB807" s="25"/>
      <c r="AC807" s="25"/>
      <c r="AD807" s="25"/>
    </row>
    <row r="808" customFormat="false" ht="15.75" hidden="false" customHeight="false" outlineLevel="0" collapsed="false">
      <c r="A808" s="28" t="s">
        <v>1180</v>
      </c>
      <c r="B808" s="27" t="s">
        <v>438</v>
      </c>
      <c r="C808" s="27" t="s">
        <v>177</v>
      </c>
      <c r="D808" s="25"/>
      <c r="E808" s="25"/>
      <c r="F808" s="25"/>
      <c r="G808" s="25"/>
      <c r="H808" s="25"/>
      <c r="I808" s="25"/>
      <c r="J808" s="27" t="s">
        <v>1174</v>
      </c>
      <c r="K808" s="25" t="str">
        <f aca="false">IFERROR(__xludf.dummyfunction("SPLIT(J808,"" "")"),"CIF")</f>
        <v>CIF</v>
      </c>
      <c r="L808" s="28" t="str">
        <f aca="false">IFERROR(__xludf.dummyfunction("""COMPUTED_VALUE"""),"India")</f>
        <v>India</v>
      </c>
      <c r="M808" s="27" t="str">
        <f aca="false">IFERROR(__xludf.dummyfunction("""COMPUTED_VALUE"""),"(Diff)")</f>
        <v>(Diff)</v>
      </c>
      <c r="N808" s="25"/>
      <c r="O808" s="25"/>
      <c r="P808" s="25"/>
      <c r="Q808" s="29" t="s">
        <v>197</v>
      </c>
      <c r="R808" s="8" t="str">
        <f aca="false">B808&amp;" "&amp;C808&amp;" "&amp;D808&amp;" "&amp;E808&amp;" "&amp;G808&amp;" "&amp;H808&amp;" "&amp;J808&amp;" "&amp;N808</f>
        <v>Differentials Anode     CIF India (Diff) </v>
      </c>
      <c r="S808" s="25"/>
      <c r="T808" s="8"/>
      <c r="U808" s="8"/>
      <c r="V808" s="27" t="s">
        <v>49</v>
      </c>
      <c r="W808" s="25"/>
      <c r="X808" s="25"/>
      <c r="Y808" s="25"/>
      <c r="Z808" s="25"/>
      <c r="AA808" s="25"/>
      <c r="AB808" s="25"/>
      <c r="AC808" s="25"/>
      <c r="AD808" s="25"/>
    </row>
    <row r="809" customFormat="false" ht="15.75" hidden="false" customHeight="false" outlineLevel="0" collapsed="false">
      <c r="A809" s="28" t="s">
        <v>1181</v>
      </c>
      <c r="B809" s="27" t="s">
        <v>438</v>
      </c>
      <c r="C809" s="27" t="s">
        <v>177</v>
      </c>
      <c r="D809" s="25"/>
      <c r="E809" s="25"/>
      <c r="F809" s="25"/>
      <c r="G809" s="25"/>
      <c r="H809" s="25"/>
      <c r="I809" s="25"/>
      <c r="J809" s="27" t="s">
        <v>1174</v>
      </c>
      <c r="K809" s="25" t="str">
        <f aca="false">IFERROR(__xludf.dummyfunction("SPLIT(J809,"" "")"),"CIF")</f>
        <v>CIF</v>
      </c>
      <c r="L809" s="28" t="str">
        <f aca="false">IFERROR(__xludf.dummyfunction("""COMPUTED_VALUE"""),"India")</f>
        <v>India</v>
      </c>
      <c r="M809" s="27" t="str">
        <f aca="false">IFERROR(__xludf.dummyfunction("""COMPUTED_VALUE"""),"(Diff)")</f>
        <v>(Diff)</v>
      </c>
      <c r="N809" s="25"/>
      <c r="O809" s="25"/>
      <c r="P809" s="25"/>
      <c r="Q809" s="29" t="s">
        <v>193</v>
      </c>
      <c r="R809" s="8" t="str">
        <f aca="false">B809&amp;" "&amp;C809&amp;" "&amp;D809&amp;" "&amp;E809&amp;" "&amp;G809&amp;" "&amp;H809&amp;" "&amp;J809&amp;" "&amp;N809</f>
        <v>Differentials Anode     CIF India (Diff) </v>
      </c>
      <c r="S809" s="25"/>
      <c r="T809" s="8"/>
      <c r="U809" s="8"/>
      <c r="V809" s="27" t="s">
        <v>49</v>
      </c>
      <c r="W809" s="25"/>
      <c r="X809" s="25"/>
      <c r="Y809" s="25"/>
      <c r="Z809" s="25"/>
      <c r="AA809" s="25"/>
      <c r="AB809" s="25"/>
      <c r="AC809" s="25"/>
      <c r="AD809" s="25"/>
    </row>
    <row r="810" customFormat="false" ht="15.75" hidden="false" customHeight="false" outlineLevel="0" collapsed="false">
      <c r="A810" s="28" t="s">
        <v>1182</v>
      </c>
      <c r="B810" s="27" t="s">
        <v>438</v>
      </c>
      <c r="C810" s="27" t="s">
        <v>177</v>
      </c>
      <c r="D810" s="25"/>
      <c r="E810" s="25"/>
      <c r="F810" s="25"/>
      <c r="G810" s="25"/>
      <c r="H810" s="25"/>
      <c r="I810" s="25"/>
      <c r="J810" s="27" t="s">
        <v>1174</v>
      </c>
      <c r="K810" s="25" t="str">
        <f aca="false">IFERROR(__xludf.dummyfunction("SPLIT(J810,"" "")"),"CIF")</f>
        <v>CIF</v>
      </c>
      <c r="L810" s="28" t="str">
        <f aca="false">IFERROR(__xludf.dummyfunction("""COMPUTED_VALUE"""),"India")</f>
        <v>India</v>
      </c>
      <c r="M810" s="27" t="str">
        <f aca="false">IFERROR(__xludf.dummyfunction("""COMPUTED_VALUE"""),"(Diff)")</f>
        <v>(Diff)</v>
      </c>
      <c r="N810" s="25"/>
      <c r="O810" s="25"/>
      <c r="P810" s="25"/>
      <c r="Q810" s="29" t="s">
        <v>188</v>
      </c>
      <c r="R810" s="8" t="str">
        <f aca="false">B810&amp;" "&amp;C810&amp;" "&amp;D810&amp;" "&amp;E810&amp;" "&amp;G810&amp;" "&amp;H810&amp;" "&amp;J810&amp;" "&amp;N810</f>
        <v>Differentials Anode     CIF India (Diff) </v>
      </c>
      <c r="S810" s="25"/>
      <c r="T810" s="8"/>
      <c r="U810" s="8"/>
      <c r="V810" s="27" t="s">
        <v>49</v>
      </c>
      <c r="W810" s="25"/>
      <c r="X810" s="25"/>
      <c r="Y810" s="25"/>
      <c r="Z810" s="25"/>
      <c r="AA810" s="25"/>
      <c r="AB810" s="25"/>
      <c r="AC810" s="25"/>
      <c r="AD810" s="25"/>
    </row>
    <row r="811" customFormat="false" ht="15.75" hidden="false" customHeight="false" outlineLevel="0" collapsed="false">
      <c r="A811" s="28" t="s">
        <v>1183</v>
      </c>
      <c r="B811" s="27" t="s">
        <v>438</v>
      </c>
      <c r="C811" s="27" t="s">
        <v>177</v>
      </c>
      <c r="D811" s="25"/>
      <c r="E811" s="25"/>
      <c r="F811" s="25"/>
      <c r="G811" s="25"/>
      <c r="H811" s="25"/>
      <c r="I811" s="25"/>
      <c r="J811" s="27" t="s">
        <v>1174</v>
      </c>
      <c r="K811" s="25" t="str">
        <f aca="false">IFERROR(__xludf.dummyfunction("SPLIT(J811,"" "")"),"CIF")</f>
        <v>CIF</v>
      </c>
      <c r="L811" s="28" t="str">
        <f aca="false">IFERROR(__xludf.dummyfunction("""COMPUTED_VALUE"""),"India")</f>
        <v>India</v>
      </c>
      <c r="M811" s="27" t="str">
        <f aca="false">IFERROR(__xludf.dummyfunction("""COMPUTED_VALUE"""),"(Diff)")</f>
        <v>(Diff)</v>
      </c>
      <c r="N811" s="25"/>
      <c r="O811" s="25"/>
      <c r="P811" s="25"/>
      <c r="Q811" s="29" t="s">
        <v>180</v>
      </c>
      <c r="R811" s="8" t="str">
        <f aca="false">B811&amp;" "&amp;C811&amp;" "&amp;D811&amp;" "&amp;E811&amp;" "&amp;G811&amp;" "&amp;H811&amp;" "&amp;J811&amp;" "&amp;N811</f>
        <v>Differentials Anode     CIF India (Diff) </v>
      </c>
      <c r="S811" s="25"/>
      <c r="T811" s="8"/>
      <c r="U811" s="8"/>
      <c r="V811" s="27" t="s">
        <v>49</v>
      </c>
      <c r="W811" s="25"/>
      <c r="X811" s="25"/>
      <c r="Y811" s="25"/>
      <c r="Z811" s="25"/>
      <c r="AA811" s="25"/>
      <c r="AB811" s="25"/>
      <c r="AC811" s="25"/>
      <c r="AD811" s="25"/>
    </row>
    <row r="812" customFormat="false" ht="15.75" hidden="false" customHeight="false" outlineLevel="0" collapsed="false">
      <c r="A812" s="28" t="s">
        <v>1184</v>
      </c>
      <c r="B812" s="27" t="s">
        <v>438</v>
      </c>
      <c r="C812" s="27" t="s">
        <v>211</v>
      </c>
      <c r="D812" s="25"/>
      <c r="E812" s="25"/>
      <c r="F812" s="25"/>
      <c r="G812" s="25"/>
      <c r="H812" s="25"/>
      <c r="I812" s="25"/>
      <c r="J812" s="27" t="s">
        <v>1174</v>
      </c>
      <c r="K812" s="25" t="str">
        <f aca="false">IFERROR(__xludf.dummyfunction("SPLIT(J812,"" "")"),"CIF")</f>
        <v>CIF</v>
      </c>
      <c r="L812" s="28" t="str">
        <f aca="false">IFERROR(__xludf.dummyfunction("""COMPUTED_VALUE"""),"India")</f>
        <v>India</v>
      </c>
      <c r="M812" s="27" t="str">
        <f aca="false">IFERROR(__xludf.dummyfunction("""COMPUTED_VALUE"""),"(Diff)")</f>
        <v>(Diff)</v>
      </c>
      <c r="N812" s="25"/>
      <c r="O812" s="25"/>
      <c r="P812" s="25"/>
      <c r="Q812" s="29" t="s">
        <v>234</v>
      </c>
      <c r="R812" s="8" t="str">
        <f aca="false">B812&amp;" "&amp;C812&amp;" "&amp;D812&amp;" "&amp;E812&amp;" "&amp;G812&amp;" "&amp;H812&amp;" "&amp;J812&amp;" "&amp;N812</f>
        <v>Differentials Binders &amp; Additives     CIF India (Diff) </v>
      </c>
      <c r="S812" s="25"/>
      <c r="T812" s="8"/>
      <c r="U812" s="8"/>
      <c r="V812" s="27" t="s">
        <v>49</v>
      </c>
      <c r="W812" s="25"/>
      <c r="X812" s="25"/>
      <c r="Y812" s="25"/>
      <c r="Z812" s="25"/>
      <c r="AA812" s="25"/>
      <c r="AB812" s="25"/>
      <c r="AC812" s="25"/>
      <c r="AD812" s="25"/>
    </row>
    <row r="813" customFormat="false" ht="15.75" hidden="false" customHeight="false" outlineLevel="0" collapsed="false">
      <c r="A813" s="28" t="s">
        <v>1185</v>
      </c>
      <c r="B813" s="27" t="s">
        <v>438</v>
      </c>
      <c r="C813" s="27" t="s">
        <v>211</v>
      </c>
      <c r="D813" s="25"/>
      <c r="E813" s="25"/>
      <c r="F813" s="25"/>
      <c r="G813" s="25"/>
      <c r="H813" s="25"/>
      <c r="I813" s="25"/>
      <c r="J813" s="27" t="s">
        <v>1174</v>
      </c>
      <c r="K813" s="25" t="str">
        <f aca="false">IFERROR(__xludf.dummyfunction("SPLIT(J813,"" "")"),"CIF")</f>
        <v>CIF</v>
      </c>
      <c r="L813" s="28" t="str">
        <f aca="false">IFERROR(__xludf.dummyfunction("""COMPUTED_VALUE"""),"India")</f>
        <v>India</v>
      </c>
      <c r="M813" s="27" t="str">
        <f aca="false">IFERROR(__xludf.dummyfunction("""COMPUTED_VALUE"""),"(Diff)")</f>
        <v>(Diff)</v>
      </c>
      <c r="N813" s="25"/>
      <c r="O813" s="25"/>
      <c r="P813" s="25"/>
      <c r="Q813" s="29" t="s">
        <v>232</v>
      </c>
      <c r="R813" s="8" t="str">
        <f aca="false">B813&amp;" "&amp;C813&amp;" "&amp;D813&amp;" "&amp;E813&amp;" "&amp;G813&amp;" "&amp;H813&amp;" "&amp;J813&amp;" "&amp;N813</f>
        <v>Differentials Binders &amp; Additives     CIF India (Diff) </v>
      </c>
      <c r="S813" s="25"/>
      <c r="T813" s="8"/>
      <c r="U813" s="8"/>
      <c r="V813" s="27" t="s">
        <v>49</v>
      </c>
      <c r="W813" s="25"/>
      <c r="X813" s="25"/>
      <c r="Y813" s="25"/>
      <c r="Z813" s="25"/>
      <c r="AA813" s="25"/>
      <c r="AB813" s="25"/>
      <c r="AC813" s="25"/>
      <c r="AD813" s="25"/>
    </row>
    <row r="814" customFormat="false" ht="15.75" hidden="false" customHeight="false" outlineLevel="0" collapsed="false">
      <c r="A814" s="28" t="s">
        <v>1186</v>
      </c>
      <c r="B814" s="27" t="s">
        <v>438</v>
      </c>
      <c r="C814" s="27" t="s">
        <v>211</v>
      </c>
      <c r="D814" s="25"/>
      <c r="E814" s="25"/>
      <c r="F814" s="25"/>
      <c r="G814" s="25"/>
      <c r="H814" s="25"/>
      <c r="I814" s="25"/>
      <c r="J814" s="27" t="s">
        <v>1174</v>
      </c>
      <c r="K814" s="25" t="str">
        <f aca="false">IFERROR(__xludf.dummyfunction("SPLIT(J814,"" "")"),"CIF")</f>
        <v>CIF</v>
      </c>
      <c r="L814" s="28" t="str">
        <f aca="false">IFERROR(__xludf.dummyfunction("""COMPUTED_VALUE"""),"India")</f>
        <v>India</v>
      </c>
      <c r="M814" s="27" t="str">
        <f aca="false">IFERROR(__xludf.dummyfunction("""COMPUTED_VALUE"""),"(Diff)")</f>
        <v>(Diff)</v>
      </c>
      <c r="N814" s="25"/>
      <c r="O814" s="25"/>
      <c r="P814" s="25"/>
      <c r="Q814" s="29" t="s">
        <v>230</v>
      </c>
      <c r="R814" s="8" t="str">
        <f aca="false">B814&amp;" "&amp;C814&amp;" "&amp;D814&amp;" "&amp;E814&amp;" "&amp;G814&amp;" "&amp;H814&amp;" "&amp;J814&amp;" "&amp;N814</f>
        <v>Differentials Binders &amp; Additives     CIF India (Diff) </v>
      </c>
      <c r="S814" s="25"/>
      <c r="T814" s="8"/>
      <c r="U814" s="8"/>
      <c r="V814" s="27" t="s">
        <v>49</v>
      </c>
      <c r="W814" s="25"/>
      <c r="X814" s="25"/>
      <c r="Y814" s="25"/>
      <c r="Z814" s="25"/>
      <c r="AA814" s="25"/>
      <c r="AB814" s="25"/>
      <c r="AC814" s="25"/>
      <c r="AD814" s="25"/>
    </row>
    <row r="815" customFormat="false" ht="15.75" hidden="false" customHeight="false" outlineLevel="0" collapsed="false">
      <c r="A815" s="28" t="s">
        <v>1187</v>
      </c>
      <c r="B815" s="27" t="s">
        <v>438</v>
      </c>
      <c r="C815" s="27" t="s">
        <v>211</v>
      </c>
      <c r="D815" s="25"/>
      <c r="E815" s="25"/>
      <c r="F815" s="25"/>
      <c r="G815" s="25"/>
      <c r="H815" s="25"/>
      <c r="I815" s="25"/>
      <c r="J815" s="27" t="s">
        <v>1174</v>
      </c>
      <c r="K815" s="25" t="str">
        <f aca="false">IFERROR(__xludf.dummyfunction("SPLIT(J815,"" "")"),"CIF")</f>
        <v>CIF</v>
      </c>
      <c r="L815" s="28" t="str">
        <f aca="false">IFERROR(__xludf.dummyfunction("""COMPUTED_VALUE"""),"India")</f>
        <v>India</v>
      </c>
      <c r="M815" s="27" t="str">
        <f aca="false">IFERROR(__xludf.dummyfunction("""COMPUTED_VALUE"""),"(Diff)")</f>
        <v>(Diff)</v>
      </c>
      <c r="N815" s="25"/>
      <c r="O815" s="25"/>
      <c r="P815" s="25"/>
      <c r="Q815" s="29" t="s">
        <v>228</v>
      </c>
      <c r="R815" s="8" t="str">
        <f aca="false">B815&amp;" "&amp;C815&amp;" "&amp;D815&amp;" "&amp;E815&amp;" "&amp;G815&amp;" "&amp;H815&amp;" "&amp;J815&amp;" "&amp;N815</f>
        <v>Differentials Binders &amp; Additives     CIF India (Diff) </v>
      </c>
      <c r="S815" s="25"/>
      <c r="T815" s="8"/>
      <c r="U815" s="8"/>
      <c r="V815" s="27" t="s">
        <v>49</v>
      </c>
      <c r="W815" s="25"/>
      <c r="X815" s="25"/>
      <c r="Y815" s="25"/>
      <c r="Z815" s="25"/>
      <c r="AA815" s="25"/>
      <c r="AB815" s="25"/>
      <c r="AC815" s="25"/>
      <c r="AD815" s="25"/>
    </row>
    <row r="816" customFormat="false" ht="15.75" hidden="false" customHeight="false" outlineLevel="0" collapsed="false">
      <c r="A816" s="28" t="s">
        <v>1188</v>
      </c>
      <c r="B816" s="27" t="s">
        <v>438</v>
      </c>
      <c r="C816" s="27" t="s">
        <v>211</v>
      </c>
      <c r="D816" s="25"/>
      <c r="E816" s="25"/>
      <c r="F816" s="25"/>
      <c r="G816" s="25"/>
      <c r="H816" s="25"/>
      <c r="I816" s="25"/>
      <c r="J816" s="27" t="s">
        <v>1174</v>
      </c>
      <c r="K816" s="25" t="str">
        <f aca="false">IFERROR(__xludf.dummyfunction("SPLIT(J816,"" "")"),"CIF")</f>
        <v>CIF</v>
      </c>
      <c r="L816" s="28" t="str">
        <f aca="false">IFERROR(__xludf.dummyfunction("""COMPUTED_VALUE"""),"India")</f>
        <v>India</v>
      </c>
      <c r="M816" s="27" t="str">
        <f aca="false">IFERROR(__xludf.dummyfunction("""COMPUTED_VALUE"""),"(Diff)")</f>
        <v>(Diff)</v>
      </c>
      <c r="N816" s="25"/>
      <c r="O816" s="25"/>
      <c r="P816" s="25"/>
      <c r="Q816" s="29" t="s">
        <v>226</v>
      </c>
      <c r="R816" s="8" t="str">
        <f aca="false">B816&amp;" "&amp;C816&amp;" "&amp;D816&amp;" "&amp;E816&amp;" "&amp;G816&amp;" "&amp;H816&amp;" "&amp;J816&amp;" "&amp;N816</f>
        <v>Differentials Binders &amp; Additives     CIF India (Diff) </v>
      </c>
      <c r="S816" s="25"/>
      <c r="T816" s="8"/>
      <c r="U816" s="8"/>
      <c r="V816" s="27" t="s">
        <v>49</v>
      </c>
      <c r="W816" s="25"/>
      <c r="X816" s="25"/>
      <c r="Y816" s="25"/>
      <c r="Z816" s="25"/>
      <c r="AA816" s="25"/>
      <c r="AB816" s="25"/>
      <c r="AC816" s="25"/>
      <c r="AD816" s="25"/>
    </row>
    <row r="817" customFormat="false" ht="15.75" hidden="false" customHeight="false" outlineLevel="0" collapsed="false">
      <c r="A817" s="28" t="s">
        <v>1189</v>
      </c>
      <c r="B817" s="27" t="s">
        <v>438</v>
      </c>
      <c r="C817" s="27" t="s">
        <v>211</v>
      </c>
      <c r="D817" s="25"/>
      <c r="E817" s="25"/>
      <c r="F817" s="25"/>
      <c r="G817" s="25"/>
      <c r="H817" s="25"/>
      <c r="I817" s="25"/>
      <c r="J817" s="27" t="s">
        <v>1174</v>
      </c>
      <c r="K817" s="25" t="str">
        <f aca="false">IFERROR(__xludf.dummyfunction("SPLIT(J817,"" "")"),"CIF")</f>
        <v>CIF</v>
      </c>
      <c r="L817" s="28" t="str">
        <f aca="false">IFERROR(__xludf.dummyfunction("""COMPUTED_VALUE"""),"India")</f>
        <v>India</v>
      </c>
      <c r="M817" s="27" t="str">
        <f aca="false">IFERROR(__xludf.dummyfunction("""COMPUTED_VALUE"""),"(Diff)")</f>
        <v>(Diff)</v>
      </c>
      <c r="N817" s="25"/>
      <c r="O817" s="25"/>
      <c r="P817" s="25"/>
      <c r="Q817" s="29" t="s">
        <v>224</v>
      </c>
      <c r="R817" s="8" t="str">
        <f aca="false">B817&amp;" "&amp;C817&amp;" "&amp;D817&amp;" "&amp;E817&amp;" "&amp;G817&amp;" "&amp;H817&amp;" "&amp;J817&amp;" "&amp;N817</f>
        <v>Differentials Binders &amp; Additives     CIF India (Diff) </v>
      </c>
      <c r="S817" s="25"/>
      <c r="T817" s="8"/>
      <c r="U817" s="8"/>
      <c r="V817" s="27" t="s">
        <v>49</v>
      </c>
      <c r="W817" s="25"/>
      <c r="X817" s="25"/>
      <c r="Y817" s="25"/>
      <c r="Z817" s="25"/>
      <c r="AA817" s="25"/>
      <c r="AB817" s="25"/>
      <c r="AC817" s="25"/>
      <c r="AD817" s="25"/>
    </row>
    <row r="818" customFormat="false" ht="15.75" hidden="false" customHeight="false" outlineLevel="0" collapsed="false">
      <c r="A818" s="28" t="s">
        <v>1190</v>
      </c>
      <c r="B818" s="27" t="s">
        <v>438</v>
      </c>
      <c r="C818" s="27" t="s">
        <v>211</v>
      </c>
      <c r="D818" s="25"/>
      <c r="E818" s="25"/>
      <c r="F818" s="25"/>
      <c r="G818" s="25"/>
      <c r="H818" s="25"/>
      <c r="I818" s="25"/>
      <c r="J818" s="27" t="s">
        <v>1174</v>
      </c>
      <c r="K818" s="25" t="str">
        <f aca="false">IFERROR(__xludf.dummyfunction("SPLIT(J818,"" "")"),"CIF")</f>
        <v>CIF</v>
      </c>
      <c r="L818" s="28" t="str">
        <f aca="false">IFERROR(__xludf.dummyfunction("""COMPUTED_VALUE"""),"India")</f>
        <v>India</v>
      </c>
      <c r="M818" s="27" t="str">
        <f aca="false">IFERROR(__xludf.dummyfunction("""COMPUTED_VALUE"""),"(Diff)")</f>
        <v>(Diff)</v>
      </c>
      <c r="N818" s="25"/>
      <c r="O818" s="25"/>
      <c r="P818" s="25"/>
      <c r="Q818" s="29" t="s">
        <v>222</v>
      </c>
      <c r="R818" s="8" t="str">
        <f aca="false">B818&amp;" "&amp;C818&amp;" "&amp;D818&amp;" "&amp;E818&amp;" "&amp;G818&amp;" "&amp;H818&amp;" "&amp;J818&amp;" "&amp;N818</f>
        <v>Differentials Binders &amp; Additives     CIF India (Diff) </v>
      </c>
      <c r="S818" s="25"/>
      <c r="T818" s="8"/>
      <c r="U818" s="8"/>
      <c r="V818" s="27" t="s">
        <v>49</v>
      </c>
      <c r="W818" s="25"/>
      <c r="X818" s="25"/>
      <c r="Y818" s="25"/>
      <c r="Z818" s="25"/>
      <c r="AA818" s="25"/>
      <c r="AB818" s="25"/>
      <c r="AC818" s="25"/>
      <c r="AD818" s="25"/>
    </row>
    <row r="819" customFormat="false" ht="15.75" hidden="false" customHeight="false" outlineLevel="0" collapsed="false">
      <c r="A819" s="28" t="s">
        <v>1191</v>
      </c>
      <c r="B819" s="27" t="s">
        <v>438</v>
      </c>
      <c r="C819" s="27" t="s">
        <v>211</v>
      </c>
      <c r="D819" s="25"/>
      <c r="E819" s="25"/>
      <c r="F819" s="25"/>
      <c r="G819" s="25"/>
      <c r="H819" s="25"/>
      <c r="I819" s="25"/>
      <c r="J819" s="27" t="s">
        <v>1174</v>
      </c>
      <c r="K819" s="25" t="str">
        <f aca="false">IFERROR(__xludf.dummyfunction("SPLIT(J819,"" "")"),"CIF")</f>
        <v>CIF</v>
      </c>
      <c r="L819" s="28" t="str">
        <f aca="false">IFERROR(__xludf.dummyfunction("""COMPUTED_VALUE"""),"India")</f>
        <v>India</v>
      </c>
      <c r="M819" s="27" t="str">
        <f aca="false">IFERROR(__xludf.dummyfunction("""COMPUTED_VALUE"""),"(Diff)")</f>
        <v>(Diff)</v>
      </c>
      <c r="N819" s="25"/>
      <c r="O819" s="25"/>
      <c r="P819" s="25"/>
      <c r="Q819" s="29" t="s">
        <v>220</v>
      </c>
      <c r="R819" s="8" t="str">
        <f aca="false">B819&amp;" "&amp;C819&amp;" "&amp;D819&amp;" "&amp;E819&amp;" "&amp;G819&amp;" "&amp;H819&amp;" "&amp;J819&amp;" "&amp;N819</f>
        <v>Differentials Binders &amp; Additives     CIF India (Diff) </v>
      </c>
      <c r="S819" s="25"/>
      <c r="T819" s="8"/>
      <c r="U819" s="8"/>
      <c r="V819" s="27" t="s">
        <v>49</v>
      </c>
      <c r="W819" s="25"/>
      <c r="X819" s="25"/>
      <c r="Y819" s="25"/>
      <c r="Z819" s="25"/>
      <c r="AA819" s="25"/>
      <c r="AB819" s="25"/>
      <c r="AC819" s="25"/>
      <c r="AD819" s="25"/>
    </row>
    <row r="820" customFormat="false" ht="15.75" hidden="false" customHeight="false" outlineLevel="0" collapsed="false">
      <c r="A820" s="28" t="s">
        <v>1192</v>
      </c>
      <c r="B820" s="27" t="s">
        <v>438</v>
      </c>
      <c r="C820" s="27" t="s">
        <v>211</v>
      </c>
      <c r="D820" s="25"/>
      <c r="E820" s="25"/>
      <c r="F820" s="25"/>
      <c r="G820" s="25"/>
      <c r="H820" s="25"/>
      <c r="I820" s="25"/>
      <c r="J820" s="27" t="s">
        <v>1174</v>
      </c>
      <c r="K820" s="25" t="str">
        <f aca="false">IFERROR(__xludf.dummyfunction("SPLIT(J820,"" "")"),"CIF")</f>
        <v>CIF</v>
      </c>
      <c r="L820" s="28" t="str">
        <f aca="false">IFERROR(__xludf.dummyfunction("""COMPUTED_VALUE"""),"India")</f>
        <v>India</v>
      </c>
      <c r="M820" s="27" t="str">
        <f aca="false">IFERROR(__xludf.dummyfunction("""COMPUTED_VALUE"""),"(Diff)")</f>
        <v>(Diff)</v>
      </c>
      <c r="N820" s="25"/>
      <c r="O820" s="25"/>
      <c r="P820" s="25"/>
      <c r="Q820" s="29" t="s">
        <v>218</v>
      </c>
      <c r="R820" s="8" t="str">
        <f aca="false">B820&amp;" "&amp;C820&amp;" "&amp;D820&amp;" "&amp;E820&amp;" "&amp;G820&amp;" "&amp;H820&amp;" "&amp;J820&amp;" "&amp;N820</f>
        <v>Differentials Binders &amp; Additives     CIF India (Diff) </v>
      </c>
      <c r="S820" s="25"/>
      <c r="T820" s="8"/>
      <c r="U820" s="8"/>
      <c r="V820" s="27" t="s">
        <v>49</v>
      </c>
      <c r="W820" s="25"/>
      <c r="X820" s="25"/>
      <c r="Y820" s="25"/>
      <c r="Z820" s="25"/>
      <c r="AA820" s="25"/>
      <c r="AB820" s="25"/>
      <c r="AC820" s="25"/>
      <c r="AD820" s="25"/>
    </row>
    <row r="821" customFormat="false" ht="15.75" hidden="false" customHeight="false" outlineLevel="0" collapsed="false">
      <c r="A821" s="28" t="s">
        <v>1193</v>
      </c>
      <c r="B821" s="27" t="s">
        <v>438</v>
      </c>
      <c r="C821" s="27" t="s">
        <v>211</v>
      </c>
      <c r="D821" s="25"/>
      <c r="E821" s="25"/>
      <c r="F821" s="25"/>
      <c r="G821" s="25"/>
      <c r="H821" s="25"/>
      <c r="I821" s="25"/>
      <c r="J821" s="27" t="s">
        <v>1174</v>
      </c>
      <c r="K821" s="25" t="str">
        <f aca="false">IFERROR(__xludf.dummyfunction("SPLIT(J821,"" "")"),"CIF")</f>
        <v>CIF</v>
      </c>
      <c r="L821" s="28" t="str">
        <f aca="false">IFERROR(__xludf.dummyfunction("""COMPUTED_VALUE"""),"India")</f>
        <v>India</v>
      </c>
      <c r="M821" s="27" t="str">
        <f aca="false">IFERROR(__xludf.dummyfunction("""COMPUTED_VALUE"""),"(Diff)")</f>
        <v>(Diff)</v>
      </c>
      <c r="N821" s="25"/>
      <c r="O821" s="25"/>
      <c r="P821" s="25"/>
      <c r="Q821" s="29" t="s">
        <v>215</v>
      </c>
      <c r="R821" s="8" t="str">
        <f aca="false">B821&amp;" "&amp;C821&amp;" "&amp;D821&amp;" "&amp;E821&amp;" "&amp;G821&amp;" "&amp;H821&amp;" "&amp;J821&amp;" "&amp;N821</f>
        <v>Differentials Binders &amp; Additives     CIF India (Diff) </v>
      </c>
      <c r="S821" s="25"/>
      <c r="T821" s="8"/>
      <c r="U821" s="8"/>
      <c r="V821" s="27" t="s">
        <v>49</v>
      </c>
      <c r="W821" s="25"/>
      <c r="X821" s="25"/>
      <c r="Y821" s="25"/>
      <c r="Z821" s="25"/>
      <c r="AA821" s="25"/>
      <c r="AB821" s="25"/>
      <c r="AC821" s="25"/>
      <c r="AD821" s="25"/>
    </row>
    <row r="822" customFormat="false" ht="15.75" hidden="false" customHeight="false" outlineLevel="0" collapsed="false">
      <c r="A822" s="28" t="s">
        <v>1194</v>
      </c>
      <c r="B822" s="27" t="s">
        <v>438</v>
      </c>
      <c r="C822" s="27" t="s">
        <v>211</v>
      </c>
      <c r="D822" s="25"/>
      <c r="E822" s="25"/>
      <c r="F822" s="25"/>
      <c r="G822" s="25"/>
      <c r="H822" s="25"/>
      <c r="I822" s="25"/>
      <c r="J822" s="27" t="s">
        <v>1174</v>
      </c>
      <c r="K822" s="25" t="str">
        <f aca="false">IFERROR(__xludf.dummyfunction("SPLIT(J822,"" "")"),"CIF")</f>
        <v>CIF</v>
      </c>
      <c r="L822" s="28" t="str">
        <f aca="false">IFERROR(__xludf.dummyfunction("""COMPUTED_VALUE"""),"India")</f>
        <v>India</v>
      </c>
      <c r="M822" s="27" t="str">
        <f aca="false">IFERROR(__xludf.dummyfunction("""COMPUTED_VALUE"""),"(Diff)")</f>
        <v>(Diff)</v>
      </c>
      <c r="N822" s="25"/>
      <c r="O822" s="25"/>
      <c r="P822" s="25"/>
      <c r="Q822" s="29" t="s">
        <v>213</v>
      </c>
      <c r="R822" s="8" t="str">
        <f aca="false">B822&amp;" "&amp;C822&amp;" "&amp;D822&amp;" "&amp;E822&amp;" "&amp;G822&amp;" "&amp;H822&amp;" "&amp;J822&amp;" "&amp;N822</f>
        <v>Differentials Binders &amp; Additives     CIF India (Diff) </v>
      </c>
      <c r="S822" s="25"/>
      <c r="T822" s="8"/>
      <c r="U822" s="8"/>
      <c r="V822" s="27" t="s">
        <v>49</v>
      </c>
      <c r="W822" s="25"/>
      <c r="X822" s="25"/>
      <c r="Y822" s="25"/>
      <c r="Z822" s="25"/>
      <c r="AA822" s="25"/>
      <c r="AB822" s="25"/>
      <c r="AC822" s="25"/>
      <c r="AD822" s="25"/>
    </row>
    <row r="823" customFormat="false" ht="15.75" hidden="false" customHeight="false" outlineLevel="0" collapsed="false">
      <c r="A823" s="28" t="s">
        <v>1195</v>
      </c>
      <c r="B823" s="27" t="s">
        <v>438</v>
      </c>
      <c r="C823" s="27" t="s">
        <v>236</v>
      </c>
      <c r="D823" s="25"/>
      <c r="E823" s="25"/>
      <c r="F823" s="25"/>
      <c r="G823" s="25"/>
      <c r="H823" s="25"/>
      <c r="I823" s="25"/>
      <c r="J823" s="27" t="s">
        <v>1174</v>
      </c>
      <c r="K823" s="25" t="str">
        <f aca="false">IFERROR(__xludf.dummyfunction("SPLIT(J823,"" "")"),"CIF")</f>
        <v>CIF</v>
      </c>
      <c r="L823" s="28" t="str">
        <f aca="false">IFERROR(__xludf.dummyfunction("""COMPUTED_VALUE"""),"India")</f>
        <v>India</v>
      </c>
      <c r="M823" s="27" t="str">
        <f aca="false">IFERROR(__xludf.dummyfunction("""COMPUTED_VALUE"""),"(Diff)")</f>
        <v>(Diff)</v>
      </c>
      <c r="N823" s="25"/>
      <c r="O823" s="25"/>
      <c r="P823" s="25"/>
      <c r="Q823" s="29" t="s">
        <v>271</v>
      </c>
      <c r="R823" s="8" t="str">
        <f aca="false">B823&amp;" "&amp;C823&amp;" "&amp;D823&amp;" "&amp;E823&amp;" "&amp;G823&amp;" "&amp;H823&amp;" "&amp;J823&amp;" "&amp;N823</f>
        <v>Differentials Cathode     CIF India (Diff) </v>
      </c>
      <c r="S823" s="25"/>
      <c r="T823" s="8"/>
      <c r="U823" s="8"/>
      <c r="V823" s="27" t="s">
        <v>49</v>
      </c>
      <c r="W823" s="25"/>
      <c r="X823" s="25"/>
      <c r="Y823" s="25"/>
      <c r="Z823" s="25"/>
      <c r="AA823" s="25"/>
      <c r="AB823" s="25"/>
      <c r="AC823" s="25"/>
      <c r="AD823" s="25"/>
    </row>
    <row r="824" customFormat="false" ht="15.75" hidden="false" customHeight="false" outlineLevel="0" collapsed="false">
      <c r="A824" s="28" t="s">
        <v>1196</v>
      </c>
      <c r="B824" s="27" t="s">
        <v>438</v>
      </c>
      <c r="C824" s="27" t="s">
        <v>236</v>
      </c>
      <c r="D824" s="25"/>
      <c r="E824" s="25"/>
      <c r="F824" s="25"/>
      <c r="G824" s="25"/>
      <c r="H824" s="25"/>
      <c r="I824" s="25"/>
      <c r="J824" s="27" t="s">
        <v>1174</v>
      </c>
      <c r="K824" s="25" t="str">
        <f aca="false">IFERROR(__xludf.dummyfunction("SPLIT(J824,"" "")"),"CIF")</f>
        <v>CIF</v>
      </c>
      <c r="L824" s="28" t="str">
        <f aca="false">IFERROR(__xludf.dummyfunction("""COMPUTED_VALUE"""),"India")</f>
        <v>India</v>
      </c>
      <c r="M824" s="27" t="str">
        <f aca="false">IFERROR(__xludf.dummyfunction("""COMPUTED_VALUE"""),"(Diff)")</f>
        <v>(Diff)</v>
      </c>
      <c r="N824" s="25"/>
      <c r="O824" s="25"/>
      <c r="P824" s="25"/>
      <c r="Q824" s="29" t="s">
        <v>266</v>
      </c>
      <c r="R824" s="8" t="str">
        <f aca="false">B824&amp;" "&amp;C824&amp;" "&amp;D824&amp;" "&amp;E824&amp;" "&amp;G824&amp;" "&amp;H824&amp;" "&amp;J824&amp;" "&amp;N824</f>
        <v>Differentials Cathode     CIF India (Diff) </v>
      </c>
      <c r="S824" s="25"/>
      <c r="T824" s="8"/>
      <c r="U824" s="8"/>
      <c r="V824" s="27" t="s">
        <v>49</v>
      </c>
      <c r="W824" s="25"/>
      <c r="X824" s="25"/>
      <c r="Y824" s="25"/>
      <c r="Z824" s="25"/>
      <c r="AA824" s="25"/>
      <c r="AB824" s="25"/>
      <c r="AC824" s="25"/>
      <c r="AD824" s="25"/>
    </row>
    <row r="825" customFormat="false" ht="15.75" hidden="false" customHeight="false" outlineLevel="0" collapsed="false">
      <c r="A825" s="28" t="s">
        <v>1197</v>
      </c>
      <c r="B825" s="27" t="s">
        <v>438</v>
      </c>
      <c r="C825" s="27" t="s">
        <v>236</v>
      </c>
      <c r="D825" s="25"/>
      <c r="E825" s="25"/>
      <c r="F825" s="25"/>
      <c r="G825" s="25"/>
      <c r="H825" s="25"/>
      <c r="I825" s="25"/>
      <c r="J825" s="27" t="s">
        <v>1174</v>
      </c>
      <c r="K825" s="25" t="str">
        <f aca="false">IFERROR(__xludf.dummyfunction("SPLIT(J825,"" "")"),"CIF")</f>
        <v>CIF</v>
      </c>
      <c r="L825" s="28" t="str">
        <f aca="false">IFERROR(__xludf.dummyfunction("""COMPUTED_VALUE"""),"India")</f>
        <v>India</v>
      </c>
      <c r="M825" s="27" t="str">
        <f aca="false">IFERROR(__xludf.dummyfunction("""COMPUTED_VALUE"""),"(Diff)")</f>
        <v>(Diff)</v>
      </c>
      <c r="N825" s="25"/>
      <c r="O825" s="25"/>
      <c r="P825" s="25"/>
      <c r="Q825" s="29" t="s">
        <v>261</v>
      </c>
      <c r="R825" s="8" t="str">
        <f aca="false">B825&amp;" "&amp;C825&amp;" "&amp;D825&amp;" "&amp;E825&amp;" "&amp;G825&amp;" "&amp;H825&amp;" "&amp;J825&amp;" "&amp;N825</f>
        <v>Differentials Cathode     CIF India (Diff) </v>
      </c>
      <c r="S825" s="25"/>
      <c r="T825" s="8"/>
      <c r="U825" s="8"/>
      <c r="V825" s="27" t="s">
        <v>49</v>
      </c>
      <c r="W825" s="25"/>
      <c r="X825" s="25"/>
      <c r="Y825" s="25"/>
      <c r="Z825" s="25"/>
      <c r="AA825" s="25"/>
      <c r="AB825" s="25"/>
      <c r="AC825" s="25"/>
      <c r="AD825" s="25"/>
    </row>
    <row r="826" customFormat="false" ht="15.75" hidden="false" customHeight="false" outlineLevel="0" collapsed="false">
      <c r="A826" s="28" t="s">
        <v>1198</v>
      </c>
      <c r="B826" s="27" t="s">
        <v>438</v>
      </c>
      <c r="C826" s="27" t="s">
        <v>236</v>
      </c>
      <c r="D826" s="25"/>
      <c r="E826" s="25"/>
      <c r="F826" s="25"/>
      <c r="G826" s="25"/>
      <c r="H826" s="25"/>
      <c r="I826" s="25"/>
      <c r="J826" s="27" t="s">
        <v>1174</v>
      </c>
      <c r="K826" s="25" t="str">
        <f aca="false">IFERROR(__xludf.dummyfunction("SPLIT(J826,"" "")"),"CIF")</f>
        <v>CIF</v>
      </c>
      <c r="L826" s="28" t="str">
        <f aca="false">IFERROR(__xludf.dummyfunction("""COMPUTED_VALUE"""),"India")</f>
        <v>India</v>
      </c>
      <c r="M826" s="27" t="str">
        <f aca="false">IFERROR(__xludf.dummyfunction("""COMPUTED_VALUE"""),"(Diff)")</f>
        <v>(Diff)</v>
      </c>
      <c r="N826" s="25"/>
      <c r="O826" s="25"/>
      <c r="P826" s="25"/>
      <c r="Q826" s="29" t="s">
        <v>256</v>
      </c>
      <c r="R826" s="8" t="str">
        <f aca="false">B826&amp;" "&amp;C826&amp;" "&amp;D826&amp;" "&amp;E826&amp;" "&amp;G826&amp;" "&amp;H826&amp;" "&amp;J826&amp;" "&amp;N826</f>
        <v>Differentials Cathode     CIF India (Diff) </v>
      </c>
      <c r="S826" s="25"/>
      <c r="T826" s="8"/>
      <c r="U826" s="8"/>
      <c r="V826" s="27" t="s">
        <v>49</v>
      </c>
      <c r="W826" s="25"/>
      <c r="X826" s="25"/>
      <c r="Y826" s="25"/>
      <c r="Z826" s="25"/>
      <c r="AA826" s="25"/>
      <c r="AB826" s="25"/>
      <c r="AC826" s="25"/>
      <c r="AD826" s="25"/>
    </row>
    <row r="827" customFormat="false" ht="15.75" hidden="false" customHeight="false" outlineLevel="0" collapsed="false">
      <c r="A827" s="28" t="s">
        <v>1199</v>
      </c>
      <c r="B827" s="27" t="s">
        <v>438</v>
      </c>
      <c r="C827" s="27" t="s">
        <v>236</v>
      </c>
      <c r="D827" s="25"/>
      <c r="E827" s="25"/>
      <c r="F827" s="25"/>
      <c r="G827" s="25"/>
      <c r="H827" s="25"/>
      <c r="I827" s="25"/>
      <c r="J827" s="27" t="s">
        <v>1174</v>
      </c>
      <c r="K827" s="25" t="str">
        <f aca="false">IFERROR(__xludf.dummyfunction("SPLIT(J827,"" "")"),"CIF")</f>
        <v>CIF</v>
      </c>
      <c r="L827" s="28" t="str">
        <f aca="false">IFERROR(__xludf.dummyfunction("""COMPUTED_VALUE"""),"India")</f>
        <v>India</v>
      </c>
      <c r="M827" s="27" t="str">
        <f aca="false">IFERROR(__xludf.dummyfunction("""COMPUTED_VALUE"""),"(Diff)")</f>
        <v>(Diff)</v>
      </c>
      <c r="N827" s="25"/>
      <c r="O827" s="25"/>
      <c r="P827" s="25"/>
      <c r="Q827" s="29" t="s">
        <v>251</v>
      </c>
      <c r="R827" s="8" t="str">
        <f aca="false">B827&amp;" "&amp;C827&amp;" "&amp;D827&amp;" "&amp;E827&amp;" "&amp;G827&amp;" "&amp;H827&amp;" "&amp;J827&amp;" "&amp;N827</f>
        <v>Differentials Cathode     CIF India (Diff) </v>
      </c>
      <c r="S827" s="25"/>
      <c r="T827" s="8"/>
      <c r="U827" s="8"/>
      <c r="V827" s="27" t="s">
        <v>49</v>
      </c>
      <c r="W827" s="25"/>
      <c r="X827" s="25"/>
      <c r="Y827" s="25"/>
      <c r="Z827" s="25"/>
      <c r="AA827" s="25"/>
      <c r="AB827" s="25"/>
      <c r="AC827" s="25"/>
      <c r="AD827" s="25"/>
    </row>
    <row r="828" customFormat="false" ht="15.75" hidden="false" customHeight="false" outlineLevel="0" collapsed="false">
      <c r="A828" s="28" t="s">
        <v>1200</v>
      </c>
      <c r="B828" s="27" t="s">
        <v>438</v>
      </c>
      <c r="C828" s="27" t="s">
        <v>236</v>
      </c>
      <c r="D828" s="25"/>
      <c r="E828" s="25"/>
      <c r="F828" s="25"/>
      <c r="G828" s="25"/>
      <c r="H828" s="25"/>
      <c r="I828" s="25"/>
      <c r="J828" s="27" t="s">
        <v>1174</v>
      </c>
      <c r="K828" s="25" t="str">
        <f aca="false">IFERROR(__xludf.dummyfunction("SPLIT(J828,"" "")"),"CIF")</f>
        <v>CIF</v>
      </c>
      <c r="L828" s="28" t="str">
        <f aca="false">IFERROR(__xludf.dummyfunction("""COMPUTED_VALUE"""),"India")</f>
        <v>India</v>
      </c>
      <c r="M828" s="27" t="str">
        <f aca="false">IFERROR(__xludf.dummyfunction("""COMPUTED_VALUE"""),"(Diff)")</f>
        <v>(Diff)</v>
      </c>
      <c r="N828" s="25"/>
      <c r="O828" s="25"/>
      <c r="P828" s="25"/>
      <c r="Q828" s="29" t="s">
        <v>247</v>
      </c>
      <c r="R828" s="8" t="str">
        <f aca="false">B828&amp;" "&amp;C828&amp;" "&amp;D828&amp;" "&amp;E828&amp;" "&amp;G828&amp;" "&amp;H828&amp;" "&amp;J828&amp;" "&amp;N828</f>
        <v>Differentials Cathode     CIF India (Diff) </v>
      </c>
      <c r="S828" s="25"/>
      <c r="T828" s="8"/>
      <c r="U828" s="8"/>
      <c r="V828" s="27" t="s">
        <v>49</v>
      </c>
      <c r="W828" s="25"/>
      <c r="X828" s="25"/>
      <c r="Y828" s="25"/>
      <c r="Z828" s="25"/>
      <c r="AA828" s="25"/>
      <c r="AB828" s="25"/>
      <c r="AC828" s="25"/>
      <c r="AD828" s="25"/>
    </row>
    <row r="829" customFormat="false" ht="15.75" hidden="false" customHeight="false" outlineLevel="0" collapsed="false">
      <c r="A829" s="28" t="s">
        <v>1201</v>
      </c>
      <c r="B829" s="27" t="s">
        <v>438</v>
      </c>
      <c r="C829" s="27" t="s">
        <v>236</v>
      </c>
      <c r="D829" s="25"/>
      <c r="E829" s="25"/>
      <c r="F829" s="25"/>
      <c r="G829" s="25"/>
      <c r="H829" s="25"/>
      <c r="I829" s="25"/>
      <c r="J829" s="27" t="s">
        <v>1174</v>
      </c>
      <c r="K829" s="25" t="str">
        <f aca="false">IFERROR(__xludf.dummyfunction("SPLIT(J829,"" "")"),"CIF")</f>
        <v>CIF</v>
      </c>
      <c r="L829" s="28" t="str">
        <f aca="false">IFERROR(__xludf.dummyfunction("""COMPUTED_VALUE"""),"India")</f>
        <v>India</v>
      </c>
      <c r="M829" s="27" t="str">
        <f aca="false">IFERROR(__xludf.dummyfunction("""COMPUTED_VALUE"""),"(Diff)")</f>
        <v>(Diff)</v>
      </c>
      <c r="N829" s="25"/>
      <c r="O829" s="25"/>
      <c r="P829" s="25"/>
      <c r="Q829" s="29" t="s">
        <v>243</v>
      </c>
      <c r="R829" s="8" t="str">
        <f aca="false">B829&amp;" "&amp;C829&amp;" "&amp;D829&amp;" "&amp;E829&amp;" "&amp;G829&amp;" "&amp;H829&amp;" "&amp;J829&amp;" "&amp;N829</f>
        <v>Differentials Cathode     CIF India (Diff) </v>
      </c>
      <c r="S829" s="25"/>
      <c r="T829" s="8"/>
      <c r="U829" s="8"/>
      <c r="V829" s="27" t="s">
        <v>49</v>
      </c>
      <c r="W829" s="25"/>
      <c r="X829" s="25"/>
      <c r="Y829" s="25"/>
      <c r="Z829" s="25"/>
      <c r="AA829" s="25"/>
      <c r="AB829" s="25"/>
      <c r="AC829" s="25"/>
      <c r="AD829" s="25"/>
    </row>
    <row r="830" customFormat="false" ht="15.75" hidden="false" customHeight="false" outlineLevel="0" collapsed="false">
      <c r="A830" s="28" t="s">
        <v>1202</v>
      </c>
      <c r="B830" s="27" t="s">
        <v>438</v>
      </c>
      <c r="C830" s="27" t="s">
        <v>236</v>
      </c>
      <c r="D830" s="25"/>
      <c r="E830" s="25"/>
      <c r="F830" s="25"/>
      <c r="G830" s="25"/>
      <c r="H830" s="25"/>
      <c r="I830" s="25"/>
      <c r="J830" s="27" t="s">
        <v>1174</v>
      </c>
      <c r="K830" s="25" t="str">
        <f aca="false">IFERROR(__xludf.dummyfunction("SPLIT(J830,"" "")"),"CIF")</f>
        <v>CIF</v>
      </c>
      <c r="L830" s="28" t="str">
        <f aca="false">IFERROR(__xludf.dummyfunction("""COMPUTED_VALUE"""),"India")</f>
        <v>India</v>
      </c>
      <c r="M830" s="27" t="str">
        <f aca="false">IFERROR(__xludf.dummyfunction("""COMPUTED_VALUE"""),"(Diff)")</f>
        <v>(Diff)</v>
      </c>
      <c r="N830" s="25"/>
      <c r="O830" s="25"/>
      <c r="P830" s="25"/>
      <c r="Q830" s="29" t="s">
        <v>239</v>
      </c>
      <c r="R830" s="8" t="str">
        <f aca="false">B830&amp;" "&amp;C830&amp;" "&amp;D830&amp;" "&amp;E830&amp;" "&amp;G830&amp;" "&amp;H830&amp;" "&amp;J830&amp;" "&amp;N830</f>
        <v>Differentials Cathode     CIF India (Diff) </v>
      </c>
      <c r="S830" s="25"/>
      <c r="T830" s="8"/>
      <c r="U830" s="8"/>
      <c r="V830" s="27" t="s">
        <v>49</v>
      </c>
      <c r="W830" s="25"/>
      <c r="X830" s="25"/>
      <c r="Y830" s="25"/>
      <c r="Z830" s="25"/>
      <c r="AA830" s="25"/>
      <c r="AB830" s="25"/>
      <c r="AC830" s="25"/>
      <c r="AD830" s="25"/>
    </row>
    <row r="831" customFormat="false" ht="15.75" hidden="false" customHeight="false" outlineLevel="0" collapsed="false">
      <c r="A831" s="28" t="s">
        <v>1203</v>
      </c>
      <c r="B831" s="27" t="s">
        <v>438</v>
      </c>
      <c r="C831" s="27" t="s">
        <v>284</v>
      </c>
      <c r="D831" s="25"/>
      <c r="E831" s="25"/>
      <c r="F831" s="25"/>
      <c r="G831" s="25"/>
      <c r="H831" s="25"/>
      <c r="I831" s="25"/>
      <c r="J831" s="27" t="s">
        <v>1174</v>
      </c>
      <c r="K831" s="25" t="str">
        <f aca="false">IFERROR(__xludf.dummyfunction("SPLIT(J831,"" "")"),"CIF")</f>
        <v>CIF</v>
      </c>
      <c r="L831" s="28" t="str">
        <f aca="false">IFERROR(__xludf.dummyfunction("""COMPUTED_VALUE"""),"India")</f>
        <v>India</v>
      </c>
      <c r="M831" s="27" t="str">
        <f aca="false">IFERROR(__xludf.dummyfunction("""COMPUTED_VALUE"""),"(Diff)")</f>
        <v>(Diff)</v>
      </c>
      <c r="N831" s="25"/>
      <c r="O831" s="25"/>
      <c r="P831" s="25"/>
      <c r="Q831" s="29" t="s">
        <v>287</v>
      </c>
      <c r="R831" s="8" t="str">
        <f aca="false">B831&amp;" "&amp;C831&amp;" "&amp;D831&amp;" "&amp;E831&amp;" "&amp;G831&amp;" "&amp;H831&amp;" "&amp;J831&amp;" "&amp;N831</f>
        <v>Differentials Copper (Battery Grade)     CIF India (Diff) </v>
      </c>
      <c r="S831" s="25"/>
      <c r="T831" s="8"/>
      <c r="U831" s="8"/>
      <c r="V831" s="27" t="s">
        <v>49</v>
      </c>
      <c r="W831" s="25"/>
      <c r="X831" s="25"/>
      <c r="Y831" s="25"/>
      <c r="Z831" s="25"/>
      <c r="AA831" s="25"/>
      <c r="AB831" s="25"/>
      <c r="AC831" s="25"/>
      <c r="AD831" s="25"/>
    </row>
    <row r="832" customFormat="false" ht="15.75" hidden="false" customHeight="false" outlineLevel="0" collapsed="false">
      <c r="A832" s="28" t="s">
        <v>1204</v>
      </c>
      <c r="B832" s="27" t="s">
        <v>438</v>
      </c>
      <c r="C832" s="27" t="s">
        <v>284</v>
      </c>
      <c r="D832" s="25"/>
      <c r="E832" s="25"/>
      <c r="F832" s="25"/>
      <c r="G832" s="25"/>
      <c r="H832" s="25"/>
      <c r="I832" s="25"/>
      <c r="J832" s="27" t="s">
        <v>1174</v>
      </c>
      <c r="K832" s="25" t="str">
        <f aca="false">IFERROR(__xludf.dummyfunction("SPLIT(J832,"" "")"),"CIF")</f>
        <v>CIF</v>
      </c>
      <c r="L832" s="28" t="str">
        <f aca="false">IFERROR(__xludf.dummyfunction("""COMPUTED_VALUE"""),"India")</f>
        <v>India</v>
      </c>
      <c r="M832" s="27" t="str">
        <f aca="false">IFERROR(__xludf.dummyfunction("""COMPUTED_VALUE"""),"(Diff)")</f>
        <v>(Diff)</v>
      </c>
      <c r="N832" s="25"/>
      <c r="O832" s="25"/>
      <c r="P832" s="25"/>
      <c r="Q832" s="29" t="s">
        <v>285</v>
      </c>
      <c r="R832" s="8" t="str">
        <f aca="false">B832&amp;" "&amp;C832&amp;" "&amp;D832&amp;" "&amp;E832&amp;" "&amp;G832&amp;" "&amp;H832&amp;" "&amp;J832&amp;" "&amp;N832</f>
        <v>Differentials Copper (Battery Grade)     CIF India (Diff) </v>
      </c>
      <c r="S832" s="25"/>
      <c r="T832" s="8"/>
      <c r="U832" s="8"/>
      <c r="V832" s="27" t="s">
        <v>49</v>
      </c>
      <c r="W832" s="25"/>
      <c r="X832" s="25"/>
      <c r="Y832" s="25"/>
      <c r="Z832" s="25"/>
      <c r="AA832" s="25"/>
      <c r="AB832" s="25"/>
      <c r="AC832" s="25"/>
      <c r="AD832" s="25"/>
    </row>
    <row r="833" customFormat="false" ht="15.75" hidden="false" customHeight="false" outlineLevel="0" collapsed="false">
      <c r="A833" s="28" t="s">
        <v>1205</v>
      </c>
      <c r="B833" s="27" t="s">
        <v>438</v>
      </c>
      <c r="C833" s="27" t="s">
        <v>289</v>
      </c>
      <c r="D833" s="25"/>
      <c r="E833" s="25"/>
      <c r="F833" s="25"/>
      <c r="G833" s="25"/>
      <c r="H833" s="25"/>
      <c r="I833" s="25"/>
      <c r="J833" s="27" t="s">
        <v>1174</v>
      </c>
      <c r="K833" s="25" t="str">
        <f aca="false">IFERROR(__xludf.dummyfunction("SPLIT(J833,"" "")"),"CIF")</f>
        <v>CIF</v>
      </c>
      <c r="L833" s="28" t="str">
        <f aca="false">IFERROR(__xludf.dummyfunction("""COMPUTED_VALUE"""),"India")</f>
        <v>India</v>
      </c>
      <c r="M833" s="27" t="str">
        <f aca="false">IFERROR(__xludf.dummyfunction("""COMPUTED_VALUE"""),"(Diff)")</f>
        <v>(Diff)</v>
      </c>
      <c r="N833" s="25"/>
      <c r="O833" s="25"/>
      <c r="P833" s="25"/>
      <c r="Q833" s="29" t="s">
        <v>306</v>
      </c>
      <c r="R833" s="8" t="str">
        <f aca="false">B833&amp;" "&amp;C833&amp;" "&amp;D833&amp;" "&amp;E833&amp;" "&amp;G833&amp;" "&amp;H833&amp;" "&amp;J833&amp;" "&amp;N833</f>
        <v>Differentials Electrolyte     CIF India (Diff) </v>
      </c>
      <c r="S833" s="25"/>
      <c r="T833" s="8"/>
      <c r="U833" s="8"/>
      <c r="V833" s="27" t="s">
        <v>49</v>
      </c>
      <c r="W833" s="25"/>
      <c r="X833" s="25"/>
      <c r="Y833" s="25"/>
      <c r="Z833" s="25"/>
      <c r="AA833" s="25"/>
      <c r="AB833" s="25"/>
      <c r="AC833" s="25"/>
      <c r="AD833" s="25"/>
    </row>
    <row r="834" customFormat="false" ht="15.75" hidden="false" customHeight="false" outlineLevel="0" collapsed="false">
      <c r="A834" s="28" t="s">
        <v>1206</v>
      </c>
      <c r="B834" s="27" t="s">
        <v>438</v>
      </c>
      <c r="C834" s="27" t="s">
        <v>289</v>
      </c>
      <c r="D834" s="25"/>
      <c r="E834" s="25"/>
      <c r="F834" s="25"/>
      <c r="G834" s="25"/>
      <c r="H834" s="25"/>
      <c r="I834" s="25"/>
      <c r="J834" s="27" t="s">
        <v>1174</v>
      </c>
      <c r="K834" s="25" t="str">
        <f aca="false">IFERROR(__xludf.dummyfunction("SPLIT(J834,"" "")"),"CIF")</f>
        <v>CIF</v>
      </c>
      <c r="L834" s="28" t="str">
        <f aca="false">IFERROR(__xludf.dummyfunction("""COMPUTED_VALUE"""),"India")</f>
        <v>India</v>
      </c>
      <c r="M834" s="27" t="str">
        <f aca="false">IFERROR(__xludf.dummyfunction("""COMPUTED_VALUE"""),"(Diff)")</f>
        <v>(Diff)</v>
      </c>
      <c r="N834" s="25"/>
      <c r="O834" s="25"/>
      <c r="P834" s="25"/>
      <c r="Q834" s="29" t="s">
        <v>304</v>
      </c>
      <c r="R834" s="8" t="str">
        <f aca="false">B834&amp;" "&amp;C834&amp;" "&amp;D834&amp;" "&amp;E834&amp;" "&amp;G834&amp;" "&amp;H834&amp;" "&amp;J834&amp;" "&amp;N834</f>
        <v>Differentials Electrolyte     CIF India (Diff) </v>
      </c>
      <c r="S834" s="25"/>
      <c r="T834" s="8"/>
      <c r="U834" s="8"/>
      <c r="V834" s="27" t="s">
        <v>49</v>
      </c>
      <c r="W834" s="25"/>
      <c r="X834" s="25"/>
      <c r="Y834" s="25"/>
      <c r="Z834" s="25"/>
      <c r="AA834" s="25"/>
      <c r="AB834" s="25"/>
      <c r="AC834" s="25"/>
      <c r="AD834" s="25"/>
    </row>
    <row r="835" customFormat="false" ht="15.75" hidden="false" customHeight="false" outlineLevel="0" collapsed="false">
      <c r="A835" s="28" t="s">
        <v>1207</v>
      </c>
      <c r="B835" s="27" t="s">
        <v>438</v>
      </c>
      <c r="C835" s="27" t="s">
        <v>289</v>
      </c>
      <c r="D835" s="25"/>
      <c r="E835" s="25"/>
      <c r="F835" s="25"/>
      <c r="G835" s="25"/>
      <c r="H835" s="25"/>
      <c r="I835" s="25"/>
      <c r="J835" s="27" t="s">
        <v>1174</v>
      </c>
      <c r="K835" s="25" t="str">
        <f aca="false">IFERROR(__xludf.dummyfunction("SPLIT(J835,"" "")"),"CIF")</f>
        <v>CIF</v>
      </c>
      <c r="L835" s="28" t="str">
        <f aca="false">IFERROR(__xludf.dummyfunction("""COMPUTED_VALUE"""),"India")</f>
        <v>India</v>
      </c>
      <c r="M835" s="27" t="str">
        <f aca="false">IFERROR(__xludf.dummyfunction("""COMPUTED_VALUE"""),"(Diff)")</f>
        <v>(Diff)</v>
      </c>
      <c r="N835" s="25"/>
      <c r="O835" s="25"/>
      <c r="P835" s="25"/>
      <c r="Q835" s="29" t="s">
        <v>302</v>
      </c>
      <c r="R835" s="8" t="str">
        <f aca="false">B835&amp;" "&amp;C835&amp;" "&amp;D835&amp;" "&amp;E835&amp;" "&amp;G835&amp;" "&amp;H835&amp;" "&amp;J835&amp;" "&amp;N835</f>
        <v>Differentials Electrolyte     CIF India (Diff) </v>
      </c>
      <c r="S835" s="25"/>
      <c r="T835" s="8"/>
      <c r="U835" s="8"/>
      <c r="V835" s="27" t="s">
        <v>49</v>
      </c>
      <c r="W835" s="25"/>
      <c r="X835" s="25"/>
      <c r="Y835" s="25"/>
      <c r="Z835" s="25"/>
      <c r="AA835" s="25"/>
      <c r="AB835" s="25"/>
      <c r="AC835" s="25"/>
      <c r="AD835" s="25"/>
    </row>
    <row r="836" customFormat="false" ht="15.75" hidden="false" customHeight="false" outlineLevel="0" collapsed="false">
      <c r="A836" s="28" t="s">
        <v>1208</v>
      </c>
      <c r="B836" s="27" t="s">
        <v>438</v>
      </c>
      <c r="C836" s="27" t="s">
        <v>289</v>
      </c>
      <c r="D836" s="25"/>
      <c r="E836" s="25"/>
      <c r="F836" s="25"/>
      <c r="G836" s="25"/>
      <c r="H836" s="25"/>
      <c r="I836" s="25"/>
      <c r="J836" s="27" t="s">
        <v>1174</v>
      </c>
      <c r="K836" s="25" t="str">
        <f aca="false">IFERROR(__xludf.dummyfunction("SPLIT(J836,"" "")"),"CIF")</f>
        <v>CIF</v>
      </c>
      <c r="L836" s="28" t="str">
        <f aca="false">IFERROR(__xludf.dummyfunction("""COMPUTED_VALUE"""),"India")</f>
        <v>India</v>
      </c>
      <c r="M836" s="27" t="str">
        <f aca="false">IFERROR(__xludf.dummyfunction("""COMPUTED_VALUE"""),"(Diff)")</f>
        <v>(Diff)</v>
      </c>
      <c r="N836" s="25"/>
      <c r="O836" s="25"/>
      <c r="P836" s="25"/>
      <c r="Q836" s="29" t="s">
        <v>300</v>
      </c>
      <c r="R836" s="8" t="str">
        <f aca="false">B836&amp;" "&amp;C836&amp;" "&amp;D836&amp;" "&amp;E836&amp;" "&amp;G836&amp;" "&amp;H836&amp;" "&amp;J836&amp;" "&amp;N836</f>
        <v>Differentials Electrolyte     CIF India (Diff) </v>
      </c>
      <c r="S836" s="25"/>
      <c r="T836" s="8"/>
      <c r="U836" s="8"/>
      <c r="V836" s="27" t="s">
        <v>49</v>
      </c>
      <c r="W836" s="25"/>
      <c r="X836" s="25"/>
      <c r="Y836" s="25"/>
      <c r="Z836" s="25"/>
      <c r="AA836" s="25"/>
      <c r="AB836" s="25"/>
      <c r="AC836" s="25"/>
      <c r="AD836" s="25"/>
    </row>
    <row r="837" customFormat="false" ht="15.75" hidden="false" customHeight="false" outlineLevel="0" collapsed="false">
      <c r="A837" s="28" t="s">
        <v>1209</v>
      </c>
      <c r="B837" s="27" t="s">
        <v>438</v>
      </c>
      <c r="C837" s="27" t="s">
        <v>289</v>
      </c>
      <c r="D837" s="25"/>
      <c r="E837" s="25"/>
      <c r="F837" s="25"/>
      <c r="G837" s="25"/>
      <c r="H837" s="25"/>
      <c r="I837" s="25"/>
      <c r="J837" s="27" t="s">
        <v>1174</v>
      </c>
      <c r="K837" s="25" t="str">
        <f aca="false">IFERROR(__xludf.dummyfunction("SPLIT(J837,"" "")"),"CIF")</f>
        <v>CIF</v>
      </c>
      <c r="L837" s="28" t="str">
        <f aca="false">IFERROR(__xludf.dummyfunction("""COMPUTED_VALUE"""),"India")</f>
        <v>India</v>
      </c>
      <c r="M837" s="27" t="str">
        <f aca="false">IFERROR(__xludf.dummyfunction("""COMPUTED_VALUE"""),"(Diff)")</f>
        <v>(Diff)</v>
      </c>
      <c r="N837" s="25"/>
      <c r="O837" s="25"/>
      <c r="P837" s="25"/>
      <c r="Q837" s="29" t="s">
        <v>298</v>
      </c>
      <c r="R837" s="8" t="str">
        <f aca="false">B837&amp;" "&amp;C837&amp;" "&amp;D837&amp;" "&amp;E837&amp;" "&amp;G837&amp;" "&amp;H837&amp;" "&amp;J837&amp;" "&amp;N837</f>
        <v>Differentials Electrolyte     CIF India (Diff) </v>
      </c>
      <c r="S837" s="25"/>
      <c r="T837" s="8"/>
      <c r="U837" s="8"/>
      <c r="V837" s="27" t="s">
        <v>49</v>
      </c>
      <c r="W837" s="25"/>
      <c r="X837" s="25"/>
      <c r="Y837" s="25"/>
      <c r="Z837" s="25"/>
      <c r="AA837" s="25"/>
      <c r="AB837" s="25"/>
      <c r="AC837" s="25"/>
      <c r="AD837" s="25"/>
    </row>
    <row r="838" customFormat="false" ht="15.75" hidden="false" customHeight="false" outlineLevel="0" collapsed="false">
      <c r="A838" s="28" t="s">
        <v>1210</v>
      </c>
      <c r="B838" s="27" t="s">
        <v>438</v>
      </c>
      <c r="C838" s="27" t="s">
        <v>289</v>
      </c>
      <c r="D838" s="25"/>
      <c r="E838" s="25"/>
      <c r="F838" s="25"/>
      <c r="G838" s="25"/>
      <c r="H838" s="25"/>
      <c r="I838" s="25"/>
      <c r="J838" s="27" t="s">
        <v>1174</v>
      </c>
      <c r="K838" s="25" t="str">
        <f aca="false">IFERROR(__xludf.dummyfunction("SPLIT(J838,"" "")"),"CIF")</f>
        <v>CIF</v>
      </c>
      <c r="L838" s="28" t="str">
        <f aca="false">IFERROR(__xludf.dummyfunction("""COMPUTED_VALUE"""),"India")</f>
        <v>India</v>
      </c>
      <c r="M838" s="27" t="str">
        <f aca="false">IFERROR(__xludf.dummyfunction("""COMPUTED_VALUE"""),"(Diff)")</f>
        <v>(Diff)</v>
      </c>
      <c r="N838" s="25"/>
      <c r="O838" s="25"/>
      <c r="P838" s="25"/>
      <c r="Q838" s="29" t="s">
        <v>296</v>
      </c>
      <c r="R838" s="8" t="str">
        <f aca="false">B838&amp;" "&amp;C838&amp;" "&amp;D838&amp;" "&amp;E838&amp;" "&amp;G838&amp;" "&amp;H838&amp;" "&amp;J838&amp;" "&amp;N838</f>
        <v>Differentials Electrolyte     CIF India (Diff) </v>
      </c>
      <c r="S838" s="25"/>
      <c r="T838" s="8"/>
      <c r="U838" s="8"/>
      <c r="V838" s="27" t="s">
        <v>49</v>
      </c>
      <c r="W838" s="25"/>
      <c r="X838" s="25"/>
      <c r="Y838" s="25"/>
      <c r="Z838" s="25"/>
      <c r="AA838" s="25"/>
      <c r="AB838" s="25"/>
      <c r="AC838" s="25"/>
      <c r="AD838" s="25"/>
    </row>
    <row r="839" customFormat="false" ht="15.75" hidden="false" customHeight="false" outlineLevel="0" collapsed="false">
      <c r="A839" s="28" t="s">
        <v>1211</v>
      </c>
      <c r="B839" s="27" t="s">
        <v>438</v>
      </c>
      <c r="C839" s="27" t="s">
        <v>289</v>
      </c>
      <c r="D839" s="25"/>
      <c r="E839" s="25"/>
      <c r="F839" s="25"/>
      <c r="G839" s="25"/>
      <c r="H839" s="25"/>
      <c r="I839" s="25"/>
      <c r="J839" s="27" t="s">
        <v>1174</v>
      </c>
      <c r="K839" s="25" t="str">
        <f aca="false">IFERROR(__xludf.dummyfunction("SPLIT(J839,"" "")"),"CIF")</f>
        <v>CIF</v>
      </c>
      <c r="L839" s="28" t="str">
        <f aca="false">IFERROR(__xludf.dummyfunction("""COMPUTED_VALUE"""),"India")</f>
        <v>India</v>
      </c>
      <c r="M839" s="27" t="str">
        <f aca="false">IFERROR(__xludf.dummyfunction("""COMPUTED_VALUE"""),"(Diff)")</f>
        <v>(Diff)</v>
      </c>
      <c r="N839" s="25"/>
      <c r="O839" s="25"/>
      <c r="P839" s="25"/>
      <c r="Q839" s="29" t="s">
        <v>294</v>
      </c>
      <c r="R839" s="8" t="str">
        <f aca="false">B839&amp;" "&amp;C839&amp;" "&amp;D839&amp;" "&amp;E839&amp;" "&amp;G839&amp;" "&amp;H839&amp;" "&amp;J839&amp;" "&amp;N839</f>
        <v>Differentials Electrolyte     CIF India (Diff) </v>
      </c>
      <c r="S839" s="25"/>
      <c r="T839" s="8"/>
      <c r="U839" s="8"/>
      <c r="V839" s="27" t="s">
        <v>49</v>
      </c>
      <c r="W839" s="25"/>
      <c r="X839" s="25"/>
      <c r="Y839" s="25"/>
      <c r="Z839" s="25"/>
      <c r="AA839" s="25"/>
      <c r="AB839" s="25"/>
      <c r="AC839" s="25"/>
      <c r="AD839" s="25"/>
    </row>
    <row r="840" customFormat="false" ht="15.75" hidden="false" customHeight="false" outlineLevel="0" collapsed="false">
      <c r="A840" s="28" t="s">
        <v>1212</v>
      </c>
      <c r="B840" s="27" t="s">
        <v>438</v>
      </c>
      <c r="C840" s="27" t="s">
        <v>289</v>
      </c>
      <c r="D840" s="25"/>
      <c r="E840" s="25"/>
      <c r="F840" s="25"/>
      <c r="G840" s="25"/>
      <c r="H840" s="25"/>
      <c r="I840" s="25"/>
      <c r="J840" s="27" t="s">
        <v>1174</v>
      </c>
      <c r="K840" s="25" t="str">
        <f aca="false">IFERROR(__xludf.dummyfunction("SPLIT(J840,"" "")"),"CIF")</f>
        <v>CIF</v>
      </c>
      <c r="L840" s="28" t="str">
        <f aca="false">IFERROR(__xludf.dummyfunction("""COMPUTED_VALUE"""),"India")</f>
        <v>India</v>
      </c>
      <c r="M840" s="27" t="str">
        <f aca="false">IFERROR(__xludf.dummyfunction("""COMPUTED_VALUE"""),"(Diff)")</f>
        <v>(Diff)</v>
      </c>
      <c r="N840" s="25"/>
      <c r="O840" s="25"/>
      <c r="P840" s="25"/>
      <c r="Q840" s="29" t="s">
        <v>291</v>
      </c>
      <c r="R840" s="8" t="str">
        <f aca="false">B840&amp;" "&amp;C840&amp;" "&amp;D840&amp;" "&amp;E840&amp;" "&amp;G840&amp;" "&amp;H840&amp;" "&amp;J840&amp;" "&amp;N840</f>
        <v>Differentials Electrolyte     CIF India (Diff) </v>
      </c>
      <c r="S840" s="25"/>
      <c r="T840" s="8"/>
      <c r="U840" s="8"/>
      <c r="V840" s="27" t="s">
        <v>49</v>
      </c>
      <c r="W840" s="25"/>
      <c r="X840" s="25"/>
      <c r="Y840" s="25"/>
      <c r="Z840" s="25"/>
      <c r="AA840" s="25"/>
      <c r="AB840" s="25"/>
      <c r="AC840" s="25"/>
      <c r="AD840" s="25"/>
    </row>
    <row r="841" customFormat="false" ht="15.75" hidden="false" customHeight="false" outlineLevel="0" collapsed="false">
      <c r="A841" s="28" t="s">
        <v>1213</v>
      </c>
      <c r="B841" s="27" t="s">
        <v>438</v>
      </c>
      <c r="C841" s="27" t="s">
        <v>308</v>
      </c>
      <c r="D841" s="25"/>
      <c r="E841" s="25"/>
      <c r="F841" s="25"/>
      <c r="G841" s="25"/>
      <c r="H841" s="25"/>
      <c r="I841" s="25"/>
      <c r="J841" s="27" t="s">
        <v>1174</v>
      </c>
      <c r="K841" s="25" t="str">
        <f aca="false">IFERROR(__xludf.dummyfunction("SPLIT(J841,"" "")"),"CIF")</f>
        <v>CIF</v>
      </c>
      <c r="L841" s="28" t="str">
        <f aca="false">IFERROR(__xludf.dummyfunction("""COMPUTED_VALUE"""),"India")</f>
        <v>India</v>
      </c>
      <c r="M841" s="27" t="str">
        <f aca="false">IFERROR(__xludf.dummyfunction("""COMPUTED_VALUE"""),"(Diff)")</f>
        <v>(Diff)</v>
      </c>
      <c r="N841" s="25"/>
      <c r="O841" s="25"/>
      <c r="P841" s="25"/>
      <c r="Q841" s="29" t="s">
        <v>358</v>
      </c>
      <c r="R841" s="8" t="str">
        <f aca="false">B841&amp;" "&amp;C841&amp;" "&amp;D841&amp;" "&amp;E841&amp;" "&amp;G841&amp;" "&amp;H841&amp;" "&amp;J841&amp;" "&amp;N841</f>
        <v>Differentials Graphite     CIF India (Diff) </v>
      </c>
      <c r="S841" s="25"/>
      <c r="T841" s="8"/>
      <c r="U841" s="8"/>
      <c r="V841" s="27" t="s">
        <v>49</v>
      </c>
      <c r="W841" s="25"/>
      <c r="X841" s="25"/>
      <c r="Y841" s="25"/>
      <c r="Z841" s="25"/>
      <c r="AA841" s="25"/>
      <c r="AB841" s="25"/>
      <c r="AC841" s="25"/>
      <c r="AD841" s="25"/>
    </row>
    <row r="842" customFormat="false" ht="15.75" hidden="false" customHeight="false" outlineLevel="0" collapsed="false">
      <c r="A842" s="28" t="s">
        <v>1214</v>
      </c>
      <c r="B842" s="27" t="s">
        <v>438</v>
      </c>
      <c r="C842" s="27" t="s">
        <v>308</v>
      </c>
      <c r="D842" s="25"/>
      <c r="E842" s="25"/>
      <c r="F842" s="25"/>
      <c r="G842" s="25"/>
      <c r="H842" s="25"/>
      <c r="I842" s="25"/>
      <c r="J842" s="27" t="s">
        <v>1174</v>
      </c>
      <c r="K842" s="25" t="str">
        <f aca="false">IFERROR(__xludf.dummyfunction("SPLIT(J842,"" "")"),"CIF")</f>
        <v>CIF</v>
      </c>
      <c r="L842" s="28" t="str">
        <f aca="false">IFERROR(__xludf.dummyfunction("""COMPUTED_VALUE"""),"India")</f>
        <v>India</v>
      </c>
      <c r="M842" s="27" t="str">
        <f aca="false">IFERROR(__xludf.dummyfunction("""COMPUTED_VALUE"""),"(Diff)")</f>
        <v>(Diff)</v>
      </c>
      <c r="N842" s="25"/>
      <c r="O842" s="25"/>
      <c r="P842" s="25"/>
      <c r="Q842" s="29" t="s">
        <v>356</v>
      </c>
      <c r="R842" s="8" t="str">
        <f aca="false">B842&amp;" "&amp;C842&amp;" "&amp;D842&amp;" "&amp;E842&amp;" "&amp;G842&amp;" "&amp;H842&amp;" "&amp;J842&amp;" "&amp;N842</f>
        <v>Differentials Graphite     CIF India (Diff) </v>
      </c>
      <c r="S842" s="25"/>
      <c r="T842" s="8"/>
      <c r="U842" s="8"/>
      <c r="V842" s="27" t="s">
        <v>49</v>
      </c>
      <c r="W842" s="25"/>
      <c r="X842" s="25"/>
      <c r="Y842" s="25"/>
      <c r="Z842" s="25"/>
      <c r="AA842" s="25"/>
      <c r="AB842" s="25"/>
      <c r="AC842" s="25"/>
      <c r="AD842" s="25"/>
    </row>
    <row r="843" customFormat="false" ht="15.75" hidden="false" customHeight="false" outlineLevel="0" collapsed="false">
      <c r="A843" s="28" t="s">
        <v>1215</v>
      </c>
      <c r="B843" s="27" t="s">
        <v>438</v>
      </c>
      <c r="C843" s="27" t="s">
        <v>308</v>
      </c>
      <c r="D843" s="25"/>
      <c r="E843" s="25"/>
      <c r="F843" s="25"/>
      <c r="G843" s="25"/>
      <c r="H843" s="25"/>
      <c r="I843" s="25"/>
      <c r="J843" s="27" t="s">
        <v>1174</v>
      </c>
      <c r="K843" s="25" t="str">
        <f aca="false">IFERROR(__xludf.dummyfunction("SPLIT(J843,"" "")"),"CIF")</f>
        <v>CIF</v>
      </c>
      <c r="L843" s="28" t="str">
        <f aca="false">IFERROR(__xludf.dummyfunction("""COMPUTED_VALUE"""),"India")</f>
        <v>India</v>
      </c>
      <c r="M843" s="27" t="str">
        <f aca="false">IFERROR(__xludf.dummyfunction("""COMPUTED_VALUE"""),"(Diff)")</f>
        <v>(Diff)</v>
      </c>
      <c r="N843" s="25"/>
      <c r="O843" s="25"/>
      <c r="P843" s="25"/>
      <c r="Q843" s="29" t="s">
        <v>354</v>
      </c>
      <c r="R843" s="8" t="str">
        <f aca="false">B843&amp;" "&amp;C843&amp;" "&amp;D843&amp;" "&amp;E843&amp;" "&amp;G843&amp;" "&amp;H843&amp;" "&amp;J843&amp;" "&amp;N843</f>
        <v>Differentials Graphite     CIF India (Diff) </v>
      </c>
      <c r="S843" s="25"/>
      <c r="T843" s="8"/>
      <c r="U843" s="8"/>
      <c r="V843" s="27" t="s">
        <v>49</v>
      </c>
      <c r="W843" s="25"/>
      <c r="X843" s="25"/>
      <c r="Y843" s="25"/>
      <c r="Z843" s="25"/>
      <c r="AA843" s="25"/>
      <c r="AB843" s="25"/>
      <c r="AC843" s="25"/>
      <c r="AD843" s="25"/>
    </row>
    <row r="844" customFormat="false" ht="15.75" hidden="false" customHeight="false" outlineLevel="0" collapsed="false">
      <c r="A844" s="28" t="s">
        <v>1216</v>
      </c>
      <c r="B844" s="27" t="s">
        <v>438</v>
      </c>
      <c r="C844" s="27" t="s">
        <v>308</v>
      </c>
      <c r="D844" s="25"/>
      <c r="E844" s="25"/>
      <c r="F844" s="25"/>
      <c r="G844" s="25"/>
      <c r="H844" s="25"/>
      <c r="I844" s="25"/>
      <c r="J844" s="27" t="s">
        <v>1174</v>
      </c>
      <c r="K844" s="25" t="str">
        <f aca="false">IFERROR(__xludf.dummyfunction("SPLIT(J844,"" "")"),"CIF")</f>
        <v>CIF</v>
      </c>
      <c r="L844" s="28" t="str">
        <f aca="false">IFERROR(__xludf.dummyfunction("""COMPUTED_VALUE"""),"India")</f>
        <v>India</v>
      </c>
      <c r="M844" s="27" t="str">
        <f aca="false">IFERROR(__xludf.dummyfunction("""COMPUTED_VALUE"""),"(Diff)")</f>
        <v>(Diff)</v>
      </c>
      <c r="N844" s="25"/>
      <c r="O844" s="25"/>
      <c r="P844" s="25"/>
      <c r="Q844" s="29" t="s">
        <v>352</v>
      </c>
      <c r="R844" s="8" t="str">
        <f aca="false">B844&amp;" "&amp;C844&amp;" "&amp;D844&amp;" "&amp;E844&amp;" "&amp;G844&amp;" "&amp;H844&amp;" "&amp;J844&amp;" "&amp;N844</f>
        <v>Differentials Graphite     CIF India (Diff) </v>
      </c>
      <c r="S844" s="25"/>
      <c r="T844" s="8"/>
      <c r="U844" s="8"/>
      <c r="V844" s="27" t="s">
        <v>49</v>
      </c>
      <c r="W844" s="25"/>
      <c r="X844" s="25"/>
      <c r="Y844" s="25"/>
      <c r="Z844" s="25"/>
      <c r="AA844" s="25"/>
      <c r="AB844" s="25"/>
      <c r="AC844" s="25"/>
      <c r="AD844" s="25"/>
    </row>
    <row r="845" customFormat="false" ht="15.75" hidden="false" customHeight="false" outlineLevel="0" collapsed="false">
      <c r="A845" s="28" t="s">
        <v>1217</v>
      </c>
      <c r="B845" s="27" t="s">
        <v>438</v>
      </c>
      <c r="C845" s="27" t="s">
        <v>308</v>
      </c>
      <c r="D845" s="25"/>
      <c r="E845" s="25"/>
      <c r="F845" s="25"/>
      <c r="G845" s="25"/>
      <c r="H845" s="25"/>
      <c r="I845" s="25"/>
      <c r="J845" s="27" t="s">
        <v>1174</v>
      </c>
      <c r="K845" s="25" t="str">
        <f aca="false">IFERROR(__xludf.dummyfunction("SPLIT(J845,"" "")"),"CIF")</f>
        <v>CIF</v>
      </c>
      <c r="L845" s="28" t="str">
        <f aca="false">IFERROR(__xludf.dummyfunction("""COMPUTED_VALUE"""),"India")</f>
        <v>India</v>
      </c>
      <c r="M845" s="27" t="str">
        <f aca="false">IFERROR(__xludf.dummyfunction("""COMPUTED_VALUE"""),"(Diff)")</f>
        <v>(Diff)</v>
      </c>
      <c r="N845" s="25"/>
      <c r="O845" s="25"/>
      <c r="P845" s="25"/>
      <c r="Q845" s="29" t="s">
        <v>350</v>
      </c>
      <c r="R845" s="8" t="str">
        <f aca="false">B845&amp;" "&amp;C845&amp;" "&amp;D845&amp;" "&amp;E845&amp;" "&amp;G845&amp;" "&amp;H845&amp;" "&amp;J845&amp;" "&amp;N845</f>
        <v>Differentials Graphite     CIF India (Diff) </v>
      </c>
      <c r="S845" s="25"/>
      <c r="T845" s="8"/>
      <c r="U845" s="8"/>
      <c r="V845" s="27" t="s">
        <v>49</v>
      </c>
      <c r="W845" s="25"/>
      <c r="X845" s="25"/>
      <c r="Y845" s="25"/>
      <c r="Z845" s="25"/>
      <c r="AA845" s="25"/>
      <c r="AB845" s="25"/>
      <c r="AC845" s="25"/>
      <c r="AD845" s="25"/>
    </row>
    <row r="846" customFormat="false" ht="15.75" hidden="false" customHeight="false" outlineLevel="0" collapsed="false">
      <c r="A846" s="28" t="s">
        <v>1218</v>
      </c>
      <c r="B846" s="27" t="s">
        <v>438</v>
      </c>
      <c r="C846" s="27" t="s">
        <v>308</v>
      </c>
      <c r="D846" s="25"/>
      <c r="E846" s="25"/>
      <c r="F846" s="25"/>
      <c r="G846" s="25"/>
      <c r="H846" s="25"/>
      <c r="I846" s="25"/>
      <c r="J846" s="27" t="s">
        <v>1174</v>
      </c>
      <c r="K846" s="25" t="str">
        <f aca="false">IFERROR(__xludf.dummyfunction("SPLIT(J846,"" "")"),"CIF")</f>
        <v>CIF</v>
      </c>
      <c r="L846" s="28" t="str">
        <f aca="false">IFERROR(__xludf.dummyfunction("""COMPUTED_VALUE"""),"India")</f>
        <v>India</v>
      </c>
      <c r="M846" s="27" t="str">
        <f aca="false">IFERROR(__xludf.dummyfunction("""COMPUTED_VALUE"""),"(Diff)")</f>
        <v>(Diff)</v>
      </c>
      <c r="N846" s="25"/>
      <c r="O846" s="25"/>
      <c r="P846" s="25"/>
      <c r="Q846" s="29" t="s">
        <v>347</v>
      </c>
      <c r="R846" s="8" t="str">
        <f aca="false">B846&amp;" "&amp;C846&amp;" "&amp;D846&amp;" "&amp;E846&amp;" "&amp;G846&amp;" "&amp;H846&amp;" "&amp;J846&amp;" "&amp;N846</f>
        <v>Differentials Graphite     CIF India (Diff) </v>
      </c>
      <c r="S846" s="25"/>
      <c r="T846" s="8"/>
      <c r="U846" s="8"/>
      <c r="V846" s="27" t="s">
        <v>49</v>
      </c>
      <c r="W846" s="25"/>
      <c r="X846" s="25"/>
      <c r="Y846" s="25"/>
      <c r="Z846" s="25"/>
      <c r="AA846" s="25"/>
      <c r="AB846" s="25"/>
      <c r="AC846" s="25"/>
      <c r="AD846" s="25"/>
    </row>
    <row r="847" customFormat="false" ht="15.75" hidden="false" customHeight="false" outlineLevel="0" collapsed="false">
      <c r="A847" s="28" t="s">
        <v>1219</v>
      </c>
      <c r="B847" s="27" t="s">
        <v>438</v>
      </c>
      <c r="C847" s="27" t="s">
        <v>308</v>
      </c>
      <c r="D847" s="25"/>
      <c r="E847" s="25"/>
      <c r="F847" s="25"/>
      <c r="G847" s="25"/>
      <c r="H847" s="25"/>
      <c r="I847" s="25"/>
      <c r="J847" s="27" t="s">
        <v>1174</v>
      </c>
      <c r="K847" s="25" t="str">
        <f aca="false">IFERROR(__xludf.dummyfunction("SPLIT(J847,"" "")"),"CIF")</f>
        <v>CIF</v>
      </c>
      <c r="L847" s="28" t="str">
        <f aca="false">IFERROR(__xludf.dummyfunction("""COMPUTED_VALUE"""),"India")</f>
        <v>India</v>
      </c>
      <c r="M847" s="27" t="str">
        <f aca="false">IFERROR(__xludf.dummyfunction("""COMPUTED_VALUE"""),"(Diff)")</f>
        <v>(Diff)</v>
      </c>
      <c r="N847" s="25"/>
      <c r="O847" s="25"/>
      <c r="P847" s="25"/>
      <c r="Q847" s="29" t="s">
        <v>344</v>
      </c>
      <c r="R847" s="8" t="str">
        <f aca="false">B847&amp;" "&amp;C847&amp;" "&amp;D847&amp;" "&amp;E847&amp;" "&amp;G847&amp;" "&amp;H847&amp;" "&amp;J847&amp;" "&amp;N847</f>
        <v>Differentials Graphite     CIF India (Diff) </v>
      </c>
      <c r="S847" s="25"/>
      <c r="T847" s="8"/>
      <c r="U847" s="8"/>
      <c r="V847" s="27" t="s">
        <v>49</v>
      </c>
      <c r="W847" s="25"/>
      <c r="X847" s="25"/>
      <c r="Y847" s="25"/>
      <c r="Z847" s="25"/>
      <c r="AA847" s="25"/>
      <c r="AB847" s="25"/>
      <c r="AC847" s="25"/>
      <c r="AD847" s="25"/>
    </row>
    <row r="848" customFormat="false" ht="15.75" hidden="false" customHeight="false" outlineLevel="0" collapsed="false">
      <c r="A848" s="28" t="s">
        <v>1220</v>
      </c>
      <c r="B848" s="27" t="s">
        <v>438</v>
      </c>
      <c r="C848" s="27" t="s">
        <v>308</v>
      </c>
      <c r="D848" s="25"/>
      <c r="E848" s="25"/>
      <c r="F848" s="25"/>
      <c r="G848" s="25"/>
      <c r="H848" s="25"/>
      <c r="I848" s="25"/>
      <c r="J848" s="27" t="s">
        <v>1174</v>
      </c>
      <c r="K848" s="25" t="str">
        <f aca="false">IFERROR(__xludf.dummyfunction("SPLIT(J848,"" "")"),"CIF")</f>
        <v>CIF</v>
      </c>
      <c r="L848" s="28" t="str">
        <f aca="false">IFERROR(__xludf.dummyfunction("""COMPUTED_VALUE"""),"India")</f>
        <v>India</v>
      </c>
      <c r="M848" s="27" t="str">
        <f aca="false">IFERROR(__xludf.dummyfunction("""COMPUTED_VALUE"""),"(Diff)")</f>
        <v>(Diff)</v>
      </c>
      <c r="N848" s="25"/>
      <c r="O848" s="25"/>
      <c r="P848" s="25"/>
      <c r="Q848" s="29" t="s">
        <v>340</v>
      </c>
      <c r="R848" s="8" t="str">
        <f aca="false">B848&amp;" "&amp;C848&amp;" "&amp;D848&amp;" "&amp;E848&amp;" "&amp;G848&amp;" "&amp;H848&amp;" "&amp;J848&amp;" "&amp;N848</f>
        <v>Differentials Graphite     CIF India (Diff) </v>
      </c>
      <c r="S848" s="25"/>
      <c r="T848" s="8"/>
      <c r="U848" s="8"/>
      <c r="V848" s="27" t="s">
        <v>49</v>
      </c>
      <c r="W848" s="25"/>
      <c r="X848" s="25"/>
      <c r="Y848" s="25"/>
      <c r="Z848" s="25"/>
      <c r="AA848" s="25"/>
      <c r="AB848" s="25"/>
      <c r="AC848" s="25"/>
      <c r="AD848" s="25"/>
    </row>
    <row r="849" customFormat="false" ht="15.75" hidden="false" customHeight="false" outlineLevel="0" collapsed="false">
      <c r="A849" s="28" t="s">
        <v>1221</v>
      </c>
      <c r="B849" s="27" t="s">
        <v>438</v>
      </c>
      <c r="C849" s="27" t="s">
        <v>308</v>
      </c>
      <c r="D849" s="25"/>
      <c r="E849" s="25"/>
      <c r="F849" s="25"/>
      <c r="G849" s="25"/>
      <c r="H849" s="25"/>
      <c r="I849" s="25"/>
      <c r="J849" s="27" t="s">
        <v>1174</v>
      </c>
      <c r="K849" s="25" t="str">
        <f aca="false">IFERROR(__xludf.dummyfunction("SPLIT(J849,"" "")"),"CIF")</f>
        <v>CIF</v>
      </c>
      <c r="L849" s="28" t="str">
        <f aca="false">IFERROR(__xludf.dummyfunction("""COMPUTED_VALUE"""),"India")</f>
        <v>India</v>
      </c>
      <c r="M849" s="27" t="str">
        <f aca="false">IFERROR(__xludf.dummyfunction("""COMPUTED_VALUE"""),"(Diff)")</f>
        <v>(Diff)</v>
      </c>
      <c r="N849" s="25"/>
      <c r="O849" s="25"/>
      <c r="P849" s="25"/>
      <c r="Q849" s="29" t="s">
        <v>338</v>
      </c>
      <c r="R849" s="8" t="str">
        <f aca="false">B849&amp;" "&amp;C849&amp;" "&amp;D849&amp;" "&amp;E849&amp;" "&amp;G849&amp;" "&amp;H849&amp;" "&amp;J849&amp;" "&amp;N849</f>
        <v>Differentials Graphite     CIF India (Diff) </v>
      </c>
      <c r="S849" s="25"/>
      <c r="T849" s="8"/>
      <c r="U849" s="8"/>
      <c r="V849" s="27" t="s">
        <v>49</v>
      </c>
      <c r="W849" s="25"/>
      <c r="X849" s="25"/>
      <c r="Y849" s="25"/>
      <c r="Z849" s="25"/>
      <c r="AA849" s="25"/>
      <c r="AB849" s="25"/>
      <c r="AC849" s="25"/>
      <c r="AD849" s="25"/>
    </row>
    <row r="850" customFormat="false" ht="15.75" hidden="false" customHeight="false" outlineLevel="0" collapsed="false">
      <c r="A850" s="28" t="s">
        <v>1222</v>
      </c>
      <c r="B850" s="27" t="s">
        <v>438</v>
      </c>
      <c r="C850" s="27" t="s">
        <v>308</v>
      </c>
      <c r="D850" s="25"/>
      <c r="E850" s="25"/>
      <c r="F850" s="25"/>
      <c r="G850" s="25"/>
      <c r="H850" s="25"/>
      <c r="I850" s="25"/>
      <c r="J850" s="27" t="s">
        <v>1174</v>
      </c>
      <c r="K850" s="25" t="str">
        <f aca="false">IFERROR(__xludf.dummyfunction("SPLIT(J850,"" "")"),"CIF")</f>
        <v>CIF</v>
      </c>
      <c r="L850" s="28" t="str">
        <f aca="false">IFERROR(__xludf.dummyfunction("""COMPUTED_VALUE"""),"India")</f>
        <v>India</v>
      </c>
      <c r="M850" s="27" t="str">
        <f aca="false">IFERROR(__xludf.dummyfunction("""COMPUTED_VALUE"""),"(Diff)")</f>
        <v>(Diff)</v>
      </c>
      <c r="N850" s="25"/>
      <c r="O850" s="25"/>
      <c r="P850" s="25"/>
      <c r="Q850" s="29" t="s">
        <v>335</v>
      </c>
      <c r="R850" s="8" t="str">
        <f aca="false">B850&amp;" "&amp;C850&amp;" "&amp;D850&amp;" "&amp;E850&amp;" "&amp;G850&amp;" "&amp;H850&amp;" "&amp;J850&amp;" "&amp;N850</f>
        <v>Differentials Graphite     CIF India (Diff) </v>
      </c>
      <c r="S850" s="25"/>
      <c r="T850" s="8"/>
      <c r="U850" s="8"/>
      <c r="V850" s="27" t="s">
        <v>49</v>
      </c>
      <c r="W850" s="25"/>
      <c r="X850" s="25"/>
      <c r="Y850" s="25"/>
      <c r="Z850" s="25"/>
      <c r="AA850" s="25"/>
      <c r="AB850" s="25"/>
      <c r="AC850" s="25"/>
      <c r="AD850" s="25"/>
    </row>
    <row r="851" customFormat="false" ht="15.75" hidden="false" customHeight="false" outlineLevel="0" collapsed="false">
      <c r="A851" s="28" t="s">
        <v>1223</v>
      </c>
      <c r="B851" s="27" t="s">
        <v>438</v>
      </c>
      <c r="C851" s="27" t="s">
        <v>308</v>
      </c>
      <c r="D851" s="25"/>
      <c r="E851" s="25"/>
      <c r="F851" s="25"/>
      <c r="G851" s="25"/>
      <c r="H851" s="25"/>
      <c r="I851" s="25"/>
      <c r="J851" s="27" t="s">
        <v>1174</v>
      </c>
      <c r="K851" s="25" t="str">
        <f aca="false">IFERROR(__xludf.dummyfunction("SPLIT(J851,"" "")"),"CIF")</f>
        <v>CIF</v>
      </c>
      <c r="L851" s="28" t="str">
        <f aca="false">IFERROR(__xludf.dummyfunction("""COMPUTED_VALUE"""),"India")</f>
        <v>India</v>
      </c>
      <c r="M851" s="27" t="str">
        <f aca="false">IFERROR(__xludf.dummyfunction("""COMPUTED_VALUE"""),"(Diff)")</f>
        <v>(Diff)</v>
      </c>
      <c r="N851" s="25"/>
      <c r="O851" s="25"/>
      <c r="P851" s="25"/>
      <c r="Q851" s="29" t="s">
        <v>332</v>
      </c>
      <c r="R851" s="8" t="str">
        <f aca="false">B851&amp;" "&amp;C851&amp;" "&amp;D851&amp;" "&amp;E851&amp;" "&amp;G851&amp;" "&amp;H851&amp;" "&amp;J851&amp;" "&amp;N851</f>
        <v>Differentials Graphite     CIF India (Diff) </v>
      </c>
      <c r="S851" s="25"/>
      <c r="T851" s="8"/>
      <c r="U851" s="8"/>
      <c r="V851" s="27" t="s">
        <v>49</v>
      </c>
      <c r="W851" s="25"/>
      <c r="X851" s="25"/>
      <c r="Y851" s="25"/>
      <c r="Z851" s="25"/>
      <c r="AA851" s="25"/>
      <c r="AB851" s="25"/>
      <c r="AC851" s="25"/>
      <c r="AD851" s="25"/>
    </row>
    <row r="852" customFormat="false" ht="15.75" hidden="false" customHeight="false" outlineLevel="0" collapsed="false">
      <c r="A852" s="28" t="s">
        <v>1224</v>
      </c>
      <c r="B852" s="27" t="s">
        <v>438</v>
      </c>
      <c r="C852" s="27" t="s">
        <v>308</v>
      </c>
      <c r="D852" s="25"/>
      <c r="E852" s="25"/>
      <c r="F852" s="25"/>
      <c r="G852" s="25"/>
      <c r="H852" s="25"/>
      <c r="I852" s="25"/>
      <c r="J852" s="27" t="s">
        <v>1174</v>
      </c>
      <c r="K852" s="25" t="str">
        <f aca="false">IFERROR(__xludf.dummyfunction("SPLIT(J852,"" "")"),"CIF")</f>
        <v>CIF</v>
      </c>
      <c r="L852" s="28" t="str">
        <f aca="false">IFERROR(__xludf.dummyfunction("""COMPUTED_VALUE"""),"India")</f>
        <v>India</v>
      </c>
      <c r="M852" s="27" t="str">
        <f aca="false">IFERROR(__xludf.dummyfunction("""COMPUTED_VALUE"""),"(Diff)")</f>
        <v>(Diff)</v>
      </c>
      <c r="N852" s="25"/>
      <c r="O852" s="25"/>
      <c r="P852" s="25"/>
      <c r="Q852" s="29" t="s">
        <v>329</v>
      </c>
      <c r="R852" s="8" t="str">
        <f aca="false">B852&amp;" "&amp;C852&amp;" "&amp;D852&amp;" "&amp;E852&amp;" "&amp;G852&amp;" "&amp;H852&amp;" "&amp;J852&amp;" "&amp;N852</f>
        <v>Differentials Graphite     CIF India (Diff) </v>
      </c>
      <c r="S852" s="25"/>
      <c r="T852" s="8"/>
      <c r="U852" s="8"/>
      <c r="V852" s="27" t="s">
        <v>49</v>
      </c>
      <c r="W852" s="25"/>
      <c r="X852" s="25"/>
      <c r="Y852" s="25"/>
      <c r="Z852" s="25"/>
      <c r="AA852" s="25"/>
      <c r="AB852" s="25"/>
      <c r="AC852" s="25"/>
      <c r="AD852" s="25"/>
    </row>
    <row r="853" customFormat="false" ht="15.75" hidden="false" customHeight="false" outlineLevel="0" collapsed="false">
      <c r="A853" s="28" t="s">
        <v>1225</v>
      </c>
      <c r="B853" s="27" t="s">
        <v>438</v>
      </c>
      <c r="C853" s="27" t="s">
        <v>308</v>
      </c>
      <c r="D853" s="25"/>
      <c r="E853" s="25"/>
      <c r="F853" s="25"/>
      <c r="G853" s="25"/>
      <c r="H853" s="25"/>
      <c r="I853" s="25"/>
      <c r="J853" s="27" t="s">
        <v>1174</v>
      </c>
      <c r="K853" s="25" t="str">
        <f aca="false">IFERROR(__xludf.dummyfunction("SPLIT(J853,"" "")"),"CIF")</f>
        <v>CIF</v>
      </c>
      <c r="L853" s="28" t="str">
        <f aca="false">IFERROR(__xludf.dummyfunction("""COMPUTED_VALUE"""),"India")</f>
        <v>India</v>
      </c>
      <c r="M853" s="27" t="str">
        <f aca="false">IFERROR(__xludf.dummyfunction("""COMPUTED_VALUE"""),"(Diff)")</f>
        <v>(Diff)</v>
      </c>
      <c r="N853" s="25"/>
      <c r="O853" s="25"/>
      <c r="P853" s="25"/>
      <c r="Q853" s="29" t="s">
        <v>326</v>
      </c>
      <c r="R853" s="8" t="str">
        <f aca="false">B853&amp;" "&amp;C853&amp;" "&amp;D853&amp;" "&amp;E853&amp;" "&amp;G853&amp;" "&amp;H853&amp;" "&amp;J853&amp;" "&amp;N853</f>
        <v>Differentials Graphite     CIF India (Diff) </v>
      </c>
      <c r="S853" s="25"/>
      <c r="T853" s="8"/>
      <c r="U853" s="8"/>
      <c r="V853" s="27" t="s">
        <v>49</v>
      </c>
      <c r="W853" s="25"/>
      <c r="X853" s="25"/>
      <c r="Y853" s="25"/>
      <c r="Z853" s="25"/>
      <c r="AA853" s="25"/>
      <c r="AB853" s="25"/>
      <c r="AC853" s="25"/>
      <c r="AD853" s="25"/>
    </row>
    <row r="854" customFormat="false" ht="15.75" hidden="false" customHeight="false" outlineLevel="0" collapsed="false">
      <c r="A854" s="28" t="s">
        <v>1226</v>
      </c>
      <c r="B854" s="27" t="s">
        <v>438</v>
      </c>
      <c r="C854" s="27" t="s">
        <v>308</v>
      </c>
      <c r="D854" s="25"/>
      <c r="E854" s="25"/>
      <c r="F854" s="25"/>
      <c r="G854" s="25"/>
      <c r="H854" s="25"/>
      <c r="I854" s="25"/>
      <c r="J854" s="27" t="s">
        <v>1174</v>
      </c>
      <c r="K854" s="25" t="str">
        <f aca="false">IFERROR(__xludf.dummyfunction("SPLIT(J854,"" "")"),"CIF")</f>
        <v>CIF</v>
      </c>
      <c r="L854" s="28" t="str">
        <f aca="false">IFERROR(__xludf.dummyfunction("""COMPUTED_VALUE"""),"India")</f>
        <v>India</v>
      </c>
      <c r="M854" s="27" t="str">
        <f aca="false">IFERROR(__xludf.dummyfunction("""COMPUTED_VALUE"""),"(Diff)")</f>
        <v>(Diff)</v>
      </c>
      <c r="N854" s="25"/>
      <c r="O854" s="25"/>
      <c r="P854" s="25"/>
      <c r="Q854" s="29" t="s">
        <v>323</v>
      </c>
      <c r="R854" s="8" t="str">
        <f aca="false">B854&amp;" "&amp;C854&amp;" "&amp;D854&amp;" "&amp;E854&amp;" "&amp;G854&amp;" "&amp;H854&amp;" "&amp;J854&amp;" "&amp;N854</f>
        <v>Differentials Graphite     CIF India (Diff) </v>
      </c>
      <c r="S854" s="25"/>
      <c r="T854" s="8"/>
      <c r="U854" s="8"/>
      <c r="V854" s="27" t="s">
        <v>49</v>
      </c>
      <c r="W854" s="25"/>
      <c r="X854" s="25"/>
      <c r="Y854" s="25"/>
      <c r="Z854" s="25"/>
      <c r="AA854" s="25"/>
      <c r="AB854" s="25"/>
      <c r="AC854" s="25"/>
      <c r="AD854" s="25"/>
    </row>
    <row r="855" customFormat="false" ht="15.75" hidden="false" customHeight="false" outlineLevel="0" collapsed="false">
      <c r="A855" s="28" t="s">
        <v>1227</v>
      </c>
      <c r="B855" s="27" t="s">
        <v>438</v>
      </c>
      <c r="C855" s="27" t="s">
        <v>308</v>
      </c>
      <c r="D855" s="25"/>
      <c r="E855" s="25"/>
      <c r="F855" s="25"/>
      <c r="G855" s="25"/>
      <c r="H855" s="25"/>
      <c r="I855" s="25"/>
      <c r="J855" s="27" t="s">
        <v>1174</v>
      </c>
      <c r="K855" s="25" t="str">
        <f aca="false">IFERROR(__xludf.dummyfunction("SPLIT(J855,"" "")"),"CIF")</f>
        <v>CIF</v>
      </c>
      <c r="L855" s="28" t="str">
        <f aca="false">IFERROR(__xludf.dummyfunction("""COMPUTED_VALUE"""),"India")</f>
        <v>India</v>
      </c>
      <c r="M855" s="27" t="str">
        <f aca="false">IFERROR(__xludf.dummyfunction("""COMPUTED_VALUE"""),"(Diff)")</f>
        <v>(Diff)</v>
      </c>
      <c r="N855" s="25"/>
      <c r="O855" s="25"/>
      <c r="P855" s="25"/>
      <c r="Q855" s="29" t="s">
        <v>319</v>
      </c>
      <c r="R855" s="8" t="str">
        <f aca="false">B855&amp;" "&amp;C855&amp;" "&amp;D855&amp;" "&amp;E855&amp;" "&amp;G855&amp;" "&amp;H855&amp;" "&amp;J855&amp;" "&amp;N855</f>
        <v>Differentials Graphite     CIF India (Diff) </v>
      </c>
      <c r="S855" s="25"/>
      <c r="T855" s="8"/>
      <c r="U855" s="8"/>
      <c r="V855" s="27" t="s">
        <v>49</v>
      </c>
      <c r="W855" s="25"/>
      <c r="X855" s="25"/>
      <c r="Y855" s="25"/>
      <c r="Z855" s="25"/>
      <c r="AA855" s="25"/>
      <c r="AB855" s="25"/>
      <c r="AC855" s="25"/>
      <c r="AD855" s="25"/>
    </row>
    <row r="856" customFormat="false" ht="15.75" hidden="false" customHeight="false" outlineLevel="0" collapsed="false">
      <c r="A856" s="28" t="s">
        <v>1228</v>
      </c>
      <c r="B856" s="27" t="s">
        <v>438</v>
      </c>
      <c r="C856" s="27" t="s">
        <v>308</v>
      </c>
      <c r="D856" s="25"/>
      <c r="E856" s="25"/>
      <c r="F856" s="25"/>
      <c r="G856" s="25"/>
      <c r="H856" s="25"/>
      <c r="I856" s="25"/>
      <c r="J856" s="27" t="s">
        <v>1174</v>
      </c>
      <c r="K856" s="25" t="str">
        <f aca="false">IFERROR(__xludf.dummyfunction("SPLIT(J856,"" "")"),"CIF")</f>
        <v>CIF</v>
      </c>
      <c r="L856" s="28" t="str">
        <f aca="false">IFERROR(__xludf.dummyfunction("""COMPUTED_VALUE"""),"India")</f>
        <v>India</v>
      </c>
      <c r="M856" s="27" t="str">
        <f aca="false">IFERROR(__xludf.dummyfunction("""COMPUTED_VALUE"""),"(Diff)")</f>
        <v>(Diff)</v>
      </c>
      <c r="N856" s="25"/>
      <c r="O856" s="25"/>
      <c r="P856" s="25"/>
      <c r="Q856" s="29" t="s">
        <v>315</v>
      </c>
      <c r="R856" s="8" t="str">
        <f aca="false">B856&amp;" "&amp;C856&amp;" "&amp;D856&amp;" "&amp;E856&amp;" "&amp;G856&amp;" "&amp;H856&amp;" "&amp;J856&amp;" "&amp;N856</f>
        <v>Differentials Graphite     CIF India (Diff) </v>
      </c>
      <c r="S856" s="25"/>
      <c r="T856" s="8"/>
      <c r="U856" s="8"/>
      <c r="V856" s="27" t="s">
        <v>49</v>
      </c>
      <c r="W856" s="25"/>
      <c r="X856" s="25"/>
      <c r="Y856" s="25"/>
      <c r="Z856" s="25"/>
      <c r="AA856" s="25"/>
      <c r="AB856" s="25"/>
      <c r="AC856" s="25"/>
      <c r="AD856" s="25"/>
    </row>
    <row r="857" customFormat="false" ht="15.75" hidden="false" customHeight="false" outlineLevel="0" collapsed="false">
      <c r="A857" s="28" t="s">
        <v>1229</v>
      </c>
      <c r="B857" s="27" t="s">
        <v>438</v>
      </c>
      <c r="C857" s="27" t="s">
        <v>308</v>
      </c>
      <c r="D857" s="25"/>
      <c r="E857" s="25"/>
      <c r="F857" s="25"/>
      <c r="G857" s="25"/>
      <c r="H857" s="25"/>
      <c r="I857" s="25"/>
      <c r="J857" s="27" t="s">
        <v>1174</v>
      </c>
      <c r="K857" s="25" t="str">
        <f aca="false">IFERROR(__xludf.dummyfunction("SPLIT(J857,"" "")"),"CIF")</f>
        <v>CIF</v>
      </c>
      <c r="L857" s="28" t="str">
        <f aca="false">IFERROR(__xludf.dummyfunction("""COMPUTED_VALUE"""),"India")</f>
        <v>India</v>
      </c>
      <c r="M857" s="27" t="str">
        <f aca="false">IFERROR(__xludf.dummyfunction("""COMPUTED_VALUE"""),"(Diff)")</f>
        <v>(Diff)</v>
      </c>
      <c r="N857" s="25"/>
      <c r="O857" s="25"/>
      <c r="P857" s="25"/>
      <c r="Q857" s="29" t="s">
        <v>311</v>
      </c>
      <c r="R857" s="8" t="str">
        <f aca="false">B857&amp;" "&amp;C857&amp;" "&amp;D857&amp;" "&amp;E857&amp;" "&amp;G857&amp;" "&amp;H857&amp;" "&amp;J857&amp;" "&amp;N857</f>
        <v>Differentials Graphite     CIF India (Diff) </v>
      </c>
      <c r="S857" s="25"/>
      <c r="T857" s="8"/>
      <c r="U857" s="8"/>
      <c r="V857" s="27" t="s">
        <v>49</v>
      </c>
      <c r="W857" s="25"/>
      <c r="X857" s="25"/>
      <c r="Y857" s="25"/>
      <c r="Z857" s="25"/>
      <c r="AA857" s="25"/>
      <c r="AB857" s="25"/>
      <c r="AC857" s="25"/>
      <c r="AD857" s="25"/>
    </row>
    <row r="858" customFormat="false" ht="15.75" hidden="false" customHeight="false" outlineLevel="0" collapsed="false">
      <c r="A858" s="28" t="s">
        <v>1230</v>
      </c>
      <c r="B858" s="27" t="s">
        <v>438</v>
      </c>
      <c r="C858" s="27" t="s">
        <v>360</v>
      </c>
      <c r="D858" s="25"/>
      <c r="E858" s="25"/>
      <c r="F858" s="25"/>
      <c r="G858" s="25"/>
      <c r="H858" s="25"/>
      <c r="I858" s="25"/>
      <c r="J858" s="27" t="s">
        <v>1174</v>
      </c>
      <c r="K858" s="25" t="str">
        <f aca="false">IFERROR(__xludf.dummyfunction("SPLIT(J858,"" "")"),"CIF")</f>
        <v>CIF</v>
      </c>
      <c r="L858" s="28" t="str">
        <f aca="false">IFERROR(__xludf.dummyfunction("""COMPUTED_VALUE"""),"India")</f>
        <v>India</v>
      </c>
      <c r="M858" s="27" t="str">
        <f aca="false">IFERROR(__xludf.dummyfunction("""COMPUTED_VALUE"""),"(Diff)")</f>
        <v>(Diff)</v>
      </c>
      <c r="N858" s="25"/>
      <c r="O858" s="25"/>
      <c r="P858" s="25"/>
      <c r="Q858" s="29" t="s">
        <v>368</v>
      </c>
      <c r="R858" s="8" t="str">
        <f aca="false">B858&amp;" "&amp;C858&amp;" "&amp;D858&amp;" "&amp;E858&amp;" "&amp;G858&amp;" "&amp;H858&amp;" "&amp;J858&amp;" "&amp;N858</f>
        <v>Differentials Lithium     CIF India (Diff) </v>
      </c>
      <c r="S858" s="25"/>
      <c r="T858" s="8"/>
      <c r="U858" s="8"/>
      <c r="V858" s="27" t="s">
        <v>49</v>
      </c>
      <c r="W858" s="25"/>
      <c r="X858" s="25"/>
      <c r="Y858" s="25"/>
      <c r="Z858" s="25"/>
      <c r="AA858" s="25"/>
      <c r="AB858" s="25"/>
      <c r="AC858" s="25"/>
      <c r="AD858" s="25"/>
    </row>
    <row r="859" customFormat="false" ht="15.75" hidden="false" customHeight="false" outlineLevel="0" collapsed="false">
      <c r="A859" s="28" t="s">
        <v>1231</v>
      </c>
      <c r="B859" s="27" t="s">
        <v>438</v>
      </c>
      <c r="C859" s="27" t="s">
        <v>360</v>
      </c>
      <c r="D859" s="25"/>
      <c r="E859" s="25"/>
      <c r="F859" s="25"/>
      <c r="G859" s="25"/>
      <c r="H859" s="25"/>
      <c r="I859" s="25"/>
      <c r="J859" s="27" t="s">
        <v>1174</v>
      </c>
      <c r="K859" s="25" t="str">
        <f aca="false">IFERROR(__xludf.dummyfunction("SPLIT(J859,"" "")"),"CIF")</f>
        <v>CIF</v>
      </c>
      <c r="L859" s="28" t="str">
        <f aca="false">IFERROR(__xludf.dummyfunction("""COMPUTED_VALUE"""),"India")</f>
        <v>India</v>
      </c>
      <c r="M859" s="27" t="str">
        <f aca="false">IFERROR(__xludf.dummyfunction("""COMPUTED_VALUE"""),"(Diff)")</f>
        <v>(Diff)</v>
      </c>
      <c r="N859" s="25"/>
      <c r="O859" s="25"/>
      <c r="P859" s="25"/>
      <c r="Q859" s="29" t="s">
        <v>366</v>
      </c>
      <c r="R859" s="8" t="str">
        <f aca="false">B859&amp;" "&amp;C859&amp;" "&amp;D859&amp;" "&amp;E859&amp;" "&amp;G859&amp;" "&amp;H859&amp;" "&amp;J859&amp;" "&amp;N859</f>
        <v>Differentials Lithium     CIF India (Diff) </v>
      </c>
      <c r="S859" s="25"/>
      <c r="T859" s="8"/>
      <c r="U859" s="8"/>
      <c r="V859" s="27" t="s">
        <v>49</v>
      </c>
      <c r="W859" s="25"/>
      <c r="X859" s="25"/>
      <c r="Y859" s="25"/>
      <c r="Z859" s="25"/>
      <c r="AA859" s="25"/>
      <c r="AB859" s="25"/>
      <c r="AC859" s="25"/>
      <c r="AD859" s="25"/>
    </row>
    <row r="860" customFormat="false" ht="15.75" hidden="false" customHeight="false" outlineLevel="0" collapsed="false">
      <c r="A860" s="28" t="s">
        <v>1232</v>
      </c>
      <c r="B860" s="27" t="s">
        <v>438</v>
      </c>
      <c r="C860" s="27" t="s">
        <v>360</v>
      </c>
      <c r="D860" s="25"/>
      <c r="E860" s="25"/>
      <c r="F860" s="25"/>
      <c r="G860" s="25"/>
      <c r="H860" s="25"/>
      <c r="I860" s="25"/>
      <c r="J860" s="27" t="s">
        <v>1174</v>
      </c>
      <c r="K860" s="25" t="str">
        <f aca="false">IFERROR(__xludf.dummyfunction("SPLIT(J860,"" "")"),"CIF")</f>
        <v>CIF</v>
      </c>
      <c r="L860" s="28" t="str">
        <f aca="false">IFERROR(__xludf.dummyfunction("""COMPUTED_VALUE"""),"India")</f>
        <v>India</v>
      </c>
      <c r="M860" s="27" t="str">
        <f aca="false">IFERROR(__xludf.dummyfunction("""COMPUTED_VALUE"""),"(Diff)")</f>
        <v>(Diff)</v>
      </c>
      <c r="N860" s="25"/>
      <c r="O860" s="25"/>
      <c r="P860" s="25"/>
      <c r="Q860" s="29" t="s">
        <v>361</v>
      </c>
      <c r="R860" s="8" t="str">
        <f aca="false">B860&amp;" "&amp;C860&amp;" "&amp;D860&amp;" "&amp;E860&amp;" "&amp;G860&amp;" "&amp;H860&amp;" "&amp;J860&amp;" "&amp;N860</f>
        <v>Differentials Lithium     CIF India (Diff) </v>
      </c>
      <c r="S860" s="25"/>
      <c r="T860" s="8"/>
      <c r="U860" s="8"/>
      <c r="V860" s="27" t="s">
        <v>49</v>
      </c>
      <c r="W860" s="25"/>
      <c r="X860" s="25"/>
      <c r="Y860" s="25"/>
      <c r="Z860" s="25"/>
      <c r="AA860" s="25"/>
      <c r="AB860" s="25"/>
      <c r="AC860" s="25"/>
      <c r="AD860" s="25"/>
    </row>
    <row r="861" customFormat="false" ht="15.75" hidden="false" customHeight="false" outlineLevel="0" collapsed="false">
      <c r="A861" s="28" t="s">
        <v>1233</v>
      </c>
      <c r="B861" s="27" t="s">
        <v>438</v>
      </c>
      <c r="C861" s="27" t="s">
        <v>360</v>
      </c>
      <c r="D861" s="25"/>
      <c r="E861" s="25"/>
      <c r="F861" s="25"/>
      <c r="G861" s="25"/>
      <c r="H861" s="25"/>
      <c r="I861" s="25"/>
      <c r="J861" s="27" t="s">
        <v>1174</v>
      </c>
      <c r="K861" s="25" t="str">
        <f aca="false">IFERROR(__xludf.dummyfunction("SPLIT(J861,"" "")"),"CIF")</f>
        <v>CIF</v>
      </c>
      <c r="L861" s="28" t="str">
        <f aca="false">IFERROR(__xludf.dummyfunction("""COMPUTED_VALUE"""),"India")</f>
        <v>India</v>
      </c>
      <c r="M861" s="27" t="str">
        <f aca="false">IFERROR(__xludf.dummyfunction("""COMPUTED_VALUE"""),"(Diff)")</f>
        <v>(Diff)</v>
      </c>
      <c r="N861" s="25"/>
      <c r="O861" s="25"/>
      <c r="P861" s="25"/>
      <c r="Q861" s="29" t="s">
        <v>363</v>
      </c>
      <c r="R861" s="8" t="str">
        <f aca="false">B861&amp;" "&amp;C861&amp;" "&amp;D861&amp;" "&amp;E861&amp;" "&amp;G861&amp;" "&amp;H861&amp;" "&amp;J861&amp;" "&amp;N861</f>
        <v>Differentials Lithium     CIF India (Diff) </v>
      </c>
      <c r="S861" s="25"/>
      <c r="T861" s="8"/>
      <c r="U861" s="8"/>
      <c r="V861" s="27" t="s">
        <v>49</v>
      </c>
      <c r="W861" s="25"/>
      <c r="X861" s="25"/>
      <c r="Y861" s="25"/>
      <c r="Z861" s="25"/>
      <c r="AA861" s="25"/>
      <c r="AB861" s="25"/>
      <c r="AC861" s="25"/>
      <c r="AD861" s="25"/>
    </row>
    <row r="862" customFormat="false" ht="15.75" hidden="false" customHeight="false" outlineLevel="0" collapsed="false">
      <c r="A862" s="28" t="s">
        <v>1234</v>
      </c>
      <c r="B862" s="27" t="s">
        <v>438</v>
      </c>
      <c r="C862" s="27" t="s">
        <v>360</v>
      </c>
      <c r="D862" s="25"/>
      <c r="E862" s="25"/>
      <c r="F862" s="25"/>
      <c r="G862" s="25"/>
      <c r="H862" s="25"/>
      <c r="I862" s="25"/>
      <c r="J862" s="27" t="s">
        <v>1174</v>
      </c>
      <c r="K862" s="25" t="str">
        <f aca="false">IFERROR(__xludf.dummyfunction("SPLIT(J862,"" "")"),"CIF")</f>
        <v>CIF</v>
      </c>
      <c r="L862" s="28" t="str">
        <f aca="false">IFERROR(__xludf.dummyfunction("""COMPUTED_VALUE"""),"India")</f>
        <v>India</v>
      </c>
      <c r="M862" s="27" t="str">
        <f aca="false">IFERROR(__xludf.dummyfunction("""COMPUTED_VALUE"""),"(Diff)")</f>
        <v>(Diff)</v>
      </c>
      <c r="N862" s="25"/>
      <c r="O862" s="25"/>
      <c r="P862" s="25"/>
      <c r="Q862" s="29" t="s">
        <v>361</v>
      </c>
      <c r="R862" s="8" t="str">
        <f aca="false">B862&amp;" "&amp;C862&amp;" "&amp;D862&amp;" "&amp;E862&amp;" "&amp;G862&amp;" "&amp;H862&amp;" "&amp;J862&amp;" "&amp;N862</f>
        <v>Differentials Lithium     CIF India (Diff) </v>
      </c>
      <c r="S862" s="25"/>
      <c r="T862" s="8"/>
      <c r="U862" s="8"/>
      <c r="V862" s="27" t="s">
        <v>49</v>
      </c>
      <c r="W862" s="25"/>
      <c r="X862" s="25"/>
      <c r="Y862" s="25"/>
      <c r="Z862" s="25"/>
      <c r="AA862" s="25"/>
      <c r="AB862" s="25"/>
      <c r="AC862" s="25"/>
      <c r="AD862" s="25"/>
    </row>
    <row r="863" customFormat="false" ht="15.75" hidden="false" customHeight="false" outlineLevel="0" collapsed="false">
      <c r="A863" s="28" t="s">
        <v>1235</v>
      </c>
      <c r="B863" s="27" t="s">
        <v>438</v>
      </c>
      <c r="C863" s="27" t="s">
        <v>383</v>
      </c>
      <c r="D863" s="25"/>
      <c r="E863" s="25"/>
      <c r="F863" s="25"/>
      <c r="G863" s="25"/>
      <c r="H863" s="25"/>
      <c r="I863" s="25"/>
      <c r="J863" s="27" t="s">
        <v>1174</v>
      </c>
      <c r="K863" s="25" t="str">
        <f aca="false">IFERROR(__xludf.dummyfunction("SPLIT(J863,"" "")"),"CIF")</f>
        <v>CIF</v>
      </c>
      <c r="L863" s="28" t="str">
        <f aca="false">IFERROR(__xludf.dummyfunction("""COMPUTED_VALUE"""),"India")</f>
        <v>India</v>
      </c>
      <c r="M863" s="27" t="str">
        <f aca="false">IFERROR(__xludf.dummyfunction("""COMPUTED_VALUE"""),"(Diff)")</f>
        <v>(Diff)</v>
      </c>
      <c r="N863" s="25"/>
      <c r="O863" s="25"/>
      <c r="P863" s="25"/>
      <c r="Q863" s="29" t="s">
        <v>406</v>
      </c>
      <c r="R863" s="8" t="str">
        <f aca="false">B863&amp;" "&amp;C863&amp;" "&amp;D863&amp;" "&amp;E863&amp;" "&amp;G863&amp;" "&amp;H863&amp;" "&amp;J863&amp;" "&amp;N863</f>
        <v>Differentials Precursor     CIF India (Diff) </v>
      </c>
      <c r="S863" s="25"/>
      <c r="T863" s="8"/>
      <c r="U863" s="8"/>
      <c r="V863" s="27" t="s">
        <v>49</v>
      </c>
      <c r="W863" s="25"/>
      <c r="X863" s="25"/>
      <c r="Y863" s="25"/>
      <c r="Z863" s="25"/>
      <c r="AA863" s="25"/>
      <c r="AB863" s="25"/>
      <c r="AC863" s="25"/>
      <c r="AD863" s="25"/>
    </row>
    <row r="864" customFormat="false" ht="15.75" hidden="false" customHeight="false" outlineLevel="0" collapsed="false">
      <c r="A864" s="28" t="s">
        <v>1236</v>
      </c>
      <c r="B864" s="27" t="s">
        <v>438</v>
      </c>
      <c r="C864" s="27" t="s">
        <v>383</v>
      </c>
      <c r="D864" s="25"/>
      <c r="E864" s="25"/>
      <c r="F864" s="25"/>
      <c r="G864" s="25"/>
      <c r="H864" s="25"/>
      <c r="I864" s="25"/>
      <c r="J864" s="27" t="s">
        <v>1174</v>
      </c>
      <c r="K864" s="25" t="str">
        <f aca="false">IFERROR(__xludf.dummyfunction("SPLIT(J864,"" "")"),"CIF")</f>
        <v>CIF</v>
      </c>
      <c r="L864" s="28" t="str">
        <f aca="false">IFERROR(__xludf.dummyfunction("""COMPUTED_VALUE"""),"India")</f>
        <v>India</v>
      </c>
      <c r="M864" s="27" t="str">
        <f aca="false">IFERROR(__xludf.dummyfunction("""COMPUTED_VALUE"""),"(Diff)")</f>
        <v>(Diff)</v>
      </c>
      <c r="N864" s="25"/>
      <c r="O864" s="25"/>
      <c r="P864" s="25"/>
      <c r="Q864" s="29" t="s">
        <v>404</v>
      </c>
      <c r="R864" s="8" t="str">
        <f aca="false">B864&amp;" "&amp;C864&amp;" "&amp;D864&amp;" "&amp;E864&amp;" "&amp;G864&amp;" "&amp;H864&amp;" "&amp;J864&amp;" "&amp;N864</f>
        <v>Differentials Precursor     CIF India (Diff) </v>
      </c>
      <c r="S864" s="25"/>
      <c r="T864" s="8"/>
      <c r="U864" s="8"/>
      <c r="V864" s="27" t="s">
        <v>49</v>
      </c>
      <c r="W864" s="25"/>
      <c r="X864" s="25"/>
      <c r="Y864" s="25"/>
      <c r="Z864" s="25"/>
      <c r="AA864" s="25"/>
      <c r="AB864" s="25"/>
      <c r="AC864" s="25"/>
      <c r="AD864" s="25"/>
    </row>
    <row r="865" customFormat="false" ht="15.75" hidden="false" customHeight="false" outlineLevel="0" collapsed="false">
      <c r="A865" s="28" t="s">
        <v>1237</v>
      </c>
      <c r="B865" s="27" t="s">
        <v>438</v>
      </c>
      <c r="C865" s="27" t="s">
        <v>383</v>
      </c>
      <c r="D865" s="25"/>
      <c r="E865" s="25"/>
      <c r="F865" s="25"/>
      <c r="G865" s="25"/>
      <c r="H865" s="25"/>
      <c r="I865" s="25"/>
      <c r="J865" s="27" t="s">
        <v>1174</v>
      </c>
      <c r="K865" s="25" t="str">
        <f aca="false">IFERROR(__xludf.dummyfunction("SPLIT(J865,"" "")"),"CIF")</f>
        <v>CIF</v>
      </c>
      <c r="L865" s="28" t="str">
        <f aca="false">IFERROR(__xludf.dummyfunction("""COMPUTED_VALUE"""),"India")</f>
        <v>India</v>
      </c>
      <c r="M865" s="27" t="str">
        <f aca="false">IFERROR(__xludf.dummyfunction("""COMPUTED_VALUE"""),"(Diff)")</f>
        <v>(Diff)</v>
      </c>
      <c r="N865" s="25"/>
      <c r="O865" s="25"/>
      <c r="P865" s="25"/>
      <c r="Q865" s="29" t="s">
        <v>402</v>
      </c>
      <c r="R865" s="8" t="str">
        <f aca="false">B865&amp;" "&amp;C865&amp;" "&amp;D865&amp;" "&amp;E865&amp;" "&amp;G865&amp;" "&amp;H865&amp;" "&amp;J865&amp;" "&amp;N865</f>
        <v>Differentials Precursor     CIF India (Diff) </v>
      </c>
      <c r="S865" s="25"/>
      <c r="T865" s="8"/>
      <c r="U865" s="8"/>
      <c r="V865" s="27" t="s">
        <v>49</v>
      </c>
      <c r="W865" s="25"/>
      <c r="X865" s="25"/>
      <c r="Y865" s="25"/>
      <c r="Z865" s="25"/>
      <c r="AA865" s="25"/>
      <c r="AB865" s="25"/>
      <c r="AC865" s="25"/>
      <c r="AD865" s="25"/>
    </row>
    <row r="866" customFormat="false" ht="15.75" hidden="false" customHeight="false" outlineLevel="0" collapsed="false">
      <c r="A866" s="28" t="s">
        <v>1238</v>
      </c>
      <c r="B866" s="27" t="s">
        <v>438</v>
      </c>
      <c r="C866" s="27" t="s">
        <v>383</v>
      </c>
      <c r="D866" s="25"/>
      <c r="E866" s="25"/>
      <c r="F866" s="25"/>
      <c r="G866" s="25"/>
      <c r="H866" s="25"/>
      <c r="I866" s="25"/>
      <c r="J866" s="27" t="s">
        <v>1174</v>
      </c>
      <c r="K866" s="25" t="str">
        <f aca="false">IFERROR(__xludf.dummyfunction("SPLIT(J866,"" "")"),"CIF")</f>
        <v>CIF</v>
      </c>
      <c r="L866" s="28" t="str">
        <f aca="false">IFERROR(__xludf.dummyfunction("""COMPUTED_VALUE"""),"India")</f>
        <v>India</v>
      </c>
      <c r="M866" s="27" t="str">
        <f aca="false">IFERROR(__xludf.dummyfunction("""COMPUTED_VALUE"""),"(Diff)")</f>
        <v>(Diff)</v>
      </c>
      <c r="N866" s="25"/>
      <c r="O866" s="25"/>
      <c r="P866" s="25"/>
      <c r="Q866" s="29" t="s">
        <v>400</v>
      </c>
      <c r="R866" s="8" t="str">
        <f aca="false">B866&amp;" "&amp;C866&amp;" "&amp;D866&amp;" "&amp;E866&amp;" "&amp;G866&amp;" "&amp;H866&amp;" "&amp;J866&amp;" "&amp;N866</f>
        <v>Differentials Precursor     CIF India (Diff) </v>
      </c>
      <c r="S866" s="25"/>
      <c r="T866" s="8"/>
      <c r="U866" s="8"/>
      <c r="V866" s="27" t="s">
        <v>49</v>
      </c>
      <c r="W866" s="25"/>
      <c r="X866" s="25"/>
      <c r="Y866" s="25"/>
      <c r="Z866" s="25"/>
      <c r="AA866" s="25"/>
      <c r="AB866" s="25"/>
      <c r="AC866" s="25"/>
      <c r="AD866" s="25"/>
    </row>
    <row r="867" customFormat="false" ht="15.75" hidden="false" customHeight="false" outlineLevel="0" collapsed="false">
      <c r="A867" s="28" t="s">
        <v>1239</v>
      </c>
      <c r="B867" s="27" t="s">
        <v>438</v>
      </c>
      <c r="C867" s="27" t="s">
        <v>383</v>
      </c>
      <c r="D867" s="25"/>
      <c r="E867" s="25"/>
      <c r="F867" s="25"/>
      <c r="G867" s="25"/>
      <c r="H867" s="25"/>
      <c r="I867" s="25"/>
      <c r="J867" s="27" t="s">
        <v>1174</v>
      </c>
      <c r="K867" s="25" t="str">
        <f aca="false">IFERROR(__xludf.dummyfunction("SPLIT(J867,"" "")"),"CIF")</f>
        <v>CIF</v>
      </c>
      <c r="L867" s="28" t="str">
        <f aca="false">IFERROR(__xludf.dummyfunction("""COMPUTED_VALUE"""),"India")</f>
        <v>India</v>
      </c>
      <c r="M867" s="27" t="str">
        <f aca="false">IFERROR(__xludf.dummyfunction("""COMPUTED_VALUE"""),"(Diff)")</f>
        <v>(Diff)</v>
      </c>
      <c r="N867" s="25"/>
      <c r="O867" s="25"/>
      <c r="P867" s="25"/>
      <c r="Q867" s="29" t="s">
        <v>398</v>
      </c>
      <c r="R867" s="8" t="str">
        <f aca="false">B867&amp;" "&amp;C867&amp;" "&amp;D867&amp;" "&amp;E867&amp;" "&amp;G867&amp;" "&amp;H867&amp;" "&amp;J867&amp;" "&amp;N867</f>
        <v>Differentials Precursor     CIF India (Diff) </v>
      </c>
      <c r="S867" s="25"/>
      <c r="T867" s="8"/>
      <c r="U867" s="8"/>
      <c r="V867" s="27" t="s">
        <v>49</v>
      </c>
      <c r="W867" s="25"/>
      <c r="X867" s="25"/>
      <c r="Y867" s="25"/>
      <c r="Z867" s="25"/>
      <c r="AA867" s="25"/>
      <c r="AB867" s="25"/>
      <c r="AC867" s="25"/>
      <c r="AD867" s="25"/>
    </row>
    <row r="868" customFormat="false" ht="15.75" hidden="false" customHeight="false" outlineLevel="0" collapsed="false">
      <c r="A868" s="28" t="s">
        <v>1240</v>
      </c>
      <c r="B868" s="27" t="s">
        <v>438</v>
      </c>
      <c r="C868" s="27" t="s">
        <v>383</v>
      </c>
      <c r="D868" s="25"/>
      <c r="E868" s="25"/>
      <c r="F868" s="25"/>
      <c r="G868" s="25"/>
      <c r="H868" s="25"/>
      <c r="I868" s="25"/>
      <c r="J868" s="27" t="s">
        <v>1174</v>
      </c>
      <c r="K868" s="25" t="str">
        <f aca="false">IFERROR(__xludf.dummyfunction("SPLIT(J868,"" "")"),"CIF")</f>
        <v>CIF</v>
      </c>
      <c r="L868" s="28" t="str">
        <f aca="false">IFERROR(__xludf.dummyfunction("""COMPUTED_VALUE"""),"India")</f>
        <v>India</v>
      </c>
      <c r="M868" s="27" t="str">
        <f aca="false">IFERROR(__xludf.dummyfunction("""COMPUTED_VALUE"""),"(Diff)")</f>
        <v>(Diff)</v>
      </c>
      <c r="N868" s="25"/>
      <c r="O868" s="25"/>
      <c r="P868" s="25"/>
      <c r="Q868" s="29" t="s">
        <v>259</v>
      </c>
      <c r="R868" s="8" t="str">
        <f aca="false">B868&amp;" "&amp;C868&amp;" "&amp;D868&amp;" "&amp;E868&amp;" "&amp;G868&amp;" "&amp;H868&amp;" "&amp;J868&amp;" "&amp;N868</f>
        <v>Differentials Precursor     CIF India (Diff) </v>
      </c>
      <c r="S868" s="25"/>
      <c r="T868" s="8"/>
      <c r="U868" s="8"/>
      <c r="V868" s="27" t="s">
        <v>49</v>
      </c>
      <c r="W868" s="25"/>
      <c r="X868" s="25"/>
      <c r="Y868" s="25"/>
      <c r="Z868" s="25"/>
      <c r="AA868" s="25"/>
      <c r="AB868" s="25"/>
      <c r="AC868" s="25"/>
      <c r="AD868" s="25"/>
    </row>
    <row r="869" customFormat="false" ht="15.75" hidden="false" customHeight="false" outlineLevel="0" collapsed="false">
      <c r="A869" s="28" t="s">
        <v>1241</v>
      </c>
      <c r="B869" s="27" t="s">
        <v>438</v>
      </c>
      <c r="C869" s="27" t="s">
        <v>383</v>
      </c>
      <c r="D869" s="25"/>
      <c r="E869" s="25"/>
      <c r="F869" s="25"/>
      <c r="G869" s="25"/>
      <c r="H869" s="25"/>
      <c r="I869" s="25"/>
      <c r="J869" s="27" t="s">
        <v>1174</v>
      </c>
      <c r="K869" s="25" t="str">
        <f aca="false">IFERROR(__xludf.dummyfunction("SPLIT(J869,"" "")"),"CIF")</f>
        <v>CIF</v>
      </c>
      <c r="L869" s="28" t="str">
        <f aca="false">IFERROR(__xludf.dummyfunction("""COMPUTED_VALUE"""),"India")</f>
        <v>India</v>
      </c>
      <c r="M869" s="27" t="str">
        <f aca="false">IFERROR(__xludf.dummyfunction("""COMPUTED_VALUE"""),"(Diff)")</f>
        <v>(Diff)</v>
      </c>
      <c r="N869" s="25"/>
      <c r="O869" s="25"/>
      <c r="P869" s="25"/>
      <c r="Q869" s="29" t="s">
        <v>395</v>
      </c>
      <c r="R869" s="8" t="str">
        <f aca="false">B869&amp;" "&amp;C869&amp;" "&amp;D869&amp;" "&amp;E869&amp;" "&amp;G869&amp;" "&amp;H869&amp;" "&amp;J869&amp;" "&amp;N869</f>
        <v>Differentials Precursor     CIF India (Diff) </v>
      </c>
      <c r="S869" s="25"/>
      <c r="T869" s="8"/>
      <c r="U869" s="8"/>
      <c r="V869" s="27" t="s">
        <v>49</v>
      </c>
      <c r="W869" s="25"/>
      <c r="X869" s="25"/>
      <c r="Y869" s="25"/>
      <c r="Z869" s="25"/>
      <c r="AA869" s="25"/>
      <c r="AB869" s="25"/>
      <c r="AC869" s="25"/>
      <c r="AD869" s="25"/>
    </row>
    <row r="870" customFormat="false" ht="15.75" hidden="false" customHeight="false" outlineLevel="0" collapsed="false">
      <c r="A870" s="28" t="s">
        <v>1242</v>
      </c>
      <c r="B870" s="27" t="s">
        <v>438</v>
      </c>
      <c r="C870" s="27" t="s">
        <v>383</v>
      </c>
      <c r="D870" s="25"/>
      <c r="E870" s="25"/>
      <c r="F870" s="25"/>
      <c r="G870" s="25"/>
      <c r="H870" s="25"/>
      <c r="I870" s="25"/>
      <c r="J870" s="27" t="s">
        <v>1174</v>
      </c>
      <c r="K870" s="25" t="str">
        <f aca="false">IFERROR(__xludf.dummyfunction("SPLIT(J870,"" "")"),"CIF")</f>
        <v>CIF</v>
      </c>
      <c r="L870" s="28" t="str">
        <f aca="false">IFERROR(__xludf.dummyfunction("""COMPUTED_VALUE"""),"India")</f>
        <v>India</v>
      </c>
      <c r="M870" s="27" t="str">
        <f aca="false">IFERROR(__xludf.dummyfunction("""COMPUTED_VALUE"""),"(Diff)")</f>
        <v>(Diff)</v>
      </c>
      <c r="N870" s="25"/>
      <c r="O870" s="25"/>
      <c r="P870" s="25"/>
      <c r="Q870" s="29" t="s">
        <v>393</v>
      </c>
      <c r="R870" s="8" t="str">
        <f aca="false">B870&amp;" "&amp;C870&amp;" "&amp;D870&amp;" "&amp;E870&amp;" "&amp;G870&amp;" "&amp;H870&amp;" "&amp;J870&amp;" "&amp;N870</f>
        <v>Differentials Precursor     CIF India (Diff) </v>
      </c>
      <c r="S870" s="25"/>
      <c r="T870" s="8"/>
      <c r="U870" s="8"/>
      <c r="V870" s="27" t="s">
        <v>49</v>
      </c>
      <c r="W870" s="25"/>
      <c r="X870" s="25"/>
      <c r="Y870" s="25"/>
      <c r="Z870" s="25"/>
      <c r="AA870" s="25"/>
      <c r="AB870" s="25"/>
      <c r="AC870" s="25"/>
      <c r="AD870" s="25"/>
    </row>
    <row r="871" customFormat="false" ht="15.75" hidden="false" customHeight="false" outlineLevel="0" collapsed="false">
      <c r="A871" s="28" t="s">
        <v>1243</v>
      </c>
      <c r="B871" s="27" t="s">
        <v>438</v>
      </c>
      <c r="C871" s="27" t="s">
        <v>383</v>
      </c>
      <c r="D871" s="25"/>
      <c r="E871" s="25"/>
      <c r="F871" s="25"/>
      <c r="G871" s="25"/>
      <c r="H871" s="25"/>
      <c r="I871" s="25"/>
      <c r="J871" s="27" t="s">
        <v>1174</v>
      </c>
      <c r="K871" s="25" t="str">
        <f aca="false">IFERROR(__xludf.dummyfunction("SPLIT(J871,"" "")"),"CIF")</f>
        <v>CIF</v>
      </c>
      <c r="L871" s="28" t="str">
        <f aca="false">IFERROR(__xludf.dummyfunction("""COMPUTED_VALUE"""),"India")</f>
        <v>India</v>
      </c>
      <c r="M871" s="27" t="str">
        <f aca="false">IFERROR(__xludf.dummyfunction("""COMPUTED_VALUE"""),"(Diff)")</f>
        <v>(Diff)</v>
      </c>
      <c r="N871" s="25"/>
      <c r="O871" s="25"/>
      <c r="P871" s="25"/>
      <c r="Q871" s="29" t="s">
        <v>391</v>
      </c>
      <c r="R871" s="8" t="str">
        <f aca="false">B871&amp;" "&amp;C871&amp;" "&amp;D871&amp;" "&amp;E871&amp;" "&amp;G871&amp;" "&amp;H871&amp;" "&amp;J871&amp;" "&amp;N871</f>
        <v>Differentials Precursor     CIF India (Diff) </v>
      </c>
      <c r="S871" s="25"/>
      <c r="T871" s="8"/>
      <c r="U871" s="8"/>
      <c r="V871" s="27" t="s">
        <v>49</v>
      </c>
      <c r="W871" s="25"/>
      <c r="X871" s="25"/>
      <c r="Y871" s="25"/>
      <c r="Z871" s="25"/>
      <c r="AA871" s="25"/>
      <c r="AB871" s="25"/>
      <c r="AC871" s="25"/>
      <c r="AD871" s="25"/>
    </row>
    <row r="872" customFormat="false" ht="15.75" hidden="false" customHeight="false" outlineLevel="0" collapsed="false">
      <c r="A872" s="28" t="s">
        <v>1244</v>
      </c>
      <c r="B872" s="27" t="s">
        <v>438</v>
      </c>
      <c r="C872" s="27" t="s">
        <v>383</v>
      </c>
      <c r="D872" s="25"/>
      <c r="E872" s="25"/>
      <c r="F872" s="25"/>
      <c r="G872" s="25"/>
      <c r="H872" s="25"/>
      <c r="I872" s="25"/>
      <c r="J872" s="27" t="s">
        <v>1174</v>
      </c>
      <c r="K872" s="25" t="str">
        <f aca="false">IFERROR(__xludf.dummyfunction("SPLIT(J872,"" "")"),"CIF")</f>
        <v>CIF</v>
      </c>
      <c r="L872" s="28" t="str">
        <f aca="false">IFERROR(__xludf.dummyfunction("""COMPUTED_VALUE"""),"India")</f>
        <v>India</v>
      </c>
      <c r="M872" s="27" t="str">
        <f aca="false">IFERROR(__xludf.dummyfunction("""COMPUTED_VALUE"""),"(Diff)")</f>
        <v>(Diff)</v>
      </c>
      <c r="N872" s="25"/>
      <c r="O872" s="25"/>
      <c r="P872" s="25"/>
      <c r="Q872" s="29" t="s">
        <v>389</v>
      </c>
      <c r="R872" s="8" t="str">
        <f aca="false">B872&amp;" "&amp;C872&amp;" "&amp;D872&amp;" "&amp;E872&amp;" "&amp;G872&amp;" "&amp;H872&amp;" "&amp;J872&amp;" "&amp;N872</f>
        <v>Differentials Precursor     CIF India (Diff) </v>
      </c>
      <c r="S872" s="25"/>
      <c r="T872" s="8"/>
      <c r="U872" s="8"/>
      <c r="V872" s="27" t="s">
        <v>49</v>
      </c>
      <c r="W872" s="25"/>
      <c r="X872" s="25"/>
      <c r="Y872" s="25"/>
      <c r="Z872" s="25"/>
      <c r="AA872" s="25"/>
      <c r="AB872" s="25"/>
      <c r="AC872" s="25"/>
      <c r="AD872" s="25"/>
    </row>
    <row r="873" customFormat="false" ht="15.75" hidden="false" customHeight="false" outlineLevel="0" collapsed="false">
      <c r="A873" s="28" t="s">
        <v>1245</v>
      </c>
      <c r="B873" s="27" t="s">
        <v>438</v>
      </c>
      <c r="C873" s="27" t="s">
        <v>383</v>
      </c>
      <c r="D873" s="25"/>
      <c r="E873" s="25"/>
      <c r="F873" s="25"/>
      <c r="G873" s="25"/>
      <c r="H873" s="25"/>
      <c r="I873" s="25"/>
      <c r="J873" s="27" t="s">
        <v>1174</v>
      </c>
      <c r="K873" s="25" t="str">
        <f aca="false">IFERROR(__xludf.dummyfunction("SPLIT(J873,"" "")"),"CIF")</f>
        <v>CIF</v>
      </c>
      <c r="L873" s="28" t="str">
        <f aca="false">IFERROR(__xludf.dummyfunction("""COMPUTED_VALUE"""),"India")</f>
        <v>India</v>
      </c>
      <c r="M873" s="27" t="str">
        <f aca="false">IFERROR(__xludf.dummyfunction("""COMPUTED_VALUE"""),"(Diff)")</f>
        <v>(Diff)</v>
      </c>
      <c r="N873" s="25"/>
      <c r="O873" s="25"/>
      <c r="P873" s="25"/>
      <c r="Q873" s="29" t="s">
        <v>387</v>
      </c>
      <c r="R873" s="8" t="str">
        <f aca="false">B873&amp;" "&amp;C873&amp;" "&amp;D873&amp;" "&amp;E873&amp;" "&amp;G873&amp;" "&amp;H873&amp;" "&amp;J873&amp;" "&amp;N873</f>
        <v>Differentials Precursor     CIF India (Diff) </v>
      </c>
      <c r="S873" s="25"/>
      <c r="T873" s="8"/>
      <c r="U873" s="8"/>
      <c r="V873" s="27" t="s">
        <v>49</v>
      </c>
      <c r="W873" s="25"/>
      <c r="X873" s="25"/>
      <c r="Y873" s="25"/>
      <c r="Z873" s="25"/>
      <c r="AA873" s="25"/>
      <c r="AB873" s="25"/>
      <c r="AC873" s="25"/>
      <c r="AD873" s="25"/>
    </row>
    <row r="874" customFormat="false" ht="15.75" hidden="false" customHeight="false" outlineLevel="0" collapsed="false">
      <c r="A874" s="28" t="s">
        <v>1246</v>
      </c>
      <c r="B874" s="27" t="s">
        <v>438</v>
      </c>
      <c r="C874" s="27" t="s">
        <v>383</v>
      </c>
      <c r="D874" s="25"/>
      <c r="E874" s="25"/>
      <c r="F874" s="25"/>
      <c r="G874" s="25"/>
      <c r="H874" s="25"/>
      <c r="I874" s="25"/>
      <c r="J874" s="27" t="s">
        <v>1174</v>
      </c>
      <c r="K874" s="25" t="str">
        <f aca="false">IFERROR(__xludf.dummyfunction("SPLIT(J874,"" "")"),"CIF")</f>
        <v>CIF</v>
      </c>
      <c r="L874" s="28" t="str">
        <f aca="false">IFERROR(__xludf.dummyfunction("""COMPUTED_VALUE"""),"India")</f>
        <v>India</v>
      </c>
      <c r="M874" s="27" t="str">
        <f aca="false">IFERROR(__xludf.dummyfunction("""COMPUTED_VALUE"""),"(Diff)")</f>
        <v>(Diff)</v>
      </c>
      <c r="N874" s="25"/>
      <c r="O874" s="25"/>
      <c r="P874" s="25"/>
      <c r="Q874" s="29" t="s">
        <v>385</v>
      </c>
      <c r="R874" s="8" t="str">
        <f aca="false">B874&amp;" "&amp;C874&amp;" "&amp;D874&amp;" "&amp;E874&amp;" "&amp;G874&amp;" "&amp;H874&amp;" "&amp;J874&amp;" "&amp;N874</f>
        <v>Differentials Precursor     CIF India (Diff) </v>
      </c>
      <c r="S874" s="25"/>
      <c r="T874" s="8"/>
      <c r="U874" s="8"/>
      <c r="V874" s="27" t="s">
        <v>49</v>
      </c>
      <c r="W874" s="25"/>
      <c r="X874" s="25"/>
      <c r="Y874" s="25"/>
      <c r="Z874" s="25"/>
      <c r="AA874" s="25"/>
      <c r="AB874" s="25"/>
      <c r="AC874" s="25"/>
      <c r="AD874" s="25"/>
    </row>
    <row r="875" customFormat="false" ht="15.75" hidden="false" customHeight="false" outlineLevel="0" collapsed="false">
      <c r="A875" s="28" t="s">
        <v>1247</v>
      </c>
      <c r="B875" s="27" t="s">
        <v>438</v>
      </c>
      <c r="C875" s="27" t="s">
        <v>408</v>
      </c>
      <c r="D875" s="25"/>
      <c r="E875" s="25"/>
      <c r="F875" s="25"/>
      <c r="G875" s="25"/>
      <c r="H875" s="25"/>
      <c r="I875" s="25"/>
      <c r="J875" s="27" t="s">
        <v>1174</v>
      </c>
      <c r="K875" s="25" t="str">
        <f aca="false">IFERROR(__xludf.dummyfunction("SPLIT(J875,"" "")"),"CIF")</f>
        <v>CIF</v>
      </c>
      <c r="L875" s="28" t="str">
        <f aca="false">IFERROR(__xludf.dummyfunction("""COMPUTED_VALUE"""),"India")</f>
        <v>India</v>
      </c>
      <c r="M875" s="27" t="str">
        <f aca="false">IFERROR(__xludf.dummyfunction("""COMPUTED_VALUE"""),"(Diff)")</f>
        <v>(Diff)</v>
      </c>
      <c r="N875" s="25"/>
      <c r="O875" s="25"/>
      <c r="P875" s="25"/>
      <c r="Q875" s="29" t="s">
        <v>415</v>
      </c>
      <c r="R875" s="8" t="str">
        <f aca="false">B875&amp;" "&amp;C875&amp;" "&amp;D875&amp;" "&amp;E875&amp;" "&amp;G875&amp;" "&amp;H875&amp;" "&amp;J875&amp;" "&amp;N875</f>
        <v>Differentials Rare Earths     CIF India (Diff) </v>
      </c>
      <c r="S875" s="25"/>
      <c r="T875" s="8"/>
      <c r="U875" s="8"/>
      <c r="V875" s="27" t="s">
        <v>49</v>
      </c>
      <c r="W875" s="25"/>
      <c r="X875" s="25"/>
      <c r="Y875" s="25"/>
      <c r="Z875" s="25"/>
      <c r="AA875" s="25"/>
      <c r="AB875" s="25"/>
      <c r="AC875" s="25"/>
      <c r="AD875" s="25"/>
    </row>
    <row r="876" customFormat="false" ht="15.75" hidden="false" customHeight="false" outlineLevel="0" collapsed="false">
      <c r="A876" s="28" t="s">
        <v>1248</v>
      </c>
      <c r="B876" s="27" t="s">
        <v>438</v>
      </c>
      <c r="C876" s="27" t="s">
        <v>408</v>
      </c>
      <c r="D876" s="25"/>
      <c r="E876" s="25"/>
      <c r="F876" s="25"/>
      <c r="G876" s="25"/>
      <c r="H876" s="25"/>
      <c r="I876" s="25"/>
      <c r="J876" s="27" t="s">
        <v>1174</v>
      </c>
      <c r="K876" s="25" t="str">
        <f aca="false">IFERROR(__xludf.dummyfunction("SPLIT(J876,"" "")"),"CIF")</f>
        <v>CIF</v>
      </c>
      <c r="L876" s="28" t="str">
        <f aca="false">IFERROR(__xludf.dummyfunction("""COMPUTED_VALUE"""),"India")</f>
        <v>India</v>
      </c>
      <c r="M876" s="27" t="str">
        <f aca="false">IFERROR(__xludf.dummyfunction("""COMPUTED_VALUE"""),"(Diff)")</f>
        <v>(Diff)</v>
      </c>
      <c r="N876" s="25"/>
      <c r="O876" s="25"/>
      <c r="P876" s="25"/>
      <c r="Q876" s="29" t="s">
        <v>413</v>
      </c>
      <c r="R876" s="8" t="str">
        <f aca="false">B876&amp;" "&amp;C876&amp;" "&amp;D876&amp;" "&amp;E876&amp;" "&amp;G876&amp;" "&amp;H876&amp;" "&amp;J876&amp;" "&amp;N876</f>
        <v>Differentials Rare Earths     CIF India (Diff) </v>
      </c>
      <c r="S876" s="25"/>
      <c r="T876" s="8"/>
      <c r="U876" s="8"/>
      <c r="V876" s="27" t="s">
        <v>49</v>
      </c>
      <c r="W876" s="25"/>
      <c r="X876" s="25"/>
      <c r="Y876" s="25"/>
      <c r="Z876" s="25"/>
      <c r="AA876" s="25"/>
      <c r="AB876" s="25"/>
      <c r="AC876" s="25"/>
      <c r="AD876" s="25"/>
    </row>
    <row r="877" customFormat="false" ht="15.75" hidden="false" customHeight="false" outlineLevel="0" collapsed="false">
      <c r="A877" s="28" t="s">
        <v>1249</v>
      </c>
      <c r="B877" s="27" t="s">
        <v>438</v>
      </c>
      <c r="C877" s="27" t="s">
        <v>408</v>
      </c>
      <c r="D877" s="25"/>
      <c r="E877" s="25"/>
      <c r="F877" s="25"/>
      <c r="G877" s="25"/>
      <c r="H877" s="25"/>
      <c r="I877" s="25"/>
      <c r="J877" s="27" t="s">
        <v>1174</v>
      </c>
      <c r="K877" s="25" t="str">
        <f aca="false">IFERROR(__xludf.dummyfunction("SPLIT(J877,"" "")"),"CIF")</f>
        <v>CIF</v>
      </c>
      <c r="L877" s="28" t="str">
        <f aca="false">IFERROR(__xludf.dummyfunction("""COMPUTED_VALUE"""),"India")</f>
        <v>India</v>
      </c>
      <c r="M877" s="27" t="str">
        <f aca="false">IFERROR(__xludf.dummyfunction("""COMPUTED_VALUE"""),"(Diff)")</f>
        <v>(Diff)</v>
      </c>
      <c r="N877" s="25"/>
      <c r="O877" s="25"/>
      <c r="P877" s="25"/>
      <c r="Q877" s="29" t="s">
        <v>411</v>
      </c>
      <c r="R877" s="8" t="str">
        <f aca="false">B877&amp;" "&amp;C877&amp;" "&amp;D877&amp;" "&amp;E877&amp;" "&amp;G877&amp;" "&amp;H877&amp;" "&amp;J877&amp;" "&amp;N877</f>
        <v>Differentials Rare Earths     CIF India (Diff) </v>
      </c>
      <c r="S877" s="25"/>
      <c r="T877" s="8"/>
      <c r="U877" s="8"/>
      <c r="V877" s="27" t="s">
        <v>49</v>
      </c>
      <c r="W877" s="25"/>
      <c r="X877" s="25"/>
      <c r="Y877" s="25"/>
      <c r="Z877" s="25"/>
      <c r="AA877" s="25"/>
      <c r="AB877" s="25"/>
      <c r="AC877" s="25"/>
      <c r="AD877" s="25"/>
    </row>
    <row r="878" customFormat="false" ht="15.75" hidden="false" customHeight="false" outlineLevel="0" collapsed="false">
      <c r="A878" s="28" t="s">
        <v>1250</v>
      </c>
      <c r="B878" s="27" t="s">
        <v>438</v>
      </c>
      <c r="C878" s="27" t="s">
        <v>408</v>
      </c>
      <c r="D878" s="25"/>
      <c r="E878" s="25"/>
      <c r="F878" s="25"/>
      <c r="G878" s="25"/>
      <c r="H878" s="25"/>
      <c r="I878" s="25"/>
      <c r="J878" s="27" t="s">
        <v>1174</v>
      </c>
      <c r="K878" s="25" t="str">
        <f aca="false">IFERROR(__xludf.dummyfunction("SPLIT(J878,"" "")"),"CIF")</f>
        <v>CIF</v>
      </c>
      <c r="L878" s="28" t="str">
        <f aca="false">IFERROR(__xludf.dummyfunction("""COMPUTED_VALUE"""),"India")</f>
        <v>India</v>
      </c>
      <c r="M878" s="27" t="str">
        <f aca="false">IFERROR(__xludf.dummyfunction("""COMPUTED_VALUE"""),"(Diff)")</f>
        <v>(Diff)</v>
      </c>
      <c r="N878" s="25"/>
      <c r="O878" s="25"/>
      <c r="P878" s="25"/>
      <c r="Q878" s="29" t="s">
        <v>409</v>
      </c>
      <c r="R878" s="8" t="str">
        <f aca="false">B878&amp;" "&amp;C878&amp;" "&amp;D878&amp;" "&amp;E878&amp;" "&amp;G878&amp;" "&amp;H878&amp;" "&amp;J878&amp;" "&amp;N878</f>
        <v>Differentials Rare Earths     CIF India (Diff) </v>
      </c>
      <c r="S878" s="25"/>
      <c r="T878" s="8"/>
      <c r="U878" s="8"/>
      <c r="V878" s="27" t="s">
        <v>49</v>
      </c>
      <c r="W878" s="25"/>
      <c r="X878" s="25"/>
      <c r="Y878" s="25"/>
      <c r="Z878" s="25"/>
      <c r="AA878" s="25"/>
      <c r="AB878" s="25"/>
      <c r="AC878" s="25"/>
      <c r="AD878" s="25"/>
    </row>
    <row r="879" customFormat="false" ht="15.75" hidden="false" customHeight="false" outlineLevel="0" collapsed="false">
      <c r="A879" s="28" t="s">
        <v>1251</v>
      </c>
      <c r="B879" s="27" t="s">
        <v>438</v>
      </c>
      <c r="C879" s="27" t="s">
        <v>417</v>
      </c>
      <c r="D879" s="25"/>
      <c r="E879" s="25"/>
      <c r="F879" s="25"/>
      <c r="G879" s="25"/>
      <c r="H879" s="25"/>
      <c r="I879" s="25"/>
      <c r="J879" s="27" t="s">
        <v>1174</v>
      </c>
      <c r="K879" s="25" t="str">
        <f aca="false">IFERROR(__xludf.dummyfunction("SPLIT(J879,"" "")"),"CIF")</f>
        <v>CIF</v>
      </c>
      <c r="L879" s="28" t="str">
        <f aca="false">IFERROR(__xludf.dummyfunction("""COMPUTED_VALUE"""),"India")</f>
        <v>India</v>
      </c>
      <c r="M879" s="27" t="str">
        <f aca="false">IFERROR(__xludf.dummyfunction("""COMPUTED_VALUE"""),"(Diff)")</f>
        <v>(Diff)</v>
      </c>
      <c r="N879" s="25"/>
      <c r="O879" s="25"/>
      <c r="P879" s="25"/>
      <c r="Q879" s="29" t="s">
        <v>436</v>
      </c>
      <c r="R879" s="8" t="str">
        <f aca="false">B879&amp;" "&amp;C879&amp;" "&amp;D879&amp;" "&amp;E879&amp;" "&amp;G879&amp;" "&amp;H879&amp;" "&amp;J879&amp;" "&amp;N879</f>
        <v>Differentials Solvent     CIF India (Diff) </v>
      </c>
      <c r="S879" s="25"/>
      <c r="T879" s="8"/>
      <c r="U879" s="8"/>
      <c r="V879" s="27" t="s">
        <v>49</v>
      </c>
      <c r="W879" s="25"/>
      <c r="X879" s="25"/>
      <c r="Y879" s="25"/>
      <c r="Z879" s="25"/>
      <c r="AA879" s="25"/>
      <c r="AB879" s="25"/>
      <c r="AC879" s="25"/>
      <c r="AD879" s="25"/>
    </row>
    <row r="880" customFormat="false" ht="15.75" hidden="false" customHeight="false" outlineLevel="0" collapsed="false">
      <c r="A880" s="28" t="s">
        <v>1252</v>
      </c>
      <c r="B880" s="27" t="s">
        <v>438</v>
      </c>
      <c r="C880" s="27" t="s">
        <v>417</v>
      </c>
      <c r="D880" s="25"/>
      <c r="E880" s="25"/>
      <c r="F880" s="25"/>
      <c r="G880" s="25"/>
      <c r="H880" s="25"/>
      <c r="I880" s="25"/>
      <c r="J880" s="27" t="s">
        <v>1174</v>
      </c>
      <c r="K880" s="25" t="str">
        <f aca="false">IFERROR(__xludf.dummyfunction("SPLIT(J880,"" "")"),"CIF")</f>
        <v>CIF</v>
      </c>
      <c r="L880" s="28" t="str">
        <f aca="false">IFERROR(__xludf.dummyfunction("""COMPUTED_VALUE"""),"India")</f>
        <v>India</v>
      </c>
      <c r="M880" s="27" t="str">
        <f aca="false">IFERROR(__xludf.dummyfunction("""COMPUTED_VALUE"""),"(Diff)")</f>
        <v>(Diff)</v>
      </c>
      <c r="N880" s="25"/>
      <c r="O880" s="25"/>
      <c r="P880" s="25"/>
      <c r="Q880" s="29" t="s">
        <v>434</v>
      </c>
      <c r="R880" s="8" t="str">
        <f aca="false">B880&amp;" "&amp;C880&amp;" "&amp;D880&amp;" "&amp;E880&amp;" "&amp;G880&amp;" "&amp;H880&amp;" "&amp;J880&amp;" "&amp;N880</f>
        <v>Differentials Solvent     CIF India (Diff) </v>
      </c>
      <c r="S880" s="25"/>
      <c r="T880" s="8"/>
      <c r="U880" s="8"/>
      <c r="V880" s="27" t="s">
        <v>49</v>
      </c>
      <c r="W880" s="25"/>
      <c r="X880" s="25"/>
      <c r="Y880" s="25"/>
      <c r="Z880" s="25"/>
      <c r="AA880" s="25"/>
      <c r="AB880" s="25"/>
      <c r="AC880" s="25"/>
      <c r="AD880" s="25"/>
    </row>
    <row r="881" customFormat="false" ht="15.75" hidden="false" customHeight="false" outlineLevel="0" collapsed="false">
      <c r="A881" s="28" t="s">
        <v>1253</v>
      </c>
      <c r="B881" s="27" t="s">
        <v>438</v>
      </c>
      <c r="C881" s="27" t="s">
        <v>417</v>
      </c>
      <c r="D881" s="25"/>
      <c r="E881" s="25"/>
      <c r="F881" s="25"/>
      <c r="G881" s="25"/>
      <c r="H881" s="25"/>
      <c r="I881" s="25"/>
      <c r="J881" s="27" t="s">
        <v>1174</v>
      </c>
      <c r="K881" s="25" t="str">
        <f aca="false">IFERROR(__xludf.dummyfunction("SPLIT(J881,"" "")"),"CIF")</f>
        <v>CIF</v>
      </c>
      <c r="L881" s="28" t="str">
        <f aca="false">IFERROR(__xludf.dummyfunction("""COMPUTED_VALUE"""),"India")</f>
        <v>India</v>
      </c>
      <c r="M881" s="27" t="str">
        <f aca="false">IFERROR(__xludf.dummyfunction("""COMPUTED_VALUE"""),"(Diff)")</f>
        <v>(Diff)</v>
      </c>
      <c r="N881" s="25"/>
      <c r="O881" s="25"/>
      <c r="P881" s="25"/>
      <c r="Q881" s="29" t="s">
        <v>432</v>
      </c>
      <c r="R881" s="8" t="str">
        <f aca="false">B881&amp;" "&amp;C881&amp;" "&amp;D881&amp;" "&amp;E881&amp;" "&amp;G881&amp;" "&amp;H881&amp;" "&amp;J881&amp;" "&amp;N881</f>
        <v>Differentials Solvent     CIF India (Diff) </v>
      </c>
      <c r="S881" s="25"/>
      <c r="T881" s="8"/>
      <c r="U881" s="8"/>
      <c r="V881" s="27" t="s">
        <v>49</v>
      </c>
      <c r="W881" s="25"/>
      <c r="X881" s="25"/>
      <c r="Y881" s="25"/>
      <c r="Z881" s="25"/>
      <c r="AA881" s="25"/>
      <c r="AB881" s="25"/>
      <c r="AC881" s="25"/>
      <c r="AD881" s="25"/>
    </row>
    <row r="882" customFormat="false" ht="15.75" hidden="false" customHeight="false" outlineLevel="0" collapsed="false">
      <c r="A882" s="28" t="s">
        <v>1254</v>
      </c>
      <c r="B882" s="27" t="s">
        <v>438</v>
      </c>
      <c r="C882" s="27" t="s">
        <v>417</v>
      </c>
      <c r="D882" s="25"/>
      <c r="E882" s="25"/>
      <c r="F882" s="25"/>
      <c r="G882" s="25"/>
      <c r="H882" s="25"/>
      <c r="I882" s="25"/>
      <c r="J882" s="27" t="s">
        <v>1174</v>
      </c>
      <c r="K882" s="25" t="str">
        <f aca="false">IFERROR(__xludf.dummyfunction("SPLIT(J882,"" "")"),"CIF")</f>
        <v>CIF</v>
      </c>
      <c r="L882" s="28" t="str">
        <f aca="false">IFERROR(__xludf.dummyfunction("""COMPUTED_VALUE"""),"India")</f>
        <v>India</v>
      </c>
      <c r="M882" s="27" t="str">
        <f aca="false">IFERROR(__xludf.dummyfunction("""COMPUTED_VALUE"""),"(Diff)")</f>
        <v>(Diff)</v>
      </c>
      <c r="N882" s="25"/>
      <c r="O882" s="25"/>
      <c r="P882" s="25"/>
      <c r="Q882" s="29" t="s">
        <v>430</v>
      </c>
      <c r="R882" s="8" t="str">
        <f aca="false">B882&amp;" "&amp;C882&amp;" "&amp;D882&amp;" "&amp;E882&amp;" "&amp;G882&amp;" "&amp;H882&amp;" "&amp;J882&amp;" "&amp;N882</f>
        <v>Differentials Solvent     CIF India (Diff) </v>
      </c>
      <c r="S882" s="25"/>
      <c r="T882" s="8"/>
      <c r="U882" s="8"/>
      <c r="V882" s="27" t="s">
        <v>49</v>
      </c>
      <c r="W882" s="25"/>
      <c r="X882" s="25"/>
      <c r="Y882" s="25"/>
      <c r="Z882" s="25"/>
      <c r="AA882" s="25"/>
      <c r="AB882" s="25"/>
      <c r="AC882" s="25"/>
      <c r="AD882" s="25"/>
    </row>
    <row r="883" customFormat="false" ht="15.75" hidden="false" customHeight="false" outlineLevel="0" collapsed="false">
      <c r="A883" s="28" t="s">
        <v>1255</v>
      </c>
      <c r="B883" s="27" t="s">
        <v>438</v>
      </c>
      <c r="C883" s="27" t="s">
        <v>417</v>
      </c>
      <c r="D883" s="25"/>
      <c r="E883" s="25"/>
      <c r="F883" s="25"/>
      <c r="G883" s="25"/>
      <c r="H883" s="25"/>
      <c r="I883" s="25"/>
      <c r="J883" s="27" t="s">
        <v>1174</v>
      </c>
      <c r="K883" s="25" t="str">
        <f aca="false">IFERROR(__xludf.dummyfunction("SPLIT(J883,"" "")"),"CIF")</f>
        <v>CIF</v>
      </c>
      <c r="L883" s="28" t="str">
        <f aca="false">IFERROR(__xludf.dummyfunction("""COMPUTED_VALUE"""),"India")</f>
        <v>India</v>
      </c>
      <c r="M883" s="27" t="str">
        <f aca="false">IFERROR(__xludf.dummyfunction("""COMPUTED_VALUE"""),"(Diff)")</f>
        <v>(Diff)</v>
      </c>
      <c r="N883" s="25"/>
      <c r="O883" s="25"/>
      <c r="P883" s="25"/>
      <c r="Q883" s="29" t="s">
        <v>428</v>
      </c>
      <c r="R883" s="8" t="str">
        <f aca="false">B883&amp;" "&amp;C883&amp;" "&amp;D883&amp;" "&amp;E883&amp;" "&amp;G883&amp;" "&amp;H883&amp;" "&amp;J883&amp;" "&amp;N883</f>
        <v>Differentials Solvent     CIF India (Diff) </v>
      </c>
      <c r="S883" s="25"/>
      <c r="T883" s="8"/>
      <c r="U883" s="8"/>
      <c r="V883" s="27" t="s">
        <v>49</v>
      </c>
      <c r="W883" s="25"/>
      <c r="X883" s="25"/>
      <c r="Y883" s="25"/>
      <c r="Z883" s="25"/>
      <c r="AA883" s="25"/>
      <c r="AB883" s="25"/>
      <c r="AC883" s="25"/>
      <c r="AD883" s="25"/>
    </row>
    <row r="884" customFormat="false" ht="15.75" hidden="false" customHeight="false" outlineLevel="0" collapsed="false">
      <c r="A884" s="28" t="s">
        <v>1256</v>
      </c>
      <c r="B884" s="27" t="s">
        <v>438</v>
      </c>
      <c r="C884" s="27" t="s">
        <v>417</v>
      </c>
      <c r="D884" s="25"/>
      <c r="E884" s="25"/>
      <c r="F884" s="25"/>
      <c r="G884" s="25"/>
      <c r="H884" s="25"/>
      <c r="I884" s="25"/>
      <c r="J884" s="27" t="s">
        <v>1174</v>
      </c>
      <c r="K884" s="25" t="str">
        <f aca="false">IFERROR(__xludf.dummyfunction("SPLIT(J884,"" "")"),"CIF")</f>
        <v>CIF</v>
      </c>
      <c r="L884" s="28" t="str">
        <f aca="false">IFERROR(__xludf.dummyfunction("""COMPUTED_VALUE"""),"India")</f>
        <v>India</v>
      </c>
      <c r="M884" s="27" t="str">
        <f aca="false">IFERROR(__xludf.dummyfunction("""COMPUTED_VALUE"""),"(Diff)")</f>
        <v>(Diff)</v>
      </c>
      <c r="N884" s="25"/>
      <c r="O884" s="25"/>
      <c r="P884" s="25"/>
      <c r="Q884" s="29" t="s">
        <v>426</v>
      </c>
      <c r="R884" s="8" t="str">
        <f aca="false">B884&amp;" "&amp;C884&amp;" "&amp;D884&amp;" "&amp;E884&amp;" "&amp;G884&amp;" "&amp;H884&amp;" "&amp;J884&amp;" "&amp;N884</f>
        <v>Differentials Solvent     CIF India (Diff) </v>
      </c>
      <c r="S884" s="25"/>
      <c r="T884" s="8"/>
      <c r="U884" s="8"/>
      <c r="V884" s="27" t="s">
        <v>49</v>
      </c>
      <c r="W884" s="25"/>
      <c r="X884" s="25"/>
      <c r="Y884" s="25"/>
      <c r="Z884" s="25"/>
      <c r="AA884" s="25"/>
      <c r="AB884" s="25"/>
      <c r="AC884" s="25"/>
      <c r="AD884" s="25"/>
    </row>
    <row r="885" customFormat="false" ht="15.75" hidden="false" customHeight="false" outlineLevel="0" collapsed="false">
      <c r="A885" s="28" t="s">
        <v>1257</v>
      </c>
      <c r="B885" s="27" t="s">
        <v>438</v>
      </c>
      <c r="C885" s="27" t="s">
        <v>417</v>
      </c>
      <c r="D885" s="25"/>
      <c r="E885" s="25"/>
      <c r="F885" s="25"/>
      <c r="G885" s="25"/>
      <c r="H885" s="25"/>
      <c r="I885" s="25"/>
      <c r="J885" s="27" t="s">
        <v>1174</v>
      </c>
      <c r="K885" s="25" t="str">
        <f aca="false">IFERROR(__xludf.dummyfunction("SPLIT(J885,"" "")"),"CIF")</f>
        <v>CIF</v>
      </c>
      <c r="L885" s="28" t="str">
        <f aca="false">IFERROR(__xludf.dummyfunction("""COMPUTED_VALUE"""),"India")</f>
        <v>India</v>
      </c>
      <c r="M885" s="27" t="str">
        <f aca="false">IFERROR(__xludf.dummyfunction("""COMPUTED_VALUE"""),"(Diff)")</f>
        <v>(Diff)</v>
      </c>
      <c r="N885" s="25"/>
      <c r="O885" s="25"/>
      <c r="P885" s="25"/>
      <c r="Q885" s="29" t="s">
        <v>424</v>
      </c>
      <c r="R885" s="8" t="str">
        <f aca="false">B885&amp;" "&amp;C885&amp;" "&amp;D885&amp;" "&amp;E885&amp;" "&amp;G885&amp;" "&amp;H885&amp;" "&amp;J885&amp;" "&amp;N885</f>
        <v>Differentials Solvent     CIF India (Diff) </v>
      </c>
      <c r="S885" s="25"/>
      <c r="T885" s="8"/>
      <c r="U885" s="8"/>
      <c r="V885" s="27" t="s">
        <v>49</v>
      </c>
      <c r="W885" s="25"/>
      <c r="X885" s="25"/>
      <c r="Y885" s="25"/>
      <c r="Z885" s="25"/>
      <c r="AA885" s="25"/>
      <c r="AB885" s="25"/>
      <c r="AC885" s="25"/>
      <c r="AD885" s="25"/>
    </row>
    <row r="886" customFormat="false" ht="15.75" hidden="false" customHeight="false" outlineLevel="0" collapsed="false">
      <c r="A886" s="28" t="s">
        <v>1258</v>
      </c>
      <c r="B886" s="27" t="s">
        <v>438</v>
      </c>
      <c r="C886" s="27" t="s">
        <v>417</v>
      </c>
      <c r="D886" s="25"/>
      <c r="E886" s="25"/>
      <c r="F886" s="25"/>
      <c r="G886" s="25"/>
      <c r="H886" s="25"/>
      <c r="I886" s="25"/>
      <c r="J886" s="27" t="s">
        <v>1174</v>
      </c>
      <c r="K886" s="25" t="str">
        <f aca="false">IFERROR(__xludf.dummyfunction("SPLIT(J886,"" "")"),"CIF")</f>
        <v>CIF</v>
      </c>
      <c r="L886" s="28" t="str">
        <f aca="false">IFERROR(__xludf.dummyfunction("""COMPUTED_VALUE"""),"India")</f>
        <v>India</v>
      </c>
      <c r="M886" s="27" t="str">
        <f aca="false">IFERROR(__xludf.dummyfunction("""COMPUTED_VALUE"""),"(Diff)")</f>
        <v>(Diff)</v>
      </c>
      <c r="N886" s="25"/>
      <c r="O886" s="25"/>
      <c r="P886" s="25"/>
      <c r="Q886" s="29" t="s">
        <v>422</v>
      </c>
      <c r="R886" s="8" t="str">
        <f aca="false">B886&amp;" "&amp;C886&amp;" "&amp;D886&amp;" "&amp;E886&amp;" "&amp;G886&amp;" "&amp;H886&amp;" "&amp;J886&amp;" "&amp;N886</f>
        <v>Differentials Solvent     CIF India (Diff) </v>
      </c>
      <c r="S886" s="25"/>
      <c r="T886" s="8"/>
      <c r="U886" s="8"/>
      <c r="V886" s="27" t="s">
        <v>49</v>
      </c>
      <c r="W886" s="25"/>
      <c r="X886" s="25"/>
      <c r="Y886" s="25"/>
      <c r="Z886" s="25"/>
      <c r="AA886" s="25"/>
      <c r="AB886" s="25"/>
      <c r="AC886" s="25"/>
      <c r="AD886" s="25"/>
    </row>
    <row r="887" customFormat="false" ht="15.75" hidden="false" customHeight="false" outlineLevel="0" collapsed="false">
      <c r="A887" s="28" t="s">
        <v>1259</v>
      </c>
      <c r="B887" s="27" t="s">
        <v>438</v>
      </c>
      <c r="C887" s="27" t="s">
        <v>417</v>
      </c>
      <c r="D887" s="25"/>
      <c r="E887" s="25"/>
      <c r="F887" s="25"/>
      <c r="G887" s="25"/>
      <c r="H887" s="25"/>
      <c r="I887" s="25"/>
      <c r="J887" s="27" t="s">
        <v>1174</v>
      </c>
      <c r="K887" s="25" t="str">
        <f aca="false">IFERROR(__xludf.dummyfunction("SPLIT(J887,"" "")"),"CIF")</f>
        <v>CIF</v>
      </c>
      <c r="L887" s="28" t="str">
        <f aca="false">IFERROR(__xludf.dummyfunction("""COMPUTED_VALUE"""),"India")</f>
        <v>India</v>
      </c>
      <c r="M887" s="27" t="str">
        <f aca="false">IFERROR(__xludf.dummyfunction("""COMPUTED_VALUE"""),"(Diff)")</f>
        <v>(Diff)</v>
      </c>
      <c r="N887" s="25"/>
      <c r="O887" s="25"/>
      <c r="P887" s="25"/>
      <c r="Q887" s="29" t="s">
        <v>420</v>
      </c>
      <c r="R887" s="8" t="str">
        <f aca="false">B887&amp;" "&amp;C887&amp;" "&amp;D887&amp;" "&amp;E887&amp;" "&amp;G887&amp;" "&amp;H887&amp;" "&amp;J887&amp;" "&amp;N887</f>
        <v>Differentials Solvent     CIF India (Diff) </v>
      </c>
      <c r="S887" s="25"/>
      <c r="T887" s="8"/>
      <c r="U887" s="8"/>
      <c r="V887" s="27" t="s">
        <v>49</v>
      </c>
      <c r="W887" s="25"/>
      <c r="X887" s="25"/>
      <c r="Y887" s="25"/>
      <c r="Z887" s="25"/>
      <c r="AA887" s="25"/>
      <c r="AB887" s="25"/>
      <c r="AC887" s="25"/>
      <c r="AD887" s="25"/>
    </row>
    <row r="888" customFormat="false" ht="15.75" hidden="false" customHeight="false" outlineLevel="0" collapsed="false">
      <c r="A888" s="28" t="s">
        <v>1260</v>
      </c>
      <c r="B888" s="27" t="s">
        <v>438</v>
      </c>
      <c r="C888" s="27" t="s">
        <v>417</v>
      </c>
      <c r="D888" s="25"/>
      <c r="E888" s="25"/>
      <c r="F888" s="25"/>
      <c r="G888" s="25"/>
      <c r="H888" s="25"/>
      <c r="I888" s="25"/>
      <c r="J888" s="27" t="s">
        <v>1174</v>
      </c>
      <c r="K888" s="25" t="str">
        <f aca="false">IFERROR(__xludf.dummyfunction("SPLIT(J888,"" "")"),"CIF")</f>
        <v>CIF</v>
      </c>
      <c r="L888" s="28" t="str">
        <f aca="false">IFERROR(__xludf.dummyfunction("""COMPUTED_VALUE"""),"India")</f>
        <v>India</v>
      </c>
      <c r="M888" s="27" t="str">
        <f aca="false">IFERROR(__xludf.dummyfunction("""COMPUTED_VALUE"""),"(Diff)")</f>
        <v>(Diff)</v>
      </c>
      <c r="N888" s="25"/>
      <c r="O888" s="25"/>
      <c r="P888" s="25"/>
      <c r="Q888" s="29" t="s">
        <v>418</v>
      </c>
      <c r="R888" s="8" t="str">
        <f aca="false">B888&amp;" "&amp;C888&amp;" "&amp;D888&amp;" "&amp;E888&amp;" "&amp;G888&amp;" "&amp;H888&amp;" "&amp;J888&amp;" "&amp;N888</f>
        <v>Differentials Solvent     CIF India (Diff) </v>
      </c>
      <c r="S888" s="25"/>
      <c r="T888" s="8"/>
      <c r="U888" s="8"/>
      <c r="V888" s="27" t="s">
        <v>49</v>
      </c>
      <c r="W888" s="25"/>
      <c r="X888" s="25"/>
      <c r="Y888" s="25"/>
      <c r="Z888" s="25"/>
      <c r="AA888" s="25"/>
      <c r="AB888" s="25"/>
      <c r="AC888" s="25"/>
      <c r="AD888" s="25"/>
    </row>
    <row r="889" customFormat="false" ht="15.75" hidden="false" customHeight="false" outlineLevel="0" collapsed="false">
      <c r="A889" s="28" t="s">
        <v>1261</v>
      </c>
      <c r="B889" s="27" t="s">
        <v>438</v>
      </c>
      <c r="C889" s="27" t="s">
        <v>168</v>
      </c>
      <c r="D889" s="25"/>
      <c r="E889" s="25"/>
      <c r="F889" s="25"/>
      <c r="G889" s="25"/>
      <c r="H889" s="25"/>
      <c r="I889" s="25"/>
      <c r="J889" s="27" t="s">
        <v>1262</v>
      </c>
      <c r="K889" s="25" t="str">
        <f aca="false">IFERROR(__xludf.dummyfunction("SPLIT(J889,"" "")"),"CIF")</f>
        <v>CIF</v>
      </c>
      <c r="L889" s="28" t="str">
        <f aca="false">IFERROR(__xludf.dummyfunction("""COMPUTED_VALUE"""),"Indonesia")</f>
        <v>Indonesia</v>
      </c>
      <c r="M889" s="27" t="str">
        <f aca="false">IFERROR(__xludf.dummyfunction("""COMPUTED_VALUE"""),"(Diff)")</f>
        <v>(Diff)</v>
      </c>
      <c r="N889" s="25"/>
      <c r="O889" s="25"/>
      <c r="P889" s="25"/>
      <c r="Q889" s="29" t="s">
        <v>175</v>
      </c>
      <c r="R889" s="8" t="str">
        <f aca="false">B889&amp;" "&amp;C889&amp;" "&amp;D889&amp;" "&amp;E889&amp;" "&amp;G889&amp;" "&amp;H889&amp;" "&amp;J889&amp;" "&amp;N889</f>
        <v>Differentials Aluminium (Battery Grade)     CIF Indonesia (Diff) </v>
      </c>
      <c r="S889" s="25"/>
      <c r="T889" s="8"/>
      <c r="U889" s="8"/>
      <c r="V889" s="27" t="s">
        <v>49</v>
      </c>
      <c r="W889" s="25"/>
      <c r="X889" s="25"/>
      <c r="Y889" s="25"/>
      <c r="Z889" s="25"/>
      <c r="AA889" s="25"/>
      <c r="AB889" s="25"/>
      <c r="AC889" s="25"/>
      <c r="AD889" s="25"/>
    </row>
    <row r="890" customFormat="false" ht="15.75" hidden="false" customHeight="false" outlineLevel="0" collapsed="false">
      <c r="A890" s="28" t="s">
        <v>1263</v>
      </c>
      <c r="B890" s="27" t="s">
        <v>438</v>
      </c>
      <c r="C890" s="27" t="s">
        <v>168</v>
      </c>
      <c r="D890" s="25"/>
      <c r="E890" s="25"/>
      <c r="F890" s="25"/>
      <c r="G890" s="25"/>
      <c r="H890" s="25"/>
      <c r="I890" s="25"/>
      <c r="J890" s="27" t="s">
        <v>1262</v>
      </c>
      <c r="K890" s="25" t="str">
        <f aca="false">IFERROR(__xludf.dummyfunction("SPLIT(J890,"" "")"),"CIF")</f>
        <v>CIF</v>
      </c>
      <c r="L890" s="28" t="str">
        <f aca="false">IFERROR(__xludf.dummyfunction("""COMPUTED_VALUE"""),"Indonesia")</f>
        <v>Indonesia</v>
      </c>
      <c r="M890" s="27" t="str">
        <f aca="false">IFERROR(__xludf.dummyfunction("""COMPUTED_VALUE"""),"(Diff)")</f>
        <v>(Diff)</v>
      </c>
      <c r="N890" s="25"/>
      <c r="O890" s="25"/>
      <c r="P890" s="25"/>
      <c r="Q890" s="29" t="s">
        <v>173</v>
      </c>
      <c r="R890" s="8" t="str">
        <f aca="false">B890&amp;" "&amp;C890&amp;" "&amp;D890&amp;" "&amp;E890&amp;" "&amp;G890&amp;" "&amp;H890&amp;" "&amp;J890&amp;" "&amp;N890</f>
        <v>Differentials Aluminium (Battery Grade)     CIF Indonesia (Diff) </v>
      </c>
      <c r="S890" s="25"/>
      <c r="T890" s="8"/>
      <c r="U890" s="8"/>
      <c r="V890" s="27" t="s">
        <v>49</v>
      </c>
      <c r="W890" s="25"/>
      <c r="X890" s="25"/>
      <c r="Y890" s="25"/>
      <c r="Z890" s="25"/>
      <c r="AA890" s="25"/>
      <c r="AB890" s="25"/>
      <c r="AC890" s="25"/>
      <c r="AD890" s="25"/>
    </row>
    <row r="891" customFormat="false" ht="15.75" hidden="false" customHeight="false" outlineLevel="0" collapsed="false">
      <c r="A891" s="28" t="s">
        <v>1264</v>
      </c>
      <c r="B891" s="27" t="s">
        <v>438</v>
      </c>
      <c r="C891" s="27" t="s">
        <v>168</v>
      </c>
      <c r="D891" s="25"/>
      <c r="E891" s="25"/>
      <c r="F891" s="25"/>
      <c r="G891" s="25"/>
      <c r="H891" s="25"/>
      <c r="I891" s="25"/>
      <c r="J891" s="27" t="s">
        <v>1262</v>
      </c>
      <c r="K891" s="25" t="str">
        <f aca="false">IFERROR(__xludf.dummyfunction("SPLIT(J891,"" "")"),"CIF")</f>
        <v>CIF</v>
      </c>
      <c r="L891" s="28" t="str">
        <f aca="false">IFERROR(__xludf.dummyfunction("""COMPUTED_VALUE"""),"Indonesia")</f>
        <v>Indonesia</v>
      </c>
      <c r="M891" s="27" t="str">
        <f aca="false">IFERROR(__xludf.dummyfunction("""COMPUTED_VALUE"""),"(Diff)")</f>
        <v>(Diff)</v>
      </c>
      <c r="N891" s="25"/>
      <c r="O891" s="25"/>
      <c r="P891" s="25"/>
      <c r="Q891" s="29" t="s">
        <v>169</v>
      </c>
      <c r="R891" s="8" t="str">
        <f aca="false">B891&amp;" "&amp;C891&amp;" "&amp;D891&amp;" "&amp;E891&amp;" "&amp;G891&amp;" "&amp;H891&amp;" "&amp;J891&amp;" "&amp;N891</f>
        <v>Differentials Aluminium (Battery Grade)     CIF Indonesia (Diff) </v>
      </c>
      <c r="S891" s="25"/>
      <c r="T891" s="8"/>
      <c r="U891" s="8"/>
      <c r="V891" s="27" t="s">
        <v>49</v>
      </c>
      <c r="W891" s="25"/>
      <c r="X891" s="25"/>
      <c r="Y891" s="25"/>
      <c r="Z891" s="25"/>
      <c r="AA891" s="25"/>
      <c r="AB891" s="25"/>
      <c r="AC891" s="25"/>
      <c r="AD891" s="25"/>
    </row>
    <row r="892" customFormat="false" ht="15.75" hidden="false" customHeight="false" outlineLevel="0" collapsed="false">
      <c r="A892" s="28" t="s">
        <v>1265</v>
      </c>
      <c r="B892" s="27" t="s">
        <v>438</v>
      </c>
      <c r="C892" s="27" t="s">
        <v>177</v>
      </c>
      <c r="D892" s="25"/>
      <c r="E892" s="25"/>
      <c r="F892" s="25"/>
      <c r="G892" s="25"/>
      <c r="H892" s="25"/>
      <c r="I892" s="25"/>
      <c r="J892" s="27" t="s">
        <v>1262</v>
      </c>
      <c r="K892" s="25" t="str">
        <f aca="false">IFERROR(__xludf.dummyfunction("SPLIT(J892,"" "")"),"CIF")</f>
        <v>CIF</v>
      </c>
      <c r="L892" s="28" t="str">
        <f aca="false">IFERROR(__xludf.dummyfunction("""COMPUTED_VALUE"""),"Indonesia")</f>
        <v>Indonesia</v>
      </c>
      <c r="M892" s="27" t="str">
        <f aca="false">IFERROR(__xludf.dummyfunction("""COMPUTED_VALUE"""),"(Diff)")</f>
        <v>(Diff)</v>
      </c>
      <c r="N892" s="25"/>
      <c r="O892" s="25"/>
      <c r="P892" s="25"/>
      <c r="Q892" s="29" t="s">
        <v>209</v>
      </c>
      <c r="R892" s="8" t="str">
        <f aca="false">B892&amp;" "&amp;C892&amp;" "&amp;D892&amp;" "&amp;E892&amp;" "&amp;G892&amp;" "&amp;H892&amp;" "&amp;J892&amp;" "&amp;N892</f>
        <v>Differentials Anode     CIF Indonesia (Diff) </v>
      </c>
      <c r="S892" s="25"/>
      <c r="T892" s="8"/>
      <c r="U892" s="8"/>
      <c r="V892" s="27" t="s">
        <v>49</v>
      </c>
      <c r="W892" s="25"/>
      <c r="X892" s="25"/>
      <c r="Y892" s="25"/>
      <c r="Z892" s="25"/>
      <c r="AA892" s="25"/>
      <c r="AB892" s="25"/>
      <c r="AC892" s="25"/>
      <c r="AD892" s="25"/>
    </row>
    <row r="893" customFormat="false" ht="15.75" hidden="false" customHeight="false" outlineLevel="0" collapsed="false">
      <c r="A893" s="28" t="s">
        <v>1266</v>
      </c>
      <c r="B893" s="27" t="s">
        <v>438</v>
      </c>
      <c r="C893" s="27" t="s">
        <v>177</v>
      </c>
      <c r="D893" s="25"/>
      <c r="E893" s="25"/>
      <c r="F893" s="25"/>
      <c r="G893" s="25"/>
      <c r="H893" s="25"/>
      <c r="I893" s="25"/>
      <c r="J893" s="27" t="s">
        <v>1262</v>
      </c>
      <c r="K893" s="25" t="str">
        <f aca="false">IFERROR(__xludf.dummyfunction("SPLIT(J893,"" "")"),"CIF")</f>
        <v>CIF</v>
      </c>
      <c r="L893" s="28" t="str">
        <f aca="false">IFERROR(__xludf.dummyfunction("""COMPUTED_VALUE"""),"Indonesia")</f>
        <v>Indonesia</v>
      </c>
      <c r="M893" s="27" t="str">
        <f aca="false">IFERROR(__xludf.dummyfunction("""COMPUTED_VALUE"""),"(Diff)")</f>
        <v>(Diff)</v>
      </c>
      <c r="N893" s="25"/>
      <c r="O893" s="25"/>
      <c r="P893" s="25"/>
      <c r="Q893" s="29" t="s">
        <v>205</v>
      </c>
      <c r="R893" s="8" t="str">
        <f aca="false">B893&amp;" "&amp;C893&amp;" "&amp;D893&amp;" "&amp;E893&amp;" "&amp;G893&amp;" "&amp;H893&amp;" "&amp;J893&amp;" "&amp;N893</f>
        <v>Differentials Anode     CIF Indonesia (Diff) </v>
      </c>
      <c r="S893" s="25"/>
      <c r="T893" s="8"/>
      <c r="U893" s="8"/>
      <c r="V893" s="27" t="s">
        <v>49</v>
      </c>
      <c r="W893" s="25"/>
      <c r="X893" s="25"/>
      <c r="Y893" s="25"/>
      <c r="Z893" s="25"/>
      <c r="AA893" s="25"/>
      <c r="AB893" s="25"/>
      <c r="AC893" s="25"/>
      <c r="AD893" s="25"/>
    </row>
    <row r="894" customFormat="false" ht="15.75" hidden="false" customHeight="false" outlineLevel="0" collapsed="false">
      <c r="A894" s="28" t="s">
        <v>1267</v>
      </c>
      <c r="B894" s="27" t="s">
        <v>438</v>
      </c>
      <c r="C894" s="27" t="s">
        <v>177</v>
      </c>
      <c r="D894" s="25"/>
      <c r="E894" s="25"/>
      <c r="F894" s="25"/>
      <c r="G894" s="25"/>
      <c r="H894" s="25"/>
      <c r="I894" s="25"/>
      <c r="J894" s="27" t="s">
        <v>1262</v>
      </c>
      <c r="K894" s="25" t="str">
        <f aca="false">IFERROR(__xludf.dummyfunction("SPLIT(J894,"" "")"),"CIF")</f>
        <v>CIF</v>
      </c>
      <c r="L894" s="28" t="str">
        <f aca="false">IFERROR(__xludf.dummyfunction("""COMPUTED_VALUE"""),"Indonesia")</f>
        <v>Indonesia</v>
      </c>
      <c r="M894" s="27" t="str">
        <f aca="false">IFERROR(__xludf.dummyfunction("""COMPUTED_VALUE"""),"(Diff)")</f>
        <v>(Diff)</v>
      </c>
      <c r="N894" s="25"/>
      <c r="O894" s="25"/>
      <c r="P894" s="25"/>
      <c r="Q894" s="29" t="s">
        <v>202</v>
      </c>
      <c r="R894" s="8" t="str">
        <f aca="false">B894&amp;" "&amp;C894&amp;" "&amp;D894&amp;" "&amp;E894&amp;" "&amp;G894&amp;" "&amp;H894&amp;" "&amp;J894&amp;" "&amp;N894</f>
        <v>Differentials Anode     CIF Indonesia (Diff) </v>
      </c>
      <c r="S894" s="25"/>
      <c r="T894" s="8"/>
      <c r="U894" s="8"/>
      <c r="V894" s="27" t="s">
        <v>49</v>
      </c>
      <c r="W894" s="25"/>
      <c r="X894" s="25"/>
      <c r="Y894" s="25"/>
      <c r="Z894" s="25"/>
      <c r="AA894" s="25"/>
      <c r="AB894" s="25"/>
      <c r="AC894" s="25"/>
      <c r="AD894" s="25"/>
    </row>
    <row r="895" customFormat="false" ht="15.75" hidden="false" customHeight="false" outlineLevel="0" collapsed="false">
      <c r="A895" s="28" t="s">
        <v>1268</v>
      </c>
      <c r="B895" s="27" t="s">
        <v>438</v>
      </c>
      <c r="C895" s="27" t="s">
        <v>177</v>
      </c>
      <c r="D895" s="25"/>
      <c r="E895" s="25"/>
      <c r="F895" s="25"/>
      <c r="G895" s="25"/>
      <c r="H895" s="25"/>
      <c r="I895" s="25"/>
      <c r="J895" s="27" t="s">
        <v>1262</v>
      </c>
      <c r="K895" s="25" t="str">
        <f aca="false">IFERROR(__xludf.dummyfunction("SPLIT(J895,"" "")"),"CIF")</f>
        <v>CIF</v>
      </c>
      <c r="L895" s="28" t="str">
        <f aca="false">IFERROR(__xludf.dummyfunction("""COMPUTED_VALUE"""),"Indonesia")</f>
        <v>Indonesia</v>
      </c>
      <c r="M895" s="27" t="str">
        <f aca="false">IFERROR(__xludf.dummyfunction("""COMPUTED_VALUE"""),"(Diff)")</f>
        <v>(Diff)</v>
      </c>
      <c r="N895" s="25"/>
      <c r="O895" s="25"/>
      <c r="P895" s="25"/>
      <c r="Q895" s="29" t="s">
        <v>197</v>
      </c>
      <c r="R895" s="8" t="str">
        <f aca="false">B895&amp;" "&amp;C895&amp;" "&amp;D895&amp;" "&amp;E895&amp;" "&amp;G895&amp;" "&amp;H895&amp;" "&amp;J895&amp;" "&amp;N895</f>
        <v>Differentials Anode     CIF Indonesia (Diff) </v>
      </c>
      <c r="S895" s="25"/>
      <c r="T895" s="8"/>
      <c r="U895" s="8"/>
      <c r="V895" s="27" t="s">
        <v>49</v>
      </c>
      <c r="W895" s="25"/>
      <c r="X895" s="25"/>
      <c r="Y895" s="25"/>
      <c r="Z895" s="25"/>
      <c r="AA895" s="25"/>
      <c r="AB895" s="25"/>
      <c r="AC895" s="25"/>
      <c r="AD895" s="25"/>
    </row>
    <row r="896" customFormat="false" ht="15.75" hidden="false" customHeight="false" outlineLevel="0" collapsed="false">
      <c r="A896" s="28" t="s">
        <v>1269</v>
      </c>
      <c r="B896" s="27" t="s">
        <v>438</v>
      </c>
      <c r="C896" s="27" t="s">
        <v>177</v>
      </c>
      <c r="D896" s="25"/>
      <c r="E896" s="25"/>
      <c r="F896" s="25"/>
      <c r="G896" s="25"/>
      <c r="H896" s="25"/>
      <c r="I896" s="25"/>
      <c r="J896" s="27" t="s">
        <v>1262</v>
      </c>
      <c r="K896" s="25" t="str">
        <f aca="false">IFERROR(__xludf.dummyfunction("SPLIT(J896,"" "")"),"CIF")</f>
        <v>CIF</v>
      </c>
      <c r="L896" s="28" t="str">
        <f aca="false">IFERROR(__xludf.dummyfunction("""COMPUTED_VALUE"""),"Indonesia")</f>
        <v>Indonesia</v>
      </c>
      <c r="M896" s="27" t="str">
        <f aca="false">IFERROR(__xludf.dummyfunction("""COMPUTED_VALUE"""),"(Diff)")</f>
        <v>(Diff)</v>
      </c>
      <c r="N896" s="25"/>
      <c r="O896" s="25"/>
      <c r="P896" s="25"/>
      <c r="Q896" s="29" t="s">
        <v>193</v>
      </c>
      <c r="R896" s="8" t="str">
        <f aca="false">B896&amp;" "&amp;C896&amp;" "&amp;D896&amp;" "&amp;E896&amp;" "&amp;G896&amp;" "&amp;H896&amp;" "&amp;J896&amp;" "&amp;N896</f>
        <v>Differentials Anode     CIF Indonesia (Diff) </v>
      </c>
      <c r="S896" s="25"/>
      <c r="T896" s="8"/>
      <c r="U896" s="8"/>
      <c r="V896" s="27" t="s">
        <v>49</v>
      </c>
      <c r="W896" s="25"/>
      <c r="X896" s="25"/>
      <c r="Y896" s="25"/>
      <c r="Z896" s="25"/>
      <c r="AA896" s="25"/>
      <c r="AB896" s="25"/>
      <c r="AC896" s="25"/>
      <c r="AD896" s="25"/>
    </row>
    <row r="897" customFormat="false" ht="15.75" hidden="false" customHeight="false" outlineLevel="0" collapsed="false">
      <c r="A897" s="28" t="s">
        <v>1270</v>
      </c>
      <c r="B897" s="27" t="s">
        <v>438</v>
      </c>
      <c r="C897" s="27" t="s">
        <v>177</v>
      </c>
      <c r="D897" s="25"/>
      <c r="E897" s="25"/>
      <c r="F897" s="25"/>
      <c r="G897" s="25"/>
      <c r="H897" s="25"/>
      <c r="I897" s="25"/>
      <c r="J897" s="27" t="s">
        <v>1262</v>
      </c>
      <c r="K897" s="25" t="str">
        <f aca="false">IFERROR(__xludf.dummyfunction("SPLIT(J897,"" "")"),"CIF")</f>
        <v>CIF</v>
      </c>
      <c r="L897" s="28" t="str">
        <f aca="false">IFERROR(__xludf.dummyfunction("""COMPUTED_VALUE"""),"Indonesia")</f>
        <v>Indonesia</v>
      </c>
      <c r="M897" s="27" t="str">
        <f aca="false">IFERROR(__xludf.dummyfunction("""COMPUTED_VALUE"""),"(Diff)")</f>
        <v>(Diff)</v>
      </c>
      <c r="N897" s="25"/>
      <c r="O897" s="25"/>
      <c r="P897" s="25"/>
      <c r="Q897" s="29" t="s">
        <v>188</v>
      </c>
      <c r="R897" s="8" t="str">
        <f aca="false">B897&amp;" "&amp;C897&amp;" "&amp;D897&amp;" "&amp;E897&amp;" "&amp;G897&amp;" "&amp;H897&amp;" "&amp;J897&amp;" "&amp;N897</f>
        <v>Differentials Anode     CIF Indonesia (Diff) </v>
      </c>
      <c r="S897" s="25"/>
      <c r="T897" s="8"/>
      <c r="U897" s="8"/>
      <c r="V897" s="27" t="s">
        <v>49</v>
      </c>
      <c r="W897" s="25"/>
      <c r="X897" s="25"/>
      <c r="Y897" s="25"/>
      <c r="Z897" s="25"/>
      <c r="AA897" s="25"/>
      <c r="AB897" s="25"/>
      <c r="AC897" s="25"/>
      <c r="AD897" s="25"/>
    </row>
    <row r="898" customFormat="false" ht="15.75" hidden="false" customHeight="false" outlineLevel="0" collapsed="false">
      <c r="A898" s="28" t="s">
        <v>1271</v>
      </c>
      <c r="B898" s="27" t="s">
        <v>438</v>
      </c>
      <c r="C898" s="27" t="s">
        <v>177</v>
      </c>
      <c r="D898" s="25"/>
      <c r="E898" s="25"/>
      <c r="F898" s="25"/>
      <c r="G898" s="25"/>
      <c r="H898" s="25"/>
      <c r="I898" s="25"/>
      <c r="J898" s="27" t="s">
        <v>1262</v>
      </c>
      <c r="K898" s="25" t="str">
        <f aca="false">IFERROR(__xludf.dummyfunction("SPLIT(J898,"" "")"),"CIF")</f>
        <v>CIF</v>
      </c>
      <c r="L898" s="28" t="str">
        <f aca="false">IFERROR(__xludf.dummyfunction("""COMPUTED_VALUE"""),"Indonesia")</f>
        <v>Indonesia</v>
      </c>
      <c r="M898" s="27" t="str">
        <f aca="false">IFERROR(__xludf.dummyfunction("""COMPUTED_VALUE"""),"(Diff)")</f>
        <v>(Diff)</v>
      </c>
      <c r="N898" s="25"/>
      <c r="O898" s="25"/>
      <c r="P898" s="25"/>
      <c r="Q898" s="29" t="s">
        <v>180</v>
      </c>
      <c r="R898" s="8" t="str">
        <f aca="false">B898&amp;" "&amp;C898&amp;" "&amp;D898&amp;" "&amp;E898&amp;" "&amp;G898&amp;" "&amp;H898&amp;" "&amp;J898&amp;" "&amp;N898</f>
        <v>Differentials Anode     CIF Indonesia (Diff) </v>
      </c>
      <c r="S898" s="25"/>
      <c r="T898" s="8"/>
      <c r="U898" s="8"/>
      <c r="V898" s="27" t="s">
        <v>49</v>
      </c>
      <c r="W898" s="25"/>
      <c r="X898" s="25"/>
      <c r="Y898" s="25"/>
      <c r="Z898" s="25"/>
      <c r="AA898" s="25"/>
      <c r="AB898" s="25"/>
      <c r="AC898" s="25"/>
      <c r="AD898" s="25"/>
    </row>
    <row r="899" customFormat="false" ht="15.75" hidden="false" customHeight="false" outlineLevel="0" collapsed="false">
      <c r="A899" s="28" t="s">
        <v>1272</v>
      </c>
      <c r="B899" s="27" t="s">
        <v>438</v>
      </c>
      <c r="C899" s="27" t="s">
        <v>211</v>
      </c>
      <c r="D899" s="25"/>
      <c r="E899" s="25"/>
      <c r="F899" s="25"/>
      <c r="G899" s="25"/>
      <c r="H899" s="25"/>
      <c r="I899" s="25"/>
      <c r="J899" s="27" t="s">
        <v>1262</v>
      </c>
      <c r="K899" s="25" t="str">
        <f aca="false">IFERROR(__xludf.dummyfunction("SPLIT(J899,"" "")"),"CIF")</f>
        <v>CIF</v>
      </c>
      <c r="L899" s="28" t="str">
        <f aca="false">IFERROR(__xludf.dummyfunction("""COMPUTED_VALUE"""),"Indonesia")</f>
        <v>Indonesia</v>
      </c>
      <c r="M899" s="27" t="str">
        <f aca="false">IFERROR(__xludf.dummyfunction("""COMPUTED_VALUE"""),"(Diff)")</f>
        <v>(Diff)</v>
      </c>
      <c r="N899" s="25"/>
      <c r="O899" s="25"/>
      <c r="P899" s="25"/>
      <c r="Q899" s="29" t="s">
        <v>234</v>
      </c>
      <c r="R899" s="8" t="str">
        <f aca="false">B899&amp;" "&amp;C899&amp;" "&amp;D899&amp;" "&amp;E899&amp;" "&amp;G899&amp;" "&amp;H899&amp;" "&amp;J899&amp;" "&amp;N899</f>
        <v>Differentials Binders &amp; Additives     CIF Indonesia (Diff) </v>
      </c>
      <c r="S899" s="25"/>
      <c r="T899" s="8"/>
      <c r="U899" s="8"/>
      <c r="V899" s="27" t="s">
        <v>49</v>
      </c>
      <c r="W899" s="25"/>
      <c r="X899" s="25"/>
      <c r="Y899" s="25"/>
      <c r="Z899" s="25"/>
      <c r="AA899" s="25"/>
      <c r="AB899" s="25"/>
      <c r="AC899" s="25"/>
      <c r="AD899" s="25"/>
    </row>
    <row r="900" customFormat="false" ht="15.75" hidden="false" customHeight="false" outlineLevel="0" collapsed="false">
      <c r="A900" s="28" t="s">
        <v>1273</v>
      </c>
      <c r="B900" s="27" t="s">
        <v>438</v>
      </c>
      <c r="C900" s="27" t="s">
        <v>211</v>
      </c>
      <c r="D900" s="25"/>
      <c r="E900" s="25"/>
      <c r="F900" s="25"/>
      <c r="G900" s="25"/>
      <c r="H900" s="25"/>
      <c r="I900" s="25"/>
      <c r="J900" s="27" t="s">
        <v>1262</v>
      </c>
      <c r="K900" s="25" t="str">
        <f aca="false">IFERROR(__xludf.dummyfunction("SPLIT(J900,"" "")"),"CIF")</f>
        <v>CIF</v>
      </c>
      <c r="L900" s="28" t="str">
        <f aca="false">IFERROR(__xludf.dummyfunction("""COMPUTED_VALUE"""),"Indonesia")</f>
        <v>Indonesia</v>
      </c>
      <c r="M900" s="27" t="str">
        <f aca="false">IFERROR(__xludf.dummyfunction("""COMPUTED_VALUE"""),"(Diff)")</f>
        <v>(Diff)</v>
      </c>
      <c r="N900" s="25"/>
      <c r="O900" s="25"/>
      <c r="P900" s="25"/>
      <c r="Q900" s="29" t="s">
        <v>232</v>
      </c>
      <c r="R900" s="8" t="str">
        <f aca="false">B900&amp;" "&amp;C900&amp;" "&amp;D900&amp;" "&amp;E900&amp;" "&amp;G900&amp;" "&amp;H900&amp;" "&amp;J900&amp;" "&amp;N900</f>
        <v>Differentials Binders &amp; Additives     CIF Indonesia (Diff) </v>
      </c>
      <c r="S900" s="25"/>
      <c r="T900" s="8"/>
      <c r="U900" s="8"/>
      <c r="V900" s="27" t="s">
        <v>49</v>
      </c>
      <c r="W900" s="25"/>
      <c r="X900" s="25"/>
      <c r="Y900" s="25"/>
      <c r="Z900" s="25"/>
      <c r="AA900" s="25"/>
      <c r="AB900" s="25"/>
      <c r="AC900" s="25"/>
      <c r="AD900" s="25"/>
    </row>
    <row r="901" customFormat="false" ht="15.75" hidden="false" customHeight="false" outlineLevel="0" collapsed="false">
      <c r="A901" s="28" t="s">
        <v>1274</v>
      </c>
      <c r="B901" s="27" t="s">
        <v>438</v>
      </c>
      <c r="C901" s="27" t="s">
        <v>211</v>
      </c>
      <c r="D901" s="25"/>
      <c r="E901" s="25"/>
      <c r="F901" s="25"/>
      <c r="G901" s="25"/>
      <c r="H901" s="25"/>
      <c r="I901" s="25"/>
      <c r="J901" s="27" t="s">
        <v>1262</v>
      </c>
      <c r="K901" s="25" t="str">
        <f aca="false">IFERROR(__xludf.dummyfunction("SPLIT(J901,"" "")"),"CIF")</f>
        <v>CIF</v>
      </c>
      <c r="L901" s="28" t="str">
        <f aca="false">IFERROR(__xludf.dummyfunction("""COMPUTED_VALUE"""),"Indonesia")</f>
        <v>Indonesia</v>
      </c>
      <c r="M901" s="27" t="str">
        <f aca="false">IFERROR(__xludf.dummyfunction("""COMPUTED_VALUE"""),"(Diff)")</f>
        <v>(Diff)</v>
      </c>
      <c r="N901" s="25"/>
      <c r="O901" s="25"/>
      <c r="P901" s="25"/>
      <c r="Q901" s="29" t="s">
        <v>230</v>
      </c>
      <c r="R901" s="8" t="str">
        <f aca="false">B901&amp;" "&amp;C901&amp;" "&amp;D901&amp;" "&amp;E901&amp;" "&amp;G901&amp;" "&amp;H901&amp;" "&amp;J901&amp;" "&amp;N901</f>
        <v>Differentials Binders &amp; Additives     CIF Indonesia (Diff) </v>
      </c>
      <c r="S901" s="25"/>
      <c r="T901" s="8"/>
      <c r="U901" s="8"/>
      <c r="V901" s="27" t="s">
        <v>49</v>
      </c>
      <c r="W901" s="25"/>
      <c r="X901" s="25"/>
      <c r="Y901" s="25"/>
      <c r="Z901" s="25"/>
      <c r="AA901" s="25"/>
      <c r="AB901" s="25"/>
      <c r="AC901" s="25"/>
      <c r="AD901" s="25"/>
    </row>
    <row r="902" customFormat="false" ht="15.75" hidden="false" customHeight="false" outlineLevel="0" collapsed="false">
      <c r="A902" s="28" t="s">
        <v>1275</v>
      </c>
      <c r="B902" s="27" t="s">
        <v>438</v>
      </c>
      <c r="C902" s="27" t="s">
        <v>211</v>
      </c>
      <c r="D902" s="25"/>
      <c r="E902" s="25"/>
      <c r="F902" s="25"/>
      <c r="G902" s="25"/>
      <c r="H902" s="25"/>
      <c r="I902" s="25"/>
      <c r="J902" s="27" t="s">
        <v>1262</v>
      </c>
      <c r="K902" s="25" t="str">
        <f aca="false">IFERROR(__xludf.dummyfunction("SPLIT(J902,"" "")"),"CIF")</f>
        <v>CIF</v>
      </c>
      <c r="L902" s="28" t="str">
        <f aca="false">IFERROR(__xludf.dummyfunction("""COMPUTED_VALUE"""),"Indonesia")</f>
        <v>Indonesia</v>
      </c>
      <c r="M902" s="27" t="str">
        <f aca="false">IFERROR(__xludf.dummyfunction("""COMPUTED_VALUE"""),"(Diff)")</f>
        <v>(Diff)</v>
      </c>
      <c r="N902" s="25"/>
      <c r="O902" s="25"/>
      <c r="P902" s="25"/>
      <c r="Q902" s="29" t="s">
        <v>228</v>
      </c>
      <c r="R902" s="8" t="str">
        <f aca="false">B902&amp;" "&amp;C902&amp;" "&amp;D902&amp;" "&amp;E902&amp;" "&amp;G902&amp;" "&amp;H902&amp;" "&amp;J902&amp;" "&amp;N902</f>
        <v>Differentials Binders &amp; Additives     CIF Indonesia (Diff) </v>
      </c>
      <c r="S902" s="25"/>
      <c r="T902" s="8"/>
      <c r="U902" s="8"/>
      <c r="V902" s="27" t="s">
        <v>49</v>
      </c>
      <c r="W902" s="25"/>
      <c r="X902" s="25"/>
      <c r="Y902" s="25"/>
      <c r="Z902" s="25"/>
      <c r="AA902" s="25"/>
      <c r="AB902" s="25"/>
      <c r="AC902" s="25"/>
      <c r="AD902" s="25"/>
    </row>
    <row r="903" customFormat="false" ht="15.75" hidden="false" customHeight="false" outlineLevel="0" collapsed="false">
      <c r="A903" s="28" t="s">
        <v>1276</v>
      </c>
      <c r="B903" s="27" t="s">
        <v>438</v>
      </c>
      <c r="C903" s="27" t="s">
        <v>211</v>
      </c>
      <c r="D903" s="25"/>
      <c r="E903" s="25"/>
      <c r="F903" s="25"/>
      <c r="G903" s="25"/>
      <c r="H903" s="25"/>
      <c r="I903" s="25"/>
      <c r="J903" s="27" t="s">
        <v>1262</v>
      </c>
      <c r="K903" s="25" t="str">
        <f aca="false">IFERROR(__xludf.dummyfunction("SPLIT(J903,"" "")"),"CIF")</f>
        <v>CIF</v>
      </c>
      <c r="L903" s="28" t="str">
        <f aca="false">IFERROR(__xludf.dummyfunction("""COMPUTED_VALUE"""),"Indonesia")</f>
        <v>Indonesia</v>
      </c>
      <c r="M903" s="27" t="str">
        <f aca="false">IFERROR(__xludf.dummyfunction("""COMPUTED_VALUE"""),"(Diff)")</f>
        <v>(Diff)</v>
      </c>
      <c r="N903" s="25"/>
      <c r="O903" s="25"/>
      <c r="P903" s="25"/>
      <c r="Q903" s="29" t="s">
        <v>226</v>
      </c>
      <c r="R903" s="8" t="str">
        <f aca="false">B903&amp;" "&amp;C903&amp;" "&amp;D903&amp;" "&amp;E903&amp;" "&amp;G903&amp;" "&amp;H903&amp;" "&amp;J903&amp;" "&amp;N903</f>
        <v>Differentials Binders &amp; Additives     CIF Indonesia (Diff) </v>
      </c>
      <c r="S903" s="25"/>
      <c r="T903" s="8"/>
      <c r="U903" s="8"/>
      <c r="V903" s="27" t="s">
        <v>49</v>
      </c>
      <c r="W903" s="25"/>
      <c r="X903" s="25"/>
      <c r="Y903" s="25"/>
      <c r="Z903" s="25"/>
      <c r="AA903" s="25"/>
      <c r="AB903" s="25"/>
      <c r="AC903" s="25"/>
      <c r="AD903" s="25"/>
    </row>
    <row r="904" customFormat="false" ht="15.75" hidden="false" customHeight="false" outlineLevel="0" collapsed="false">
      <c r="A904" s="28" t="s">
        <v>1277</v>
      </c>
      <c r="B904" s="27" t="s">
        <v>438</v>
      </c>
      <c r="C904" s="27" t="s">
        <v>211</v>
      </c>
      <c r="D904" s="25"/>
      <c r="E904" s="25"/>
      <c r="F904" s="25"/>
      <c r="G904" s="25"/>
      <c r="H904" s="25"/>
      <c r="I904" s="25"/>
      <c r="J904" s="27" t="s">
        <v>1262</v>
      </c>
      <c r="K904" s="25" t="str">
        <f aca="false">IFERROR(__xludf.dummyfunction("SPLIT(J904,"" "")"),"CIF")</f>
        <v>CIF</v>
      </c>
      <c r="L904" s="28" t="str">
        <f aca="false">IFERROR(__xludf.dummyfunction("""COMPUTED_VALUE"""),"Indonesia")</f>
        <v>Indonesia</v>
      </c>
      <c r="M904" s="27" t="str">
        <f aca="false">IFERROR(__xludf.dummyfunction("""COMPUTED_VALUE"""),"(Diff)")</f>
        <v>(Diff)</v>
      </c>
      <c r="N904" s="25"/>
      <c r="O904" s="25"/>
      <c r="P904" s="25"/>
      <c r="Q904" s="29" t="s">
        <v>224</v>
      </c>
      <c r="R904" s="8" t="str">
        <f aca="false">B904&amp;" "&amp;C904&amp;" "&amp;D904&amp;" "&amp;E904&amp;" "&amp;G904&amp;" "&amp;H904&amp;" "&amp;J904&amp;" "&amp;N904</f>
        <v>Differentials Binders &amp; Additives     CIF Indonesia (Diff) </v>
      </c>
      <c r="S904" s="25"/>
      <c r="T904" s="8"/>
      <c r="U904" s="8"/>
      <c r="V904" s="27" t="s">
        <v>49</v>
      </c>
      <c r="W904" s="25"/>
      <c r="X904" s="25"/>
      <c r="Y904" s="25"/>
      <c r="Z904" s="25"/>
      <c r="AA904" s="25"/>
      <c r="AB904" s="25"/>
      <c r="AC904" s="25"/>
      <c r="AD904" s="25"/>
    </row>
    <row r="905" customFormat="false" ht="15.75" hidden="false" customHeight="false" outlineLevel="0" collapsed="false">
      <c r="A905" s="28" t="s">
        <v>1278</v>
      </c>
      <c r="B905" s="27" t="s">
        <v>438</v>
      </c>
      <c r="C905" s="27" t="s">
        <v>211</v>
      </c>
      <c r="D905" s="25"/>
      <c r="E905" s="25"/>
      <c r="F905" s="25"/>
      <c r="G905" s="25"/>
      <c r="H905" s="25"/>
      <c r="I905" s="25"/>
      <c r="J905" s="27" t="s">
        <v>1262</v>
      </c>
      <c r="K905" s="25" t="str">
        <f aca="false">IFERROR(__xludf.dummyfunction("SPLIT(J905,"" "")"),"CIF")</f>
        <v>CIF</v>
      </c>
      <c r="L905" s="28" t="str">
        <f aca="false">IFERROR(__xludf.dummyfunction("""COMPUTED_VALUE"""),"Indonesia")</f>
        <v>Indonesia</v>
      </c>
      <c r="M905" s="27" t="str">
        <f aca="false">IFERROR(__xludf.dummyfunction("""COMPUTED_VALUE"""),"(Diff)")</f>
        <v>(Diff)</v>
      </c>
      <c r="N905" s="25"/>
      <c r="O905" s="25"/>
      <c r="P905" s="25"/>
      <c r="Q905" s="29" t="s">
        <v>222</v>
      </c>
      <c r="R905" s="8" t="str">
        <f aca="false">B905&amp;" "&amp;C905&amp;" "&amp;D905&amp;" "&amp;E905&amp;" "&amp;G905&amp;" "&amp;H905&amp;" "&amp;J905&amp;" "&amp;N905</f>
        <v>Differentials Binders &amp; Additives     CIF Indonesia (Diff) </v>
      </c>
      <c r="S905" s="25"/>
      <c r="T905" s="8"/>
      <c r="U905" s="8"/>
      <c r="V905" s="27" t="s">
        <v>49</v>
      </c>
      <c r="W905" s="25"/>
      <c r="X905" s="25"/>
      <c r="Y905" s="25"/>
      <c r="Z905" s="25"/>
      <c r="AA905" s="25"/>
      <c r="AB905" s="25"/>
      <c r="AC905" s="25"/>
      <c r="AD905" s="25"/>
    </row>
    <row r="906" customFormat="false" ht="15.75" hidden="false" customHeight="false" outlineLevel="0" collapsed="false">
      <c r="A906" s="28" t="s">
        <v>1279</v>
      </c>
      <c r="B906" s="27" t="s">
        <v>438</v>
      </c>
      <c r="C906" s="27" t="s">
        <v>211</v>
      </c>
      <c r="D906" s="25"/>
      <c r="E906" s="25"/>
      <c r="F906" s="25"/>
      <c r="G906" s="25"/>
      <c r="H906" s="25"/>
      <c r="I906" s="25"/>
      <c r="J906" s="27" t="s">
        <v>1262</v>
      </c>
      <c r="K906" s="25" t="str">
        <f aca="false">IFERROR(__xludf.dummyfunction("SPLIT(J906,"" "")"),"CIF")</f>
        <v>CIF</v>
      </c>
      <c r="L906" s="28" t="str">
        <f aca="false">IFERROR(__xludf.dummyfunction("""COMPUTED_VALUE"""),"Indonesia")</f>
        <v>Indonesia</v>
      </c>
      <c r="M906" s="27" t="str">
        <f aca="false">IFERROR(__xludf.dummyfunction("""COMPUTED_VALUE"""),"(Diff)")</f>
        <v>(Diff)</v>
      </c>
      <c r="N906" s="25"/>
      <c r="O906" s="25"/>
      <c r="P906" s="25"/>
      <c r="Q906" s="29" t="s">
        <v>220</v>
      </c>
      <c r="R906" s="8" t="str">
        <f aca="false">B906&amp;" "&amp;C906&amp;" "&amp;D906&amp;" "&amp;E906&amp;" "&amp;G906&amp;" "&amp;H906&amp;" "&amp;J906&amp;" "&amp;N906</f>
        <v>Differentials Binders &amp; Additives     CIF Indonesia (Diff) </v>
      </c>
      <c r="S906" s="25"/>
      <c r="T906" s="8"/>
      <c r="U906" s="8"/>
      <c r="V906" s="27" t="s">
        <v>49</v>
      </c>
      <c r="W906" s="25"/>
      <c r="X906" s="25"/>
      <c r="Y906" s="25"/>
      <c r="Z906" s="25"/>
      <c r="AA906" s="25"/>
      <c r="AB906" s="25"/>
      <c r="AC906" s="25"/>
      <c r="AD906" s="25"/>
    </row>
    <row r="907" customFormat="false" ht="15.75" hidden="false" customHeight="false" outlineLevel="0" collapsed="false">
      <c r="A907" s="28" t="s">
        <v>1280</v>
      </c>
      <c r="B907" s="27" t="s">
        <v>438</v>
      </c>
      <c r="C907" s="27" t="s">
        <v>211</v>
      </c>
      <c r="D907" s="25"/>
      <c r="E907" s="25"/>
      <c r="F907" s="25"/>
      <c r="G907" s="25"/>
      <c r="H907" s="25"/>
      <c r="I907" s="25"/>
      <c r="J907" s="27" t="s">
        <v>1262</v>
      </c>
      <c r="K907" s="25" t="str">
        <f aca="false">IFERROR(__xludf.dummyfunction("SPLIT(J907,"" "")"),"CIF")</f>
        <v>CIF</v>
      </c>
      <c r="L907" s="28" t="str">
        <f aca="false">IFERROR(__xludf.dummyfunction("""COMPUTED_VALUE"""),"Indonesia")</f>
        <v>Indonesia</v>
      </c>
      <c r="M907" s="27" t="str">
        <f aca="false">IFERROR(__xludf.dummyfunction("""COMPUTED_VALUE"""),"(Diff)")</f>
        <v>(Diff)</v>
      </c>
      <c r="N907" s="25"/>
      <c r="O907" s="25"/>
      <c r="P907" s="25"/>
      <c r="Q907" s="29" t="s">
        <v>218</v>
      </c>
      <c r="R907" s="8" t="str">
        <f aca="false">B907&amp;" "&amp;C907&amp;" "&amp;D907&amp;" "&amp;E907&amp;" "&amp;G907&amp;" "&amp;H907&amp;" "&amp;J907&amp;" "&amp;N907</f>
        <v>Differentials Binders &amp; Additives     CIF Indonesia (Diff) </v>
      </c>
      <c r="S907" s="25"/>
      <c r="T907" s="8"/>
      <c r="U907" s="8"/>
      <c r="V907" s="27" t="s">
        <v>49</v>
      </c>
      <c r="W907" s="25"/>
      <c r="X907" s="25"/>
      <c r="Y907" s="25"/>
      <c r="Z907" s="25"/>
      <c r="AA907" s="25"/>
      <c r="AB907" s="25"/>
      <c r="AC907" s="25"/>
      <c r="AD907" s="25"/>
    </row>
    <row r="908" customFormat="false" ht="15.75" hidden="false" customHeight="false" outlineLevel="0" collapsed="false">
      <c r="A908" s="28" t="s">
        <v>1281</v>
      </c>
      <c r="B908" s="27" t="s">
        <v>438</v>
      </c>
      <c r="C908" s="27" t="s">
        <v>211</v>
      </c>
      <c r="D908" s="25"/>
      <c r="E908" s="25"/>
      <c r="F908" s="25"/>
      <c r="G908" s="25"/>
      <c r="H908" s="25"/>
      <c r="I908" s="25"/>
      <c r="J908" s="27" t="s">
        <v>1262</v>
      </c>
      <c r="K908" s="25" t="str">
        <f aca="false">IFERROR(__xludf.dummyfunction("SPLIT(J908,"" "")"),"CIF")</f>
        <v>CIF</v>
      </c>
      <c r="L908" s="28" t="str">
        <f aca="false">IFERROR(__xludf.dummyfunction("""COMPUTED_VALUE"""),"Indonesia")</f>
        <v>Indonesia</v>
      </c>
      <c r="M908" s="27" t="str">
        <f aca="false">IFERROR(__xludf.dummyfunction("""COMPUTED_VALUE"""),"(Diff)")</f>
        <v>(Diff)</v>
      </c>
      <c r="N908" s="25"/>
      <c r="O908" s="25"/>
      <c r="P908" s="25"/>
      <c r="Q908" s="29" t="s">
        <v>215</v>
      </c>
      <c r="R908" s="8" t="str">
        <f aca="false">B908&amp;" "&amp;C908&amp;" "&amp;D908&amp;" "&amp;E908&amp;" "&amp;G908&amp;" "&amp;H908&amp;" "&amp;J908&amp;" "&amp;N908</f>
        <v>Differentials Binders &amp; Additives     CIF Indonesia (Diff) </v>
      </c>
      <c r="S908" s="25"/>
      <c r="T908" s="8"/>
      <c r="U908" s="8"/>
      <c r="V908" s="27" t="s">
        <v>49</v>
      </c>
      <c r="W908" s="25"/>
      <c r="X908" s="25"/>
      <c r="Y908" s="25"/>
      <c r="Z908" s="25"/>
      <c r="AA908" s="25"/>
      <c r="AB908" s="25"/>
      <c r="AC908" s="25"/>
      <c r="AD908" s="25"/>
    </row>
    <row r="909" customFormat="false" ht="15.75" hidden="false" customHeight="false" outlineLevel="0" collapsed="false">
      <c r="A909" s="28" t="s">
        <v>1282</v>
      </c>
      <c r="B909" s="27" t="s">
        <v>438</v>
      </c>
      <c r="C909" s="27" t="s">
        <v>211</v>
      </c>
      <c r="D909" s="25"/>
      <c r="E909" s="25"/>
      <c r="F909" s="25"/>
      <c r="G909" s="25"/>
      <c r="H909" s="25"/>
      <c r="I909" s="25"/>
      <c r="J909" s="27" t="s">
        <v>1262</v>
      </c>
      <c r="K909" s="25" t="str">
        <f aca="false">IFERROR(__xludf.dummyfunction("SPLIT(J909,"" "")"),"CIF")</f>
        <v>CIF</v>
      </c>
      <c r="L909" s="28" t="str">
        <f aca="false">IFERROR(__xludf.dummyfunction("""COMPUTED_VALUE"""),"Indonesia")</f>
        <v>Indonesia</v>
      </c>
      <c r="M909" s="27" t="str">
        <f aca="false">IFERROR(__xludf.dummyfunction("""COMPUTED_VALUE"""),"(Diff)")</f>
        <v>(Diff)</v>
      </c>
      <c r="N909" s="25"/>
      <c r="O909" s="25"/>
      <c r="P909" s="25"/>
      <c r="Q909" s="29" t="s">
        <v>213</v>
      </c>
      <c r="R909" s="8" t="str">
        <f aca="false">B909&amp;" "&amp;C909&amp;" "&amp;D909&amp;" "&amp;E909&amp;" "&amp;G909&amp;" "&amp;H909&amp;" "&amp;J909&amp;" "&amp;N909</f>
        <v>Differentials Binders &amp; Additives     CIF Indonesia (Diff) </v>
      </c>
      <c r="S909" s="25"/>
      <c r="T909" s="8"/>
      <c r="U909" s="8"/>
      <c r="V909" s="27" t="s">
        <v>49</v>
      </c>
      <c r="W909" s="25"/>
      <c r="X909" s="25"/>
      <c r="Y909" s="25"/>
      <c r="Z909" s="25"/>
      <c r="AA909" s="25"/>
      <c r="AB909" s="25"/>
      <c r="AC909" s="25"/>
      <c r="AD909" s="25"/>
    </row>
    <row r="910" customFormat="false" ht="15.75" hidden="false" customHeight="false" outlineLevel="0" collapsed="false">
      <c r="A910" s="28" t="s">
        <v>1283</v>
      </c>
      <c r="B910" s="27" t="s">
        <v>438</v>
      </c>
      <c r="C910" s="27" t="s">
        <v>236</v>
      </c>
      <c r="D910" s="25"/>
      <c r="E910" s="25"/>
      <c r="F910" s="25"/>
      <c r="G910" s="25"/>
      <c r="H910" s="25"/>
      <c r="I910" s="25"/>
      <c r="J910" s="27" t="s">
        <v>1262</v>
      </c>
      <c r="K910" s="25" t="str">
        <f aca="false">IFERROR(__xludf.dummyfunction("SPLIT(J910,"" "")"),"CIF")</f>
        <v>CIF</v>
      </c>
      <c r="L910" s="28" t="str">
        <f aca="false">IFERROR(__xludf.dummyfunction("""COMPUTED_VALUE"""),"Indonesia")</f>
        <v>Indonesia</v>
      </c>
      <c r="M910" s="27" t="str">
        <f aca="false">IFERROR(__xludf.dummyfunction("""COMPUTED_VALUE"""),"(Diff)")</f>
        <v>(Diff)</v>
      </c>
      <c r="N910" s="25"/>
      <c r="O910" s="25"/>
      <c r="P910" s="25"/>
      <c r="Q910" s="29" t="s">
        <v>271</v>
      </c>
      <c r="R910" s="8" t="str">
        <f aca="false">B910&amp;" "&amp;C910&amp;" "&amp;D910&amp;" "&amp;E910&amp;" "&amp;G910&amp;" "&amp;H910&amp;" "&amp;J910&amp;" "&amp;N910</f>
        <v>Differentials Cathode     CIF Indonesia (Diff) </v>
      </c>
      <c r="S910" s="25"/>
      <c r="T910" s="8"/>
      <c r="U910" s="8"/>
      <c r="V910" s="27" t="s">
        <v>49</v>
      </c>
      <c r="W910" s="25"/>
      <c r="X910" s="25"/>
      <c r="Y910" s="25"/>
      <c r="Z910" s="25"/>
      <c r="AA910" s="25"/>
      <c r="AB910" s="25"/>
      <c r="AC910" s="25"/>
      <c r="AD910" s="25"/>
    </row>
    <row r="911" customFormat="false" ht="15.75" hidden="false" customHeight="false" outlineLevel="0" collapsed="false">
      <c r="A911" s="28" t="s">
        <v>1284</v>
      </c>
      <c r="B911" s="27" t="s">
        <v>438</v>
      </c>
      <c r="C911" s="27" t="s">
        <v>236</v>
      </c>
      <c r="D911" s="25"/>
      <c r="E911" s="25"/>
      <c r="F911" s="25"/>
      <c r="G911" s="25"/>
      <c r="H911" s="25"/>
      <c r="I911" s="25"/>
      <c r="J911" s="27" t="s">
        <v>1262</v>
      </c>
      <c r="K911" s="25" t="str">
        <f aca="false">IFERROR(__xludf.dummyfunction("SPLIT(J911,"" "")"),"CIF")</f>
        <v>CIF</v>
      </c>
      <c r="L911" s="28" t="str">
        <f aca="false">IFERROR(__xludf.dummyfunction("""COMPUTED_VALUE"""),"Indonesia")</f>
        <v>Indonesia</v>
      </c>
      <c r="M911" s="27" t="str">
        <f aca="false">IFERROR(__xludf.dummyfunction("""COMPUTED_VALUE"""),"(Diff)")</f>
        <v>(Diff)</v>
      </c>
      <c r="N911" s="25"/>
      <c r="O911" s="25"/>
      <c r="P911" s="25"/>
      <c r="Q911" s="29" t="s">
        <v>266</v>
      </c>
      <c r="R911" s="8" t="str">
        <f aca="false">B911&amp;" "&amp;C911&amp;" "&amp;D911&amp;" "&amp;E911&amp;" "&amp;G911&amp;" "&amp;H911&amp;" "&amp;J911&amp;" "&amp;N911</f>
        <v>Differentials Cathode     CIF Indonesia (Diff) </v>
      </c>
      <c r="S911" s="25"/>
      <c r="T911" s="8"/>
      <c r="U911" s="8"/>
      <c r="V911" s="27" t="s">
        <v>49</v>
      </c>
      <c r="W911" s="25"/>
      <c r="X911" s="25"/>
      <c r="Y911" s="25"/>
      <c r="Z911" s="25"/>
      <c r="AA911" s="25"/>
      <c r="AB911" s="25"/>
      <c r="AC911" s="25"/>
      <c r="AD911" s="25"/>
    </row>
    <row r="912" customFormat="false" ht="15.75" hidden="false" customHeight="false" outlineLevel="0" collapsed="false">
      <c r="A912" s="28" t="s">
        <v>1285</v>
      </c>
      <c r="B912" s="27" t="s">
        <v>438</v>
      </c>
      <c r="C912" s="27" t="s">
        <v>236</v>
      </c>
      <c r="D912" s="25"/>
      <c r="E912" s="25"/>
      <c r="F912" s="25"/>
      <c r="G912" s="25"/>
      <c r="H912" s="25"/>
      <c r="I912" s="25"/>
      <c r="J912" s="27" t="s">
        <v>1262</v>
      </c>
      <c r="K912" s="25" t="str">
        <f aca="false">IFERROR(__xludf.dummyfunction("SPLIT(J912,"" "")"),"CIF")</f>
        <v>CIF</v>
      </c>
      <c r="L912" s="28" t="str">
        <f aca="false">IFERROR(__xludf.dummyfunction("""COMPUTED_VALUE"""),"Indonesia")</f>
        <v>Indonesia</v>
      </c>
      <c r="M912" s="27" t="str">
        <f aca="false">IFERROR(__xludf.dummyfunction("""COMPUTED_VALUE"""),"(Diff)")</f>
        <v>(Diff)</v>
      </c>
      <c r="N912" s="25"/>
      <c r="O912" s="25"/>
      <c r="P912" s="25"/>
      <c r="Q912" s="29" t="s">
        <v>261</v>
      </c>
      <c r="R912" s="8" t="str">
        <f aca="false">B912&amp;" "&amp;C912&amp;" "&amp;D912&amp;" "&amp;E912&amp;" "&amp;G912&amp;" "&amp;H912&amp;" "&amp;J912&amp;" "&amp;N912</f>
        <v>Differentials Cathode     CIF Indonesia (Diff) </v>
      </c>
      <c r="S912" s="25"/>
      <c r="T912" s="8"/>
      <c r="U912" s="8"/>
      <c r="V912" s="27" t="s">
        <v>49</v>
      </c>
      <c r="W912" s="25"/>
      <c r="X912" s="25"/>
      <c r="Y912" s="25"/>
      <c r="Z912" s="25"/>
      <c r="AA912" s="25"/>
      <c r="AB912" s="25"/>
      <c r="AC912" s="25"/>
      <c r="AD912" s="25"/>
    </row>
    <row r="913" customFormat="false" ht="15.75" hidden="false" customHeight="false" outlineLevel="0" collapsed="false">
      <c r="A913" s="28" t="s">
        <v>1286</v>
      </c>
      <c r="B913" s="27" t="s">
        <v>438</v>
      </c>
      <c r="C913" s="27" t="s">
        <v>236</v>
      </c>
      <c r="D913" s="25"/>
      <c r="E913" s="25"/>
      <c r="F913" s="25"/>
      <c r="G913" s="25"/>
      <c r="H913" s="25"/>
      <c r="I913" s="25"/>
      <c r="J913" s="27" t="s">
        <v>1262</v>
      </c>
      <c r="K913" s="25" t="str">
        <f aca="false">IFERROR(__xludf.dummyfunction("SPLIT(J913,"" "")"),"CIF")</f>
        <v>CIF</v>
      </c>
      <c r="L913" s="28" t="str">
        <f aca="false">IFERROR(__xludf.dummyfunction("""COMPUTED_VALUE"""),"Indonesia")</f>
        <v>Indonesia</v>
      </c>
      <c r="M913" s="27" t="str">
        <f aca="false">IFERROR(__xludf.dummyfunction("""COMPUTED_VALUE"""),"(Diff)")</f>
        <v>(Diff)</v>
      </c>
      <c r="N913" s="25"/>
      <c r="O913" s="25"/>
      <c r="P913" s="25"/>
      <c r="Q913" s="29" t="s">
        <v>256</v>
      </c>
      <c r="R913" s="8" t="str">
        <f aca="false">B913&amp;" "&amp;C913&amp;" "&amp;D913&amp;" "&amp;E913&amp;" "&amp;G913&amp;" "&amp;H913&amp;" "&amp;J913&amp;" "&amp;N913</f>
        <v>Differentials Cathode     CIF Indonesia (Diff) </v>
      </c>
      <c r="S913" s="25"/>
      <c r="T913" s="8"/>
      <c r="U913" s="8"/>
      <c r="V913" s="27" t="s">
        <v>49</v>
      </c>
      <c r="W913" s="25"/>
      <c r="X913" s="25"/>
      <c r="Y913" s="25"/>
      <c r="Z913" s="25"/>
      <c r="AA913" s="25"/>
      <c r="AB913" s="25"/>
      <c r="AC913" s="25"/>
      <c r="AD913" s="25"/>
    </row>
    <row r="914" customFormat="false" ht="15.75" hidden="false" customHeight="false" outlineLevel="0" collapsed="false">
      <c r="A914" s="28" t="s">
        <v>1287</v>
      </c>
      <c r="B914" s="27" t="s">
        <v>438</v>
      </c>
      <c r="C914" s="27" t="s">
        <v>236</v>
      </c>
      <c r="D914" s="25"/>
      <c r="E914" s="25"/>
      <c r="F914" s="25"/>
      <c r="G914" s="25"/>
      <c r="H914" s="25"/>
      <c r="I914" s="25"/>
      <c r="J914" s="27" t="s">
        <v>1262</v>
      </c>
      <c r="K914" s="25" t="str">
        <f aca="false">IFERROR(__xludf.dummyfunction("SPLIT(J914,"" "")"),"CIF")</f>
        <v>CIF</v>
      </c>
      <c r="L914" s="28" t="str">
        <f aca="false">IFERROR(__xludf.dummyfunction("""COMPUTED_VALUE"""),"Indonesia")</f>
        <v>Indonesia</v>
      </c>
      <c r="M914" s="27" t="str">
        <f aca="false">IFERROR(__xludf.dummyfunction("""COMPUTED_VALUE"""),"(Diff)")</f>
        <v>(Diff)</v>
      </c>
      <c r="N914" s="25"/>
      <c r="O914" s="25"/>
      <c r="P914" s="25"/>
      <c r="Q914" s="29" t="s">
        <v>251</v>
      </c>
      <c r="R914" s="8" t="str">
        <f aca="false">B914&amp;" "&amp;C914&amp;" "&amp;D914&amp;" "&amp;E914&amp;" "&amp;G914&amp;" "&amp;H914&amp;" "&amp;J914&amp;" "&amp;N914</f>
        <v>Differentials Cathode     CIF Indonesia (Diff) </v>
      </c>
      <c r="S914" s="25"/>
      <c r="T914" s="8"/>
      <c r="U914" s="8"/>
      <c r="V914" s="27" t="s">
        <v>49</v>
      </c>
      <c r="W914" s="25"/>
      <c r="X914" s="25"/>
      <c r="Y914" s="25"/>
      <c r="Z914" s="25"/>
      <c r="AA914" s="25"/>
      <c r="AB914" s="25"/>
      <c r="AC914" s="25"/>
      <c r="AD914" s="25"/>
    </row>
    <row r="915" customFormat="false" ht="15.75" hidden="false" customHeight="false" outlineLevel="0" collapsed="false">
      <c r="A915" s="28" t="s">
        <v>1288</v>
      </c>
      <c r="B915" s="27" t="s">
        <v>438</v>
      </c>
      <c r="C915" s="27" t="s">
        <v>236</v>
      </c>
      <c r="D915" s="25"/>
      <c r="E915" s="25"/>
      <c r="F915" s="25"/>
      <c r="G915" s="25"/>
      <c r="H915" s="25"/>
      <c r="I915" s="25"/>
      <c r="J915" s="27" t="s">
        <v>1262</v>
      </c>
      <c r="K915" s="25" t="str">
        <f aca="false">IFERROR(__xludf.dummyfunction("SPLIT(J915,"" "")"),"CIF")</f>
        <v>CIF</v>
      </c>
      <c r="L915" s="28" t="str">
        <f aca="false">IFERROR(__xludf.dummyfunction("""COMPUTED_VALUE"""),"Indonesia")</f>
        <v>Indonesia</v>
      </c>
      <c r="M915" s="27" t="str">
        <f aca="false">IFERROR(__xludf.dummyfunction("""COMPUTED_VALUE"""),"(Diff)")</f>
        <v>(Diff)</v>
      </c>
      <c r="N915" s="25"/>
      <c r="O915" s="25"/>
      <c r="P915" s="25"/>
      <c r="Q915" s="29" t="s">
        <v>247</v>
      </c>
      <c r="R915" s="8" t="str">
        <f aca="false">B915&amp;" "&amp;C915&amp;" "&amp;D915&amp;" "&amp;E915&amp;" "&amp;G915&amp;" "&amp;H915&amp;" "&amp;J915&amp;" "&amp;N915</f>
        <v>Differentials Cathode     CIF Indonesia (Diff) </v>
      </c>
      <c r="S915" s="25"/>
      <c r="T915" s="8"/>
      <c r="U915" s="8"/>
      <c r="V915" s="27" t="s">
        <v>49</v>
      </c>
      <c r="W915" s="25"/>
      <c r="X915" s="25"/>
      <c r="Y915" s="25"/>
      <c r="Z915" s="25"/>
      <c r="AA915" s="25"/>
      <c r="AB915" s="25"/>
      <c r="AC915" s="25"/>
      <c r="AD915" s="25"/>
    </row>
    <row r="916" customFormat="false" ht="15.75" hidden="false" customHeight="false" outlineLevel="0" collapsed="false">
      <c r="A916" s="28" t="s">
        <v>1289</v>
      </c>
      <c r="B916" s="27" t="s">
        <v>438</v>
      </c>
      <c r="C916" s="27" t="s">
        <v>236</v>
      </c>
      <c r="D916" s="25"/>
      <c r="E916" s="25"/>
      <c r="F916" s="25"/>
      <c r="G916" s="25"/>
      <c r="H916" s="25"/>
      <c r="I916" s="25"/>
      <c r="J916" s="27" t="s">
        <v>1262</v>
      </c>
      <c r="K916" s="25" t="str">
        <f aca="false">IFERROR(__xludf.dummyfunction("SPLIT(J916,"" "")"),"CIF")</f>
        <v>CIF</v>
      </c>
      <c r="L916" s="28" t="str">
        <f aca="false">IFERROR(__xludf.dummyfunction("""COMPUTED_VALUE"""),"Indonesia")</f>
        <v>Indonesia</v>
      </c>
      <c r="M916" s="27" t="str">
        <f aca="false">IFERROR(__xludf.dummyfunction("""COMPUTED_VALUE"""),"(Diff)")</f>
        <v>(Diff)</v>
      </c>
      <c r="N916" s="25"/>
      <c r="O916" s="25"/>
      <c r="P916" s="25"/>
      <c r="Q916" s="29" t="s">
        <v>243</v>
      </c>
      <c r="R916" s="8" t="str">
        <f aca="false">B916&amp;" "&amp;C916&amp;" "&amp;D916&amp;" "&amp;E916&amp;" "&amp;G916&amp;" "&amp;H916&amp;" "&amp;J916&amp;" "&amp;N916</f>
        <v>Differentials Cathode     CIF Indonesia (Diff) </v>
      </c>
      <c r="S916" s="25"/>
      <c r="T916" s="8"/>
      <c r="U916" s="8"/>
      <c r="V916" s="27" t="s">
        <v>49</v>
      </c>
      <c r="W916" s="25"/>
      <c r="X916" s="25"/>
      <c r="Y916" s="25"/>
      <c r="Z916" s="25"/>
      <c r="AA916" s="25"/>
      <c r="AB916" s="25"/>
      <c r="AC916" s="25"/>
      <c r="AD916" s="25"/>
    </row>
    <row r="917" customFormat="false" ht="15.75" hidden="false" customHeight="false" outlineLevel="0" collapsed="false">
      <c r="A917" s="28" t="s">
        <v>1290</v>
      </c>
      <c r="B917" s="27" t="s">
        <v>438</v>
      </c>
      <c r="C917" s="27" t="s">
        <v>236</v>
      </c>
      <c r="D917" s="25"/>
      <c r="E917" s="25"/>
      <c r="F917" s="25"/>
      <c r="G917" s="25"/>
      <c r="H917" s="25"/>
      <c r="I917" s="25"/>
      <c r="J917" s="27" t="s">
        <v>1262</v>
      </c>
      <c r="K917" s="25" t="str">
        <f aca="false">IFERROR(__xludf.dummyfunction("SPLIT(J917,"" "")"),"CIF")</f>
        <v>CIF</v>
      </c>
      <c r="L917" s="28" t="str">
        <f aca="false">IFERROR(__xludf.dummyfunction("""COMPUTED_VALUE"""),"Indonesia")</f>
        <v>Indonesia</v>
      </c>
      <c r="M917" s="27" t="str">
        <f aca="false">IFERROR(__xludf.dummyfunction("""COMPUTED_VALUE"""),"(Diff)")</f>
        <v>(Diff)</v>
      </c>
      <c r="N917" s="25"/>
      <c r="O917" s="25"/>
      <c r="P917" s="25"/>
      <c r="Q917" s="29" t="s">
        <v>239</v>
      </c>
      <c r="R917" s="8" t="str">
        <f aca="false">B917&amp;" "&amp;C917&amp;" "&amp;D917&amp;" "&amp;E917&amp;" "&amp;G917&amp;" "&amp;H917&amp;" "&amp;J917&amp;" "&amp;N917</f>
        <v>Differentials Cathode     CIF Indonesia (Diff) </v>
      </c>
      <c r="S917" s="25"/>
      <c r="T917" s="8"/>
      <c r="U917" s="8"/>
      <c r="V917" s="27" t="s">
        <v>49</v>
      </c>
      <c r="W917" s="25"/>
      <c r="X917" s="25"/>
      <c r="Y917" s="25"/>
      <c r="Z917" s="25"/>
      <c r="AA917" s="25"/>
      <c r="AB917" s="25"/>
      <c r="AC917" s="25"/>
      <c r="AD917" s="25"/>
    </row>
    <row r="918" customFormat="false" ht="15.75" hidden="false" customHeight="false" outlineLevel="0" collapsed="false">
      <c r="A918" s="28" t="s">
        <v>1291</v>
      </c>
      <c r="B918" s="27" t="s">
        <v>438</v>
      </c>
      <c r="C918" s="27" t="s">
        <v>273</v>
      </c>
      <c r="D918" s="25"/>
      <c r="E918" s="25"/>
      <c r="F918" s="25"/>
      <c r="G918" s="25"/>
      <c r="H918" s="25"/>
      <c r="I918" s="25"/>
      <c r="J918" s="27" t="s">
        <v>1262</v>
      </c>
      <c r="K918" s="25" t="str">
        <f aca="false">IFERROR(__xludf.dummyfunction("SPLIT(J918,"" "")"),"CIF")</f>
        <v>CIF</v>
      </c>
      <c r="L918" s="28" t="str">
        <f aca="false">IFERROR(__xludf.dummyfunction("""COMPUTED_VALUE"""),"Indonesia")</f>
        <v>Indonesia</v>
      </c>
      <c r="M918" s="27" t="str">
        <f aca="false">IFERROR(__xludf.dummyfunction("""COMPUTED_VALUE"""),"(Diff)")</f>
        <v>(Diff)</v>
      </c>
      <c r="N918" s="25"/>
      <c r="O918" s="25"/>
      <c r="P918" s="25"/>
      <c r="Q918" s="29" t="s">
        <v>274</v>
      </c>
      <c r="R918" s="8" t="str">
        <f aca="false">B918&amp;" "&amp;C918&amp;" "&amp;D918&amp;" "&amp;E918&amp;" "&amp;G918&amp;" "&amp;H918&amp;" "&amp;J918&amp;" "&amp;N918</f>
        <v>Differentials Cobalt     CIF Indonesia (Diff) </v>
      </c>
      <c r="S918" s="25"/>
      <c r="T918" s="8"/>
      <c r="U918" s="8"/>
      <c r="V918" s="27" t="s">
        <v>49</v>
      </c>
      <c r="W918" s="25"/>
      <c r="X918" s="25"/>
      <c r="Y918" s="25"/>
      <c r="Z918" s="25"/>
      <c r="AA918" s="25"/>
      <c r="AB918" s="25"/>
      <c r="AC918" s="25"/>
      <c r="AD918" s="25"/>
    </row>
    <row r="919" customFormat="false" ht="15.75" hidden="false" customHeight="false" outlineLevel="0" collapsed="false">
      <c r="A919" s="28" t="s">
        <v>1292</v>
      </c>
      <c r="B919" s="27" t="s">
        <v>438</v>
      </c>
      <c r="C919" s="27" t="s">
        <v>273</v>
      </c>
      <c r="D919" s="25"/>
      <c r="E919" s="25"/>
      <c r="F919" s="25"/>
      <c r="G919" s="25"/>
      <c r="H919" s="25"/>
      <c r="I919" s="25"/>
      <c r="J919" s="27" t="s">
        <v>1262</v>
      </c>
      <c r="K919" s="25" t="str">
        <f aca="false">IFERROR(__xludf.dummyfunction("SPLIT(J919,"" "")"),"CIF")</f>
        <v>CIF</v>
      </c>
      <c r="L919" s="28" t="str">
        <f aca="false">IFERROR(__xludf.dummyfunction("""COMPUTED_VALUE"""),"Indonesia")</f>
        <v>Indonesia</v>
      </c>
      <c r="M919" s="27" t="str">
        <f aca="false">IFERROR(__xludf.dummyfunction("""COMPUTED_VALUE"""),"(Diff)")</f>
        <v>(Diff)</v>
      </c>
      <c r="N919" s="25"/>
      <c r="O919" s="25"/>
      <c r="P919" s="25"/>
      <c r="Q919" s="29" t="s">
        <v>282</v>
      </c>
      <c r="R919" s="8" t="str">
        <f aca="false">B919&amp;" "&amp;C919&amp;" "&amp;D919&amp;" "&amp;E919&amp;" "&amp;G919&amp;" "&amp;H919&amp;" "&amp;J919&amp;" "&amp;N919</f>
        <v>Differentials Cobalt     CIF Indonesia (Diff) </v>
      </c>
      <c r="S919" s="25"/>
      <c r="T919" s="8"/>
      <c r="U919" s="8"/>
      <c r="V919" s="27" t="s">
        <v>49</v>
      </c>
      <c r="W919" s="25"/>
      <c r="X919" s="25"/>
      <c r="Y919" s="25"/>
      <c r="Z919" s="25"/>
      <c r="AA919" s="25"/>
      <c r="AB919" s="25"/>
      <c r="AC919" s="25"/>
      <c r="AD919" s="25"/>
    </row>
    <row r="920" customFormat="false" ht="15.75" hidden="false" customHeight="false" outlineLevel="0" collapsed="false">
      <c r="A920" s="28" t="s">
        <v>1293</v>
      </c>
      <c r="B920" s="27" t="s">
        <v>438</v>
      </c>
      <c r="C920" s="27" t="s">
        <v>273</v>
      </c>
      <c r="D920" s="25"/>
      <c r="E920" s="25"/>
      <c r="F920" s="25"/>
      <c r="G920" s="25"/>
      <c r="H920" s="25"/>
      <c r="I920" s="25"/>
      <c r="J920" s="27" t="s">
        <v>1262</v>
      </c>
      <c r="K920" s="25" t="str">
        <f aca="false">IFERROR(__xludf.dummyfunction("SPLIT(J920,"" "")"),"CIF")</f>
        <v>CIF</v>
      </c>
      <c r="L920" s="28" t="str">
        <f aca="false">IFERROR(__xludf.dummyfunction("""COMPUTED_VALUE"""),"Indonesia")</f>
        <v>Indonesia</v>
      </c>
      <c r="M920" s="27" t="str">
        <f aca="false">IFERROR(__xludf.dummyfunction("""COMPUTED_VALUE"""),"(Diff)")</f>
        <v>(Diff)</v>
      </c>
      <c r="N920" s="25"/>
      <c r="O920" s="25"/>
      <c r="P920" s="25"/>
      <c r="Q920" s="29" t="s">
        <v>280</v>
      </c>
      <c r="R920" s="8" t="str">
        <f aca="false">B920&amp;" "&amp;C920&amp;" "&amp;D920&amp;" "&amp;E920&amp;" "&amp;G920&amp;" "&amp;H920&amp;" "&amp;J920&amp;" "&amp;N920</f>
        <v>Differentials Cobalt     CIF Indonesia (Diff) </v>
      </c>
      <c r="S920" s="25"/>
      <c r="T920" s="8"/>
      <c r="U920" s="8"/>
      <c r="V920" s="27" t="s">
        <v>49</v>
      </c>
      <c r="W920" s="25"/>
      <c r="X920" s="25"/>
      <c r="Y920" s="25"/>
      <c r="Z920" s="25"/>
      <c r="AA920" s="25"/>
      <c r="AB920" s="25"/>
      <c r="AC920" s="25"/>
      <c r="AD920" s="25"/>
    </row>
    <row r="921" customFormat="false" ht="15.75" hidden="false" customHeight="false" outlineLevel="0" collapsed="false">
      <c r="A921" s="28" t="s">
        <v>1294</v>
      </c>
      <c r="B921" s="27" t="s">
        <v>438</v>
      </c>
      <c r="C921" s="27" t="s">
        <v>273</v>
      </c>
      <c r="D921" s="25"/>
      <c r="E921" s="25"/>
      <c r="F921" s="25"/>
      <c r="G921" s="25"/>
      <c r="H921" s="25"/>
      <c r="I921" s="25"/>
      <c r="J921" s="27" t="s">
        <v>1262</v>
      </c>
      <c r="K921" s="25" t="str">
        <f aca="false">IFERROR(__xludf.dummyfunction("SPLIT(J921,"" "")"),"CIF")</f>
        <v>CIF</v>
      </c>
      <c r="L921" s="28" t="str">
        <f aca="false">IFERROR(__xludf.dummyfunction("""COMPUTED_VALUE"""),"Indonesia")</f>
        <v>Indonesia</v>
      </c>
      <c r="M921" s="27" t="str">
        <f aca="false">IFERROR(__xludf.dummyfunction("""COMPUTED_VALUE"""),"(Diff)")</f>
        <v>(Diff)</v>
      </c>
      <c r="N921" s="25"/>
      <c r="O921" s="25"/>
      <c r="P921" s="25"/>
      <c r="Q921" s="29" t="s">
        <v>278</v>
      </c>
      <c r="R921" s="8" t="str">
        <f aca="false">B921&amp;" "&amp;C921&amp;" "&amp;D921&amp;" "&amp;E921&amp;" "&amp;G921&amp;" "&amp;H921&amp;" "&amp;J921&amp;" "&amp;N921</f>
        <v>Differentials Cobalt     CIF Indonesia (Diff) </v>
      </c>
      <c r="S921" s="25"/>
      <c r="T921" s="8"/>
      <c r="U921" s="8"/>
      <c r="V921" s="27" t="s">
        <v>49</v>
      </c>
      <c r="W921" s="25"/>
      <c r="X921" s="25"/>
      <c r="Y921" s="25"/>
      <c r="Z921" s="25"/>
      <c r="AA921" s="25"/>
      <c r="AB921" s="25"/>
      <c r="AC921" s="25"/>
      <c r="AD921" s="25"/>
    </row>
    <row r="922" customFormat="false" ht="15.75" hidden="false" customHeight="false" outlineLevel="0" collapsed="false">
      <c r="A922" s="28" t="s">
        <v>1295</v>
      </c>
      <c r="B922" s="27" t="s">
        <v>438</v>
      </c>
      <c r="C922" s="27" t="s">
        <v>273</v>
      </c>
      <c r="D922" s="25"/>
      <c r="E922" s="25"/>
      <c r="F922" s="25"/>
      <c r="G922" s="25"/>
      <c r="H922" s="25"/>
      <c r="I922" s="25"/>
      <c r="J922" s="27" t="s">
        <v>1262</v>
      </c>
      <c r="K922" s="25" t="str">
        <f aca="false">IFERROR(__xludf.dummyfunction("SPLIT(J922,"" "")"),"CIF")</f>
        <v>CIF</v>
      </c>
      <c r="L922" s="28" t="str">
        <f aca="false">IFERROR(__xludf.dummyfunction("""COMPUTED_VALUE"""),"Indonesia")</f>
        <v>Indonesia</v>
      </c>
      <c r="M922" s="27" t="str">
        <f aca="false">IFERROR(__xludf.dummyfunction("""COMPUTED_VALUE"""),"(Diff)")</f>
        <v>(Diff)</v>
      </c>
      <c r="N922" s="25"/>
      <c r="O922" s="25"/>
      <c r="P922" s="25"/>
      <c r="Q922" s="29" t="s">
        <v>276</v>
      </c>
      <c r="R922" s="8" t="str">
        <f aca="false">B922&amp;" "&amp;C922&amp;" "&amp;D922&amp;" "&amp;E922&amp;" "&amp;G922&amp;" "&amp;H922&amp;" "&amp;J922&amp;" "&amp;N922</f>
        <v>Differentials Cobalt     CIF Indonesia (Diff) </v>
      </c>
      <c r="S922" s="25"/>
      <c r="T922" s="8"/>
      <c r="U922" s="8"/>
      <c r="V922" s="27" t="s">
        <v>49</v>
      </c>
      <c r="W922" s="25"/>
      <c r="X922" s="25"/>
      <c r="Y922" s="25"/>
      <c r="Z922" s="25"/>
      <c r="AA922" s="25"/>
      <c r="AB922" s="25"/>
      <c r="AC922" s="25"/>
      <c r="AD922" s="25"/>
    </row>
    <row r="923" customFormat="false" ht="15.75" hidden="false" customHeight="false" outlineLevel="0" collapsed="false">
      <c r="A923" s="28" t="s">
        <v>1296</v>
      </c>
      <c r="B923" s="27" t="s">
        <v>438</v>
      </c>
      <c r="C923" s="27" t="s">
        <v>284</v>
      </c>
      <c r="D923" s="25"/>
      <c r="E923" s="25"/>
      <c r="F923" s="25"/>
      <c r="G923" s="25"/>
      <c r="H923" s="25"/>
      <c r="I923" s="25"/>
      <c r="J923" s="27" t="s">
        <v>1262</v>
      </c>
      <c r="K923" s="25" t="str">
        <f aca="false">IFERROR(__xludf.dummyfunction("SPLIT(J923,"" "")"),"CIF")</f>
        <v>CIF</v>
      </c>
      <c r="L923" s="28" t="str">
        <f aca="false">IFERROR(__xludf.dummyfunction("""COMPUTED_VALUE"""),"Indonesia")</f>
        <v>Indonesia</v>
      </c>
      <c r="M923" s="27" t="str">
        <f aca="false">IFERROR(__xludf.dummyfunction("""COMPUTED_VALUE"""),"(Diff)")</f>
        <v>(Diff)</v>
      </c>
      <c r="N923" s="25"/>
      <c r="O923" s="25"/>
      <c r="P923" s="25"/>
      <c r="Q923" s="29" t="s">
        <v>287</v>
      </c>
      <c r="R923" s="8" t="str">
        <f aca="false">B923&amp;" "&amp;C923&amp;" "&amp;D923&amp;" "&amp;E923&amp;" "&amp;G923&amp;" "&amp;H923&amp;" "&amp;J923&amp;" "&amp;N923</f>
        <v>Differentials Copper (Battery Grade)     CIF Indonesia (Diff) </v>
      </c>
      <c r="S923" s="25"/>
      <c r="T923" s="8"/>
      <c r="U923" s="8"/>
      <c r="V923" s="27" t="s">
        <v>49</v>
      </c>
      <c r="W923" s="25"/>
      <c r="X923" s="25"/>
      <c r="Y923" s="25"/>
      <c r="Z923" s="25"/>
      <c r="AA923" s="25"/>
      <c r="AB923" s="25"/>
      <c r="AC923" s="25"/>
      <c r="AD923" s="25"/>
    </row>
    <row r="924" customFormat="false" ht="15.75" hidden="false" customHeight="false" outlineLevel="0" collapsed="false">
      <c r="A924" s="28" t="s">
        <v>1297</v>
      </c>
      <c r="B924" s="27" t="s">
        <v>438</v>
      </c>
      <c r="C924" s="27" t="s">
        <v>284</v>
      </c>
      <c r="D924" s="25"/>
      <c r="E924" s="25"/>
      <c r="F924" s="25"/>
      <c r="G924" s="25"/>
      <c r="H924" s="25"/>
      <c r="I924" s="25"/>
      <c r="J924" s="27" t="s">
        <v>1262</v>
      </c>
      <c r="K924" s="25" t="str">
        <f aca="false">IFERROR(__xludf.dummyfunction("SPLIT(J924,"" "")"),"CIF")</f>
        <v>CIF</v>
      </c>
      <c r="L924" s="28" t="str">
        <f aca="false">IFERROR(__xludf.dummyfunction("""COMPUTED_VALUE"""),"Indonesia")</f>
        <v>Indonesia</v>
      </c>
      <c r="M924" s="27" t="str">
        <f aca="false">IFERROR(__xludf.dummyfunction("""COMPUTED_VALUE"""),"(Diff)")</f>
        <v>(Diff)</v>
      </c>
      <c r="N924" s="25"/>
      <c r="O924" s="25"/>
      <c r="P924" s="25"/>
      <c r="Q924" s="29" t="s">
        <v>285</v>
      </c>
      <c r="R924" s="8" t="str">
        <f aca="false">B924&amp;" "&amp;C924&amp;" "&amp;D924&amp;" "&amp;E924&amp;" "&amp;G924&amp;" "&amp;H924&amp;" "&amp;J924&amp;" "&amp;N924</f>
        <v>Differentials Copper (Battery Grade)     CIF Indonesia (Diff) </v>
      </c>
      <c r="S924" s="25"/>
      <c r="T924" s="8"/>
      <c r="U924" s="8"/>
      <c r="V924" s="27" t="s">
        <v>49</v>
      </c>
      <c r="W924" s="25"/>
      <c r="X924" s="25"/>
      <c r="Y924" s="25"/>
      <c r="Z924" s="25"/>
      <c r="AA924" s="25"/>
      <c r="AB924" s="25"/>
      <c r="AC924" s="25"/>
      <c r="AD924" s="25"/>
    </row>
    <row r="925" customFormat="false" ht="15.75" hidden="false" customHeight="false" outlineLevel="0" collapsed="false">
      <c r="A925" s="28" t="s">
        <v>1298</v>
      </c>
      <c r="B925" s="27" t="s">
        <v>438</v>
      </c>
      <c r="C925" s="27" t="s">
        <v>289</v>
      </c>
      <c r="D925" s="25"/>
      <c r="E925" s="25"/>
      <c r="F925" s="25"/>
      <c r="G925" s="25"/>
      <c r="H925" s="25"/>
      <c r="I925" s="25"/>
      <c r="J925" s="27" t="s">
        <v>1262</v>
      </c>
      <c r="K925" s="25" t="str">
        <f aca="false">IFERROR(__xludf.dummyfunction("SPLIT(J925,"" "")"),"CIF")</f>
        <v>CIF</v>
      </c>
      <c r="L925" s="28" t="str">
        <f aca="false">IFERROR(__xludf.dummyfunction("""COMPUTED_VALUE"""),"Indonesia")</f>
        <v>Indonesia</v>
      </c>
      <c r="M925" s="27" t="str">
        <f aca="false">IFERROR(__xludf.dummyfunction("""COMPUTED_VALUE"""),"(Diff)")</f>
        <v>(Diff)</v>
      </c>
      <c r="N925" s="25"/>
      <c r="O925" s="25"/>
      <c r="P925" s="25"/>
      <c r="Q925" s="29" t="s">
        <v>306</v>
      </c>
      <c r="R925" s="8" t="str">
        <f aca="false">B925&amp;" "&amp;C925&amp;" "&amp;D925&amp;" "&amp;E925&amp;" "&amp;G925&amp;" "&amp;H925&amp;" "&amp;J925&amp;" "&amp;N925</f>
        <v>Differentials Electrolyte     CIF Indonesia (Diff) </v>
      </c>
      <c r="S925" s="25"/>
      <c r="T925" s="8"/>
      <c r="U925" s="8"/>
      <c r="V925" s="27" t="s">
        <v>49</v>
      </c>
      <c r="W925" s="25"/>
      <c r="X925" s="25"/>
      <c r="Y925" s="25"/>
      <c r="Z925" s="25"/>
      <c r="AA925" s="25"/>
      <c r="AB925" s="25"/>
      <c r="AC925" s="25"/>
      <c r="AD925" s="25"/>
    </row>
    <row r="926" customFormat="false" ht="15.75" hidden="false" customHeight="false" outlineLevel="0" collapsed="false">
      <c r="A926" s="28" t="s">
        <v>1299</v>
      </c>
      <c r="B926" s="27" t="s">
        <v>438</v>
      </c>
      <c r="C926" s="27" t="s">
        <v>289</v>
      </c>
      <c r="D926" s="25"/>
      <c r="E926" s="25"/>
      <c r="F926" s="25"/>
      <c r="G926" s="25"/>
      <c r="H926" s="25"/>
      <c r="I926" s="25"/>
      <c r="J926" s="27" t="s">
        <v>1262</v>
      </c>
      <c r="K926" s="25" t="str">
        <f aca="false">IFERROR(__xludf.dummyfunction("SPLIT(J926,"" "")"),"CIF")</f>
        <v>CIF</v>
      </c>
      <c r="L926" s="28" t="str">
        <f aca="false">IFERROR(__xludf.dummyfunction("""COMPUTED_VALUE"""),"Indonesia")</f>
        <v>Indonesia</v>
      </c>
      <c r="M926" s="27" t="str">
        <f aca="false">IFERROR(__xludf.dummyfunction("""COMPUTED_VALUE"""),"(Diff)")</f>
        <v>(Diff)</v>
      </c>
      <c r="N926" s="25"/>
      <c r="O926" s="25"/>
      <c r="P926" s="25"/>
      <c r="Q926" s="29" t="s">
        <v>304</v>
      </c>
      <c r="R926" s="8" t="str">
        <f aca="false">B926&amp;" "&amp;C926&amp;" "&amp;D926&amp;" "&amp;E926&amp;" "&amp;G926&amp;" "&amp;H926&amp;" "&amp;J926&amp;" "&amp;N926</f>
        <v>Differentials Electrolyte     CIF Indonesia (Diff) </v>
      </c>
      <c r="S926" s="25"/>
      <c r="T926" s="8"/>
      <c r="U926" s="8"/>
      <c r="V926" s="27" t="s">
        <v>49</v>
      </c>
      <c r="W926" s="25"/>
      <c r="X926" s="25"/>
      <c r="Y926" s="25"/>
      <c r="Z926" s="25"/>
      <c r="AA926" s="25"/>
      <c r="AB926" s="25"/>
      <c r="AC926" s="25"/>
      <c r="AD926" s="25"/>
    </row>
    <row r="927" customFormat="false" ht="15.75" hidden="false" customHeight="false" outlineLevel="0" collapsed="false">
      <c r="A927" s="28" t="s">
        <v>1300</v>
      </c>
      <c r="B927" s="27" t="s">
        <v>438</v>
      </c>
      <c r="C927" s="27" t="s">
        <v>289</v>
      </c>
      <c r="D927" s="25"/>
      <c r="E927" s="25"/>
      <c r="F927" s="25"/>
      <c r="G927" s="25"/>
      <c r="H927" s="25"/>
      <c r="I927" s="25"/>
      <c r="J927" s="27" t="s">
        <v>1262</v>
      </c>
      <c r="K927" s="25" t="str">
        <f aca="false">IFERROR(__xludf.dummyfunction("SPLIT(J927,"" "")"),"CIF")</f>
        <v>CIF</v>
      </c>
      <c r="L927" s="28" t="str">
        <f aca="false">IFERROR(__xludf.dummyfunction("""COMPUTED_VALUE"""),"Indonesia")</f>
        <v>Indonesia</v>
      </c>
      <c r="M927" s="27" t="str">
        <f aca="false">IFERROR(__xludf.dummyfunction("""COMPUTED_VALUE"""),"(Diff)")</f>
        <v>(Diff)</v>
      </c>
      <c r="N927" s="25"/>
      <c r="O927" s="25"/>
      <c r="P927" s="25"/>
      <c r="Q927" s="29" t="s">
        <v>302</v>
      </c>
      <c r="R927" s="8" t="str">
        <f aca="false">B927&amp;" "&amp;C927&amp;" "&amp;D927&amp;" "&amp;E927&amp;" "&amp;G927&amp;" "&amp;H927&amp;" "&amp;J927&amp;" "&amp;N927</f>
        <v>Differentials Electrolyte     CIF Indonesia (Diff) </v>
      </c>
      <c r="S927" s="25"/>
      <c r="T927" s="8"/>
      <c r="U927" s="8"/>
      <c r="V927" s="27" t="s">
        <v>49</v>
      </c>
      <c r="W927" s="25"/>
      <c r="X927" s="25"/>
      <c r="Y927" s="25"/>
      <c r="Z927" s="25"/>
      <c r="AA927" s="25"/>
      <c r="AB927" s="25"/>
      <c r="AC927" s="25"/>
      <c r="AD927" s="25"/>
    </row>
    <row r="928" customFormat="false" ht="15.75" hidden="false" customHeight="false" outlineLevel="0" collapsed="false">
      <c r="A928" s="28" t="s">
        <v>1301</v>
      </c>
      <c r="B928" s="27" t="s">
        <v>438</v>
      </c>
      <c r="C928" s="27" t="s">
        <v>289</v>
      </c>
      <c r="D928" s="25"/>
      <c r="E928" s="25"/>
      <c r="F928" s="25"/>
      <c r="G928" s="25"/>
      <c r="H928" s="25"/>
      <c r="I928" s="25"/>
      <c r="J928" s="27" t="s">
        <v>1262</v>
      </c>
      <c r="K928" s="25" t="str">
        <f aca="false">IFERROR(__xludf.dummyfunction("SPLIT(J928,"" "")"),"CIF")</f>
        <v>CIF</v>
      </c>
      <c r="L928" s="28" t="str">
        <f aca="false">IFERROR(__xludf.dummyfunction("""COMPUTED_VALUE"""),"Indonesia")</f>
        <v>Indonesia</v>
      </c>
      <c r="M928" s="27" t="str">
        <f aca="false">IFERROR(__xludf.dummyfunction("""COMPUTED_VALUE"""),"(Diff)")</f>
        <v>(Diff)</v>
      </c>
      <c r="N928" s="25"/>
      <c r="O928" s="25"/>
      <c r="P928" s="25"/>
      <c r="Q928" s="29" t="s">
        <v>300</v>
      </c>
      <c r="R928" s="8" t="str">
        <f aca="false">B928&amp;" "&amp;C928&amp;" "&amp;D928&amp;" "&amp;E928&amp;" "&amp;G928&amp;" "&amp;H928&amp;" "&amp;J928&amp;" "&amp;N928</f>
        <v>Differentials Electrolyte     CIF Indonesia (Diff) </v>
      </c>
      <c r="S928" s="25"/>
      <c r="T928" s="8"/>
      <c r="U928" s="8"/>
      <c r="V928" s="27" t="s">
        <v>49</v>
      </c>
      <c r="W928" s="25"/>
      <c r="X928" s="25"/>
      <c r="Y928" s="25"/>
      <c r="Z928" s="25"/>
      <c r="AA928" s="25"/>
      <c r="AB928" s="25"/>
      <c r="AC928" s="25"/>
      <c r="AD928" s="25"/>
    </row>
    <row r="929" customFormat="false" ht="15.75" hidden="false" customHeight="false" outlineLevel="0" collapsed="false">
      <c r="A929" s="28" t="s">
        <v>1302</v>
      </c>
      <c r="B929" s="27" t="s">
        <v>438</v>
      </c>
      <c r="C929" s="27" t="s">
        <v>289</v>
      </c>
      <c r="D929" s="25"/>
      <c r="E929" s="25"/>
      <c r="F929" s="25"/>
      <c r="G929" s="25"/>
      <c r="H929" s="25"/>
      <c r="I929" s="25"/>
      <c r="J929" s="27" t="s">
        <v>1262</v>
      </c>
      <c r="K929" s="25" t="str">
        <f aca="false">IFERROR(__xludf.dummyfunction("SPLIT(J929,"" "")"),"CIF")</f>
        <v>CIF</v>
      </c>
      <c r="L929" s="28" t="str">
        <f aca="false">IFERROR(__xludf.dummyfunction("""COMPUTED_VALUE"""),"Indonesia")</f>
        <v>Indonesia</v>
      </c>
      <c r="M929" s="27" t="str">
        <f aca="false">IFERROR(__xludf.dummyfunction("""COMPUTED_VALUE"""),"(Diff)")</f>
        <v>(Diff)</v>
      </c>
      <c r="N929" s="25"/>
      <c r="O929" s="25"/>
      <c r="P929" s="25"/>
      <c r="Q929" s="29" t="s">
        <v>298</v>
      </c>
      <c r="R929" s="8" t="str">
        <f aca="false">B929&amp;" "&amp;C929&amp;" "&amp;D929&amp;" "&amp;E929&amp;" "&amp;G929&amp;" "&amp;H929&amp;" "&amp;J929&amp;" "&amp;N929</f>
        <v>Differentials Electrolyte     CIF Indonesia (Diff) </v>
      </c>
      <c r="S929" s="25"/>
      <c r="T929" s="8"/>
      <c r="U929" s="8"/>
      <c r="V929" s="27" t="s">
        <v>49</v>
      </c>
      <c r="W929" s="25"/>
      <c r="X929" s="25"/>
      <c r="Y929" s="25"/>
      <c r="Z929" s="25"/>
      <c r="AA929" s="25"/>
      <c r="AB929" s="25"/>
      <c r="AC929" s="25"/>
      <c r="AD929" s="25"/>
    </row>
    <row r="930" customFormat="false" ht="15.75" hidden="false" customHeight="false" outlineLevel="0" collapsed="false">
      <c r="A930" s="28" t="s">
        <v>1303</v>
      </c>
      <c r="B930" s="27" t="s">
        <v>438</v>
      </c>
      <c r="C930" s="27" t="s">
        <v>289</v>
      </c>
      <c r="D930" s="25"/>
      <c r="E930" s="25"/>
      <c r="F930" s="25"/>
      <c r="G930" s="25"/>
      <c r="H930" s="25"/>
      <c r="I930" s="25"/>
      <c r="J930" s="27" t="s">
        <v>1262</v>
      </c>
      <c r="K930" s="25" t="str">
        <f aca="false">IFERROR(__xludf.dummyfunction("SPLIT(J930,"" "")"),"CIF")</f>
        <v>CIF</v>
      </c>
      <c r="L930" s="28" t="str">
        <f aca="false">IFERROR(__xludf.dummyfunction("""COMPUTED_VALUE"""),"Indonesia")</f>
        <v>Indonesia</v>
      </c>
      <c r="M930" s="27" t="str">
        <f aca="false">IFERROR(__xludf.dummyfunction("""COMPUTED_VALUE"""),"(Diff)")</f>
        <v>(Diff)</v>
      </c>
      <c r="N930" s="25"/>
      <c r="O930" s="25"/>
      <c r="P930" s="25"/>
      <c r="Q930" s="29" t="s">
        <v>296</v>
      </c>
      <c r="R930" s="8" t="str">
        <f aca="false">B930&amp;" "&amp;C930&amp;" "&amp;D930&amp;" "&amp;E930&amp;" "&amp;G930&amp;" "&amp;H930&amp;" "&amp;J930&amp;" "&amp;N930</f>
        <v>Differentials Electrolyte     CIF Indonesia (Diff) </v>
      </c>
      <c r="S930" s="25"/>
      <c r="T930" s="8"/>
      <c r="U930" s="8"/>
      <c r="V930" s="27" t="s">
        <v>49</v>
      </c>
      <c r="W930" s="25"/>
      <c r="X930" s="25"/>
      <c r="Y930" s="25"/>
      <c r="Z930" s="25"/>
      <c r="AA930" s="25"/>
      <c r="AB930" s="25"/>
      <c r="AC930" s="25"/>
      <c r="AD930" s="25"/>
    </row>
    <row r="931" customFormat="false" ht="15.75" hidden="false" customHeight="false" outlineLevel="0" collapsed="false">
      <c r="A931" s="28" t="s">
        <v>1304</v>
      </c>
      <c r="B931" s="27" t="s">
        <v>438</v>
      </c>
      <c r="C931" s="27" t="s">
        <v>289</v>
      </c>
      <c r="D931" s="25"/>
      <c r="E931" s="25"/>
      <c r="F931" s="25"/>
      <c r="G931" s="25"/>
      <c r="H931" s="25"/>
      <c r="I931" s="25"/>
      <c r="J931" s="27" t="s">
        <v>1262</v>
      </c>
      <c r="K931" s="25" t="str">
        <f aca="false">IFERROR(__xludf.dummyfunction("SPLIT(J931,"" "")"),"CIF")</f>
        <v>CIF</v>
      </c>
      <c r="L931" s="28" t="str">
        <f aca="false">IFERROR(__xludf.dummyfunction("""COMPUTED_VALUE"""),"Indonesia")</f>
        <v>Indonesia</v>
      </c>
      <c r="M931" s="27" t="str">
        <f aca="false">IFERROR(__xludf.dummyfunction("""COMPUTED_VALUE"""),"(Diff)")</f>
        <v>(Diff)</v>
      </c>
      <c r="N931" s="25"/>
      <c r="O931" s="25"/>
      <c r="P931" s="25"/>
      <c r="Q931" s="29" t="s">
        <v>294</v>
      </c>
      <c r="R931" s="8" t="str">
        <f aca="false">B931&amp;" "&amp;C931&amp;" "&amp;D931&amp;" "&amp;E931&amp;" "&amp;G931&amp;" "&amp;H931&amp;" "&amp;J931&amp;" "&amp;N931</f>
        <v>Differentials Electrolyte     CIF Indonesia (Diff) </v>
      </c>
      <c r="S931" s="25"/>
      <c r="T931" s="8"/>
      <c r="U931" s="8"/>
      <c r="V931" s="27" t="s">
        <v>49</v>
      </c>
      <c r="W931" s="25"/>
      <c r="X931" s="25"/>
      <c r="Y931" s="25"/>
      <c r="Z931" s="25"/>
      <c r="AA931" s="25"/>
      <c r="AB931" s="25"/>
      <c r="AC931" s="25"/>
      <c r="AD931" s="25"/>
    </row>
    <row r="932" customFormat="false" ht="15.75" hidden="false" customHeight="false" outlineLevel="0" collapsed="false">
      <c r="A932" s="28" t="s">
        <v>1305</v>
      </c>
      <c r="B932" s="27" t="s">
        <v>438</v>
      </c>
      <c r="C932" s="27" t="s">
        <v>289</v>
      </c>
      <c r="D932" s="25"/>
      <c r="E932" s="25"/>
      <c r="F932" s="25"/>
      <c r="G932" s="25"/>
      <c r="H932" s="25"/>
      <c r="I932" s="25"/>
      <c r="J932" s="27" t="s">
        <v>1262</v>
      </c>
      <c r="K932" s="25" t="str">
        <f aca="false">IFERROR(__xludf.dummyfunction("SPLIT(J932,"" "")"),"CIF")</f>
        <v>CIF</v>
      </c>
      <c r="L932" s="28" t="str">
        <f aca="false">IFERROR(__xludf.dummyfunction("""COMPUTED_VALUE"""),"Indonesia")</f>
        <v>Indonesia</v>
      </c>
      <c r="M932" s="27" t="str">
        <f aca="false">IFERROR(__xludf.dummyfunction("""COMPUTED_VALUE"""),"(Diff)")</f>
        <v>(Diff)</v>
      </c>
      <c r="N932" s="25"/>
      <c r="O932" s="25"/>
      <c r="P932" s="25"/>
      <c r="Q932" s="29" t="s">
        <v>291</v>
      </c>
      <c r="R932" s="8" t="str">
        <f aca="false">B932&amp;" "&amp;C932&amp;" "&amp;D932&amp;" "&amp;E932&amp;" "&amp;G932&amp;" "&amp;H932&amp;" "&amp;J932&amp;" "&amp;N932</f>
        <v>Differentials Electrolyte     CIF Indonesia (Diff) </v>
      </c>
      <c r="S932" s="25"/>
      <c r="T932" s="8"/>
      <c r="U932" s="8"/>
      <c r="V932" s="27" t="s">
        <v>49</v>
      </c>
      <c r="W932" s="25"/>
      <c r="X932" s="25"/>
      <c r="Y932" s="25"/>
      <c r="Z932" s="25"/>
      <c r="AA932" s="25"/>
      <c r="AB932" s="25"/>
      <c r="AC932" s="25"/>
      <c r="AD932" s="25"/>
    </row>
    <row r="933" customFormat="false" ht="15.75" hidden="false" customHeight="false" outlineLevel="0" collapsed="false">
      <c r="A933" s="28" t="s">
        <v>1306</v>
      </c>
      <c r="B933" s="27" t="s">
        <v>438</v>
      </c>
      <c r="C933" s="27" t="s">
        <v>308</v>
      </c>
      <c r="D933" s="25"/>
      <c r="E933" s="25"/>
      <c r="F933" s="25"/>
      <c r="G933" s="25"/>
      <c r="H933" s="25"/>
      <c r="I933" s="25"/>
      <c r="J933" s="27" t="s">
        <v>1262</v>
      </c>
      <c r="K933" s="25" t="str">
        <f aca="false">IFERROR(__xludf.dummyfunction("SPLIT(J933,"" "")"),"CIF")</f>
        <v>CIF</v>
      </c>
      <c r="L933" s="28" t="str">
        <f aca="false">IFERROR(__xludf.dummyfunction("""COMPUTED_VALUE"""),"Indonesia")</f>
        <v>Indonesia</v>
      </c>
      <c r="M933" s="27" t="str">
        <f aca="false">IFERROR(__xludf.dummyfunction("""COMPUTED_VALUE"""),"(Diff)")</f>
        <v>(Diff)</v>
      </c>
      <c r="N933" s="25"/>
      <c r="O933" s="25"/>
      <c r="P933" s="25"/>
      <c r="Q933" s="29" t="s">
        <v>358</v>
      </c>
      <c r="R933" s="8" t="str">
        <f aca="false">B933&amp;" "&amp;C933&amp;" "&amp;D933&amp;" "&amp;E933&amp;" "&amp;G933&amp;" "&amp;H933&amp;" "&amp;J933&amp;" "&amp;N933</f>
        <v>Differentials Graphite     CIF Indonesia (Diff) </v>
      </c>
      <c r="S933" s="25"/>
      <c r="T933" s="8"/>
      <c r="U933" s="8"/>
      <c r="V933" s="27" t="s">
        <v>49</v>
      </c>
      <c r="W933" s="25"/>
      <c r="X933" s="25"/>
      <c r="Y933" s="25"/>
      <c r="Z933" s="25"/>
      <c r="AA933" s="25"/>
      <c r="AB933" s="25"/>
      <c r="AC933" s="25"/>
      <c r="AD933" s="25"/>
    </row>
    <row r="934" customFormat="false" ht="15.75" hidden="false" customHeight="false" outlineLevel="0" collapsed="false">
      <c r="A934" s="28" t="s">
        <v>1307</v>
      </c>
      <c r="B934" s="27" t="s">
        <v>438</v>
      </c>
      <c r="C934" s="27" t="s">
        <v>308</v>
      </c>
      <c r="D934" s="25"/>
      <c r="E934" s="25"/>
      <c r="F934" s="25"/>
      <c r="G934" s="25"/>
      <c r="H934" s="25"/>
      <c r="I934" s="25"/>
      <c r="J934" s="27" t="s">
        <v>1262</v>
      </c>
      <c r="K934" s="25" t="str">
        <f aca="false">IFERROR(__xludf.dummyfunction("SPLIT(J934,"" "")"),"CIF")</f>
        <v>CIF</v>
      </c>
      <c r="L934" s="28" t="str">
        <f aca="false">IFERROR(__xludf.dummyfunction("""COMPUTED_VALUE"""),"Indonesia")</f>
        <v>Indonesia</v>
      </c>
      <c r="M934" s="27" t="str">
        <f aca="false">IFERROR(__xludf.dummyfunction("""COMPUTED_VALUE"""),"(Diff)")</f>
        <v>(Diff)</v>
      </c>
      <c r="N934" s="25"/>
      <c r="O934" s="25"/>
      <c r="P934" s="25"/>
      <c r="Q934" s="29" t="s">
        <v>356</v>
      </c>
      <c r="R934" s="8" t="str">
        <f aca="false">B934&amp;" "&amp;C934&amp;" "&amp;D934&amp;" "&amp;E934&amp;" "&amp;G934&amp;" "&amp;H934&amp;" "&amp;J934&amp;" "&amp;N934</f>
        <v>Differentials Graphite     CIF Indonesia (Diff) </v>
      </c>
      <c r="S934" s="25"/>
      <c r="T934" s="8"/>
      <c r="U934" s="8"/>
      <c r="V934" s="27" t="s">
        <v>49</v>
      </c>
      <c r="W934" s="25"/>
      <c r="X934" s="25"/>
      <c r="Y934" s="25"/>
      <c r="Z934" s="25"/>
      <c r="AA934" s="25"/>
      <c r="AB934" s="25"/>
      <c r="AC934" s="25"/>
      <c r="AD934" s="25"/>
    </row>
    <row r="935" customFormat="false" ht="15.75" hidden="false" customHeight="false" outlineLevel="0" collapsed="false">
      <c r="A935" s="28" t="s">
        <v>1308</v>
      </c>
      <c r="B935" s="27" t="s">
        <v>438</v>
      </c>
      <c r="C935" s="27" t="s">
        <v>308</v>
      </c>
      <c r="D935" s="25"/>
      <c r="E935" s="25"/>
      <c r="F935" s="25"/>
      <c r="G935" s="25"/>
      <c r="H935" s="25"/>
      <c r="I935" s="25"/>
      <c r="J935" s="27" t="s">
        <v>1262</v>
      </c>
      <c r="K935" s="25" t="str">
        <f aca="false">IFERROR(__xludf.dummyfunction("SPLIT(J935,"" "")"),"CIF")</f>
        <v>CIF</v>
      </c>
      <c r="L935" s="28" t="str">
        <f aca="false">IFERROR(__xludf.dummyfunction("""COMPUTED_VALUE"""),"Indonesia")</f>
        <v>Indonesia</v>
      </c>
      <c r="M935" s="27" t="str">
        <f aca="false">IFERROR(__xludf.dummyfunction("""COMPUTED_VALUE"""),"(Diff)")</f>
        <v>(Diff)</v>
      </c>
      <c r="N935" s="25"/>
      <c r="O935" s="25"/>
      <c r="P935" s="25"/>
      <c r="Q935" s="29" t="s">
        <v>354</v>
      </c>
      <c r="R935" s="8" t="str">
        <f aca="false">B935&amp;" "&amp;C935&amp;" "&amp;D935&amp;" "&amp;E935&amp;" "&amp;G935&amp;" "&amp;H935&amp;" "&amp;J935&amp;" "&amp;N935</f>
        <v>Differentials Graphite     CIF Indonesia (Diff) </v>
      </c>
      <c r="S935" s="25"/>
      <c r="T935" s="8"/>
      <c r="U935" s="8"/>
      <c r="V935" s="27" t="s">
        <v>49</v>
      </c>
      <c r="W935" s="25"/>
      <c r="X935" s="25"/>
      <c r="Y935" s="25"/>
      <c r="Z935" s="25"/>
      <c r="AA935" s="25"/>
      <c r="AB935" s="25"/>
      <c r="AC935" s="25"/>
      <c r="AD935" s="25"/>
    </row>
    <row r="936" customFormat="false" ht="15.75" hidden="false" customHeight="false" outlineLevel="0" collapsed="false">
      <c r="A936" s="28" t="s">
        <v>1309</v>
      </c>
      <c r="B936" s="27" t="s">
        <v>438</v>
      </c>
      <c r="C936" s="27" t="s">
        <v>308</v>
      </c>
      <c r="D936" s="25"/>
      <c r="E936" s="25"/>
      <c r="F936" s="25"/>
      <c r="G936" s="25"/>
      <c r="H936" s="25"/>
      <c r="I936" s="25"/>
      <c r="J936" s="27" t="s">
        <v>1262</v>
      </c>
      <c r="K936" s="25" t="str">
        <f aca="false">IFERROR(__xludf.dummyfunction("SPLIT(J936,"" "")"),"CIF")</f>
        <v>CIF</v>
      </c>
      <c r="L936" s="28" t="str">
        <f aca="false">IFERROR(__xludf.dummyfunction("""COMPUTED_VALUE"""),"Indonesia")</f>
        <v>Indonesia</v>
      </c>
      <c r="M936" s="27" t="str">
        <f aca="false">IFERROR(__xludf.dummyfunction("""COMPUTED_VALUE"""),"(Diff)")</f>
        <v>(Diff)</v>
      </c>
      <c r="N936" s="25"/>
      <c r="O936" s="25"/>
      <c r="P936" s="25"/>
      <c r="Q936" s="29" t="s">
        <v>352</v>
      </c>
      <c r="R936" s="8" t="str">
        <f aca="false">B936&amp;" "&amp;C936&amp;" "&amp;D936&amp;" "&amp;E936&amp;" "&amp;G936&amp;" "&amp;H936&amp;" "&amp;J936&amp;" "&amp;N936</f>
        <v>Differentials Graphite     CIF Indonesia (Diff) </v>
      </c>
      <c r="S936" s="25"/>
      <c r="T936" s="8"/>
      <c r="U936" s="8"/>
      <c r="V936" s="27" t="s">
        <v>49</v>
      </c>
      <c r="W936" s="25"/>
      <c r="X936" s="25"/>
      <c r="Y936" s="25"/>
      <c r="Z936" s="25"/>
      <c r="AA936" s="25"/>
      <c r="AB936" s="25"/>
      <c r="AC936" s="25"/>
      <c r="AD936" s="25"/>
    </row>
    <row r="937" customFormat="false" ht="15.75" hidden="false" customHeight="false" outlineLevel="0" collapsed="false">
      <c r="A937" s="28" t="s">
        <v>1310</v>
      </c>
      <c r="B937" s="27" t="s">
        <v>438</v>
      </c>
      <c r="C937" s="27" t="s">
        <v>308</v>
      </c>
      <c r="D937" s="25"/>
      <c r="E937" s="25"/>
      <c r="F937" s="25"/>
      <c r="G937" s="25"/>
      <c r="H937" s="25"/>
      <c r="I937" s="25"/>
      <c r="J937" s="27" t="s">
        <v>1262</v>
      </c>
      <c r="K937" s="25" t="str">
        <f aca="false">IFERROR(__xludf.dummyfunction("SPLIT(J937,"" "")"),"CIF")</f>
        <v>CIF</v>
      </c>
      <c r="L937" s="28" t="str">
        <f aca="false">IFERROR(__xludf.dummyfunction("""COMPUTED_VALUE"""),"Indonesia")</f>
        <v>Indonesia</v>
      </c>
      <c r="M937" s="27" t="str">
        <f aca="false">IFERROR(__xludf.dummyfunction("""COMPUTED_VALUE"""),"(Diff)")</f>
        <v>(Diff)</v>
      </c>
      <c r="N937" s="25"/>
      <c r="O937" s="25"/>
      <c r="P937" s="25"/>
      <c r="Q937" s="29" t="s">
        <v>350</v>
      </c>
      <c r="R937" s="8" t="str">
        <f aca="false">B937&amp;" "&amp;C937&amp;" "&amp;D937&amp;" "&amp;E937&amp;" "&amp;G937&amp;" "&amp;H937&amp;" "&amp;J937&amp;" "&amp;N937</f>
        <v>Differentials Graphite     CIF Indonesia (Diff) </v>
      </c>
      <c r="S937" s="25"/>
      <c r="T937" s="8"/>
      <c r="U937" s="8"/>
      <c r="V937" s="27" t="s">
        <v>49</v>
      </c>
      <c r="W937" s="25"/>
      <c r="X937" s="25"/>
      <c r="Y937" s="25"/>
      <c r="Z937" s="25"/>
      <c r="AA937" s="25"/>
      <c r="AB937" s="25"/>
      <c r="AC937" s="25"/>
      <c r="AD937" s="25"/>
    </row>
    <row r="938" customFormat="false" ht="15.75" hidden="false" customHeight="false" outlineLevel="0" collapsed="false">
      <c r="A938" s="28" t="s">
        <v>1311</v>
      </c>
      <c r="B938" s="27" t="s">
        <v>438</v>
      </c>
      <c r="C938" s="27" t="s">
        <v>308</v>
      </c>
      <c r="D938" s="25"/>
      <c r="E938" s="25"/>
      <c r="F938" s="25"/>
      <c r="G938" s="25"/>
      <c r="H938" s="25"/>
      <c r="I938" s="25"/>
      <c r="J938" s="27" t="s">
        <v>1262</v>
      </c>
      <c r="K938" s="25" t="str">
        <f aca="false">IFERROR(__xludf.dummyfunction("SPLIT(J938,"" "")"),"CIF")</f>
        <v>CIF</v>
      </c>
      <c r="L938" s="28" t="str">
        <f aca="false">IFERROR(__xludf.dummyfunction("""COMPUTED_VALUE"""),"Indonesia")</f>
        <v>Indonesia</v>
      </c>
      <c r="M938" s="27" t="str">
        <f aca="false">IFERROR(__xludf.dummyfunction("""COMPUTED_VALUE"""),"(Diff)")</f>
        <v>(Diff)</v>
      </c>
      <c r="N938" s="25"/>
      <c r="O938" s="25"/>
      <c r="P938" s="25"/>
      <c r="Q938" s="29" t="s">
        <v>347</v>
      </c>
      <c r="R938" s="8" t="str">
        <f aca="false">B938&amp;" "&amp;C938&amp;" "&amp;D938&amp;" "&amp;E938&amp;" "&amp;G938&amp;" "&amp;H938&amp;" "&amp;J938&amp;" "&amp;N938</f>
        <v>Differentials Graphite     CIF Indonesia (Diff) </v>
      </c>
      <c r="S938" s="25"/>
      <c r="T938" s="8"/>
      <c r="U938" s="8"/>
      <c r="V938" s="27" t="s">
        <v>49</v>
      </c>
      <c r="W938" s="25"/>
      <c r="X938" s="25"/>
      <c r="Y938" s="25"/>
      <c r="Z938" s="25"/>
      <c r="AA938" s="25"/>
      <c r="AB938" s="25"/>
      <c r="AC938" s="25"/>
      <c r="AD938" s="25"/>
    </row>
    <row r="939" customFormat="false" ht="15.75" hidden="false" customHeight="false" outlineLevel="0" collapsed="false">
      <c r="A939" s="28" t="s">
        <v>1312</v>
      </c>
      <c r="B939" s="27" t="s">
        <v>438</v>
      </c>
      <c r="C939" s="27" t="s">
        <v>308</v>
      </c>
      <c r="D939" s="25"/>
      <c r="E939" s="25"/>
      <c r="F939" s="25"/>
      <c r="G939" s="25"/>
      <c r="H939" s="25"/>
      <c r="I939" s="25"/>
      <c r="J939" s="27" t="s">
        <v>1262</v>
      </c>
      <c r="K939" s="25" t="str">
        <f aca="false">IFERROR(__xludf.dummyfunction("SPLIT(J939,"" "")"),"CIF")</f>
        <v>CIF</v>
      </c>
      <c r="L939" s="28" t="str">
        <f aca="false">IFERROR(__xludf.dummyfunction("""COMPUTED_VALUE"""),"Indonesia")</f>
        <v>Indonesia</v>
      </c>
      <c r="M939" s="27" t="str">
        <f aca="false">IFERROR(__xludf.dummyfunction("""COMPUTED_VALUE"""),"(Diff)")</f>
        <v>(Diff)</v>
      </c>
      <c r="N939" s="25"/>
      <c r="O939" s="25"/>
      <c r="P939" s="25"/>
      <c r="Q939" s="29" t="s">
        <v>344</v>
      </c>
      <c r="R939" s="8" t="str">
        <f aca="false">B939&amp;" "&amp;C939&amp;" "&amp;D939&amp;" "&amp;E939&amp;" "&amp;G939&amp;" "&amp;H939&amp;" "&amp;J939&amp;" "&amp;N939</f>
        <v>Differentials Graphite     CIF Indonesia (Diff) </v>
      </c>
      <c r="S939" s="25"/>
      <c r="T939" s="8"/>
      <c r="U939" s="8"/>
      <c r="V939" s="27" t="s">
        <v>49</v>
      </c>
      <c r="W939" s="25"/>
      <c r="X939" s="25"/>
      <c r="Y939" s="25"/>
      <c r="Z939" s="25"/>
      <c r="AA939" s="25"/>
      <c r="AB939" s="25"/>
      <c r="AC939" s="25"/>
      <c r="AD939" s="25"/>
    </row>
    <row r="940" customFormat="false" ht="15.75" hidden="false" customHeight="false" outlineLevel="0" collapsed="false">
      <c r="A940" s="28" t="s">
        <v>1313</v>
      </c>
      <c r="B940" s="27" t="s">
        <v>438</v>
      </c>
      <c r="C940" s="27" t="s">
        <v>308</v>
      </c>
      <c r="D940" s="25"/>
      <c r="E940" s="25"/>
      <c r="F940" s="25"/>
      <c r="G940" s="25"/>
      <c r="H940" s="25"/>
      <c r="I940" s="25"/>
      <c r="J940" s="27" t="s">
        <v>1262</v>
      </c>
      <c r="K940" s="25" t="str">
        <f aca="false">IFERROR(__xludf.dummyfunction("SPLIT(J940,"" "")"),"CIF")</f>
        <v>CIF</v>
      </c>
      <c r="L940" s="28" t="str">
        <f aca="false">IFERROR(__xludf.dummyfunction("""COMPUTED_VALUE"""),"Indonesia")</f>
        <v>Indonesia</v>
      </c>
      <c r="M940" s="27" t="str">
        <f aca="false">IFERROR(__xludf.dummyfunction("""COMPUTED_VALUE"""),"(Diff)")</f>
        <v>(Diff)</v>
      </c>
      <c r="N940" s="25"/>
      <c r="O940" s="25"/>
      <c r="P940" s="25"/>
      <c r="Q940" s="29" t="s">
        <v>340</v>
      </c>
      <c r="R940" s="8" t="str">
        <f aca="false">B940&amp;" "&amp;C940&amp;" "&amp;D940&amp;" "&amp;E940&amp;" "&amp;G940&amp;" "&amp;H940&amp;" "&amp;J940&amp;" "&amp;N940</f>
        <v>Differentials Graphite     CIF Indonesia (Diff) </v>
      </c>
      <c r="S940" s="25"/>
      <c r="T940" s="8"/>
      <c r="U940" s="8"/>
      <c r="V940" s="27" t="s">
        <v>49</v>
      </c>
      <c r="W940" s="25"/>
      <c r="X940" s="25"/>
      <c r="Y940" s="25"/>
      <c r="Z940" s="25"/>
      <c r="AA940" s="25"/>
      <c r="AB940" s="25"/>
      <c r="AC940" s="25"/>
      <c r="AD940" s="25"/>
    </row>
    <row r="941" customFormat="false" ht="15.75" hidden="false" customHeight="false" outlineLevel="0" collapsed="false">
      <c r="A941" s="28" t="s">
        <v>1314</v>
      </c>
      <c r="B941" s="27" t="s">
        <v>438</v>
      </c>
      <c r="C941" s="27" t="s">
        <v>308</v>
      </c>
      <c r="D941" s="25"/>
      <c r="E941" s="25"/>
      <c r="F941" s="25"/>
      <c r="G941" s="25"/>
      <c r="H941" s="25"/>
      <c r="I941" s="25"/>
      <c r="J941" s="27" t="s">
        <v>1262</v>
      </c>
      <c r="K941" s="25" t="str">
        <f aca="false">IFERROR(__xludf.dummyfunction("SPLIT(J941,"" "")"),"CIF")</f>
        <v>CIF</v>
      </c>
      <c r="L941" s="28" t="str">
        <f aca="false">IFERROR(__xludf.dummyfunction("""COMPUTED_VALUE"""),"Indonesia")</f>
        <v>Indonesia</v>
      </c>
      <c r="M941" s="27" t="str">
        <f aca="false">IFERROR(__xludf.dummyfunction("""COMPUTED_VALUE"""),"(Diff)")</f>
        <v>(Diff)</v>
      </c>
      <c r="N941" s="25"/>
      <c r="O941" s="25"/>
      <c r="P941" s="25"/>
      <c r="Q941" s="29" t="s">
        <v>338</v>
      </c>
      <c r="R941" s="8" t="str">
        <f aca="false">B941&amp;" "&amp;C941&amp;" "&amp;D941&amp;" "&amp;E941&amp;" "&amp;G941&amp;" "&amp;H941&amp;" "&amp;J941&amp;" "&amp;N941</f>
        <v>Differentials Graphite     CIF Indonesia (Diff) </v>
      </c>
      <c r="S941" s="25"/>
      <c r="T941" s="8"/>
      <c r="U941" s="8"/>
      <c r="V941" s="27" t="s">
        <v>49</v>
      </c>
      <c r="W941" s="25"/>
      <c r="X941" s="25"/>
      <c r="Y941" s="25"/>
      <c r="Z941" s="25"/>
      <c r="AA941" s="25"/>
      <c r="AB941" s="25"/>
      <c r="AC941" s="25"/>
      <c r="AD941" s="25"/>
    </row>
    <row r="942" customFormat="false" ht="15.75" hidden="false" customHeight="false" outlineLevel="0" collapsed="false">
      <c r="A942" s="28" t="s">
        <v>1315</v>
      </c>
      <c r="B942" s="27" t="s">
        <v>438</v>
      </c>
      <c r="C942" s="27" t="s">
        <v>308</v>
      </c>
      <c r="D942" s="25"/>
      <c r="E942" s="25"/>
      <c r="F942" s="25"/>
      <c r="G942" s="25"/>
      <c r="H942" s="25"/>
      <c r="I942" s="25"/>
      <c r="J942" s="27" t="s">
        <v>1262</v>
      </c>
      <c r="K942" s="25" t="str">
        <f aca="false">IFERROR(__xludf.dummyfunction("SPLIT(J942,"" "")"),"CIF")</f>
        <v>CIF</v>
      </c>
      <c r="L942" s="28" t="str">
        <f aca="false">IFERROR(__xludf.dummyfunction("""COMPUTED_VALUE"""),"Indonesia")</f>
        <v>Indonesia</v>
      </c>
      <c r="M942" s="27" t="str">
        <f aca="false">IFERROR(__xludf.dummyfunction("""COMPUTED_VALUE"""),"(Diff)")</f>
        <v>(Diff)</v>
      </c>
      <c r="N942" s="25"/>
      <c r="O942" s="25"/>
      <c r="P942" s="25"/>
      <c r="Q942" s="29" t="s">
        <v>335</v>
      </c>
      <c r="R942" s="8" t="str">
        <f aca="false">B942&amp;" "&amp;C942&amp;" "&amp;D942&amp;" "&amp;E942&amp;" "&amp;G942&amp;" "&amp;H942&amp;" "&amp;J942&amp;" "&amp;N942</f>
        <v>Differentials Graphite     CIF Indonesia (Diff) </v>
      </c>
      <c r="S942" s="25"/>
      <c r="T942" s="8"/>
      <c r="U942" s="8"/>
      <c r="V942" s="27" t="s">
        <v>49</v>
      </c>
      <c r="W942" s="25"/>
      <c r="X942" s="25"/>
      <c r="Y942" s="25"/>
      <c r="Z942" s="25"/>
      <c r="AA942" s="25"/>
      <c r="AB942" s="25"/>
      <c r="AC942" s="25"/>
      <c r="AD942" s="25"/>
    </row>
    <row r="943" customFormat="false" ht="15.75" hidden="false" customHeight="false" outlineLevel="0" collapsed="false">
      <c r="A943" s="28" t="s">
        <v>1316</v>
      </c>
      <c r="B943" s="27" t="s">
        <v>438</v>
      </c>
      <c r="C943" s="27" t="s">
        <v>308</v>
      </c>
      <c r="D943" s="25"/>
      <c r="E943" s="25"/>
      <c r="F943" s="25"/>
      <c r="G943" s="25"/>
      <c r="H943" s="25"/>
      <c r="I943" s="25"/>
      <c r="J943" s="27" t="s">
        <v>1262</v>
      </c>
      <c r="K943" s="25" t="str">
        <f aca="false">IFERROR(__xludf.dummyfunction("SPLIT(J943,"" "")"),"CIF")</f>
        <v>CIF</v>
      </c>
      <c r="L943" s="28" t="str">
        <f aca="false">IFERROR(__xludf.dummyfunction("""COMPUTED_VALUE"""),"Indonesia")</f>
        <v>Indonesia</v>
      </c>
      <c r="M943" s="27" t="str">
        <f aca="false">IFERROR(__xludf.dummyfunction("""COMPUTED_VALUE"""),"(Diff)")</f>
        <v>(Diff)</v>
      </c>
      <c r="N943" s="25"/>
      <c r="O943" s="25"/>
      <c r="P943" s="25"/>
      <c r="Q943" s="29" t="s">
        <v>332</v>
      </c>
      <c r="R943" s="8" t="str">
        <f aca="false">B943&amp;" "&amp;C943&amp;" "&amp;D943&amp;" "&amp;E943&amp;" "&amp;G943&amp;" "&amp;H943&amp;" "&amp;J943&amp;" "&amp;N943</f>
        <v>Differentials Graphite     CIF Indonesia (Diff) </v>
      </c>
      <c r="S943" s="25"/>
      <c r="T943" s="8"/>
      <c r="U943" s="8"/>
      <c r="V943" s="27" t="s">
        <v>49</v>
      </c>
      <c r="W943" s="25"/>
      <c r="X943" s="25"/>
      <c r="Y943" s="25"/>
      <c r="Z943" s="25"/>
      <c r="AA943" s="25"/>
      <c r="AB943" s="25"/>
      <c r="AC943" s="25"/>
      <c r="AD943" s="25"/>
    </row>
    <row r="944" customFormat="false" ht="15.75" hidden="false" customHeight="false" outlineLevel="0" collapsed="false">
      <c r="A944" s="28" t="s">
        <v>1317</v>
      </c>
      <c r="B944" s="27" t="s">
        <v>438</v>
      </c>
      <c r="C944" s="27" t="s">
        <v>308</v>
      </c>
      <c r="D944" s="25"/>
      <c r="E944" s="25"/>
      <c r="F944" s="25"/>
      <c r="G944" s="25"/>
      <c r="H944" s="25"/>
      <c r="I944" s="25"/>
      <c r="J944" s="27" t="s">
        <v>1262</v>
      </c>
      <c r="K944" s="25" t="str">
        <f aca="false">IFERROR(__xludf.dummyfunction("SPLIT(J944,"" "")"),"CIF")</f>
        <v>CIF</v>
      </c>
      <c r="L944" s="28" t="str">
        <f aca="false">IFERROR(__xludf.dummyfunction("""COMPUTED_VALUE"""),"Indonesia")</f>
        <v>Indonesia</v>
      </c>
      <c r="M944" s="27" t="str">
        <f aca="false">IFERROR(__xludf.dummyfunction("""COMPUTED_VALUE"""),"(Diff)")</f>
        <v>(Diff)</v>
      </c>
      <c r="N944" s="25"/>
      <c r="O944" s="25"/>
      <c r="P944" s="25"/>
      <c r="Q944" s="29" t="s">
        <v>329</v>
      </c>
      <c r="R944" s="8" t="str">
        <f aca="false">B944&amp;" "&amp;C944&amp;" "&amp;D944&amp;" "&amp;E944&amp;" "&amp;G944&amp;" "&amp;H944&amp;" "&amp;J944&amp;" "&amp;N944</f>
        <v>Differentials Graphite     CIF Indonesia (Diff) </v>
      </c>
      <c r="S944" s="25"/>
      <c r="T944" s="8"/>
      <c r="U944" s="8"/>
      <c r="V944" s="27" t="s">
        <v>49</v>
      </c>
      <c r="W944" s="25"/>
      <c r="X944" s="25"/>
      <c r="Y944" s="25"/>
      <c r="Z944" s="25"/>
      <c r="AA944" s="25"/>
      <c r="AB944" s="25"/>
      <c r="AC944" s="25"/>
      <c r="AD944" s="25"/>
    </row>
    <row r="945" customFormat="false" ht="15.75" hidden="false" customHeight="false" outlineLevel="0" collapsed="false">
      <c r="A945" s="28" t="s">
        <v>1318</v>
      </c>
      <c r="B945" s="27" t="s">
        <v>438</v>
      </c>
      <c r="C945" s="27" t="s">
        <v>308</v>
      </c>
      <c r="D945" s="25"/>
      <c r="E945" s="25"/>
      <c r="F945" s="25"/>
      <c r="G945" s="25"/>
      <c r="H945" s="25"/>
      <c r="I945" s="25"/>
      <c r="J945" s="27" t="s">
        <v>1262</v>
      </c>
      <c r="K945" s="25" t="str">
        <f aca="false">IFERROR(__xludf.dummyfunction("SPLIT(J945,"" "")"),"CIF")</f>
        <v>CIF</v>
      </c>
      <c r="L945" s="28" t="str">
        <f aca="false">IFERROR(__xludf.dummyfunction("""COMPUTED_VALUE"""),"Indonesia")</f>
        <v>Indonesia</v>
      </c>
      <c r="M945" s="27" t="str">
        <f aca="false">IFERROR(__xludf.dummyfunction("""COMPUTED_VALUE"""),"(Diff)")</f>
        <v>(Diff)</v>
      </c>
      <c r="N945" s="25"/>
      <c r="O945" s="25"/>
      <c r="P945" s="25"/>
      <c r="Q945" s="29" t="s">
        <v>326</v>
      </c>
      <c r="R945" s="8" t="str">
        <f aca="false">B945&amp;" "&amp;C945&amp;" "&amp;D945&amp;" "&amp;E945&amp;" "&amp;G945&amp;" "&amp;H945&amp;" "&amp;J945&amp;" "&amp;N945</f>
        <v>Differentials Graphite     CIF Indonesia (Diff) </v>
      </c>
      <c r="S945" s="25"/>
      <c r="T945" s="8"/>
      <c r="U945" s="8"/>
      <c r="V945" s="27" t="s">
        <v>49</v>
      </c>
      <c r="W945" s="25"/>
      <c r="X945" s="25"/>
      <c r="Y945" s="25"/>
      <c r="Z945" s="25"/>
      <c r="AA945" s="25"/>
      <c r="AB945" s="25"/>
      <c r="AC945" s="25"/>
      <c r="AD945" s="25"/>
    </row>
    <row r="946" customFormat="false" ht="15.75" hidden="false" customHeight="false" outlineLevel="0" collapsed="false">
      <c r="A946" s="28" t="s">
        <v>1319</v>
      </c>
      <c r="B946" s="27" t="s">
        <v>438</v>
      </c>
      <c r="C946" s="27" t="s">
        <v>308</v>
      </c>
      <c r="D946" s="25"/>
      <c r="E946" s="25"/>
      <c r="F946" s="25"/>
      <c r="G946" s="25"/>
      <c r="H946" s="25"/>
      <c r="I946" s="25"/>
      <c r="J946" s="27" t="s">
        <v>1262</v>
      </c>
      <c r="K946" s="25" t="str">
        <f aca="false">IFERROR(__xludf.dummyfunction("SPLIT(J946,"" "")"),"CIF")</f>
        <v>CIF</v>
      </c>
      <c r="L946" s="28" t="str">
        <f aca="false">IFERROR(__xludf.dummyfunction("""COMPUTED_VALUE"""),"Indonesia")</f>
        <v>Indonesia</v>
      </c>
      <c r="M946" s="27" t="str">
        <f aca="false">IFERROR(__xludf.dummyfunction("""COMPUTED_VALUE"""),"(Diff)")</f>
        <v>(Diff)</v>
      </c>
      <c r="N946" s="25"/>
      <c r="O946" s="25"/>
      <c r="P946" s="25"/>
      <c r="Q946" s="29" t="s">
        <v>323</v>
      </c>
      <c r="R946" s="8" t="str">
        <f aca="false">B946&amp;" "&amp;C946&amp;" "&amp;D946&amp;" "&amp;E946&amp;" "&amp;G946&amp;" "&amp;H946&amp;" "&amp;J946&amp;" "&amp;N946</f>
        <v>Differentials Graphite     CIF Indonesia (Diff) </v>
      </c>
      <c r="S946" s="25"/>
      <c r="T946" s="8"/>
      <c r="U946" s="8"/>
      <c r="V946" s="27" t="s">
        <v>49</v>
      </c>
      <c r="W946" s="25"/>
      <c r="X946" s="25"/>
      <c r="Y946" s="25"/>
      <c r="Z946" s="25"/>
      <c r="AA946" s="25"/>
      <c r="AB946" s="25"/>
      <c r="AC946" s="25"/>
      <c r="AD946" s="25"/>
    </row>
    <row r="947" customFormat="false" ht="15.75" hidden="false" customHeight="false" outlineLevel="0" collapsed="false">
      <c r="A947" s="28" t="s">
        <v>1320</v>
      </c>
      <c r="B947" s="27" t="s">
        <v>438</v>
      </c>
      <c r="C947" s="27" t="s">
        <v>308</v>
      </c>
      <c r="D947" s="25"/>
      <c r="E947" s="25"/>
      <c r="F947" s="25"/>
      <c r="G947" s="25"/>
      <c r="H947" s="25"/>
      <c r="I947" s="25"/>
      <c r="J947" s="27" t="s">
        <v>1262</v>
      </c>
      <c r="K947" s="25" t="str">
        <f aca="false">IFERROR(__xludf.dummyfunction("SPLIT(J947,"" "")"),"CIF")</f>
        <v>CIF</v>
      </c>
      <c r="L947" s="28" t="str">
        <f aca="false">IFERROR(__xludf.dummyfunction("""COMPUTED_VALUE"""),"Indonesia")</f>
        <v>Indonesia</v>
      </c>
      <c r="M947" s="27" t="str">
        <f aca="false">IFERROR(__xludf.dummyfunction("""COMPUTED_VALUE"""),"(Diff)")</f>
        <v>(Diff)</v>
      </c>
      <c r="N947" s="25"/>
      <c r="O947" s="25"/>
      <c r="P947" s="25"/>
      <c r="Q947" s="29" t="s">
        <v>319</v>
      </c>
      <c r="R947" s="8" t="str">
        <f aca="false">B947&amp;" "&amp;C947&amp;" "&amp;D947&amp;" "&amp;E947&amp;" "&amp;G947&amp;" "&amp;H947&amp;" "&amp;J947&amp;" "&amp;N947</f>
        <v>Differentials Graphite     CIF Indonesia (Diff) </v>
      </c>
      <c r="S947" s="25"/>
      <c r="T947" s="8"/>
      <c r="U947" s="8"/>
      <c r="V947" s="27" t="s">
        <v>49</v>
      </c>
      <c r="W947" s="25"/>
      <c r="X947" s="25"/>
      <c r="Y947" s="25"/>
      <c r="Z947" s="25"/>
      <c r="AA947" s="25"/>
      <c r="AB947" s="25"/>
      <c r="AC947" s="25"/>
      <c r="AD947" s="25"/>
    </row>
    <row r="948" customFormat="false" ht="15.75" hidden="false" customHeight="false" outlineLevel="0" collapsed="false">
      <c r="A948" s="28" t="s">
        <v>1321</v>
      </c>
      <c r="B948" s="27" t="s">
        <v>438</v>
      </c>
      <c r="C948" s="27" t="s">
        <v>308</v>
      </c>
      <c r="D948" s="25"/>
      <c r="E948" s="25"/>
      <c r="F948" s="25"/>
      <c r="G948" s="25"/>
      <c r="H948" s="25"/>
      <c r="I948" s="25"/>
      <c r="J948" s="27" t="s">
        <v>1262</v>
      </c>
      <c r="K948" s="25" t="str">
        <f aca="false">IFERROR(__xludf.dummyfunction("SPLIT(J948,"" "")"),"CIF")</f>
        <v>CIF</v>
      </c>
      <c r="L948" s="28" t="str">
        <f aca="false">IFERROR(__xludf.dummyfunction("""COMPUTED_VALUE"""),"Indonesia")</f>
        <v>Indonesia</v>
      </c>
      <c r="M948" s="27" t="str">
        <f aca="false">IFERROR(__xludf.dummyfunction("""COMPUTED_VALUE"""),"(Diff)")</f>
        <v>(Diff)</v>
      </c>
      <c r="N948" s="25"/>
      <c r="O948" s="25"/>
      <c r="P948" s="25"/>
      <c r="Q948" s="29" t="s">
        <v>315</v>
      </c>
      <c r="R948" s="8" t="str">
        <f aca="false">B948&amp;" "&amp;C948&amp;" "&amp;D948&amp;" "&amp;E948&amp;" "&amp;G948&amp;" "&amp;H948&amp;" "&amp;J948&amp;" "&amp;N948</f>
        <v>Differentials Graphite     CIF Indonesia (Diff) </v>
      </c>
      <c r="S948" s="25"/>
      <c r="T948" s="8"/>
      <c r="U948" s="8"/>
      <c r="V948" s="27" t="s">
        <v>49</v>
      </c>
      <c r="W948" s="25"/>
      <c r="X948" s="25"/>
      <c r="Y948" s="25"/>
      <c r="Z948" s="25"/>
      <c r="AA948" s="25"/>
      <c r="AB948" s="25"/>
      <c r="AC948" s="25"/>
      <c r="AD948" s="25"/>
    </row>
    <row r="949" customFormat="false" ht="15.75" hidden="false" customHeight="false" outlineLevel="0" collapsed="false">
      <c r="A949" s="28" t="s">
        <v>1322</v>
      </c>
      <c r="B949" s="27" t="s">
        <v>438</v>
      </c>
      <c r="C949" s="27" t="s">
        <v>308</v>
      </c>
      <c r="D949" s="25"/>
      <c r="E949" s="25"/>
      <c r="F949" s="25"/>
      <c r="G949" s="25"/>
      <c r="H949" s="25"/>
      <c r="I949" s="25"/>
      <c r="J949" s="27" t="s">
        <v>1262</v>
      </c>
      <c r="K949" s="25" t="str">
        <f aca="false">IFERROR(__xludf.dummyfunction("SPLIT(J949,"" "")"),"CIF")</f>
        <v>CIF</v>
      </c>
      <c r="L949" s="28" t="str">
        <f aca="false">IFERROR(__xludf.dummyfunction("""COMPUTED_VALUE"""),"Indonesia")</f>
        <v>Indonesia</v>
      </c>
      <c r="M949" s="27" t="str">
        <f aca="false">IFERROR(__xludf.dummyfunction("""COMPUTED_VALUE"""),"(Diff)")</f>
        <v>(Diff)</v>
      </c>
      <c r="N949" s="25"/>
      <c r="O949" s="25"/>
      <c r="P949" s="25"/>
      <c r="Q949" s="29" t="s">
        <v>311</v>
      </c>
      <c r="R949" s="8" t="str">
        <f aca="false">B949&amp;" "&amp;C949&amp;" "&amp;D949&amp;" "&amp;E949&amp;" "&amp;G949&amp;" "&amp;H949&amp;" "&amp;J949&amp;" "&amp;N949</f>
        <v>Differentials Graphite     CIF Indonesia (Diff) </v>
      </c>
      <c r="S949" s="25"/>
      <c r="T949" s="8"/>
      <c r="U949" s="8"/>
      <c r="V949" s="27" t="s">
        <v>49</v>
      </c>
      <c r="W949" s="25"/>
      <c r="X949" s="25"/>
      <c r="Y949" s="25"/>
      <c r="Z949" s="25"/>
      <c r="AA949" s="25"/>
      <c r="AB949" s="25"/>
      <c r="AC949" s="25"/>
      <c r="AD949" s="25"/>
    </row>
    <row r="950" customFormat="false" ht="15.75" hidden="false" customHeight="false" outlineLevel="0" collapsed="false">
      <c r="A950" s="28" t="s">
        <v>1323</v>
      </c>
      <c r="B950" s="27" t="s">
        <v>438</v>
      </c>
      <c r="C950" s="27" t="s">
        <v>360</v>
      </c>
      <c r="D950" s="25"/>
      <c r="E950" s="25"/>
      <c r="F950" s="25"/>
      <c r="G950" s="25"/>
      <c r="H950" s="25"/>
      <c r="I950" s="25"/>
      <c r="J950" s="27" t="s">
        <v>1262</v>
      </c>
      <c r="K950" s="25" t="str">
        <f aca="false">IFERROR(__xludf.dummyfunction("SPLIT(J950,"" "")"),"CIF")</f>
        <v>CIF</v>
      </c>
      <c r="L950" s="28" t="str">
        <f aca="false">IFERROR(__xludf.dummyfunction("""COMPUTED_VALUE"""),"Indonesia")</f>
        <v>Indonesia</v>
      </c>
      <c r="M950" s="27" t="str">
        <f aca="false">IFERROR(__xludf.dummyfunction("""COMPUTED_VALUE"""),"(Diff)")</f>
        <v>(Diff)</v>
      </c>
      <c r="N950" s="25"/>
      <c r="O950" s="25"/>
      <c r="P950" s="25"/>
      <c r="Q950" s="29" t="s">
        <v>368</v>
      </c>
      <c r="R950" s="8" t="str">
        <f aca="false">B950&amp;" "&amp;C950&amp;" "&amp;D950&amp;" "&amp;E950&amp;" "&amp;G950&amp;" "&amp;H950&amp;" "&amp;J950&amp;" "&amp;N950</f>
        <v>Differentials Lithium     CIF Indonesia (Diff) </v>
      </c>
      <c r="S950" s="25"/>
      <c r="T950" s="8"/>
      <c r="U950" s="8"/>
      <c r="V950" s="27" t="s">
        <v>49</v>
      </c>
      <c r="W950" s="25"/>
      <c r="X950" s="25"/>
      <c r="Y950" s="25"/>
      <c r="Z950" s="25"/>
      <c r="AA950" s="25"/>
      <c r="AB950" s="25"/>
      <c r="AC950" s="25"/>
      <c r="AD950" s="25"/>
    </row>
    <row r="951" customFormat="false" ht="15.75" hidden="false" customHeight="false" outlineLevel="0" collapsed="false">
      <c r="A951" s="28" t="s">
        <v>1324</v>
      </c>
      <c r="B951" s="27" t="s">
        <v>438</v>
      </c>
      <c r="C951" s="27" t="s">
        <v>360</v>
      </c>
      <c r="D951" s="25"/>
      <c r="E951" s="25"/>
      <c r="F951" s="25"/>
      <c r="G951" s="25"/>
      <c r="H951" s="25"/>
      <c r="I951" s="25"/>
      <c r="J951" s="27" t="s">
        <v>1262</v>
      </c>
      <c r="K951" s="25" t="str">
        <f aca="false">IFERROR(__xludf.dummyfunction("SPLIT(J951,"" "")"),"CIF")</f>
        <v>CIF</v>
      </c>
      <c r="L951" s="28" t="str">
        <f aca="false">IFERROR(__xludf.dummyfunction("""COMPUTED_VALUE"""),"Indonesia")</f>
        <v>Indonesia</v>
      </c>
      <c r="M951" s="27" t="str">
        <f aca="false">IFERROR(__xludf.dummyfunction("""COMPUTED_VALUE"""),"(Diff)")</f>
        <v>(Diff)</v>
      </c>
      <c r="N951" s="25"/>
      <c r="O951" s="25"/>
      <c r="P951" s="25"/>
      <c r="Q951" s="29" t="s">
        <v>366</v>
      </c>
      <c r="R951" s="8" t="str">
        <f aca="false">B951&amp;" "&amp;C951&amp;" "&amp;D951&amp;" "&amp;E951&amp;" "&amp;G951&amp;" "&amp;H951&amp;" "&amp;J951&amp;" "&amp;N951</f>
        <v>Differentials Lithium     CIF Indonesia (Diff) </v>
      </c>
      <c r="S951" s="25"/>
      <c r="T951" s="8"/>
      <c r="U951" s="8"/>
      <c r="V951" s="27" t="s">
        <v>49</v>
      </c>
      <c r="W951" s="25"/>
      <c r="X951" s="25"/>
      <c r="Y951" s="25"/>
      <c r="Z951" s="25"/>
      <c r="AA951" s="25"/>
      <c r="AB951" s="25"/>
      <c r="AC951" s="25"/>
      <c r="AD951" s="25"/>
    </row>
    <row r="952" customFormat="false" ht="15.75" hidden="false" customHeight="false" outlineLevel="0" collapsed="false">
      <c r="A952" s="28" t="s">
        <v>1325</v>
      </c>
      <c r="B952" s="27" t="s">
        <v>438</v>
      </c>
      <c r="C952" s="27" t="s">
        <v>360</v>
      </c>
      <c r="D952" s="25"/>
      <c r="E952" s="25"/>
      <c r="F952" s="25"/>
      <c r="G952" s="25"/>
      <c r="H952" s="25"/>
      <c r="I952" s="25"/>
      <c r="J952" s="27" t="s">
        <v>1262</v>
      </c>
      <c r="K952" s="25" t="str">
        <f aca="false">IFERROR(__xludf.dummyfunction("SPLIT(J952,"" "")"),"CIF")</f>
        <v>CIF</v>
      </c>
      <c r="L952" s="28" t="str">
        <f aca="false">IFERROR(__xludf.dummyfunction("""COMPUTED_VALUE"""),"Indonesia")</f>
        <v>Indonesia</v>
      </c>
      <c r="M952" s="27" t="str">
        <f aca="false">IFERROR(__xludf.dummyfunction("""COMPUTED_VALUE"""),"(Diff)")</f>
        <v>(Diff)</v>
      </c>
      <c r="N952" s="25"/>
      <c r="O952" s="25"/>
      <c r="P952" s="25"/>
      <c r="Q952" s="29" t="s">
        <v>361</v>
      </c>
      <c r="R952" s="8" t="str">
        <f aca="false">B952&amp;" "&amp;C952&amp;" "&amp;D952&amp;" "&amp;E952&amp;" "&amp;G952&amp;" "&amp;H952&amp;" "&amp;J952&amp;" "&amp;N952</f>
        <v>Differentials Lithium     CIF Indonesia (Diff) </v>
      </c>
      <c r="S952" s="25"/>
      <c r="T952" s="8"/>
      <c r="U952" s="8"/>
      <c r="V952" s="27" t="s">
        <v>49</v>
      </c>
      <c r="W952" s="25"/>
      <c r="X952" s="25"/>
      <c r="Y952" s="25"/>
      <c r="Z952" s="25"/>
      <c r="AA952" s="25"/>
      <c r="AB952" s="25"/>
      <c r="AC952" s="25"/>
      <c r="AD952" s="25"/>
    </row>
    <row r="953" customFormat="false" ht="15.75" hidden="false" customHeight="false" outlineLevel="0" collapsed="false">
      <c r="A953" s="28" t="s">
        <v>1326</v>
      </c>
      <c r="B953" s="27" t="s">
        <v>438</v>
      </c>
      <c r="C953" s="27" t="s">
        <v>360</v>
      </c>
      <c r="D953" s="25"/>
      <c r="E953" s="25"/>
      <c r="F953" s="25"/>
      <c r="G953" s="25"/>
      <c r="H953" s="25"/>
      <c r="I953" s="25"/>
      <c r="J953" s="27" t="s">
        <v>1262</v>
      </c>
      <c r="K953" s="25" t="str">
        <f aca="false">IFERROR(__xludf.dummyfunction("SPLIT(J953,"" "")"),"CIF")</f>
        <v>CIF</v>
      </c>
      <c r="L953" s="28" t="str">
        <f aca="false">IFERROR(__xludf.dummyfunction("""COMPUTED_VALUE"""),"Indonesia")</f>
        <v>Indonesia</v>
      </c>
      <c r="M953" s="27" t="str">
        <f aca="false">IFERROR(__xludf.dummyfunction("""COMPUTED_VALUE"""),"(Diff)")</f>
        <v>(Diff)</v>
      </c>
      <c r="N953" s="25"/>
      <c r="O953" s="25"/>
      <c r="P953" s="25"/>
      <c r="Q953" s="29" t="s">
        <v>363</v>
      </c>
      <c r="R953" s="8" t="str">
        <f aca="false">B953&amp;" "&amp;C953&amp;" "&amp;D953&amp;" "&amp;E953&amp;" "&amp;G953&amp;" "&amp;H953&amp;" "&amp;J953&amp;" "&amp;N953</f>
        <v>Differentials Lithium     CIF Indonesia (Diff) </v>
      </c>
      <c r="S953" s="25"/>
      <c r="T953" s="8"/>
      <c r="U953" s="8"/>
      <c r="V953" s="27" t="s">
        <v>49</v>
      </c>
      <c r="W953" s="25"/>
      <c r="X953" s="25"/>
      <c r="Y953" s="25"/>
      <c r="Z953" s="25"/>
      <c r="AA953" s="25"/>
      <c r="AB953" s="25"/>
      <c r="AC953" s="25"/>
      <c r="AD953" s="25"/>
    </row>
    <row r="954" customFormat="false" ht="15.75" hidden="false" customHeight="false" outlineLevel="0" collapsed="false">
      <c r="A954" s="28" t="s">
        <v>1327</v>
      </c>
      <c r="B954" s="27" t="s">
        <v>438</v>
      </c>
      <c r="C954" s="27" t="s">
        <v>360</v>
      </c>
      <c r="D954" s="25"/>
      <c r="E954" s="25"/>
      <c r="F954" s="25"/>
      <c r="G954" s="25"/>
      <c r="H954" s="25"/>
      <c r="I954" s="25"/>
      <c r="J954" s="27" t="s">
        <v>1262</v>
      </c>
      <c r="K954" s="25" t="str">
        <f aca="false">IFERROR(__xludf.dummyfunction("SPLIT(J954,"" "")"),"CIF")</f>
        <v>CIF</v>
      </c>
      <c r="L954" s="28" t="str">
        <f aca="false">IFERROR(__xludf.dummyfunction("""COMPUTED_VALUE"""),"Indonesia")</f>
        <v>Indonesia</v>
      </c>
      <c r="M954" s="27" t="str">
        <f aca="false">IFERROR(__xludf.dummyfunction("""COMPUTED_VALUE"""),"(Diff)")</f>
        <v>(Diff)</v>
      </c>
      <c r="N954" s="25"/>
      <c r="O954" s="25"/>
      <c r="P954" s="25"/>
      <c r="Q954" s="29" t="s">
        <v>361</v>
      </c>
      <c r="R954" s="8" t="str">
        <f aca="false">B954&amp;" "&amp;C954&amp;" "&amp;D954&amp;" "&amp;E954&amp;" "&amp;G954&amp;" "&amp;H954&amp;" "&amp;J954&amp;" "&amp;N954</f>
        <v>Differentials Lithium     CIF Indonesia (Diff) </v>
      </c>
      <c r="S954" s="25"/>
      <c r="T954" s="8"/>
      <c r="U954" s="8"/>
      <c r="V954" s="27" t="s">
        <v>49</v>
      </c>
      <c r="W954" s="25"/>
      <c r="X954" s="25"/>
      <c r="Y954" s="25"/>
      <c r="Z954" s="25"/>
      <c r="AA954" s="25"/>
      <c r="AB954" s="25"/>
      <c r="AC954" s="25"/>
      <c r="AD954" s="25"/>
    </row>
    <row r="955" customFormat="false" ht="15.75" hidden="false" customHeight="false" outlineLevel="0" collapsed="false">
      <c r="A955" s="28" t="s">
        <v>1328</v>
      </c>
      <c r="B955" s="27" t="s">
        <v>438</v>
      </c>
      <c r="C955" s="27" t="s">
        <v>370</v>
      </c>
      <c r="D955" s="25"/>
      <c r="E955" s="25"/>
      <c r="F955" s="25"/>
      <c r="G955" s="25"/>
      <c r="H955" s="25"/>
      <c r="I955" s="25"/>
      <c r="J955" s="27" t="s">
        <v>1262</v>
      </c>
      <c r="K955" s="25" t="str">
        <f aca="false">IFERROR(__xludf.dummyfunction("SPLIT(J955,"" "")"),"CIF")</f>
        <v>CIF</v>
      </c>
      <c r="L955" s="28" t="str">
        <f aca="false">IFERROR(__xludf.dummyfunction("""COMPUTED_VALUE"""),"Indonesia")</f>
        <v>Indonesia</v>
      </c>
      <c r="M955" s="27" t="str">
        <f aca="false">IFERROR(__xludf.dummyfunction("""COMPUTED_VALUE"""),"(Diff)")</f>
        <v>(Diff)</v>
      </c>
      <c r="N955" s="25"/>
      <c r="O955" s="25"/>
      <c r="P955" s="25"/>
      <c r="Q955" s="29" t="s">
        <v>374</v>
      </c>
      <c r="R955" s="8" t="str">
        <f aca="false">B955&amp;" "&amp;C955&amp;" "&amp;D955&amp;" "&amp;E955&amp;" "&amp;G955&amp;" "&amp;H955&amp;" "&amp;J955&amp;" "&amp;N955</f>
        <v>Differentials Manganese     CIF Indonesia (Diff) </v>
      </c>
      <c r="S955" s="25"/>
      <c r="T955" s="8"/>
      <c r="U955" s="8"/>
      <c r="V955" s="27" t="s">
        <v>49</v>
      </c>
      <c r="W955" s="25"/>
      <c r="X955" s="25"/>
      <c r="Y955" s="25"/>
      <c r="Z955" s="25"/>
      <c r="AA955" s="25"/>
      <c r="AB955" s="25"/>
      <c r="AC955" s="25"/>
      <c r="AD955" s="25"/>
    </row>
    <row r="956" customFormat="false" ht="15.75" hidden="false" customHeight="false" outlineLevel="0" collapsed="false">
      <c r="A956" s="28" t="s">
        <v>1329</v>
      </c>
      <c r="B956" s="27" t="s">
        <v>438</v>
      </c>
      <c r="C956" s="27" t="s">
        <v>370</v>
      </c>
      <c r="D956" s="25"/>
      <c r="E956" s="25"/>
      <c r="F956" s="25"/>
      <c r="G956" s="25"/>
      <c r="H956" s="25"/>
      <c r="I956" s="25"/>
      <c r="J956" s="27" t="s">
        <v>1262</v>
      </c>
      <c r="K956" s="25" t="str">
        <f aca="false">IFERROR(__xludf.dummyfunction("SPLIT(J956,"" "")"),"CIF")</f>
        <v>CIF</v>
      </c>
      <c r="L956" s="28" t="str">
        <f aca="false">IFERROR(__xludf.dummyfunction("""COMPUTED_VALUE"""),"Indonesia")</f>
        <v>Indonesia</v>
      </c>
      <c r="M956" s="27" t="str">
        <f aca="false">IFERROR(__xludf.dummyfunction("""COMPUTED_VALUE"""),"(Diff)")</f>
        <v>(Diff)</v>
      </c>
      <c r="N956" s="25"/>
      <c r="O956" s="25"/>
      <c r="P956" s="25"/>
      <c r="Q956" s="29" t="s">
        <v>371</v>
      </c>
      <c r="R956" s="8" t="str">
        <f aca="false">B956&amp;" "&amp;C956&amp;" "&amp;D956&amp;" "&amp;E956&amp;" "&amp;G956&amp;" "&amp;H956&amp;" "&amp;J956&amp;" "&amp;N956</f>
        <v>Differentials Manganese     CIF Indonesia (Diff) </v>
      </c>
      <c r="S956" s="25"/>
      <c r="T956" s="8"/>
      <c r="U956" s="8"/>
      <c r="V956" s="27" t="s">
        <v>49</v>
      </c>
      <c r="W956" s="25"/>
      <c r="X956" s="25"/>
      <c r="Y956" s="25"/>
      <c r="Z956" s="25"/>
      <c r="AA956" s="25"/>
      <c r="AB956" s="25"/>
      <c r="AC956" s="25"/>
      <c r="AD956" s="25"/>
    </row>
    <row r="957" customFormat="false" ht="15.75" hidden="false" customHeight="false" outlineLevel="0" collapsed="false">
      <c r="A957" s="28" t="s">
        <v>1330</v>
      </c>
      <c r="B957" s="27" t="s">
        <v>438</v>
      </c>
      <c r="C957" s="27" t="s">
        <v>376</v>
      </c>
      <c r="D957" s="25"/>
      <c r="E957" s="25"/>
      <c r="F957" s="25"/>
      <c r="G957" s="25"/>
      <c r="H957" s="25"/>
      <c r="I957" s="25"/>
      <c r="J957" s="27" t="s">
        <v>1262</v>
      </c>
      <c r="K957" s="25" t="str">
        <f aca="false">IFERROR(__xludf.dummyfunction("SPLIT(J957,"" "")"),"CIF")</f>
        <v>CIF</v>
      </c>
      <c r="L957" s="28" t="str">
        <f aca="false">IFERROR(__xludf.dummyfunction("""COMPUTED_VALUE"""),"Indonesia")</f>
        <v>Indonesia</v>
      </c>
      <c r="M957" s="27" t="str">
        <f aca="false">IFERROR(__xludf.dummyfunction("""COMPUTED_VALUE"""),"(Diff)")</f>
        <v>(Diff)</v>
      </c>
      <c r="N957" s="25"/>
      <c r="O957" s="25"/>
      <c r="P957" s="25"/>
      <c r="Q957" s="29" t="s">
        <v>381</v>
      </c>
      <c r="R957" s="8" t="str">
        <f aca="false">B957&amp;" "&amp;C957&amp;" "&amp;D957&amp;" "&amp;E957&amp;" "&amp;G957&amp;" "&amp;H957&amp;" "&amp;J957&amp;" "&amp;N957</f>
        <v>Differentials Nickel     CIF Indonesia (Diff) </v>
      </c>
      <c r="S957" s="25"/>
      <c r="T957" s="8"/>
      <c r="U957" s="8"/>
      <c r="V957" s="27" t="s">
        <v>49</v>
      </c>
      <c r="W957" s="25"/>
      <c r="X957" s="25"/>
      <c r="Y957" s="25"/>
      <c r="Z957" s="25"/>
      <c r="AA957" s="25"/>
      <c r="AB957" s="25"/>
      <c r="AC957" s="25"/>
      <c r="AD957" s="25"/>
    </row>
    <row r="958" customFormat="false" ht="15.75" hidden="false" customHeight="false" outlineLevel="0" collapsed="false">
      <c r="A958" s="28" t="s">
        <v>1331</v>
      </c>
      <c r="B958" s="27" t="s">
        <v>438</v>
      </c>
      <c r="C958" s="27" t="s">
        <v>376</v>
      </c>
      <c r="D958" s="25"/>
      <c r="E958" s="25"/>
      <c r="F958" s="25"/>
      <c r="G958" s="25"/>
      <c r="H958" s="25"/>
      <c r="I958" s="25"/>
      <c r="J958" s="27" t="s">
        <v>1262</v>
      </c>
      <c r="K958" s="25" t="str">
        <f aca="false">IFERROR(__xludf.dummyfunction("SPLIT(J958,"" "")"),"CIF")</f>
        <v>CIF</v>
      </c>
      <c r="L958" s="28" t="str">
        <f aca="false">IFERROR(__xludf.dummyfunction("""COMPUTED_VALUE"""),"Indonesia")</f>
        <v>Indonesia</v>
      </c>
      <c r="M958" s="27" t="str">
        <f aca="false">IFERROR(__xludf.dummyfunction("""COMPUTED_VALUE"""),"(Diff)")</f>
        <v>(Diff)</v>
      </c>
      <c r="N958" s="25"/>
      <c r="O958" s="25"/>
      <c r="P958" s="25"/>
      <c r="Q958" s="29" t="s">
        <v>379</v>
      </c>
      <c r="R958" s="8" t="str">
        <f aca="false">B958&amp;" "&amp;C958&amp;" "&amp;D958&amp;" "&amp;E958&amp;" "&amp;G958&amp;" "&amp;H958&amp;" "&amp;J958&amp;" "&amp;N958</f>
        <v>Differentials Nickel     CIF Indonesia (Diff) </v>
      </c>
      <c r="S958" s="25"/>
      <c r="T958" s="8"/>
      <c r="U958" s="8"/>
      <c r="V958" s="27" t="s">
        <v>49</v>
      </c>
      <c r="W958" s="25"/>
      <c r="X958" s="25"/>
      <c r="Y958" s="25"/>
      <c r="Z958" s="25"/>
      <c r="AA958" s="25"/>
      <c r="AB958" s="25"/>
      <c r="AC958" s="25"/>
      <c r="AD958" s="25"/>
    </row>
    <row r="959" customFormat="false" ht="15.75" hidden="false" customHeight="false" outlineLevel="0" collapsed="false">
      <c r="A959" s="28" t="s">
        <v>1332</v>
      </c>
      <c r="B959" s="27" t="s">
        <v>438</v>
      </c>
      <c r="C959" s="27" t="s">
        <v>376</v>
      </c>
      <c r="D959" s="25"/>
      <c r="E959" s="25"/>
      <c r="F959" s="25"/>
      <c r="G959" s="25"/>
      <c r="H959" s="25"/>
      <c r="I959" s="25"/>
      <c r="J959" s="27" t="s">
        <v>1262</v>
      </c>
      <c r="K959" s="25" t="str">
        <f aca="false">IFERROR(__xludf.dummyfunction("SPLIT(J959,"" "")"),"CIF")</f>
        <v>CIF</v>
      </c>
      <c r="L959" s="28" t="str">
        <f aca="false">IFERROR(__xludf.dummyfunction("""COMPUTED_VALUE"""),"Indonesia")</f>
        <v>Indonesia</v>
      </c>
      <c r="M959" s="27" t="str">
        <f aca="false">IFERROR(__xludf.dummyfunction("""COMPUTED_VALUE"""),"(Diff)")</f>
        <v>(Diff)</v>
      </c>
      <c r="N959" s="25"/>
      <c r="O959" s="25"/>
      <c r="P959" s="25"/>
      <c r="Q959" s="29" t="s">
        <v>377</v>
      </c>
      <c r="R959" s="8" t="str">
        <f aca="false">B959&amp;" "&amp;C959&amp;" "&amp;D959&amp;" "&amp;E959&amp;" "&amp;G959&amp;" "&amp;H959&amp;" "&amp;J959&amp;" "&amp;N959</f>
        <v>Differentials Nickel     CIF Indonesia (Diff) </v>
      </c>
      <c r="S959" s="25"/>
      <c r="T959" s="8"/>
      <c r="U959" s="8"/>
      <c r="V959" s="27" t="s">
        <v>49</v>
      </c>
      <c r="W959" s="25"/>
      <c r="X959" s="25"/>
      <c r="Y959" s="25"/>
      <c r="Z959" s="25"/>
      <c r="AA959" s="25"/>
      <c r="AB959" s="25"/>
      <c r="AC959" s="25"/>
      <c r="AD959" s="25"/>
    </row>
    <row r="960" customFormat="false" ht="15.75" hidden="false" customHeight="false" outlineLevel="0" collapsed="false">
      <c r="A960" s="28" t="s">
        <v>1333</v>
      </c>
      <c r="B960" s="27" t="s">
        <v>438</v>
      </c>
      <c r="C960" s="27" t="s">
        <v>383</v>
      </c>
      <c r="D960" s="25"/>
      <c r="E960" s="25"/>
      <c r="F960" s="25"/>
      <c r="G960" s="25"/>
      <c r="H960" s="25"/>
      <c r="I960" s="25"/>
      <c r="J960" s="27" t="s">
        <v>1262</v>
      </c>
      <c r="K960" s="25" t="str">
        <f aca="false">IFERROR(__xludf.dummyfunction("SPLIT(J960,"" "")"),"CIF")</f>
        <v>CIF</v>
      </c>
      <c r="L960" s="28" t="str">
        <f aca="false">IFERROR(__xludf.dummyfunction("""COMPUTED_VALUE"""),"Indonesia")</f>
        <v>Indonesia</v>
      </c>
      <c r="M960" s="27" t="str">
        <f aca="false">IFERROR(__xludf.dummyfunction("""COMPUTED_VALUE"""),"(Diff)")</f>
        <v>(Diff)</v>
      </c>
      <c r="N960" s="25"/>
      <c r="O960" s="25"/>
      <c r="P960" s="25"/>
      <c r="Q960" s="29" t="s">
        <v>406</v>
      </c>
      <c r="R960" s="8" t="str">
        <f aca="false">B960&amp;" "&amp;C960&amp;" "&amp;D960&amp;" "&amp;E960&amp;" "&amp;G960&amp;" "&amp;H960&amp;" "&amp;J960&amp;" "&amp;N960</f>
        <v>Differentials Precursor     CIF Indonesia (Diff) </v>
      </c>
      <c r="S960" s="25"/>
      <c r="T960" s="8"/>
      <c r="U960" s="8"/>
      <c r="V960" s="27" t="s">
        <v>49</v>
      </c>
      <c r="W960" s="25"/>
      <c r="X960" s="25"/>
      <c r="Y960" s="25"/>
      <c r="Z960" s="25"/>
      <c r="AA960" s="25"/>
      <c r="AB960" s="25"/>
      <c r="AC960" s="25"/>
      <c r="AD960" s="25"/>
    </row>
    <row r="961" customFormat="false" ht="15.75" hidden="false" customHeight="false" outlineLevel="0" collapsed="false">
      <c r="A961" s="28" t="s">
        <v>1334</v>
      </c>
      <c r="B961" s="27" t="s">
        <v>438</v>
      </c>
      <c r="C961" s="27" t="s">
        <v>383</v>
      </c>
      <c r="D961" s="25"/>
      <c r="E961" s="25"/>
      <c r="F961" s="25"/>
      <c r="G961" s="25"/>
      <c r="H961" s="25"/>
      <c r="I961" s="25"/>
      <c r="J961" s="27" t="s">
        <v>1262</v>
      </c>
      <c r="K961" s="25" t="str">
        <f aca="false">IFERROR(__xludf.dummyfunction("SPLIT(J961,"" "")"),"CIF")</f>
        <v>CIF</v>
      </c>
      <c r="L961" s="28" t="str">
        <f aca="false">IFERROR(__xludf.dummyfunction("""COMPUTED_VALUE"""),"Indonesia")</f>
        <v>Indonesia</v>
      </c>
      <c r="M961" s="27" t="str">
        <f aca="false">IFERROR(__xludf.dummyfunction("""COMPUTED_VALUE"""),"(Diff)")</f>
        <v>(Diff)</v>
      </c>
      <c r="N961" s="25"/>
      <c r="O961" s="25"/>
      <c r="P961" s="25"/>
      <c r="Q961" s="29" t="s">
        <v>404</v>
      </c>
      <c r="R961" s="8" t="str">
        <f aca="false">B961&amp;" "&amp;C961&amp;" "&amp;D961&amp;" "&amp;E961&amp;" "&amp;G961&amp;" "&amp;H961&amp;" "&amp;J961&amp;" "&amp;N961</f>
        <v>Differentials Precursor     CIF Indonesia (Diff) </v>
      </c>
      <c r="S961" s="25"/>
      <c r="T961" s="8"/>
      <c r="U961" s="8"/>
      <c r="V961" s="27" t="s">
        <v>49</v>
      </c>
      <c r="W961" s="25"/>
      <c r="X961" s="25"/>
      <c r="Y961" s="25"/>
      <c r="Z961" s="25"/>
      <c r="AA961" s="25"/>
      <c r="AB961" s="25"/>
      <c r="AC961" s="25"/>
      <c r="AD961" s="25"/>
    </row>
    <row r="962" customFormat="false" ht="15.75" hidden="false" customHeight="false" outlineLevel="0" collapsed="false">
      <c r="A962" s="28" t="s">
        <v>1335</v>
      </c>
      <c r="B962" s="27" t="s">
        <v>438</v>
      </c>
      <c r="C962" s="27" t="s">
        <v>383</v>
      </c>
      <c r="D962" s="25"/>
      <c r="E962" s="25"/>
      <c r="F962" s="25"/>
      <c r="G962" s="25"/>
      <c r="H962" s="25"/>
      <c r="I962" s="25"/>
      <c r="J962" s="27" t="s">
        <v>1262</v>
      </c>
      <c r="K962" s="25" t="str">
        <f aca="false">IFERROR(__xludf.dummyfunction("SPLIT(J962,"" "")"),"CIF")</f>
        <v>CIF</v>
      </c>
      <c r="L962" s="28" t="str">
        <f aca="false">IFERROR(__xludf.dummyfunction("""COMPUTED_VALUE"""),"Indonesia")</f>
        <v>Indonesia</v>
      </c>
      <c r="M962" s="27" t="str">
        <f aca="false">IFERROR(__xludf.dummyfunction("""COMPUTED_VALUE"""),"(Diff)")</f>
        <v>(Diff)</v>
      </c>
      <c r="N962" s="25"/>
      <c r="O962" s="25"/>
      <c r="P962" s="25"/>
      <c r="Q962" s="29" t="s">
        <v>402</v>
      </c>
      <c r="R962" s="8" t="str">
        <f aca="false">B962&amp;" "&amp;C962&amp;" "&amp;D962&amp;" "&amp;E962&amp;" "&amp;G962&amp;" "&amp;H962&amp;" "&amp;J962&amp;" "&amp;N962</f>
        <v>Differentials Precursor     CIF Indonesia (Diff) </v>
      </c>
      <c r="S962" s="25"/>
      <c r="T962" s="8"/>
      <c r="U962" s="8"/>
      <c r="V962" s="27" t="s">
        <v>49</v>
      </c>
      <c r="W962" s="25"/>
      <c r="X962" s="25"/>
      <c r="Y962" s="25"/>
      <c r="Z962" s="25"/>
      <c r="AA962" s="25"/>
      <c r="AB962" s="25"/>
      <c r="AC962" s="25"/>
      <c r="AD962" s="25"/>
    </row>
    <row r="963" customFormat="false" ht="15.75" hidden="false" customHeight="false" outlineLevel="0" collapsed="false">
      <c r="A963" s="28" t="s">
        <v>1336</v>
      </c>
      <c r="B963" s="27" t="s">
        <v>438</v>
      </c>
      <c r="C963" s="27" t="s">
        <v>383</v>
      </c>
      <c r="D963" s="25"/>
      <c r="E963" s="25"/>
      <c r="F963" s="25"/>
      <c r="G963" s="25"/>
      <c r="H963" s="25"/>
      <c r="I963" s="25"/>
      <c r="J963" s="27" t="s">
        <v>1262</v>
      </c>
      <c r="K963" s="25" t="str">
        <f aca="false">IFERROR(__xludf.dummyfunction("SPLIT(J963,"" "")"),"CIF")</f>
        <v>CIF</v>
      </c>
      <c r="L963" s="28" t="str">
        <f aca="false">IFERROR(__xludf.dummyfunction("""COMPUTED_VALUE"""),"Indonesia")</f>
        <v>Indonesia</v>
      </c>
      <c r="M963" s="27" t="str">
        <f aca="false">IFERROR(__xludf.dummyfunction("""COMPUTED_VALUE"""),"(Diff)")</f>
        <v>(Diff)</v>
      </c>
      <c r="N963" s="25"/>
      <c r="O963" s="25"/>
      <c r="P963" s="25"/>
      <c r="Q963" s="29" t="s">
        <v>400</v>
      </c>
      <c r="R963" s="8" t="str">
        <f aca="false">B963&amp;" "&amp;C963&amp;" "&amp;D963&amp;" "&amp;E963&amp;" "&amp;G963&amp;" "&amp;H963&amp;" "&amp;J963&amp;" "&amp;N963</f>
        <v>Differentials Precursor     CIF Indonesia (Diff) </v>
      </c>
      <c r="S963" s="25"/>
      <c r="T963" s="8"/>
      <c r="U963" s="8"/>
      <c r="V963" s="27" t="s">
        <v>49</v>
      </c>
      <c r="W963" s="25"/>
      <c r="X963" s="25"/>
      <c r="Y963" s="25"/>
      <c r="Z963" s="25"/>
      <c r="AA963" s="25"/>
      <c r="AB963" s="25"/>
      <c r="AC963" s="25"/>
      <c r="AD963" s="25"/>
    </row>
    <row r="964" customFormat="false" ht="15.75" hidden="false" customHeight="false" outlineLevel="0" collapsed="false">
      <c r="A964" s="28" t="s">
        <v>1337</v>
      </c>
      <c r="B964" s="27" t="s">
        <v>438</v>
      </c>
      <c r="C964" s="27" t="s">
        <v>383</v>
      </c>
      <c r="D964" s="25"/>
      <c r="E964" s="25"/>
      <c r="F964" s="25"/>
      <c r="G964" s="25"/>
      <c r="H964" s="25"/>
      <c r="I964" s="25"/>
      <c r="J964" s="27" t="s">
        <v>1262</v>
      </c>
      <c r="K964" s="25" t="str">
        <f aca="false">IFERROR(__xludf.dummyfunction("SPLIT(J964,"" "")"),"CIF")</f>
        <v>CIF</v>
      </c>
      <c r="L964" s="28" t="str">
        <f aca="false">IFERROR(__xludf.dummyfunction("""COMPUTED_VALUE"""),"Indonesia")</f>
        <v>Indonesia</v>
      </c>
      <c r="M964" s="27" t="str">
        <f aca="false">IFERROR(__xludf.dummyfunction("""COMPUTED_VALUE"""),"(Diff)")</f>
        <v>(Diff)</v>
      </c>
      <c r="N964" s="25"/>
      <c r="O964" s="25"/>
      <c r="P964" s="25"/>
      <c r="Q964" s="29" t="s">
        <v>398</v>
      </c>
      <c r="R964" s="8" t="str">
        <f aca="false">B964&amp;" "&amp;C964&amp;" "&amp;D964&amp;" "&amp;E964&amp;" "&amp;G964&amp;" "&amp;H964&amp;" "&amp;J964&amp;" "&amp;N964</f>
        <v>Differentials Precursor     CIF Indonesia (Diff) </v>
      </c>
      <c r="S964" s="25"/>
      <c r="T964" s="8"/>
      <c r="U964" s="8"/>
      <c r="V964" s="27" t="s">
        <v>49</v>
      </c>
      <c r="W964" s="25"/>
      <c r="X964" s="25"/>
      <c r="Y964" s="25"/>
      <c r="Z964" s="25"/>
      <c r="AA964" s="25"/>
      <c r="AB964" s="25"/>
      <c r="AC964" s="25"/>
      <c r="AD964" s="25"/>
    </row>
    <row r="965" customFormat="false" ht="15.75" hidden="false" customHeight="false" outlineLevel="0" collapsed="false">
      <c r="A965" s="28" t="s">
        <v>1338</v>
      </c>
      <c r="B965" s="27" t="s">
        <v>438</v>
      </c>
      <c r="C965" s="27" t="s">
        <v>383</v>
      </c>
      <c r="D965" s="25"/>
      <c r="E965" s="25"/>
      <c r="F965" s="25"/>
      <c r="G965" s="25"/>
      <c r="H965" s="25"/>
      <c r="I965" s="25"/>
      <c r="J965" s="27" t="s">
        <v>1262</v>
      </c>
      <c r="K965" s="25" t="str">
        <f aca="false">IFERROR(__xludf.dummyfunction("SPLIT(J965,"" "")"),"CIF")</f>
        <v>CIF</v>
      </c>
      <c r="L965" s="28" t="str">
        <f aca="false">IFERROR(__xludf.dummyfunction("""COMPUTED_VALUE"""),"Indonesia")</f>
        <v>Indonesia</v>
      </c>
      <c r="M965" s="27" t="str">
        <f aca="false">IFERROR(__xludf.dummyfunction("""COMPUTED_VALUE"""),"(Diff)")</f>
        <v>(Diff)</v>
      </c>
      <c r="N965" s="25"/>
      <c r="O965" s="25"/>
      <c r="P965" s="25"/>
      <c r="Q965" s="29" t="s">
        <v>259</v>
      </c>
      <c r="R965" s="8" t="str">
        <f aca="false">B965&amp;" "&amp;C965&amp;" "&amp;D965&amp;" "&amp;E965&amp;" "&amp;G965&amp;" "&amp;H965&amp;" "&amp;J965&amp;" "&amp;N965</f>
        <v>Differentials Precursor     CIF Indonesia (Diff) </v>
      </c>
      <c r="S965" s="25"/>
      <c r="T965" s="8"/>
      <c r="U965" s="8"/>
      <c r="V965" s="27" t="s">
        <v>49</v>
      </c>
      <c r="W965" s="25"/>
      <c r="X965" s="25"/>
      <c r="Y965" s="25"/>
      <c r="Z965" s="25"/>
      <c r="AA965" s="25"/>
      <c r="AB965" s="25"/>
      <c r="AC965" s="25"/>
      <c r="AD965" s="25"/>
    </row>
    <row r="966" customFormat="false" ht="15.75" hidden="false" customHeight="false" outlineLevel="0" collapsed="false">
      <c r="A966" s="28" t="s">
        <v>1339</v>
      </c>
      <c r="B966" s="27" t="s">
        <v>438</v>
      </c>
      <c r="C966" s="27" t="s">
        <v>383</v>
      </c>
      <c r="D966" s="25"/>
      <c r="E966" s="25"/>
      <c r="F966" s="25"/>
      <c r="G966" s="25"/>
      <c r="H966" s="25"/>
      <c r="I966" s="25"/>
      <c r="J966" s="27" t="s">
        <v>1262</v>
      </c>
      <c r="K966" s="25" t="str">
        <f aca="false">IFERROR(__xludf.dummyfunction("SPLIT(J966,"" "")"),"CIF")</f>
        <v>CIF</v>
      </c>
      <c r="L966" s="28" t="str">
        <f aca="false">IFERROR(__xludf.dummyfunction("""COMPUTED_VALUE"""),"Indonesia")</f>
        <v>Indonesia</v>
      </c>
      <c r="M966" s="27" t="str">
        <f aca="false">IFERROR(__xludf.dummyfunction("""COMPUTED_VALUE"""),"(Diff)")</f>
        <v>(Diff)</v>
      </c>
      <c r="N966" s="25"/>
      <c r="O966" s="25"/>
      <c r="P966" s="25"/>
      <c r="Q966" s="29" t="s">
        <v>395</v>
      </c>
      <c r="R966" s="8" t="str">
        <f aca="false">B966&amp;" "&amp;C966&amp;" "&amp;D966&amp;" "&amp;E966&amp;" "&amp;G966&amp;" "&amp;H966&amp;" "&amp;J966&amp;" "&amp;N966</f>
        <v>Differentials Precursor     CIF Indonesia (Diff) </v>
      </c>
      <c r="S966" s="25"/>
      <c r="T966" s="8"/>
      <c r="U966" s="8"/>
      <c r="V966" s="27" t="s">
        <v>49</v>
      </c>
      <c r="W966" s="25"/>
      <c r="X966" s="25"/>
      <c r="Y966" s="25"/>
      <c r="Z966" s="25"/>
      <c r="AA966" s="25"/>
      <c r="AB966" s="25"/>
      <c r="AC966" s="25"/>
      <c r="AD966" s="25"/>
    </row>
    <row r="967" customFormat="false" ht="15.75" hidden="false" customHeight="false" outlineLevel="0" collapsed="false">
      <c r="A967" s="28" t="s">
        <v>1340</v>
      </c>
      <c r="B967" s="27" t="s">
        <v>438</v>
      </c>
      <c r="C967" s="27" t="s">
        <v>383</v>
      </c>
      <c r="D967" s="25"/>
      <c r="E967" s="25"/>
      <c r="F967" s="25"/>
      <c r="G967" s="25"/>
      <c r="H967" s="25"/>
      <c r="I967" s="25"/>
      <c r="J967" s="27" t="s">
        <v>1262</v>
      </c>
      <c r="K967" s="25" t="str">
        <f aca="false">IFERROR(__xludf.dummyfunction("SPLIT(J967,"" "")"),"CIF")</f>
        <v>CIF</v>
      </c>
      <c r="L967" s="28" t="str">
        <f aca="false">IFERROR(__xludf.dummyfunction("""COMPUTED_VALUE"""),"Indonesia")</f>
        <v>Indonesia</v>
      </c>
      <c r="M967" s="27" t="str">
        <f aca="false">IFERROR(__xludf.dummyfunction("""COMPUTED_VALUE"""),"(Diff)")</f>
        <v>(Diff)</v>
      </c>
      <c r="N967" s="25"/>
      <c r="O967" s="25"/>
      <c r="P967" s="25"/>
      <c r="Q967" s="29" t="s">
        <v>393</v>
      </c>
      <c r="R967" s="8" t="str">
        <f aca="false">B967&amp;" "&amp;C967&amp;" "&amp;D967&amp;" "&amp;E967&amp;" "&amp;G967&amp;" "&amp;H967&amp;" "&amp;J967&amp;" "&amp;N967</f>
        <v>Differentials Precursor     CIF Indonesia (Diff) </v>
      </c>
      <c r="S967" s="25"/>
      <c r="T967" s="8"/>
      <c r="U967" s="8"/>
      <c r="V967" s="27" t="s">
        <v>49</v>
      </c>
      <c r="W967" s="25"/>
      <c r="X967" s="25"/>
      <c r="Y967" s="25"/>
      <c r="Z967" s="25"/>
      <c r="AA967" s="25"/>
      <c r="AB967" s="25"/>
      <c r="AC967" s="25"/>
      <c r="AD967" s="25"/>
    </row>
    <row r="968" customFormat="false" ht="15.75" hidden="false" customHeight="false" outlineLevel="0" collapsed="false">
      <c r="A968" s="28" t="s">
        <v>1341</v>
      </c>
      <c r="B968" s="27" t="s">
        <v>438</v>
      </c>
      <c r="C968" s="27" t="s">
        <v>383</v>
      </c>
      <c r="D968" s="25"/>
      <c r="E968" s="25"/>
      <c r="F968" s="25"/>
      <c r="G968" s="25"/>
      <c r="H968" s="25"/>
      <c r="I968" s="25"/>
      <c r="J968" s="27" t="s">
        <v>1262</v>
      </c>
      <c r="K968" s="25" t="str">
        <f aca="false">IFERROR(__xludf.dummyfunction("SPLIT(J968,"" "")"),"CIF")</f>
        <v>CIF</v>
      </c>
      <c r="L968" s="28" t="str">
        <f aca="false">IFERROR(__xludf.dummyfunction("""COMPUTED_VALUE"""),"Indonesia")</f>
        <v>Indonesia</v>
      </c>
      <c r="M968" s="27" t="str">
        <f aca="false">IFERROR(__xludf.dummyfunction("""COMPUTED_VALUE"""),"(Diff)")</f>
        <v>(Diff)</v>
      </c>
      <c r="N968" s="25"/>
      <c r="O968" s="25"/>
      <c r="P968" s="25"/>
      <c r="Q968" s="29" t="s">
        <v>391</v>
      </c>
      <c r="R968" s="8" t="str">
        <f aca="false">B968&amp;" "&amp;C968&amp;" "&amp;D968&amp;" "&amp;E968&amp;" "&amp;G968&amp;" "&amp;H968&amp;" "&amp;J968&amp;" "&amp;N968</f>
        <v>Differentials Precursor     CIF Indonesia (Diff) </v>
      </c>
      <c r="S968" s="25"/>
      <c r="T968" s="8"/>
      <c r="U968" s="8"/>
      <c r="V968" s="27" t="s">
        <v>49</v>
      </c>
      <c r="W968" s="25"/>
      <c r="X968" s="25"/>
      <c r="Y968" s="25"/>
      <c r="Z968" s="25"/>
      <c r="AA968" s="25"/>
      <c r="AB968" s="25"/>
      <c r="AC968" s="25"/>
      <c r="AD968" s="25"/>
    </row>
    <row r="969" customFormat="false" ht="15.75" hidden="false" customHeight="false" outlineLevel="0" collapsed="false">
      <c r="A969" s="28" t="s">
        <v>1342</v>
      </c>
      <c r="B969" s="27" t="s">
        <v>438</v>
      </c>
      <c r="C969" s="27" t="s">
        <v>383</v>
      </c>
      <c r="D969" s="25"/>
      <c r="E969" s="25"/>
      <c r="F969" s="25"/>
      <c r="G969" s="25"/>
      <c r="H969" s="25"/>
      <c r="I969" s="25"/>
      <c r="J969" s="27" t="s">
        <v>1262</v>
      </c>
      <c r="K969" s="25" t="str">
        <f aca="false">IFERROR(__xludf.dummyfunction("SPLIT(J969,"" "")"),"CIF")</f>
        <v>CIF</v>
      </c>
      <c r="L969" s="28" t="str">
        <f aca="false">IFERROR(__xludf.dummyfunction("""COMPUTED_VALUE"""),"Indonesia")</f>
        <v>Indonesia</v>
      </c>
      <c r="M969" s="27" t="str">
        <f aca="false">IFERROR(__xludf.dummyfunction("""COMPUTED_VALUE"""),"(Diff)")</f>
        <v>(Diff)</v>
      </c>
      <c r="N969" s="25"/>
      <c r="O969" s="25"/>
      <c r="P969" s="25"/>
      <c r="Q969" s="29" t="s">
        <v>389</v>
      </c>
      <c r="R969" s="8" t="str">
        <f aca="false">B969&amp;" "&amp;C969&amp;" "&amp;D969&amp;" "&amp;E969&amp;" "&amp;G969&amp;" "&amp;H969&amp;" "&amp;J969&amp;" "&amp;N969</f>
        <v>Differentials Precursor     CIF Indonesia (Diff) </v>
      </c>
      <c r="S969" s="25"/>
      <c r="T969" s="8"/>
      <c r="U969" s="8"/>
      <c r="V969" s="27" t="s">
        <v>49</v>
      </c>
      <c r="W969" s="25"/>
      <c r="X969" s="25"/>
      <c r="Y969" s="25"/>
      <c r="Z969" s="25"/>
      <c r="AA969" s="25"/>
      <c r="AB969" s="25"/>
      <c r="AC969" s="25"/>
      <c r="AD969" s="25"/>
    </row>
    <row r="970" customFormat="false" ht="15.75" hidden="false" customHeight="false" outlineLevel="0" collapsed="false">
      <c r="A970" s="28" t="s">
        <v>1343</v>
      </c>
      <c r="B970" s="27" t="s">
        <v>438</v>
      </c>
      <c r="C970" s="27" t="s">
        <v>383</v>
      </c>
      <c r="D970" s="25"/>
      <c r="E970" s="25"/>
      <c r="F970" s="25"/>
      <c r="G970" s="25"/>
      <c r="H970" s="25"/>
      <c r="I970" s="25"/>
      <c r="J970" s="27" t="s">
        <v>1262</v>
      </c>
      <c r="K970" s="25" t="str">
        <f aca="false">IFERROR(__xludf.dummyfunction("SPLIT(J970,"" "")"),"CIF")</f>
        <v>CIF</v>
      </c>
      <c r="L970" s="28" t="str">
        <f aca="false">IFERROR(__xludf.dummyfunction("""COMPUTED_VALUE"""),"Indonesia")</f>
        <v>Indonesia</v>
      </c>
      <c r="M970" s="27" t="str">
        <f aca="false">IFERROR(__xludf.dummyfunction("""COMPUTED_VALUE"""),"(Diff)")</f>
        <v>(Diff)</v>
      </c>
      <c r="N970" s="25"/>
      <c r="O970" s="25"/>
      <c r="P970" s="25"/>
      <c r="Q970" s="29" t="s">
        <v>387</v>
      </c>
      <c r="R970" s="8" t="str">
        <f aca="false">B970&amp;" "&amp;C970&amp;" "&amp;D970&amp;" "&amp;E970&amp;" "&amp;G970&amp;" "&amp;H970&amp;" "&amp;J970&amp;" "&amp;N970</f>
        <v>Differentials Precursor     CIF Indonesia (Diff) </v>
      </c>
      <c r="S970" s="25"/>
      <c r="T970" s="8"/>
      <c r="U970" s="8"/>
      <c r="V970" s="27" t="s">
        <v>49</v>
      </c>
      <c r="W970" s="25"/>
      <c r="X970" s="25"/>
      <c r="Y970" s="25"/>
      <c r="Z970" s="25"/>
      <c r="AA970" s="25"/>
      <c r="AB970" s="25"/>
      <c r="AC970" s="25"/>
      <c r="AD970" s="25"/>
    </row>
    <row r="971" customFormat="false" ht="15.75" hidden="false" customHeight="false" outlineLevel="0" collapsed="false">
      <c r="A971" s="28" t="s">
        <v>1344</v>
      </c>
      <c r="B971" s="27" t="s">
        <v>438</v>
      </c>
      <c r="C971" s="27" t="s">
        <v>383</v>
      </c>
      <c r="D971" s="25"/>
      <c r="E971" s="25"/>
      <c r="F971" s="25"/>
      <c r="G971" s="25"/>
      <c r="H971" s="25"/>
      <c r="I971" s="25"/>
      <c r="J971" s="27" t="s">
        <v>1262</v>
      </c>
      <c r="K971" s="25" t="str">
        <f aca="false">IFERROR(__xludf.dummyfunction("SPLIT(J971,"" "")"),"CIF")</f>
        <v>CIF</v>
      </c>
      <c r="L971" s="28" t="str">
        <f aca="false">IFERROR(__xludf.dummyfunction("""COMPUTED_VALUE"""),"Indonesia")</f>
        <v>Indonesia</v>
      </c>
      <c r="M971" s="27" t="str">
        <f aca="false">IFERROR(__xludf.dummyfunction("""COMPUTED_VALUE"""),"(Diff)")</f>
        <v>(Diff)</v>
      </c>
      <c r="N971" s="25"/>
      <c r="O971" s="25"/>
      <c r="P971" s="25"/>
      <c r="Q971" s="29" t="s">
        <v>385</v>
      </c>
      <c r="R971" s="8" t="str">
        <f aca="false">B971&amp;" "&amp;C971&amp;" "&amp;D971&amp;" "&amp;E971&amp;" "&amp;G971&amp;" "&amp;H971&amp;" "&amp;J971&amp;" "&amp;N971</f>
        <v>Differentials Precursor     CIF Indonesia (Diff) </v>
      </c>
      <c r="S971" s="25"/>
      <c r="T971" s="8"/>
      <c r="U971" s="8"/>
      <c r="V971" s="27" t="s">
        <v>49</v>
      </c>
      <c r="W971" s="25"/>
      <c r="X971" s="25"/>
      <c r="Y971" s="25"/>
      <c r="Z971" s="25"/>
      <c r="AA971" s="25"/>
      <c r="AB971" s="25"/>
      <c r="AC971" s="25"/>
      <c r="AD971" s="25"/>
    </row>
    <row r="972" customFormat="false" ht="15.75" hidden="false" customHeight="false" outlineLevel="0" collapsed="false">
      <c r="A972" s="28" t="s">
        <v>1345</v>
      </c>
      <c r="B972" s="27" t="s">
        <v>438</v>
      </c>
      <c r="C972" s="27" t="s">
        <v>417</v>
      </c>
      <c r="D972" s="25"/>
      <c r="E972" s="25"/>
      <c r="F972" s="25"/>
      <c r="G972" s="25"/>
      <c r="H972" s="25"/>
      <c r="I972" s="25"/>
      <c r="J972" s="27" t="s">
        <v>1262</v>
      </c>
      <c r="K972" s="25" t="str">
        <f aca="false">IFERROR(__xludf.dummyfunction("SPLIT(J972,"" "")"),"CIF")</f>
        <v>CIF</v>
      </c>
      <c r="L972" s="28" t="str">
        <f aca="false">IFERROR(__xludf.dummyfunction("""COMPUTED_VALUE"""),"Indonesia")</f>
        <v>Indonesia</v>
      </c>
      <c r="M972" s="27" t="str">
        <f aca="false">IFERROR(__xludf.dummyfunction("""COMPUTED_VALUE"""),"(Diff)")</f>
        <v>(Diff)</v>
      </c>
      <c r="N972" s="25"/>
      <c r="O972" s="25"/>
      <c r="P972" s="25"/>
      <c r="Q972" s="29" t="s">
        <v>436</v>
      </c>
      <c r="R972" s="8" t="str">
        <f aca="false">B972&amp;" "&amp;C972&amp;" "&amp;D972&amp;" "&amp;E972&amp;" "&amp;G972&amp;" "&amp;H972&amp;" "&amp;J972&amp;" "&amp;N972</f>
        <v>Differentials Solvent     CIF Indonesia (Diff) </v>
      </c>
      <c r="S972" s="25"/>
      <c r="T972" s="8"/>
      <c r="U972" s="8"/>
      <c r="V972" s="27" t="s">
        <v>49</v>
      </c>
      <c r="W972" s="25"/>
      <c r="X972" s="25"/>
      <c r="Y972" s="25"/>
      <c r="Z972" s="25"/>
      <c r="AA972" s="25"/>
      <c r="AB972" s="25"/>
      <c r="AC972" s="25"/>
      <c r="AD972" s="25"/>
    </row>
    <row r="973" customFormat="false" ht="15.75" hidden="false" customHeight="false" outlineLevel="0" collapsed="false">
      <c r="A973" s="28" t="s">
        <v>1346</v>
      </c>
      <c r="B973" s="27" t="s">
        <v>438</v>
      </c>
      <c r="C973" s="27" t="s">
        <v>417</v>
      </c>
      <c r="D973" s="25"/>
      <c r="E973" s="25"/>
      <c r="F973" s="25"/>
      <c r="G973" s="25"/>
      <c r="H973" s="25"/>
      <c r="I973" s="25"/>
      <c r="J973" s="27" t="s">
        <v>1262</v>
      </c>
      <c r="K973" s="25" t="str">
        <f aca="false">IFERROR(__xludf.dummyfunction("SPLIT(J973,"" "")"),"CIF")</f>
        <v>CIF</v>
      </c>
      <c r="L973" s="28" t="str">
        <f aca="false">IFERROR(__xludf.dummyfunction("""COMPUTED_VALUE"""),"Indonesia")</f>
        <v>Indonesia</v>
      </c>
      <c r="M973" s="27" t="str">
        <f aca="false">IFERROR(__xludf.dummyfunction("""COMPUTED_VALUE"""),"(Diff)")</f>
        <v>(Diff)</v>
      </c>
      <c r="N973" s="25"/>
      <c r="O973" s="25"/>
      <c r="P973" s="25"/>
      <c r="Q973" s="29" t="s">
        <v>434</v>
      </c>
      <c r="R973" s="8" t="str">
        <f aca="false">B973&amp;" "&amp;C973&amp;" "&amp;D973&amp;" "&amp;E973&amp;" "&amp;G973&amp;" "&amp;H973&amp;" "&amp;J973&amp;" "&amp;N973</f>
        <v>Differentials Solvent     CIF Indonesia (Diff) </v>
      </c>
      <c r="S973" s="25"/>
      <c r="T973" s="8"/>
      <c r="U973" s="8"/>
      <c r="V973" s="27" t="s">
        <v>49</v>
      </c>
      <c r="W973" s="25"/>
      <c r="X973" s="25"/>
      <c r="Y973" s="25"/>
      <c r="Z973" s="25"/>
      <c r="AA973" s="25"/>
      <c r="AB973" s="25"/>
      <c r="AC973" s="25"/>
      <c r="AD973" s="25"/>
    </row>
    <row r="974" customFormat="false" ht="15.75" hidden="false" customHeight="false" outlineLevel="0" collapsed="false">
      <c r="A974" s="28" t="s">
        <v>1347</v>
      </c>
      <c r="B974" s="27" t="s">
        <v>438</v>
      </c>
      <c r="C974" s="27" t="s">
        <v>417</v>
      </c>
      <c r="D974" s="25"/>
      <c r="E974" s="25"/>
      <c r="F974" s="25"/>
      <c r="G974" s="25"/>
      <c r="H974" s="25"/>
      <c r="I974" s="25"/>
      <c r="J974" s="27" t="s">
        <v>1262</v>
      </c>
      <c r="K974" s="25" t="str">
        <f aca="false">IFERROR(__xludf.dummyfunction("SPLIT(J974,"" "")"),"CIF")</f>
        <v>CIF</v>
      </c>
      <c r="L974" s="28" t="str">
        <f aca="false">IFERROR(__xludf.dummyfunction("""COMPUTED_VALUE"""),"Indonesia")</f>
        <v>Indonesia</v>
      </c>
      <c r="M974" s="27" t="str">
        <f aca="false">IFERROR(__xludf.dummyfunction("""COMPUTED_VALUE"""),"(Diff)")</f>
        <v>(Diff)</v>
      </c>
      <c r="N974" s="25"/>
      <c r="O974" s="25"/>
      <c r="P974" s="25"/>
      <c r="Q974" s="29" t="s">
        <v>432</v>
      </c>
      <c r="R974" s="8" t="str">
        <f aca="false">B974&amp;" "&amp;C974&amp;" "&amp;D974&amp;" "&amp;E974&amp;" "&amp;G974&amp;" "&amp;H974&amp;" "&amp;J974&amp;" "&amp;N974</f>
        <v>Differentials Solvent     CIF Indonesia (Diff) </v>
      </c>
      <c r="S974" s="25"/>
      <c r="T974" s="8"/>
      <c r="U974" s="8"/>
      <c r="V974" s="27" t="s">
        <v>49</v>
      </c>
      <c r="W974" s="25"/>
      <c r="X974" s="25"/>
      <c r="Y974" s="25"/>
      <c r="Z974" s="25"/>
      <c r="AA974" s="25"/>
      <c r="AB974" s="25"/>
      <c r="AC974" s="25"/>
      <c r="AD974" s="25"/>
    </row>
    <row r="975" customFormat="false" ht="15.75" hidden="false" customHeight="false" outlineLevel="0" collapsed="false">
      <c r="A975" s="28" t="s">
        <v>1348</v>
      </c>
      <c r="B975" s="27" t="s">
        <v>438</v>
      </c>
      <c r="C975" s="27" t="s">
        <v>417</v>
      </c>
      <c r="D975" s="25"/>
      <c r="E975" s="25"/>
      <c r="F975" s="25"/>
      <c r="G975" s="25"/>
      <c r="H975" s="25"/>
      <c r="I975" s="25"/>
      <c r="J975" s="27" t="s">
        <v>1262</v>
      </c>
      <c r="K975" s="25" t="str">
        <f aca="false">IFERROR(__xludf.dummyfunction("SPLIT(J975,"" "")"),"CIF")</f>
        <v>CIF</v>
      </c>
      <c r="L975" s="28" t="str">
        <f aca="false">IFERROR(__xludf.dummyfunction("""COMPUTED_VALUE"""),"Indonesia")</f>
        <v>Indonesia</v>
      </c>
      <c r="M975" s="27" t="str">
        <f aca="false">IFERROR(__xludf.dummyfunction("""COMPUTED_VALUE"""),"(Diff)")</f>
        <v>(Diff)</v>
      </c>
      <c r="N975" s="25"/>
      <c r="O975" s="25"/>
      <c r="P975" s="25"/>
      <c r="Q975" s="29" t="s">
        <v>430</v>
      </c>
      <c r="R975" s="8" t="str">
        <f aca="false">B975&amp;" "&amp;C975&amp;" "&amp;D975&amp;" "&amp;E975&amp;" "&amp;G975&amp;" "&amp;H975&amp;" "&amp;J975&amp;" "&amp;N975</f>
        <v>Differentials Solvent     CIF Indonesia (Diff) </v>
      </c>
      <c r="S975" s="25"/>
      <c r="T975" s="8"/>
      <c r="U975" s="8"/>
      <c r="V975" s="27" t="s">
        <v>49</v>
      </c>
      <c r="W975" s="25"/>
      <c r="X975" s="25"/>
      <c r="Y975" s="25"/>
      <c r="Z975" s="25"/>
      <c r="AA975" s="25"/>
      <c r="AB975" s="25"/>
      <c r="AC975" s="25"/>
      <c r="AD975" s="25"/>
    </row>
    <row r="976" customFormat="false" ht="15.75" hidden="false" customHeight="false" outlineLevel="0" collapsed="false">
      <c r="A976" s="28" t="s">
        <v>1349</v>
      </c>
      <c r="B976" s="27" t="s">
        <v>438</v>
      </c>
      <c r="C976" s="27" t="s">
        <v>417</v>
      </c>
      <c r="D976" s="25"/>
      <c r="E976" s="25"/>
      <c r="F976" s="25"/>
      <c r="G976" s="25"/>
      <c r="H976" s="25"/>
      <c r="I976" s="25"/>
      <c r="J976" s="27" t="s">
        <v>1262</v>
      </c>
      <c r="K976" s="25" t="str">
        <f aca="false">IFERROR(__xludf.dummyfunction("SPLIT(J976,"" "")"),"CIF")</f>
        <v>CIF</v>
      </c>
      <c r="L976" s="28" t="str">
        <f aca="false">IFERROR(__xludf.dummyfunction("""COMPUTED_VALUE"""),"Indonesia")</f>
        <v>Indonesia</v>
      </c>
      <c r="M976" s="27" t="str">
        <f aca="false">IFERROR(__xludf.dummyfunction("""COMPUTED_VALUE"""),"(Diff)")</f>
        <v>(Diff)</v>
      </c>
      <c r="N976" s="25"/>
      <c r="O976" s="25"/>
      <c r="P976" s="25"/>
      <c r="Q976" s="29" t="s">
        <v>428</v>
      </c>
      <c r="R976" s="8" t="str">
        <f aca="false">B976&amp;" "&amp;C976&amp;" "&amp;D976&amp;" "&amp;E976&amp;" "&amp;G976&amp;" "&amp;H976&amp;" "&amp;J976&amp;" "&amp;N976</f>
        <v>Differentials Solvent     CIF Indonesia (Diff) </v>
      </c>
      <c r="S976" s="25"/>
      <c r="T976" s="8"/>
      <c r="U976" s="8"/>
      <c r="V976" s="27" t="s">
        <v>49</v>
      </c>
      <c r="W976" s="25"/>
      <c r="X976" s="25"/>
      <c r="Y976" s="25"/>
      <c r="Z976" s="25"/>
      <c r="AA976" s="25"/>
      <c r="AB976" s="25"/>
      <c r="AC976" s="25"/>
      <c r="AD976" s="25"/>
    </row>
    <row r="977" customFormat="false" ht="15.75" hidden="false" customHeight="false" outlineLevel="0" collapsed="false">
      <c r="A977" s="28" t="s">
        <v>1350</v>
      </c>
      <c r="B977" s="27" t="s">
        <v>438</v>
      </c>
      <c r="C977" s="27" t="s">
        <v>417</v>
      </c>
      <c r="D977" s="25"/>
      <c r="E977" s="25"/>
      <c r="F977" s="25"/>
      <c r="G977" s="25"/>
      <c r="H977" s="25"/>
      <c r="I977" s="25"/>
      <c r="J977" s="27" t="s">
        <v>1262</v>
      </c>
      <c r="K977" s="25" t="str">
        <f aca="false">IFERROR(__xludf.dummyfunction("SPLIT(J977,"" "")"),"CIF")</f>
        <v>CIF</v>
      </c>
      <c r="L977" s="28" t="str">
        <f aca="false">IFERROR(__xludf.dummyfunction("""COMPUTED_VALUE"""),"Indonesia")</f>
        <v>Indonesia</v>
      </c>
      <c r="M977" s="27" t="str">
        <f aca="false">IFERROR(__xludf.dummyfunction("""COMPUTED_VALUE"""),"(Diff)")</f>
        <v>(Diff)</v>
      </c>
      <c r="N977" s="25"/>
      <c r="O977" s="25"/>
      <c r="P977" s="25"/>
      <c r="Q977" s="29" t="s">
        <v>426</v>
      </c>
      <c r="R977" s="8" t="str">
        <f aca="false">B977&amp;" "&amp;C977&amp;" "&amp;D977&amp;" "&amp;E977&amp;" "&amp;G977&amp;" "&amp;H977&amp;" "&amp;J977&amp;" "&amp;N977</f>
        <v>Differentials Solvent     CIF Indonesia (Diff) </v>
      </c>
      <c r="S977" s="25"/>
      <c r="T977" s="8"/>
      <c r="U977" s="8"/>
      <c r="V977" s="27" t="s">
        <v>49</v>
      </c>
      <c r="W977" s="25"/>
      <c r="X977" s="25"/>
      <c r="Y977" s="25"/>
      <c r="Z977" s="25"/>
      <c r="AA977" s="25"/>
      <c r="AB977" s="25"/>
      <c r="AC977" s="25"/>
      <c r="AD977" s="25"/>
    </row>
    <row r="978" customFormat="false" ht="15.75" hidden="false" customHeight="false" outlineLevel="0" collapsed="false">
      <c r="A978" s="28" t="s">
        <v>1351</v>
      </c>
      <c r="B978" s="27" t="s">
        <v>438</v>
      </c>
      <c r="C978" s="27" t="s">
        <v>417</v>
      </c>
      <c r="D978" s="25"/>
      <c r="E978" s="25"/>
      <c r="F978" s="25"/>
      <c r="G978" s="25"/>
      <c r="H978" s="25"/>
      <c r="I978" s="25"/>
      <c r="J978" s="27" t="s">
        <v>1262</v>
      </c>
      <c r="K978" s="25" t="str">
        <f aca="false">IFERROR(__xludf.dummyfunction("SPLIT(J978,"" "")"),"CIF")</f>
        <v>CIF</v>
      </c>
      <c r="L978" s="28" t="str">
        <f aca="false">IFERROR(__xludf.dummyfunction("""COMPUTED_VALUE"""),"Indonesia")</f>
        <v>Indonesia</v>
      </c>
      <c r="M978" s="27" t="str">
        <f aca="false">IFERROR(__xludf.dummyfunction("""COMPUTED_VALUE"""),"(Diff)")</f>
        <v>(Diff)</v>
      </c>
      <c r="N978" s="25"/>
      <c r="O978" s="25"/>
      <c r="P978" s="25"/>
      <c r="Q978" s="29" t="s">
        <v>424</v>
      </c>
      <c r="R978" s="8" t="str">
        <f aca="false">B978&amp;" "&amp;C978&amp;" "&amp;D978&amp;" "&amp;E978&amp;" "&amp;G978&amp;" "&amp;H978&amp;" "&amp;J978&amp;" "&amp;N978</f>
        <v>Differentials Solvent     CIF Indonesia (Diff) </v>
      </c>
      <c r="S978" s="25"/>
      <c r="T978" s="8"/>
      <c r="U978" s="8"/>
      <c r="V978" s="27" t="s">
        <v>49</v>
      </c>
      <c r="W978" s="25"/>
      <c r="X978" s="25"/>
      <c r="Y978" s="25"/>
      <c r="Z978" s="25"/>
      <c r="AA978" s="25"/>
      <c r="AB978" s="25"/>
      <c r="AC978" s="25"/>
      <c r="AD978" s="25"/>
    </row>
    <row r="979" customFormat="false" ht="15.75" hidden="false" customHeight="false" outlineLevel="0" collapsed="false">
      <c r="A979" s="28" t="s">
        <v>1352</v>
      </c>
      <c r="B979" s="27" t="s">
        <v>438</v>
      </c>
      <c r="C979" s="27" t="s">
        <v>417</v>
      </c>
      <c r="D979" s="25"/>
      <c r="E979" s="25"/>
      <c r="F979" s="25"/>
      <c r="G979" s="25"/>
      <c r="H979" s="25"/>
      <c r="I979" s="25"/>
      <c r="J979" s="27" t="s">
        <v>1262</v>
      </c>
      <c r="K979" s="25" t="str">
        <f aca="false">IFERROR(__xludf.dummyfunction("SPLIT(J979,"" "")"),"CIF")</f>
        <v>CIF</v>
      </c>
      <c r="L979" s="28" t="str">
        <f aca="false">IFERROR(__xludf.dummyfunction("""COMPUTED_VALUE"""),"Indonesia")</f>
        <v>Indonesia</v>
      </c>
      <c r="M979" s="27" t="str">
        <f aca="false">IFERROR(__xludf.dummyfunction("""COMPUTED_VALUE"""),"(Diff)")</f>
        <v>(Diff)</v>
      </c>
      <c r="N979" s="25"/>
      <c r="O979" s="25"/>
      <c r="P979" s="25"/>
      <c r="Q979" s="29" t="s">
        <v>422</v>
      </c>
      <c r="R979" s="8" t="str">
        <f aca="false">B979&amp;" "&amp;C979&amp;" "&amp;D979&amp;" "&amp;E979&amp;" "&amp;G979&amp;" "&amp;H979&amp;" "&amp;J979&amp;" "&amp;N979</f>
        <v>Differentials Solvent     CIF Indonesia (Diff) </v>
      </c>
      <c r="S979" s="25"/>
      <c r="T979" s="8"/>
      <c r="U979" s="8"/>
      <c r="V979" s="27" t="s">
        <v>49</v>
      </c>
      <c r="W979" s="25"/>
      <c r="X979" s="25"/>
      <c r="Y979" s="25"/>
      <c r="Z979" s="25"/>
      <c r="AA979" s="25"/>
      <c r="AB979" s="25"/>
      <c r="AC979" s="25"/>
      <c r="AD979" s="25"/>
    </row>
    <row r="980" customFormat="false" ht="15.75" hidden="false" customHeight="false" outlineLevel="0" collapsed="false">
      <c r="A980" s="28" t="s">
        <v>1353</v>
      </c>
      <c r="B980" s="27" t="s">
        <v>438</v>
      </c>
      <c r="C980" s="27" t="s">
        <v>417</v>
      </c>
      <c r="D980" s="25"/>
      <c r="E980" s="25"/>
      <c r="F980" s="25"/>
      <c r="G980" s="25"/>
      <c r="H980" s="25"/>
      <c r="I980" s="25"/>
      <c r="J980" s="27" t="s">
        <v>1262</v>
      </c>
      <c r="K980" s="25" t="str">
        <f aca="false">IFERROR(__xludf.dummyfunction("SPLIT(J980,"" "")"),"CIF")</f>
        <v>CIF</v>
      </c>
      <c r="L980" s="28" t="str">
        <f aca="false">IFERROR(__xludf.dummyfunction("""COMPUTED_VALUE"""),"Indonesia")</f>
        <v>Indonesia</v>
      </c>
      <c r="M980" s="27" t="str">
        <f aca="false">IFERROR(__xludf.dummyfunction("""COMPUTED_VALUE"""),"(Diff)")</f>
        <v>(Diff)</v>
      </c>
      <c r="N980" s="25"/>
      <c r="O980" s="25"/>
      <c r="P980" s="25"/>
      <c r="Q980" s="29" t="s">
        <v>420</v>
      </c>
      <c r="R980" s="8" t="str">
        <f aca="false">B980&amp;" "&amp;C980&amp;" "&amp;D980&amp;" "&amp;E980&amp;" "&amp;G980&amp;" "&amp;H980&amp;" "&amp;J980&amp;" "&amp;N980</f>
        <v>Differentials Solvent     CIF Indonesia (Diff) </v>
      </c>
      <c r="S980" s="25"/>
      <c r="T980" s="8"/>
      <c r="U980" s="8"/>
      <c r="V980" s="27" t="s">
        <v>49</v>
      </c>
      <c r="W980" s="25"/>
      <c r="X980" s="25"/>
      <c r="Y980" s="25"/>
      <c r="Z980" s="25"/>
      <c r="AA980" s="25"/>
      <c r="AB980" s="25"/>
      <c r="AC980" s="25"/>
      <c r="AD980" s="25"/>
    </row>
    <row r="981" customFormat="false" ht="15.75" hidden="false" customHeight="false" outlineLevel="0" collapsed="false">
      <c r="A981" s="28" t="s">
        <v>1354</v>
      </c>
      <c r="B981" s="27" t="s">
        <v>438</v>
      </c>
      <c r="C981" s="27" t="s">
        <v>417</v>
      </c>
      <c r="D981" s="25"/>
      <c r="E981" s="25"/>
      <c r="F981" s="25"/>
      <c r="G981" s="25"/>
      <c r="H981" s="25"/>
      <c r="I981" s="25"/>
      <c r="J981" s="27" t="s">
        <v>1262</v>
      </c>
      <c r="K981" s="25" t="str">
        <f aca="false">IFERROR(__xludf.dummyfunction("SPLIT(J981,"" "")"),"CIF")</f>
        <v>CIF</v>
      </c>
      <c r="L981" s="28" t="str">
        <f aca="false">IFERROR(__xludf.dummyfunction("""COMPUTED_VALUE"""),"Indonesia")</f>
        <v>Indonesia</v>
      </c>
      <c r="M981" s="27" t="str">
        <f aca="false">IFERROR(__xludf.dummyfunction("""COMPUTED_VALUE"""),"(Diff)")</f>
        <v>(Diff)</v>
      </c>
      <c r="N981" s="25"/>
      <c r="O981" s="25"/>
      <c r="P981" s="25"/>
      <c r="Q981" s="29" t="s">
        <v>418</v>
      </c>
      <c r="R981" s="8" t="str">
        <f aca="false">B981&amp;" "&amp;C981&amp;" "&amp;D981&amp;" "&amp;E981&amp;" "&amp;G981&amp;" "&amp;H981&amp;" "&amp;J981&amp;" "&amp;N981</f>
        <v>Differentials Solvent     CIF Indonesia (Diff) </v>
      </c>
      <c r="S981" s="25"/>
      <c r="T981" s="8"/>
      <c r="U981" s="8"/>
      <c r="V981" s="27" t="s">
        <v>49</v>
      </c>
      <c r="W981" s="25"/>
      <c r="X981" s="25"/>
      <c r="Y981" s="25"/>
      <c r="Z981" s="25"/>
      <c r="AA981" s="25"/>
      <c r="AB981" s="25"/>
      <c r="AC981" s="25"/>
      <c r="AD981" s="25"/>
    </row>
    <row r="982" customFormat="false" ht="15.75" hidden="false" customHeight="false" outlineLevel="0" collapsed="false">
      <c r="A982" s="28" t="s">
        <v>1355</v>
      </c>
      <c r="B982" s="27" t="s">
        <v>438</v>
      </c>
      <c r="C982" s="27" t="s">
        <v>177</v>
      </c>
      <c r="D982" s="25"/>
      <c r="E982" s="25"/>
      <c r="F982" s="25"/>
      <c r="G982" s="25"/>
      <c r="H982" s="25"/>
      <c r="I982" s="25"/>
      <c r="J982" s="27" t="s">
        <v>1356</v>
      </c>
      <c r="K982" s="25" t="str">
        <f aca="false">IFERROR(__xludf.dummyfunction("SPLIT(J982,"" "")"),"CIF")</f>
        <v>CIF</v>
      </c>
      <c r="L982" s="28" t="str">
        <f aca="false">IFERROR(__xludf.dummyfunction("""COMPUTED_VALUE"""),"Italy")</f>
        <v>Italy</v>
      </c>
      <c r="M982" s="27" t="str">
        <f aca="false">IFERROR(__xludf.dummyfunction("""COMPUTED_VALUE"""),"(Diff)")</f>
        <v>(Diff)</v>
      </c>
      <c r="N982" s="25"/>
      <c r="O982" s="25"/>
      <c r="P982" s="25"/>
      <c r="Q982" s="29" t="s">
        <v>209</v>
      </c>
      <c r="R982" s="8" t="str">
        <f aca="false">B982&amp;" "&amp;C982&amp;" "&amp;D982&amp;" "&amp;E982&amp;" "&amp;G982&amp;" "&amp;H982&amp;" "&amp;J982&amp;" "&amp;N982</f>
        <v>Differentials Anode     CIF Italy (Diff) </v>
      </c>
      <c r="S982" s="25"/>
      <c r="T982" s="8"/>
      <c r="U982" s="8"/>
      <c r="V982" s="27" t="s">
        <v>49</v>
      </c>
      <c r="W982" s="25"/>
      <c r="X982" s="25"/>
      <c r="Y982" s="25"/>
      <c r="Z982" s="25"/>
      <c r="AA982" s="25"/>
      <c r="AB982" s="25"/>
      <c r="AC982" s="25"/>
      <c r="AD982" s="25"/>
    </row>
    <row r="983" customFormat="false" ht="15.75" hidden="false" customHeight="false" outlineLevel="0" collapsed="false">
      <c r="A983" s="28" t="s">
        <v>1357</v>
      </c>
      <c r="B983" s="27" t="s">
        <v>438</v>
      </c>
      <c r="C983" s="27" t="s">
        <v>177</v>
      </c>
      <c r="D983" s="25"/>
      <c r="E983" s="25"/>
      <c r="F983" s="25"/>
      <c r="G983" s="25"/>
      <c r="H983" s="25"/>
      <c r="I983" s="25"/>
      <c r="J983" s="27" t="s">
        <v>1356</v>
      </c>
      <c r="K983" s="25" t="str">
        <f aca="false">IFERROR(__xludf.dummyfunction("SPLIT(J983,"" "")"),"CIF")</f>
        <v>CIF</v>
      </c>
      <c r="L983" s="28" t="str">
        <f aca="false">IFERROR(__xludf.dummyfunction("""COMPUTED_VALUE"""),"Italy")</f>
        <v>Italy</v>
      </c>
      <c r="M983" s="27" t="str">
        <f aca="false">IFERROR(__xludf.dummyfunction("""COMPUTED_VALUE"""),"(Diff)")</f>
        <v>(Diff)</v>
      </c>
      <c r="N983" s="25"/>
      <c r="O983" s="25"/>
      <c r="P983" s="25"/>
      <c r="Q983" s="29" t="s">
        <v>205</v>
      </c>
      <c r="R983" s="8" t="str">
        <f aca="false">B983&amp;" "&amp;C983&amp;" "&amp;D983&amp;" "&amp;E983&amp;" "&amp;G983&amp;" "&amp;H983&amp;" "&amp;J983&amp;" "&amp;N983</f>
        <v>Differentials Anode     CIF Italy (Diff) </v>
      </c>
      <c r="S983" s="25"/>
      <c r="T983" s="8"/>
      <c r="U983" s="8"/>
      <c r="V983" s="27" t="s">
        <v>49</v>
      </c>
      <c r="W983" s="25"/>
      <c r="X983" s="25"/>
      <c r="Y983" s="25"/>
      <c r="Z983" s="25"/>
      <c r="AA983" s="25"/>
      <c r="AB983" s="25"/>
      <c r="AC983" s="25"/>
      <c r="AD983" s="25"/>
    </row>
    <row r="984" customFormat="false" ht="15.75" hidden="false" customHeight="false" outlineLevel="0" collapsed="false">
      <c r="A984" s="28" t="s">
        <v>1358</v>
      </c>
      <c r="B984" s="27" t="s">
        <v>438</v>
      </c>
      <c r="C984" s="27" t="s">
        <v>177</v>
      </c>
      <c r="D984" s="25"/>
      <c r="E984" s="25"/>
      <c r="F984" s="25"/>
      <c r="G984" s="25"/>
      <c r="H984" s="25"/>
      <c r="I984" s="25"/>
      <c r="J984" s="27" t="s">
        <v>1356</v>
      </c>
      <c r="K984" s="25" t="str">
        <f aca="false">IFERROR(__xludf.dummyfunction("SPLIT(J984,"" "")"),"CIF")</f>
        <v>CIF</v>
      </c>
      <c r="L984" s="28" t="str">
        <f aca="false">IFERROR(__xludf.dummyfunction("""COMPUTED_VALUE"""),"Italy")</f>
        <v>Italy</v>
      </c>
      <c r="M984" s="27" t="str">
        <f aca="false">IFERROR(__xludf.dummyfunction("""COMPUTED_VALUE"""),"(Diff)")</f>
        <v>(Diff)</v>
      </c>
      <c r="N984" s="25"/>
      <c r="O984" s="25"/>
      <c r="P984" s="25"/>
      <c r="Q984" s="29" t="s">
        <v>202</v>
      </c>
      <c r="R984" s="8" t="str">
        <f aca="false">B984&amp;" "&amp;C984&amp;" "&amp;D984&amp;" "&amp;E984&amp;" "&amp;G984&amp;" "&amp;H984&amp;" "&amp;J984&amp;" "&amp;N984</f>
        <v>Differentials Anode     CIF Italy (Diff) </v>
      </c>
      <c r="S984" s="25"/>
      <c r="T984" s="8"/>
      <c r="U984" s="8"/>
      <c r="V984" s="27" t="s">
        <v>49</v>
      </c>
      <c r="W984" s="25"/>
      <c r="X984" s="25"/>
      <c r="Y984" s="25"/>
      <c r="Z984" s="25"/>
      <c r="AA984" s="25"/>
      <c r="AB984" s="25"/>
      <c r="AC984" s="25"/>
      <c r="AD984" s="25"/>
    </row>
    <row r="985" customFormat="false" ht="15.75" hidden="false" customHeight="false" outlineLevel="0" collapsed="false">
      <c r="A985" s="28" t="s">
        <v>1359</v>
      </c>
      <c r="B985" s="27" t="s">
        <v>438</v>
      </c>
      <c r="C985" s="27" t="s">
        <v>177</v>
      </c>
      <c r="D985" s="25"/>
      <c r="E985" s="25"/>
      <c r="F985" s="25"/>
      <c r="G985" s="25"/>
      <c r="H985" s="25"/>
      <c r="I985" s="25"/>
      <c r="J985" s="27" t="s">
        <v>1356</v>
      </c>
      <c r="K985" s="25" t="str">
        <f aca="false">IFERROR(__xludf.dummyfunction("SPLIT(J985,"" "")"),"CIF")</f>
        <v>CIF</v>
      </c>
      <c r="L985" s="28" t="str">
        <f aca="false">IFERROR(__xludf.dummyfunction("""COMPUTED_VALUE"""),"Italy")</f>
        <v>Italy</v>
      </c>
      <c r="M985" s="27" t="str">
        <f aca="false">IFERROR(__xludf.dummyfunction("""COMPUTED_VALUE"""),"(Diff)")</f>
        <v>(Diff)</v>
      </c>
      <c r="N985" s="25"/>
      <c r="O985" s="25"/>
      <c r="P985" s="25"/>
      <c r="Q985" s="29" t="s">
        <v>197</v>
      </c>
      <c r="R985" s="8" t="str">
        <f aca="false">B985&amp;" "&amp;C985&amp;" "&amp;D985&amp;" "&amp;E985&amp;" "&amp;G985&amp;" "&amp;H985&amp;" "&amp;J985&amp;" "&amp;N985</f>
        <v>Differentials Anode     CIF Italy (Diff) </v>
      </c>
      <c r="S985" s="25"/>
      <c r="T985" s="8"/>
      <c r="U985" s="8"/>
      <c r="V985" s="27" t="s">
        <v>49</v>
      </c>
      <c r="W985" s="25"/>
      <c r="X985" s="25"/>
      <c r="Y985" s="25"/>
      <c r="Z985" s="25"/>
      <c r="AA985" s="25"/>
      <c r="AB985" s="25"/>
      <c r="AC985" s="25"/>
      <c r="AD985" s="25"/>
    </row>
    <row r="986" customFormat="false" ht="15.75" hidden="false" customHeight="false" outlineLevel="0" collapsed="false">
      <c r="A986" s="28" t="s">
        <v>1360</v>
      </c>
      <c r="B986" s="27" t="s">
        <v>438</v>
      </c>
      <c r="C986" s="27" t="s">
        <v>177</v>
      </c>
      <c r="D986" s="25"/>
      <c r="E986" s="25"/>
      <c r="F986" s="25"/>
      <c r="G986" s="25"/>
      <c r="H986" s="25"/>
      <c r="I986" s="25"/>
      <c r="J986" s="27" t="s">
        <v>1356</v>
      </c>
      <c r="K986" s="25" t="str">
        <f aca="false">IFERROR(__xludf.dummyfunction("SPLIT(J986,"" "")"),"CIF")</f>
        <v>CIF</v>
      </c>
      <c r="L986" s="28" t="str">
        <f aca="false">IFERROR(__xludf.dummyfunction("""COMPUTED_VALUE"""),"Italy")</f>
        <v>Italy</v>
      </c>
      <c r="M986" s="27" t="str">
        <f aca="false">IFERROR(__xludf.dummyfunction("""COMPUTED_VALUE"""),"(Diff)")</f>
        <v>(Diff)</v>
      </c>
      <c r="N986" s="25"/>
      <c r="O986" s="25"/>
      <c r="P986" s="25"/>
      <c r="Q986" s="29" t="s">
        <v>193</v>
      </c>
      <c r="R986" s="8" t="str">
        <f aca="false">B986&amp;" "&amp;C986&amp;" "&amp;D986&amp;" "&amp;E986&amp;" "&amp;G986&amp;" "&amp;H986&amp;" "&amp;J986&amp;" "&amp;N986</f>
        <v>Differentials Anode     CIF Italy (Diff) </v>
      </c>
      <c r="S986" s="25"/>
      <c r="T986" s="8"/>
      <c r="U986" s="8"/>
      <c r="V986" s="27" t="s">
        <v>49</v>
      </c>
      <c r="W986" s="25"/>
      <c r="X986" s="25"/>
      <c r="Y986" s="25"/>
      <c r="Z986" s="25"/>
      <c r="AA986" s="25"/>
      <c r="AB986" s="25"/>
      <c r="AC986" s="25"/>
      <c r="AD986" s="25"/>
    </row>
    <row r="987" customFormat="false" ht="15.75" hidden="false" customHeight="false" outlineLevel="0" collapsed="false">
      <c r="A987" s="28" t="s">
        <v>1361</v>
      </c>
      <c r="B987" s="27" t="s">
        <v>438</v>
      </c>
      <c r="C987" s="27" t="s">
        <v>177</v>
      </c>
      <c r="D987" s="25"/>
      <c r="E987" s="25"/>
      <c r="F987" s="25"/>
      <c r="G987" s="25"/>
      <c r="H987" s="25"/>
      <c r="I987" s="25"/>
      <c r="J987" s="27" t="s">
        <v>1356</v>
      </c>
      <c r="K987" s="25" t="str">
        <f aca="false">IFERROR(__xludf.dummyfunction("SPLIT(J987,"" "")"),"CIF")</f>
        <v>CIF</v>
      </c>
      <c r="L987" s="28" t="str">
        <f aca="false">IFERROR(__xludf.dummyfunction("""COMPUTED_VALUE"""),"Italy")</f>
        <v>Italy</v>
      </c>
      <c r="M987" s="27" t="str">
        <f aca="false">IFERROR(__xludf.dummyfunction("""COMPUTED_VALUE"""),"(Diff)")</f>
        <v>(Diff)</v>
      </c>
      <c r="N987" s="25"/>
      <c r="O987" s="25"/>
      <c r="P987" s="25"/>
      <c r="Q987" s="29" t="s">
        <v>188</v>
      </c>
      <c r="R987" s="8" t="str">
        <f aca="false">B987&amp;" "&amp;C987&amp;" "&amp;D987&amp;" "&amp;E987&amp;" "&amp;G987&amp;" "&amp;H987&amp;" "&amp;J987&amp;" "&amp;N987</f>
        <v>Differentials Anode     CIF Italy (Diff) </v>
      </c>
      <c r="S987" s="25"/>
      <c r="T987" s="8"/>
      <c r="U987" s="8"/>
      <c r="V987" s="27" t="s">
        <v>49</v>
      </c>
      <c r="W987" s="25"/>
      <c r="X987" s="25"/>
      <c r="Y987" s="25"/>
      <c r="Z987" s="25"/>
      <c r="AA987" s="25"/>
      <c r="AB987" s="25"/>
      <c r="AC987" s="25"/>
      <c r="AD987" s="25"/>
    </row>
    <row r="988" customFormat="false" ht="15.75" hidden="false" customHeight="false" outlineLevel="0" collapsed="false">
      <c r="A988" s="28" t="s">
        <v>1362</v>
      </c>
      <c r="B988" s="27" t="s">
        <v>438</v>
      </c>
      <c r="C988" s="27" t="s">
        <v>177</v>
      </c>
      <c r="D988" s="25"/>
      <c r="E988" s="25"/>
      <c r="F988" s="25"/>
      <c r="G988" s="25"/>
      <c r="H988" s="25"/>
      <c r="I988" s="25"/>
      <c r="J988" s="27" t="s">
        <v>1356</v>
      </c>
      <c r="K988" s="25" t="str">
        <f aca="false">IFERROR(__xludf.dummyfunction("SPLIT(J988,"" "")"),"CIF")</f>
        <v>CIF</v>
      </c>
      <c r="L988" s="28" t="str">
        <f aca="false">IFERROR(__xludf.dummyfunction("""COMPUTED_VALUE"""),"Italy")</f>
        <v>Italy</v>
      </c>
      <c r="M988" s="27" t="str">
        <f aca="false">IFERROR(__xludf.dummyfunction("""COMPUTED_VALUE"""),"(Diff)")</f>
        <v>(Diff)</v>
      </c>
      <c r="N988" s="25"/>
      <c r="O988" s="25"/>
      <c r="P988" s="25"/>
      <c r="Q988" s="29" t="s">
        <v>180</v>
      </c>
      <c r="R988" s="8" t="str">
        <f aca="false">B988&amp;" "&amp;C988&amp;" "&amp;D988&amp;" "&amp;E988&amp;" "&amp;G988&amp;" "&amp;H988&amp;" "&amp;J988&amp;" "&amp;N988</f>
        <v>Differentials Anode     CIF Italy (Diff) </v>
      </c>
      <c r="S988" s="25"/>
      <c r="T988" s="8"/>
      <c r="U988" s="8"/>
      <c r="V988" s="27" t="s">
        <v>49</v>
      </c>
      <c r="W988" s="25"/>
      <c r="X988" s="25"/>
      <c r="Y988" s="25"/>
      <c r="Z988" s="25"/>
      <c r="AA988" s="25"/>
      <c r="AB988" s="25"/>
      <c r="AC988" s="25"/>
      <c r="AD988" s="25"/>
    </row>
    <row r="989" customFormat="false" ht="15.75" hidden="false" customHeight="false" outlineLevel="0" collapsed="false">
      <c r="A989" s="28" t="s">
        <v>1363</v>
      </c>
      <c r="B989" s="27" t="s">
        <v>438</v>
      </c>
      <c r="C989" s="27" t="s">
        <v>211</v>
      </c>
      <c r="D989" s="25"/>
      <c r="E989" s="25"/>
      <c r="F989" s="25"/>
      <c r="G989" s="25"/>
      <c r="H989" s="25"/>
      <c r="I989" s="25"/>
      <c r="J989" s="27" t="s">
        <v>1356</v>
      </c>
      <c r="K989" s="25" t="str">
        <f aca="false">IFERROR(__xludf.dummyfunction("SPLIT(J989,"" "")"),"CIF")</f>
        <v>CIF</v>
      </c>
      <c r="L989" s="28" t="str">
        <f aca="false">IFERROR(__xludf.dummyfunction("""COMPUTED_VALUE"""),"Italy")</f>
        <v>Italy</v>
      </c>
      <c r="M989" s="27" t="str">
        <f aca="false">IFERROR(__xludf.dummyfunction("""COMPUTED_VALUE"""),"(Diff)")</f>
        <v>(Diff)</v>
      </c>
      <c r="N989" s="25"/>
      <c r="O989" s="25"/>
      <c r="P989" s="25"/>
      <c r="Q989" s="29" t="s">
        <v>234</v>
      </c>
      <c r="R989" s="8" t="str">
        <f aca="false">B989&amp;" "&amp;C989&amp;" "&amp;D989&amp;" "&amp;E989&amp;" "&amp;G989&amp;" "&amp;H989&amp;" "&amp;J989&amp;" "&amp;N989</f>
        <v>Differentials Binders &amp; Additives     CIF Italy (Diff) </v>
      </c>
      <c r="S989" s="25"/>
      <c r="T989" s="8"/>
      <c r="U989" s="8"/>
      <c r="V989" s="27" t="s">
        <v>49</v>
      </c>
      <c r="W989" s="25"/>
      <c r="X989" s="25"/>
      <c r="Y989" s="25"/>
      <c r="Z989" s="25"/>
      <c r="AA989" s="25"/>
      <c r="AB989" s="25"/>
      <c r="AC989" s="25"/>
      <c r="AD989" s="25"/>
    </row>
    <row r="990" customFormat="false" ht="15.75" hidden="false" customHeight="false" outlineLevel="0" collapsed="false">
      <c r="A990" s="28" t="s">
        <v>1364</v>
      </c>
      <c r="B990" s="27" t="s">
        <v>438</v>
      </c>
      <c r="C990" s="27" t="s">
        <v>211</v>
      </c>
      <c r="D990" s="25"/>
      <c r="E990" s="25"/>
      <c r="F990" s="25"/>
      <c r="G990" s="25"/>
      <c r="H990" s="25"/>
      <c r="I990" s="25"/>
      <c r="J990" s="27" t="s">
        <v>1356</v>
      </c>
      <c r="K990" s="25" t="str">
        <f aca="false">IFERROR(__xludf.dummyfunction("SPLIT(J990,"" "")"),"CIF")</f>
        <v>CIF</v>
      </c>
      <c r="L990" s="28" t="str">
        <f aca="false">IFERROR(__xludf.dummyfunction("""COMPUTED_VALUE"""),"Italy")</f>
        <v>Italy</v>
      </c>
      <c r="M990" s="27" t="str">
        <f aca="false">IFERROR(__xludf.dummyfunction("""COMPUTED_VALUE"""),"(Diff)")</f>
        <v>(Diff)</v>
      </c>
      <c r="N990" s="25"/>
      <c r="O990" s="25"/>
      <c r="P990" s="25"/>
      <c r="Q990" s="29" t="s">
        <v>232</v>
      </c>
      <c r="R990" s="8" t="str">
        <f aca="false">B990&amp;" "&amp;C990&amp;" "&amp;D990&amp;" "&amp;E990&amp;" "&amp;G990&amp;" "&amp;H990&amp;" "&amp;J990&amp;" "&amp;N990</f>
        <v>Differentials Binders &amp; Additives     CIF Italy (Diff) </v>
      </c>
      <c r="S990" s="25"/>
      <c r="T990" s="8"/>
      <c r="U990" s="8"/>
      <c r="V990" s="27" t="s">
        <v>49</v>
      </c>
      <c r="W990" s="25"/>
      <c r="X990" s="25"/>
      <c r="Y990" s="25"/>
      <c r="Z990" s="25"/>
      <c r="AA990" s="25"/>
      <c r="AB990" s="25"/>
      <c r="AC990" s="25"/>
      <c r="AD990" s="25"/>
    </row>
    <row r="991" customFormat="false" ht="15.75" hidden="false" customHeight="false" outlineLevel="0" collapsed="false">
      <c r="A991" s="28" t="s">
        <v>1365</v>
      </c>
      <c r="B991" s="27" t="s">
        <v>438</v>
      </c>
      <c r="C991" s="27" t="s">
        <v>211</v>
      </c>
      <c r="D991" s="25"/>
      <c r="E991" s="25"/>
      <c r="F991" s="25"/>
      <c r="G991" s="25"/>
      <c r="H991" s="25"/>
      <c r="I991" s="25"/>
      <c r="J991" s="27" t="s">
        <v>1356</v>
      </c>
      <c r="K991" s="25" t="str">
        <f aca="false">IFERROR(__xludf.dummyfunction("SPLIT(J991,"" "")"),"CIF")</f>
        <v>CIF</v>
      </c>
      <c r="L991" s="28" t="str">
        <f aca="false">IFERROR(__xludf.dummyfunction("""COMPUTED_VALUE"""),"Italy")</f>
        <v>Italy</v>
      </c>
      <c r="M991" s="27" t="str">
        <f aca="false">IFERROR(__xludf.dummyfunction("""COMPUTED_VALUE"""),"(Diff)")</f>
        <v>(Diff)</v>
      </c>
      <c r="N991" s="25"/>
      <c r="O991" s="25"/>
      <c r="P991" s="25"/>
      <c r="Q991" s="29" t="s">
        <v>230</v>
      </c>
      <c r="R991" s="8" t="str">
        <f aca="false">B991&amp;" "&amp;C991&amp;" "&amp;D991&amp;" "&amp;E991&amp;" "&amp;G991&amp;" "&amp;H991&amp;" "&amp;J991&amp;" "&amp;N991</f>
        <v>Differentials Binders &amp; Additives     CIF Italy (Diff) </v>
      </c>
      <c r="S991" s="25"/>
      <c r="T991" s="8"/>
      <c r="U991" s="8"/>
      <c r="V991" s="27" t="s">
        <v>49</v>
      </c>
      <c r="W991" s="25"/>
      <c r="X991" s="25"/>
      <c r="Y991" s="25"/>
      <c r="Z991" s="25"/>
      <c r="AA991" s="25"/>
      <c r="AB991" s="25"/>
      <c r="AC991" s="25"/>
      <c r="AD991" s="25"/>
    </row>
    <row r="992" customFormat="false" ht="15.75" hidden="false" customHeight="false" outlineLevel="0" collapsed="false">
      <c r="A992" s="28" t="s">
        <v>1366</v>
      </c>
      <c r="B992" s="27" t="s">
        <v>438</v>
      </c>
      <c r="C992" s="27" t="s">
        <v>211</v>
      </c>
      <c r="D992" s="25"/>
      <c r="E992" s="25"/>
      <c r="F992" s="25"/>
      <c r="G992" s="25"/>
      <c r="H992" s="25"/>
      <c r="I992" s="25"/>
      <c r="J992" s="27" t="s">
        <v>1356</v>
      </c>
      <c r="K992" s="25" t="str">
        <f aca="false">IFERROR(__xludf.dummyfunction("SPLIT(J992,"" "")"),"CIF")</f>
        <v>CIF</v>
      </c>
      <c r="L992" s="28" t="str">
        <f aca="false">IFERROR(__xludf.dummyfunction("""COMPUTED_VALUE"""),"Italy")</f>
        <v>Italy</v>
      </c>
      <c r="M992" s="27" t="str">
        <f aca="false">IFERROR(__xludf.dummyfunction("""COMPUTED_VALUE"""),"(Diff)")</f>
        <v>(Diff)</v>
      </c>
      <c r="N992" s="25"/>
      <c r="O992" s="25"/>
      <c r="P992" s="25"/>
      <c r="Q992" s="29" t="s">
        <v>228</v>
      </c>
      <c r="R992" s="8" t="str">
        <f aca="false">B992&amp;" "&amp;C992&amp;" "&amp;D992&amp;" "&amp;E992&amp;" "&amp;G992&amp;" "&amp;H992&amp;" "&amp;J992&amp;" "&amp;N992</f>
        <v>Differentials Binders &amp; Additives     CIF Italy (Diff) </v>
      </c>
      <c r="S992" s="25"/>
      <c r="T992" s="8"/>
      <c r="U992" s="8"/>
      <c r="V992" s="27" t="s">
        <v>49</v>
      </c>
      <c r="W992" s="25"/>
      <c r="X992" s="25"/>
      <c r="Y992" s="25"/>
      <c r="Z992" s="25"/>
      <c r="AA992" s="25"/>
      <c r="AB992" s="25"/>
      <c r="AC992" s="25"/>
      <c r="AD992" s="25"/>
    </row>
    <row r="993" customFormat="false" ht="15.75" hidden="false" customHeight="false" outlineLevel="0" collapsed="false">
      <c r="A993" s="28" t="s">
        <v>1367</v>
      </c>
      <c r="B993" s="27" t="s">
        <v>438</v>
      </c>
      <c r="C993" s="27" t="s">
        <v>211</v>
      </c>
      <c r="D993" s="25"/>
      <c r="E993" s="25"/>
      <c r="F993" s="25"/>
      <c r="G993" s="25"/>
      <c r="H993" s="25"/>
      <c r="I993" s="25"/>
      <c r="J993" s="27" t="s">
        <v>1356</v>
      </c>
      <c r="K993" s="25" t="str">
        <f aca="false">IFERROR(__xludf.dummyfunction("SPLIT(J993,"" "")"),"CIF")</f>
        <v>CIF</v>
      </c>
      <c r="L993" s="28" t="str">
        <f aca="false">IFERROR(__xludf.dummyfunction("""COMPUTED_VALUE"""),"Italy")</f>
        <v>Italy</v>
      </c>
      <c r="M993" s="27" t="str">
        <f aca="false">IFERROR(__xludf.dummyfunction("""COMPUTED_VALUE"""),"(Diff)")</f>
        <v>(Diff)</v>
      </c>
      <c r="N993" s="25"/>
      <c r="O993" s="25"/>
      <c r="P993" s="25"/>
      <c r="Q993" s="29" t="s">
        <v>226</v>
      </c>
      <c r="R993" s="8" t="str">
        <f aca="false">B993&amp;" "&amp;C993&amp;" "&amp;D993&amp;" "&amp;E993&amp;" "&amp;G993&amp;" "&amp;H993&amp;" "&amp;J993&amp;" "&amp;N993</f>
        <v>Differentials Binders &amp; Additives     CIF Italy (Diff) </v>
      </c>
      <c r="S993" s="25"/>
      <c r="T993" s="8"/>
      <c r="U993" s="8"/>
      <c r="V993" s="27" t="s">
        <v>49</v>
      </c>
      <c r="W993" s="25"/>
      <c r="X993" s="25"/>
      <c r="Y993" s="25"/>
      <c r="Z993" s="25"/>
      <c r="AA993" s="25"/>
      <c r="AB993" s="25"/>
      <c r="AC993" s="25"/>
      <c r="AD993" s="25"/>
    </row>
    <row r="994" customFormat="false" ht="15.75" hidden="false" customHeight="false" outlineLevel="0" collapsed="false">
      <c r="A994" s="28" t="s">
        <v>1368</v>
      </c>
      <c r="B994" s="27" t="s">
        <v>438</v>
      </c>
      <c r="C994" s="27" t="s">
        <v>211</v>
      </c>
      <c r="D994" s="25"/>
      <c r="E994" s="25"/>
      <c r="F994" s="25"/>
      <c r="G994" s="25"/>
      <c r="H994" s="25"/>
      <c r="I994" s="25"/>
      <c r="J994" s="27" t="s">
        <v>1356</v>
      </c>
      <c r="K994" s="25" t="str">
        <f aca="false">IFERROR(__xludf.dummyfunction("SPLIT(J994,"" "")"),"CIF")</f>
        <v>CIF</v>
      </c>
      <c r="L994" s="28" t="str">
        <f aca="false">IFERROR(__xludf.dummyfunction("""COMPUTED_VALUE"""),"Italy")</f>
        <v>Italy</v>
      </c>
      <c r="M994" s="27" t="str">
        <f aca="false">IFERROR(__xludf.dummyfunction("""COMPUTED_VALUE"""),"(Diff)")</f>
        <v>(Diff)</v>
      </c>
      <c r="N994" s="25"/>
      <c r="O994" s="25"/>
      <c r="P994" s="25"/>
      <c r="Q994" s="29" t="s">
        <v>224</v>
      </c>
      <c r="R994" s="8" t="str">
        <f aca="false">B994&amp;" "&amp;C994&amp;" "&amp;D994&amp;" "&amp;E994&amp;" "&amp;G994&amp;" "&amp;H994&amp;" "&amp;J994&amp;" "&amp;N994</f>
        <v>Differentials Binders &amp; Additives     CIF Italy (Diff) </v>
      </c>
      <c r="S994" s="25"/>
      <c r="T994" s="8"/>
      <c r="U994" s="8"/>
      <c r="V994" s="27" t="s">
        <v>49</v>
      </c>
      <c r="W994" s="25"/>
      <c r="X994" s="25"/>
      <c r="Y994" s="25"/>
      <c r="Z994" s="25"/>
      <c r="AA994" s="25"/>
      <c r="AB994" s="25"/>
      <c r="AC994" s="25"/>
      <c r="AD994" s="25"/>
    </row>
    <row r="995" customFormat="false" ht="15.75" hidden="false" customHeight="false" outlineLevel="0" collapsed="false">
      <c r="A995" s="28" t="s">
        <v>1369</v>
      </c>
      <c r="B995" s="27" t="s">
        <v>438</v>
      </c>
      <c r="C995" s="27" t="s">
        <v>211</v>
      </c>
      <c r="D995" s="25"/>
      <c r="E995" s="25"/>
      <c r="F995" s="25"/>
      <c r="G995" s="25"/>
      <c r="H995" s="25"/>
      <c r="I995" s="25"/>
      <c r="J995" s="27" t="s">
        <v>1356</v>
      </c>
      <c r="K995" s="25" t="str">
        <f aca="false">IFERROR(__xludf.dummyfunction("SPLIT(J995,"" "")"),"CIF")</f>
        <v>CIF</v>
      </c>
      <c r="L995" s="28" t="str">
        <f aca="false">IFERROR(__xludf.dummyfunction("""COMPUTED_VALUE"""),"Italy")</f>
        <v>Italy</v>
      </c>
      <c r="M995" s="27" t="str">
        <f aca="false">IFERROR(__xludf.dummyfunction("""COMPUTED_VALUE"""),"(Diff)")</f>
        <v>(Diff)</v>
      </c>
      <c r="N995" s="25"/>
      <c r="O995" s="25"/>
      <c r="P995" s="25"/>
      <c r="Q995" s="29" t="s">
        <v>222</v>
      </c>
      <c r="R995" s="8" t="str">
        <f aca="false">B995&amp;" "&amp;C995&amp;" "&amp;D995&amp;" "&amp;E995&amp;" "&amp;G995&amp;" "&amp;H995&amp;" "&amp;J995&amp;" "&amp;N995</f>
        <v>Differentials Binders &amp; Additives     CIF Italy (Diff) </v>
      </c>
      <c r="S995" s="25"/>
      <c r="T995" s="8"/>
      <c r="U995" s="8"/>
      <c r="V995" s="27" t="s">
        <v>49</v>
      </c>
      <c r="W995" s="25"/>
      <c r="X995" s="25"/>
      <c r="Y995" s="25"/>
      <c r="Z995" s="25"/>
      <c r="AA995" s="25"/>
      <c r="AB995" s="25"/>
      <c r="AC995" s="25"/>
      <c r="AD995" s="25"/>
    </row>
    <row r="996" customFormat="false" ht="15.75" hidden="false" customHeight="false" outlineLevel="0" collapsed="false">
      <c r="A996" s="28" t="s">
        <v>1370</v>
      </c>
      <c r="B996" s="27" t="s">
        <v>438</v>
      </c>
      <c r="C996" s="27" t="s">
        <v>211</v>
      </c>
      <c r="D996" s="25"/>
      <c r="E996" s="25"/>
      <c r="F996" s="25"/>
      <c r="G996" s="25"/>
      <c r="H996" s="25"/>
      <c r="I996" s="25"/>
      <c r="J996" s="27" t="s">
        <v>1356</v>
      </c>
      <c r="K996" s="25" t="str">
        <f aca="false">IFERROR(__xludf.dummyfunction("SPLIT(J996,"" "")"),"CIF")</f>
        <v>CIF</v>
      </c>
      <c r="L996" s="28" t="str">
        <f aca="false">IFERROR(__xludf.dummyfunction("""COMPUTED_VALUE"""),"Italy")</f>
        <v>Italy</v>
      </c>
      <c r="M996" s="27" t="str">
        <f aca="false">IFERROR(__xludf.dummyfunction("""COMPUTED_VALUE"""),"(Diff)")</f>
        <v>(Diff)</v>
      </c>
      <c r="N996" s="25"/>
      <c r="O996" s="25"/>
      <c r="P996" s="25"/>
      <c r="Q996" s="29" t="s">
        <v>220</v>
      </c>
      <c r="R996" s="8" t="str">
        <f aca="false">B996&amp;" "&amp;C996&amp;" "&amp;D996&amp;" "&amp;E996&amp;" "&amp;G996&amp;" "&amp;H996&amp;" "&amp;J996&amp;" "&amp;N996</f>
        <v>Differentials Binders &amp; Additives     CIF Italy (Diff) </v>
      </c>
      <c r="S996" s="25"/>
      <c r="T996" s="8"/>
      <c r="U996" s="8"/>
      <c r="V996" s="27" t="s">
        <v>49</v>
      </c>
      <c r="W996" s="25"/>
      <c r="X996" s="25"/>
      <c r="Y996" s="25"/>
      <c r="Z996" s="25"/>
      <c r="AA996" s="25"/>
      <c r="AB996" s="25"/>
      <c r="AC996" s="25"/>
      <c r="AD996" s="25"/>
    </row>
    <row r="997" customFormat="false" ht="15.75" hidden="false" customHeight="false" outlineLevel="0" collapsed="false">
      <c r="A997" s="28" t="s">
        <v>1371</v>
      </c>
      <c r="B997" s="27" t="s">
        <v>438</v>
      </c>
      <c r="C997" s="27" t="s">
        <v>211</v>
      </c>
      <c r="D997" s="25"/>
      <c r="E997" s="25"/>
      <c r="F997" s="25"/>
      <c r="G997" s="25"/>
      <c r="H997" s="25"/>
      <c r="I997" s="25"/>
      <c r="J997" s="27" t="s">
        <v>1356</v>
      </c>
      <c r="K997" s="25" t="str">
        <f aca="false">IFERROR(__xludf.dummyfunction("SPLIT(J997,"" "")"),"CIF")</f>
        <v>CIF</v>
      </c>
      <c r="L997" s="28" t="str">
        <f aca="false">IFERROR(__xludf.dummyfunction("""COMPUTED_VALUE"""),"Italy")</f>
        <v>Italy</v>
      </c>
      <c r="M997" s="27" t="str">
        <f aca="false">IFERROR(__xludf.dummyfunction("""COMPUTED_VALUE"""),"(Diff)")</f>
        <v>(Diff)</v>
      </c>
      <c r="N997" s="25"/>
      <c r="O997" s="25"/>
      <c r="P997" s="25"/>
      <c r="Q997" s="29" t="s">
        <v>218</v>
      </c>
      <c r="R997" s="8" t="str">
        <f aca="false">B997&amp;" "&amp;C997&amp;" "&amp;D997&amp;" "&amp;E997&amp;" "&amp;G997&amp;" "&amp;H997&amp;" "&amp;J997&amp;" "&amp;N997</f>
        <v>Differentials Binders &amp; Additives     CIF Italy (Diff) </v>
      </c>
      <c r="S997" s="25"/>
      <c r="T997" s="8"/>
      <c r="U997" s="8"/>
      <c r="V997" s="36" t="s">
        <v>1372</v>
      </c>
      <c r="W997" s="25"/>
      <c r="X997" s="25"/>
      <c r="Y997" s="25"/>
      <c r="Z997" s="25"/>
      <c r="AA997" s="25"/>
      <c r="AB997" s="25"/>
      <c r="AC997" s="25"/>
      <c r="AD997" s="25"/>
    </row>
    <row r="998" customFormat="false" ht="15.75" hidden="false" customHeight="false" outlineLevel="0" collapsed="false">
      <c r="A998" s="28" t="s">
        <v>1373</v>
      </c>
      <c r="B998" s="27" t="s">
        <v>438</v>
      </c>
      <c r="C998" s="27" t="s">
        <v>211</v>
      </c>
      <c r="D998" s="25"/>
      <c r="E998" s="25"/>
      <c r="F998" s="25"/>
      <c r="G998" s="25"/>
      <c r="H998" s="25"/>
      <c r="I998" s="25"/>
      <c r="J998" s="27" t="s">
        <v>1356</v>
      </c>
      <c r="K998" s="25" t="str">
        <f aca="false">IFERROR(__xludf.dummyfunction("SPLIT(J998,"" "")"),"CIF")</f>
        <v>CIF</v>
      </c>
      <c r="L998" s="28" t="str">
        <f aca="false">IFERROR(__xludf.dummyfunction("""COMPUTED_VALUE"""),"Italy")</f>
        <v>Italy</v>
      </c>
      <c r="M998" s="27" t="str">
        <f aca="false">IFERROR(__xludf.dummyfunction("""COMPUTED_VALUE"""),"(Diff)")</f>
        <v>(Diff)</v>
      </c>
      <c r="N998" s="25"/>
      <c r="O998" s="25"/>
      <c r="P998" s="25"/>
      <c r="Q998" s="29" t="s">
        <v>215</v>
      </c>
      <c r="R998" s="8" t="str">
        <f aca="false">B998&amp;" "&amp;C998&amp;" "&amp;D998&amp;" "&amp;E998&amp;" "&amp;G998&amp;" "&amp;H998&amp;" "&amp;J998&amp;" "&amp;N998</f>
        <v>Differentials Binders &amp; Additives     CIF Italy (Diff) </v>
      </c>
      <c r="S998" s="25"/>
      <c r="T998" s="8"/>
      <c r="U998" s="8"/>
      <c r="V998" s="25"/>
      <c r="W998" s="25"/>
      <c r="X998" s="25"/>
      <c r="Y998" s="25"/>
      <c r="Z998" s="25"/>
      <c r="AA998" s="25"/>
      <c r="AB998" s="25"/>
      <c r="AC998" s="25"/>
      <c r="AD998" s="25"/>
    </row>
    <row r="999" customFormat="false" ht="15.75" hidden="false" customHeight="false" outlineLevel="0" collapsed="false">
      <c r="A999" s="28" t="s">
        <v>1374</v>
      </c>
      <c r="B999" s="27" t="s">
        <v>438</v>
      </c>
      <c r="C999" s="27" t="s">
        <v>211</v>
      </c>
      <c r="D999" s="25"/>
      <c r="E999" s="25"/>
      <c r="F999" s="25"/>
      <c r="G999" s="25"/>
      <c r="H999" s="25"/>
      <c r="I999" s="25"/>
      <c r="J999" s="27" t="s">
        <v>1356</v>
      </c>
      <c r="K999" s="25" t="str">
        <f aca="false">IFERROR(__xludf.dummyfunction("SPLIT(J999,"" "")"),"CIF")</f>
        <v>CIF</v>
      </c>
      <c r="L999" s="28" t="str">
        <f aca="false">IFERROR(__xludf.dummyfunction("""COMPUTED_VALUE"""),"Italy")</f>
        <v>Italy</v>
      </c>
      <c r="M999" s="27" t="str">
        <f aca="false">IFERROR(__xludf.dummyfunction("""COMPUTED_VALUE"""),"(Diff)")</f>
        <v>(Diff)</v>
      </c>
      <c r="N999" s="25"/>
      <c r="O999" s="25"/>
      <c r="P999" s="25"/>
      <c r="Q999" s="29" t="s">
        <v>213</v>
      </c>
      <c r="R999" s="8" t="str">
        <f aca="false">B999&amp;" "&amp;C999&amp;" "&amp;D999&amp;" "&amp;E999&amp;" "&amp;G999&amp;" "&amp;H999&amp;" "&amp;J999&amp;" "&amp;N999</f>
        <v>Differentials Binders &amp; Additives     CIF Italy (Diff) </v>
      </c>
      <c r="S999" s="25"/>
      <c r="T999" s="8"/>
      <c r="U999" s="8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customFormat="false" ht="15.75" hidden="false" customHeight="false" outlineLevel="0" collapsed="false">
      <c r="A1000" s="28" t="s">
        <v>1375</v>
      </c>
      <c r="B1000" s="27" t="s">
        <v>438</v>
      </c>
      <c r="C1000" s="27" t="s">
        <v>236</v>
      </c>
      <c r="D1000" s="25"/>
      <c r="E1000" s="25"/>
      <c r="F1000" s="25"/>
      <c r="G1000" s="25"/>
      <c r="H1000" s="25"/>
      <c r="I1000" s="25"/>
      <c r="J1000" s="27" t="s">
        <v>1356</v>
      </c>
      <c r="K1000" s="25" t="str">
        <f aca="false">IFERROR(__xludf.dummyfunction("SPLIT(J1000,"" "")"),"CIF")</f>
        <v>CIF</v>
      </c>
      <c r="L1000" s="28" t="str">
        <f aca="false">IFERROR(__xludf.dummyfunction("""COMPUTED_VALUE"""),"Italy")</f>
        <v>Italy</v>
      </c>
      <c r="M1000" s="27" t="str">
        <f aca="false">IFERROR(__xludf.dummyfunction("""COMPUTED_VALUE"""),"(Diff)")</f>
        <v>(Diff)</v>
      </c>
      <c r="N1000" s="25"/>
      <c r="O1000" s="25"/>
      <c r="P1000" s="25"/>
      <c r="Q1000" s="29" t="s">
        <v>271</v>
      </c>
      <c r="R1000" s="8" t="str">
        <f aca="false">B1000&amp;" "&amp;C1000&amp;" "&amp;D1000&amp;" "&amp;E1000&amp;" "&amp;G1000&amp;" "&amp;H1000&amp;" "&amp;J1000&amp;" "&amp;N1000</f>
        <v>Differentials Cathode     CIF Italy (Diff) </v>
      </c>
      <c r="S1000" s="25"/>
      <c r="T1000" s="8"/>
      <c r="U1000" s="8"/>
      <c r="V1000" s="25"/>
      <c r="W1000" s="25"/>
      <c r="X1000" s="25"/>
      <c r="Y1000" s="25"/>
      <c r="Z1000" s="25"/>
      <c r="AA1000" s="25"/>
      <c r="AB1000" s="25"/>
      <c r="AC1000" s="25"/>
      <c r="AD1000" s="25"/>
    </row>
    <row r="1001" customFormat="false" ht="15.75" hidden="false" customHeight="false" outlineLevel="0" collapsed="false">
      <c r="A1001" s="28" t="s">
        <v>1376</v>
      </c>
      <c r="B1001" s="27" t="s">
        <v>438</v>
      </c>
      <c r="C1001" s="27" t="s">
        <v>236</v>
      </c>
      <c r="D1001" s="25"/>
      <c r="E1001" s="25"/>
      <c r="F1001" s="25"/>
      <c r="G1001" s="25"/>
      <c r="H1001" s="25"/>
      <c r="I1001" s="25"/>
      <c r="J1001" s="27" t="s">
        <v>1356</v>
      </c>
      <c r="K1001" s="25" t="str">
        <f aca="false">IFERROR(__xludf.dummyfunction("SPLIT(J1001,"" "")"),"CIF")</f>
        <v>CIF</v>
      </c>
      <c r="L1001" s="28" t="str">
        <f aca="false">IFERROR(__xludf.dummyfunction("""COMPUTED_VALUE"""),"Italy")</f>
        <v>Italy</v>
      </c>
      <c r="M1001" s="27" t="str">
        <f aca="false">IFERROR(__xludf.dummyfunction("""COMPUTED_VALUE"""),"(Diff)")</f>
        <v>(Diff)</v>
      </c>
      <c r="N1001" s="25"/>
      <c r="O1001" s="25"/>
      <c r="P1001" s="25"/>
      <c r="Q1001" s="29" t="s">
        <v>266</v>
      </c>
      <c r="R1001" s="8" t="str">
        <f aca="false">B1001&amp;" "&amp;C1001&amp;" "&amp;D1001&amp;" "&amp;E1001&amp;" "&amp;G1001&amp;" "&amp;H1001&amp;" "&amp;J1001&amp;" "&amp;N1001</f>
        <v>Differentials Cathode     CIF Italy (Diff) </v>
      </c>
      <c r="S1001" s="25"/>
      <c r="T1001" s="8"/>
      <c r="U1001" s="8"/>
      <c r="V1001" s="25"/>
      <c r="W1001" s="25"/>
      <c r="X1001" s="25"/>
      <c r="Y1001" s="25"/>
      <c r="Z1001" s="25"/>
      <c r="AA1001" s="25"/>
      <c r="AB1001" s="25"/>
      <c r="AC1001" s="25"/>
      <c r="AD1001" s="25"/>
    </row>
    <row r="1002" customFormat="false" ht="15.75" hidden="false" customHeight="false" outlineLevel="0" collapsed="false">
      <c r="A1002" s="28" t="s">
        <v>1377</v>
      </c>
      <c r="B1002" s="27" t="s">
        <v>438</v>
      </c>
      <c r="C1002" s="27" t="s">
        <v>236</v>
      </c>
      <c r="D1002" s="25"/>
      <c r="E1002" s="25"/>
      <c r="F1002" s="25"/>
      <c r="G1002" s="25"/>
      <c r="H1002" s="25"/>
      <c r="I1002" s="25"/>
      <c r="J1002" s="27" t="s">
        <v>1356</v>
      </c>
      <c r="K1002" s="25" t="str">
        <f aca="false">IFERROR(__xludf.dummyfunction("SPLIT(J1002,"" "")"),"CIF")</f>
        <v>CIF</v>
      </c>
      <c r="L1002" s="28" t="str">
        <f aca="false">IFERROR(__xludf.dummyfunction("""COMPUTED_VALUE"""),"Italy")</f>
        <v>Italy</v>
      </c>
      <c r="M1002" s="27" t="str">
        <f aca="false">IFERROR(__xludf.dummyfunction("""COMPUTED_VALUE"""),"(Diff)")</f>
        <v>(Diff)</v>
      </c>
      <c r="N1002" s="25"/>
      <c r="O1002" s="25"/>
      <c r="P1002" s="25"/>
      <c r="Q1002" s="29" t="s">
        <v>261</v>
      </c>
      <c r="R1002" s="8" t="str">
        <f aca="false">B1002&amp;" "&amp;C1002&amp;" "&amp;D1002&amp;" "&amp;E1002&amp;" "&amp;G1002&amp;" "&amp;H1002&amp;" "&amp;J1002&amp;" "&amp;N1002</f>
        <v>Differentials Cathode     CIF Italy (Diff) </v>
      </c>
      <c r="S1002" s="25"/>
      <c r="T1002" s="8"/>
      <c r="U1002" s="8"/>
      <c r="V1002" s="36" t="s">
        <v>1378</v>
      </c>
      <c r="W1002" s="25"/>
      <c r="X1002" s="25"/>
      <c r="Y1002" s="25"/>
      <c r="Z1002" s="25"/>
      <c r="AA1002" s="25"/>
      <c r="AB1002" s="25"/>
      <c r="AC1002" s="25"/>
      <c r="AD1002" s="25"/>
    </row>
    <row r="1003" customFormat="false" ht="15.75" hidden="false" customHeight="false" outlineLevel="0" collapsed="false">
      <c r="A1003" s="28" t="s">
        <v>1379</v>
      </c>
      <c r="B1003" s="27" t="s">
        <v>438</v>
      </c>
      <c r="C1003" s="27" t="s">
        <v>236</v>
      </c>
      <c r="D1003" s="25"/>
      <c r="E1003" s="25"/>
      <c r="F1003" s="25"/>
      <c r="G1003" s="25"/>
      <c r="H1003" s="25"/>
      <c r="I1003" s="25"/>
      <c r="J1003" s="27" t="s">
        <v>1356</v>
      </c>
      <c r="K1003" s="25" t="str">
        <f aca="false">IFERROR(__xludf.dummyfunction("SPLIT(J1003,"" "")"),"CIF")</f>
        <v>CIF</v>
      </c>
      <c r="L1003" s="28" t="str">
        <f aca="false">IFERROR(__xludf.dummyfunction("""COMPUTED_VALUE"""),"Italy")</f>
        <v>Italy</v>
      </c>
      <c r="M1003" s="27" t="str">
        <f aca="false">IFERROR(__xludf.dummyfunction("""COMPUTED_VALUE"""),"(Diff)")</f>
        <v>(Diff)</v>
      </c>
      <c r="N1003" s="25"/>
      <c r="O1003" s="25"/>
      <c r="P1003" s="25"/>
      <c r="Q1003" s="29" t="s">
        <v>256</v>
      </c>
      <c r="R1003" s="8" t="str">
        <f aca="false">B1003&amp;" "&amp;C1003&amp;" "&amp;D1003&amp;" "&amp;E1003&amp;" "&amp;G1003&amp;" "&amp;H1003&amp;" "&amp;J1003&amp;" "&amp;N1003</f>
        <v>Differentials Cathode     CIF Italy (Diff) </v>
      </c>
      <c r="S1003" s="25"/>
      <c r="T1003" s="8"/>
      <c r="U1003" s="8"/>
      <c r="V1003" s="25"/>
      <c r="W1003" s="25"/>
      <c r="X1003" s="25"/>
      <c r="Y1003" s="25"/>
      <c r="Z1003" s="25"/>
      <c r="AA1003" s="25"/>
      <c r="AB1003" s="25"/>
      <c r="AC1003" s="25"/>
      <c r="AD1003" s="25"/>
    </row>
    <row r="1004" customFormat="false" ht="15.75" hidden="false" customHeight="false" outlineLevel="0" collapsed="false">
      <c r="A1004" s="28" t="s">
        <v>1380</v>
      </c>
      <c r="B1004" s="27" t="s">
        <v>438</v>
      </c>
      <c r="C1004" s="27" t="s">
        <v>236</v>
      </c>
      <c r="D1004" s="25"/>
      <c r="E1004" s="25"/>
      <c r="F1004" s="25"/>
      <c r="G1004" s="25"/>
      <c r="H1004" s="25"/>
      <c r="I1004" s="25"/>
      <c r="J1004" s="27" t="s">
        <v>1356</v>
      </c>
      <c r="K1004" s="25" t="str">
        <f aca="false">IFERROR(__xludf.dummyfunction("SPLIT(J1004,"" "")"),"CIF")</f>
        <v>CIF</v>
      </c>
      <c r="L1004" s="28" t="str">
        <f aca="false">IFERROR(__xludf.dummyfunction("""COMPUTED_VALUE"""),"Italy")</f>
        <v>Italy</v>
      </c>
      <c r="M1004" s="27" t="str">
        <f aca="false">IFERROR(__xludf.dummyfunction("""COMPUTED_VALUE"""),"(Diff)")</f>
        <v>(Diff)</v>
      </c>
      <c r="N1004" s="25"/>
      <c r="O1004" s="25"/>
      <c r="P1004" s="25"/>
      <c r="Q1004" s="29" t="s">
        <v>251</v>
      </c>
      <c r="R1004" s="8" t="str">
        <f aca="false">B1004&amp;" "&amp;C1004&amp;" "&amp;D1004&amp;" "&amp;E1004&amp;" "&amp;G1004&amp;" "&amp;H1004&amp;" "&amp;J1004&amp;" "&amp;N1004</f>
        <v>Differentials Cathode     CIF Italy (Diff) </v>
      </c>
      <c r="S1004" s="25"/>
      <c r="T1004" s="8"/>
      <c r="U1004" s="8"/>
      <c r="V1004" s="25"/>
      <c r="W1004" s="25"/>
      <c r="X1004" s="25"/>
      <c r="Y1004" s="25"/>
      <c r="Z1004" s="25"/>
      <c r="AA1004" s="25"/>
      <c r="AB1004" s="25"/>
      <c r="AC1004" s="25"/>
      <c r="AD1004" s="25"/>
    </row>
    <row r="1005" customFormat="false" ht="15.75" hidden="false" customHeight="false" outlineLevel="0" collapsed="false">
      <c r="A1005" s="28" t="s">
        <v>1381</v>
      </c>
      <c r="B1005" s="27" t="s">
        <v>438</v>
      </c>
      <c r="C1005" s="27" t="s">
        <v>236</v>
      </c>
      <c r="D1005" s="25"/>
      <c r="E1005" s="25"/>
      <c r="F1005" s="25"/>
      <c r="G1005" s="25"/>
      <c r="H1005" s="25"/>
      <c r="I1005" s="25"/>
      <c r="J1005" s="27" t="s">
        <v>1356</v>
      </c>
      <c r="K1005" s="25" t="str">
        <f aca="false">IFERROR(__xludf.dummyfunction("SPLIT(J1005,"" "")"),"CIF")</f>
        <v>CIF</v>
      </c>
      <c r="L1005" s="28" t="str">
        <f aca="false">IFERROR(__xludf.dummyfunction("""COMPUTED_VALUE"""),"Italy")</f>
        <v>Italy</v>
      </c>
      <c r="M1005" s="27" t="str">
        <f aca="false">IFERROR(__xludf.dummyfunction("""COMPUTED_VALUE"""),"(Diff)")</f>
        <v>(Diff)</v>
      </c>
      <c r="N1005" s="25"/>
      <c r="O1005" s="25"/>
      <c r="P1005" s="25"/>
      <c r="Q1005" s="29" t="s">
        <v>247</v>
      </c>
      <c r="R1005" s="8" t="str">
        <f aca="false">B1005&amp;" "&amp;C1005&amp;" "&amp;D1005&amp;" "&amp;E1005&amp;" "&amp;G1005&amp;" "&amp;H1005&amp;" "&amp;J1005&amp;" "&amp;N1005</f>
        <v>Differentials Cathode     CIF Italy (Diff) </v>
      </c>
      <c r="S1005" s="25"/>
      <c r="T1005" s="8"/>
      <c r="U1005" s="8"/>
      <c r="V1005" s="25"/>
      <c r="W1005" s="25"/>
      <c r="X1005" s="25"/>
      <c r="Y1005" s="25"/>
      <c r="Z1005" s="25"/>
      <c r="AA1005" s="25"/>
      <c r="AB1005" s="25"/>
      <c r="AC1005" s="25"/>
      <c r="AD1005" s="25"/>
    </row>
    <row r="1006" customFormat="false" ht="15.75" hidden="false" customHeight="false" outlineLevel="0" collapsed="false">
      <c r="A1006" s="28" t="s">
        <v>1382</v>
      </c>
      <c r="B1006" s="27" t="s">
        <v>438</v>
      </c>
      <c r="C1006" s="27" t="s">
        <v>236</v>
      </c>
      <c r="D1006" s="25"/>
      <c r="E1006" s="25"/>
      <c r="F1006" s="25"/>
      <c r="G1006" s="25"/>
      <c r="H1006" s="25"/>
      <c r="I1006" s="25"/>
      <c r="J1006" s="27" t="s">
        <v>1356</v>
      </c>
      <c r="K1006" s="25" t="str">
        <f aca="false">IFERROR(__xludf.dummyfunction("SPLIT(J1006,"" "")"),"CIF")</f>
        <v>CIF</v>
      </c>
      <c r="L1006" s="28" t="str">
        <f aca="false">IFERROR(__xludf.dummyfunction("""COMPUTED_VALUE"""),"Italy")</f>
        <v>Italy</v>
      </c>
      <c r="M1006" s="27" t="str">
        <f aca="false">IFERROR(__xludf.dummyfunction("""COMPUTED_VALUE"""),"(Diff)")</f>
        <v>(Diff)</v>
      </c>
      <c r="N1006" s="25"/>
      <c r="O1006" s="25"/>
      <c r="P1006" s="25"/>
      <c r="Q1006" s="29" t="s">
        <v>243</v>
      </c>
      <c r="R1006" s="8" t="str">
        <f aca="false">B1006&amp;" "&amp;C1006&amp;" "&amp;D1006&amp;" "&amp;E1006&amp;" "&amp;G1006&amp;" "&amp;H1006&amp;" "&amp;J1006&amp;" "&amp;N1006</f>
        <v>Differentials Cathode     CIF Italy (Diff) </v>
      </c>
      <c r="S1006" s="25"/>
      <c r="T1006" s="8"/>
      <c r="U1006" s="8"/>
      <c r="V1006" s="25"/>
      <c r="W1006" s="25"/>
      <c r="X1006" s="25"/>
      <c r="Y1006" s="25"/>
      <c r="Z1006" s="25"/>
      <c r="AA1006" s="25"/>
      <c r="AB1006" s="25"/>
      <c r="AC1006" s="25"/>
      <c r="AD1006" s="25"/>
    </row>
    <row r="1007" customFormat="false" ht="15.75" hidden="false" customHeight="false" outlineLevel="0" collapsed="false">
      <c r="A1007" s="28" t="s">
        <v>1383</v>
      </c>
      <c r="B1007" s="27" t="s">
        <v>438</v>
      </c>
      <c r="C1007" s="27" t="s">
        <v>236</v>
      </c>
      <c r="D1007" s="25"/>
      <c r="E1007" s="25"/>
      <c r="F1007" s="25"/>
      <c r="G1007" s="25"/>
      <c r="H1007" s="25"/>
      <c r="I1007" s="25"/>
      <c r="J1007" s="27" t="s">
        <v>1356</v>
      </c>
      <c r="K1007" s="25" t="str">
        <f aca="false">IFERROR(__xludf.dummyfunction("SPLIT(J1007,"" "")"),"CIF")</f>
        <v>CIF</v>
      </c>
      <c r="L1007" s="28" t="str">
        <f aca="false">IFERROR(__xludf.dummyfunction("""COMPUTED_VALUE"""),"Italy")</f>
        <v>Italy</v>
      </c>
      <c r="M1007" s="27" t="str">
        <f aca="false">IFERROR(__xludf.dummyfunction("""COMPUTED_VALUE"""),"(Diff)")</f>
        <v>(Diff)</v>
      </c>
      <c r="N1007" s="25"/>
      <c r="O1007" s="25"/>
      <c r="P1007" s="25"/>
      <c r="Q1007" s="29" t="s">
        <v>239</v>
      </c>
      <c r="R1007" s="8" t="str">
        <f aca="false">B1007&amp;" "&amp;C1007&amp;" "&amp;D1007&amp;" "&amp;E1007&amp;" "&amp;G1007&amp;" "&amp;H1007&amp;" "&amp;J1007&amp;" "&amp;N1007</f>
        <v>Differentials Cathode     CIF Italy (Diff) </v>
      </c>
      <c r="S1007" s="25"/>
      <c r="T1007" s="8"/>
      <c r="U1007" s="8"/>
      <c r="V1007" s="25"/>
      <c r="W1007" s="25"/>
      <c r="X1007" s="25"/>
      <c r="Y1007" s="25"/>
      <c r="Z1007" s="25"/>
      <c r="AA1007" s="25"/>
      <c r="AB1007" s="25"/>
      <c r="AC1007" s="25"/>
      <c r="AD1007" s="25"/>
    </row>
    <row r="1008" customFormat="false" ht="15.75" hidden="false" customHeight="false" outlineLevel="0" collapsed="false">
      <c r="A1008" s="28" t="s">
        <v>1384</v>
      </c>
      <c r="B1008" s="27" t="s">
        <v>438</v>
      </c>
      <c r="C1008" s="27" t="s">
        <v>289</v>
      </c>
      <c r="D1008" s="25"/>
      <c r="E1008" s="25"/>
      <c r="F1008" s="25"/>
      <c r="G1008" s="25"/>
      <c r="H1008" s="25"/>
      <c r="I1008" s="25"/>
      <c r="J1008" s="27" t="s">
        <v>1356</v>
      </c>
      <c r="K1008" s="25" t="str">
        <f aca="false">IFERROR(__xludf.dummyfunction("SPLIT(J1008,"" "")"),"CIF")</f>
        <v>CIF</v>
      </c>
      <c r="L1008" s="28" t="str">
        <f aca="false">IFERROR(__xludf.dummyfunction("""COMPUTED_VALUE"""),"Italy")</f>
        <v>Italy</v>
      </c>
      <c r="M1008" s="27" t="str">
        <f aca="false">IFERROR(__xludf.dummyfunction("""COMPUTED_VALUE"""),"(Diff)")</f>
        <v>(Diff)</v>
      </c>
      <c r="N1008" s="25"/>
      <c r="O1008" s="25"/>
      <c r="P1008" s="25"/>
      <c r="Q1008" s="29" t="s">
        <v>306</v>
      </c>
      <c r="R1008" s="8" t="str">
        <f aca="false">B1008&amp;" "&amp;C1008&amp;" "&amp;D1008&amp;" "&amp;E1008&amp;" "&amp;G1008&amp;" "&amp;H1008&amp;" "&amp;J1008&amp;" "&amp;N1008</f>
        <v>Differentials Electrolyte     CIF Italy (Diff) </v>
      </c>
      <c r="S1008" s="25"/>
      <c r="T1008" s="8"/>
      <c r="U1008" s="8"/>
      <c r="V1008" s="25"/>
      <c r="W1008" s="25"/>
      <c r="X1008" s="25"/>
      <c r="Y1008" s="25"/>
      <c r="Z1008" s="25"/>
      <c r="AA1008" s="25"/>
      <c r="AB1008" s="25"/>
      <c r="AC1008" s="25"/>
      <c r="AD1008" s="25"/>
    </row>
    <row r="1009" customFormat="false" ht="15.75" hidden="false" customHeight="false" outlineLevel="0" collapsed="false">
      <c r="A1009" s="28" t="s">
        <v>1385</v>
      </c>
      <c r="B1009" s="27" t="s">
        <v>438</v>
      </c>
      <c r="C1009" s="27" t="s">
        <v>289</v>
      </c>
      <c r="D1009" s="25"/>
      <c r="E1009" s="25"/>
      <c r="F1009" s="25"/>
      <c r="G1009" s="25"/>
      <c r="H1009" s="25"/>
      <c r="I1009" s="25"/>
      <c r="J1009" s="27" t="s">
        <v>1356</v>
      </c>
      <c r="K1009" s="25" t="str">
        <f aca="false">IFERROR(__xludf.dummyfunction("SPLIT(J1009,"" "")"),"CIF")</f>
        <v>CIF</v>
      </c>
      <c r="L1009" s="28" t="str">
        <f aca="false">IFERROR(__xludf.dummyfunction("""COMPUTED_VALUE"""),"Italy")</f>
        <v>Italy</v>
      </c>
      <c r="M1009" s="27" t="str">
        <f aca="false">IFERROR(__xludf.dummyfunction("""COMPUTED_VALUE"""),"(Diff)")</f>
        <v>(Diff)</v>
      </c>
      <c r="N1009" s="25"/>
      <c r="O1009" s="25"/>
      <c r="P1009" s="25"/>
      <c r="Q1009" s="29" t="s">
        <v>304</v>
      </c>
      <c r="R1009" s="8" t="str">
        <f aca="false">B1009&amp;" "&amp;C1009&amp;" "&amp;D1009&amp;" "&amp;E1009&amp;" "&amp;G1009&amp;" "&amp;H1009&amp;" "&amp;J1009&amp;" "&amp;N1009</f>
        <v>Differentials Electrolyte     CIF Italy (Diff) </v>
      </c>
      <c r="S1009" s="25"/>
      <c r="T1009" s="8"/>
      <c r="U1009" s="8"/>
      <c r="V1009" s="25"/>
      <c r="W1009" s="25"/>
      <c r="X1009" s="25"/>
      <c r="Y1009" s="25"/>
      <c r="Z1009" s="25"/>
      <c r="AA1009" s="25"/>
      <c r="AB1009" s="25"/>
      <c r="AC1009" s="25"/>
      <c r="AD1009" s="25"/>
    </row>
    <row r="1010" customFormat="false" ht="15.75" hidden="false" customHeight="false" outlineLevel="0" collapsed="false">
      <c r="A1010" s="28" t="s">
        <v>1386</v>
      </c>
      <c r="B1010" s="27" t="s">
        <v>438</v>
      </c>
      <c r="C1010" s="27" t="s">
        <v>289</v>
      </c>
      <c r="D1010" s="25"/>
      <c r="E1010" s="25"/>
      <c r="F1010" s="25"/>
      <c r="G1010" s="25"/>
      <c r="H1010" s="25"/>
      <c r="I1010" s="25"/>
      <c r="J1010" s="27" t="s">
        <v>1356</v>
      </c>
      <c r="K1010" s="25" t="str">
        <f aca="false">IFERROR(__xludf.dummyfunction("SPLIT(J1010,"" "")"),"CIF")</f>
        <v>CIF</v>
      </c>
      <c r="L1010" s="28" t="str">
        <f aca="false">IFERROR(__xludf.dummyfunction("""COMPUTED_VALUE"""),"Italy")</f>
        <v>Italy</v>
      </c>
      <c r="M1010" s="27" t="str">
        <f aca="false">IFERROR(__xludf.dummyfunction("""COMPUTED_VALUE"""),"(Diff)")</f>
        <v>(Diff)</v>
      </c>
      <c r="N1010" s="25"/>
      <c r="O1010" s="25"/>
      <c r="P1010" s="25"/>
      <c r="Q1010" s="29" t="s">
        <v>302</v>
      </c>
      <c r="R1010" s="8" t="str">
        <f aca="false">B1010&amp;" "&amp;C1010&amp;" "&amp;D1010&amp;" "&amp;E1010&amp;" "&amp;G1010&amp;" "&amp;H1010&amp;" "&amp;J1010&amp;" "&amp;N1010</f>
        <v>Differentials Electrolyte     CIF Italy (Diff) </v>
      </c>
      <c r="S1010" s="25"/>
      <c r="T1010" s="8"/>
      <c r="U1010" s="8"/>
      <c r="V1010" s="25"/>
      <c r="W1010" s="25"/>
      <c r="X1010" s="25"/>
      <c r="Y1010" s="25"/>
      <c r="Z1010" s="25"/>
      <c r="AA1010" s="25"/>
      <c r="AB1010" s="25"/>
      <c r="AC1010" s="25"/>
      <c r="AD1010" s="25"/>
    </row>
    <row r="1011" customFormat="false" ht="15.75" hidden="false" customHeight="false" outlineLevel="0" collapsed="false">
      <c r="A1011" s="28" t="s">
        <v>1387</v>
      </c>
      <c r="B1011" s="27" t="s">
        <v>438</v>
      </c>
      <c r="C1011" s="27" t="s">
        <v>289</v>
      </c>
      <c r="D1011" s="25"/>
      <c r="E1011" s="25"/>
      <c r="F1011" s="25"/>
      <c r="G1011" s="25"/>
      <c r="H1011" s="25"/>
      <c r="I1011" s="25"/>
      <c r="J1011" s="27" t="s">
        <v>1356</v>
      </c>
      <c r="K1011" s="25" t="str">
        <f aca="false">IFERROR(__xludf.dummyfunction("SPLIT(J1011,"" "")"),"CIF")</f>
        <v>CIF</v>
      </c>
      <c r="L1011" s="28" t="str">
        <f aca="false">IFERROR(__xludf.dummyfunction("""COMPUTED_VALUE"""),"Italy")</f>
        <v>Italy</v>
      </c>
      <c r="M1011" s="27" t="str">
        <f aca="false">IFERROR(__xludf.dummyfunction("""COMPUTED_VALUE"""),"(Diff)")</f>
        <v>(Diff)</v>
      </c>
      <c r="N1011" s="25"/>
      <c r="O1011" s="25"/>
      <c r="P1011" s="25"/>
      <c r="Q1011" s="29" t="s">
        <v>300</v>
      </c>
      <c r="R1011" s="8" t="str">
        <f aca="false">B1011&amp;" "&amp;C1011&amp;" "&amp;D1011&amp;" "&amp;E1011&amp;" "&amp;G1011&amp;" "&amp;H1011&amp;" "&amp;J1011&amp;" "&amp;N1011</f>
        <v>Differentials Electrolyte     CIF Italy (Diff) </v>
      </c>
      <c r="S1011" s="25"/>
      <c r="T1011" s="8"/>
      <c r="U1011" s="8"/>
      <c r="V1011" s="25"/>
      <c r="W1011" s="25"/>
      <c r="X1011" s="25"/>
      <c r="Y1011" s="25"/>
      <c r="Z1011" s="25"/>
      <c r="AA1011" s="25"/>
      <c r="AB1011" s="25"/>
      <c r="AC1011" s="25"/>
      <c r="AD1011" s="25"/>
    </row>
    <row r="1012" customFormat="false" ht="15.75" hidden="false" customHeight="false" outlineLevel="0" collapsed="false">
      <c r="A1012" s="28" t="s">
        <v>1388</v>
      </c>
      <c r="B1012" s="27" t="s">
        <v>438</v>
      </c>
      <c r="C1012" s="27" t="s">
        <v>289</v>
      </c>
      <c r="D1012" s="25"/>
      <c r="E1012" s="25"/>
      <c r="F1012" s="25"/>
      <c r="G1012" s="25"/>
      <c r="H1012" s="25"/>
      <c r="I1012" s="25"/>
      <c r="J1012" s="27" t="s">
        <v>1356</v>
      </c>
      <c r="K1012" s="25" t="str">
        <f aca="false">IFERROR(__xludf.dummyfunction("SPLIT(J1012,"" "")"),"CIF")</f>
        <v>CIF</v>
      </c>
      <c r="L1012" s="28" t="str">
        <f aca="false">IFERROR(__xludf.dummyfunction("""COMPUTED_VALUE"""),"Italy")</f>
        <v>Italy</v>
      </c>
      <c r="M1012" s="27" t="str">
        <f aca="false">IFERROR(__xludf.dummyfunction("""COMPUTED_VALUE"""),"(Diff)")</f>
        <v>(Diff)</v>
      </c>
      <c r="N1012" s="25"/>
      <c r="O1012" s="25"/>
      <c r="P1012" s="25"/>
      <c r="Q1012" s="29" t="s">
        <v>298</v>
      </c>
      <c r="R1012" s="8" t="str">
        <f aca="false">B1012&amp;" "&amp;C1012&amp;" "&amp;D1012&amp;" "&amp;E1012&amp;" "&amp;G1012&amp;" "&amp;H1012&amp;" "&amp;J1012&amp;" "&amp;N1012</f>
        <v>Differentials Electrolyte     CIF Italy (Diff) </v>
      </c>
      <c r="S1012" s="25"/>
      <c r="T1012" s="8"/>
      <c r="U1012" s="8"/>
      <c r="V1012" s="25"/>
      <c r="W1012" s="25"/>
      <c r="X1012" s="25"/>
      <c r="Y1012" s="25"/>
      <c r="Z1012" s="25"/>
      <c r="AA1012" s="25"/>
      <c r="AB1012" s="25"/>
      <c r="AC1012" s="25"/>
      <c r="AD1012" s="25"/>
    </row>
    <row r="1013" customFormat="false" ht="15.75" hidden="false" customHeight="false" outlineLevel="0" collapsed="false">
      <c r="A1013" s="28" t="s">
        <v>1389</v>
      </c>
      <c r="B1013" s="27" t="s">
        <v>438</v>
      </c>
      <c r="C1013" s="27" t="s">
        <v>289</v>
      </c>
      <c r="D1013" s="25"/>
      <c r="E1013" s="25"/>
      <c r="F1013" s="25"/>
      <c r="G1013" s="25"/>
      <c r="H1013" s="25"/>
      <c r="I1013" s="25"/>
      <c r="J1013" s="27" t="s">
        <v>1356</v>
      </c>
      <c r="K1013" s="25" t="str">
        <f aca="false">IFERROR(__xludf.dummyfunction("SPLIT(J1013,"" "")"),"CIF")</f>
        <v>CIF</v>
      </c>
      <c r="L1013" s="28" t="str">
        <f aca="false">IFERROR(__xludf.dummyfunction("""COMPUTED_VALUE"""),"Italy")</f>
        <v>Italy</v>
      </c>
      <c r="M1013" s="27" t="str">
        <f aca="false">IFERROR(__xludf.dummyfunction("""COMPUTED_VALUE"""),"(Diff)")</f>
        <v>(Diff)</v>
      </c>
      <c r="N1013" s="25"/>
      <c r="O1013" s="25"/>
      <c r="P1013" s="25"/>
      <c r="Q1013" s="29" t="s">
        <v>296</v>
      </c>
      <c r="R1013" s="8" t="str">
        <f aca="false">B1013&amp;" "&amp;C1013&amp;" "&amp;D1013&amp;" "&amp;E1013&amp;" "&amp;G1013&amp;" "&amp;H1013&amp;" "&amp;J1013&amp;" "&amp;N1013</f>
        <v>Differentials Electrolyte     CIF Italy (Diff) </v>
      </c>
      <c r="S1013" s="25"/>
      <c r="T1013" s="8"/>
      <c r="U1013" s="8"/>
      <c r="V1013" s="25"/>
      <c r="W1013" s="25"/>
      <c r="X1013" s="25"/>
      <c r="Y1013" s="25"/>
      <c r="Z1013" s="25"/>
      <c r="AA1013" s="25"/>
      <c r="AB1013" s="25"/>
      <c r="AC1013" s="25"/>
      <c r="AD1013" s="25"/>
    </row>
    <row r="1014" customFormat="false" ht="15.75" hidden="false" customHeight="false" outlineLevel="0" collapsed="false">
      <c r="A1014" s="28" t="s">
        <v>1390</v>
      </c>
      <c r="B1014" s="27" t="s">
        <v>438</v>
      </c>
      <c r="C1014" s="27" t="s">
        <v>289</v>
      </c>
      <c r="D1014" s="25"/>
      <c r="E1014" s="25"/>
      <c r="F1014" s="25"/>
      <c r="G1014" s="25"/>
      <c r="H1014" s="25"/>
      <c r="I1014" s="25"/>
      <c r="J1014" s="27" t="s">
        <v>1356</v>
      </c>
      <c r="K1014" s="25" t="str">
        <f aca="false">IFERROR(__xludf.dummyfunction("SPLIT(J1014,"" "")"),"CIF")</f>
        <v>CIF</v>
      </c>
      <c r="L1014" s="28" t="str">
        <f aca="false">IFERROR(__xludf.dummyfunction("""COMPUTED_VALUE"""),"Italy")</f>
        <v>Italy</v>
      </c>
      <c r="M1014" s="27" t="str">
        <f aca="false">IFERROR(__xludf.dummyfunction("""COMPUTED_VALUE"""),"(Diff)")</f>
        <v>(Diff)</v>
      </c>
      <c r="N1014" s="25"/>
      <c r="O1014" s="25"/>
      <c r="P1014" s="25"/>
      <c r="Q1014" s="29" t="s">
        <v>294</v>
      </c>
      <c r="R1014" s="8" t="str">
        <f aca="false">B1014&amp;" "&amp;C1014&amp;" "&amp;D1014&amp;" "&amp;E1014&amp;" "&amp;G1014&amp;" "&amp;H1014&amp;" "&amp;J1014&amp;" "&amp;N1014</f>
        <v>Differentials Electrolyte     CIF Italy (Diff) </v>
      </c>
      <c r="S1014" s="25"/>
      <c r="T1014" s="8"/>
      <c r="U1014" s="8"/>
      <c r="V1014" s="25"/>
      <c r="W1014" s="25"/>
      <c r="X1014" s="25"/>
      <c r="Y1014" s="25"/>
      <c r="Z1014" s="25"/>
      <c r="AA1014" s="25"/>
      <c r="AB1014" s="25"/>
      <c r="AC1014" s="25"/>
      <c r="AD1014" s="25"/>
    </row>
    <row r="1015" customFormat="false" ht="15.75" hidden="false" customHeight="false" outlineLevel="0" collapsed="false">
      <c r="A1015" s="28" t="s">
        <v>1391</v>
      </c>
      <c r="B1015" s="27" t="s">
        <v>438</v>
      </c>
      <c r="C1015" s="27" t="s">
        <v>289</v>
      </c>
      <c r="D1015" s="25"/>
      <c r="E1015" s="25"/>
      <c r="F1015" s="25"/>
      <c r="G1015" s="25"/>
      <c r="H1015" s="25"/>
      <c r="I1015" s="25"/>
      <c r="J1015" s="27" t="s">
        <v>1356</v>
      </c>
      <c r="K1015" s="25" t="str">
        <f aca="false">IFERROR(__xludf.dummyfunction("SPLIT(J1015,"" "")"),"CIF")</f>
        <v>CIF</v>
      </c>
      <c r="L1015" s="28" t="str">
        <f aca="false">IFERROR(__xludf.dummyfunction("""COMPUTED_VALUE"""),"Italy")</f>
        <v>Italy</v>
      </c>
      <c r="M1015" s="27" t="str">
        <f aca="false">IFERROR(__xludf.dummyfunction("""COMPUTED_VALUE"""),"(Diff)")</f>
        <v>(Diff)</v>
      </c>
      <c r="N1015" s="25"/>
      <c r="O1015" s="25"/>
      <c r="P1015" s="25"/>
      <c r="Q1015" s="29" t="s">
        <v>291</v>
      </c>
      <c r="R1015" s="8" t="str">
        <f aca="false">B1015&amp;" "&amp;C1015&amp;" "&amp;D1015&amp;" "&amp;E1015&amp;" "&amp;G1015&amp;" "&amp;H1015&amp;" "&amp;J1015&amp;" "&amp;N1015</f>
        <v>Differentials Electrolyte     CIF Italy (Diff) </v>
      </c>
      <c r="S1015" s="25"/>
      <c r="T1015" s="8"/>
      <c r="U1015" s="8"/>
      <c r="V1015" s="25"/>
      <c r="W1015" s="25"/>
      <c r="X1015" s="25"/>
      <c r="Y1015" s="25"/>
      <c r="Z1015" s="25"/>
      <c r="AA1015" s="25"/>
      <c r="AB1015" s="25"/>
      <c r="AC1015" s="25"/>
      <c r="AD1015" s="25"/>
    </row>
    <row r="1016" customFormat="false" ht="15.75" hidden="false" customHeight="false" outlineLevel="0" collapsed="false">
      <c r="A1016" s="28" t="s">
        <v>1392</v>
      </c>
      <c r="B1016" s="27" t="s">
        <v>438</v>
      </c>
      <c r="C1016" s="27" t="s">
        <v>308</v>
      </c>
      <c r="D1016" s="25"/>
      <c r="E1016" s="25"/>
      <c r="F1016" s="25"/>
      <c r="G1016" s="25"/>
      <c r="H1016" s="25"/>
      <c r="I1016" s="25"/>
      <c r="J1016" s="27" t="s">
        <v>1356</v>
      </c>
      <c r="K1016" s="25" t="str">
        <f aca="false">IFERROR(__xludf.dummyfunction("SPLIT(J1016,"" "")"),"CIF")</f>
        <v>CIF</v>
      </c>
      <c r="L1016" s="28" t="str">
        <f aca="false">IFERROR(__xludf.dummyfunction("""COMPUTED_VALUE"""),"Italy")</f>
        <v>Italy</v>
      </c>
      <c r="M1016" s="27" t="str">
        <f aca="false">IFERROR(__xludf.dummyfunction("""COMPUTED_VALUE"""),"(Diff)")</f>
        <v>(Diff)</v>
      </c>
      <c r="N1016" s="25"/>
      <c r="O1016" s="25"/>
      <c r="P1016" s="25"/>
      <c r="Q1016" s="29" t="s">
        <v>358</v>
      </c>
      <c r="R1016" s="8" t="str">
        <f aca="false">B1016&amp;" "&amp;C1016&amp;" "&amp;D1016&amp;" "&amp;E1016&amp;" "&amp;G1016&amp;" "&amp;H1016&amp;" "&amp;J1016&amp;" "&amp;N1016</f>
        <v>Differentials Graphite     CIF Italy (Diff) </v>
      </c>
      <c r="S1016" s="25"/>
      <c r="T1016" s="8"/>
      <c r="U1016" s="8"/>
      <c r="V1016" s="25"/>
      <c r="W1016" s="25"/>
      <c r="X1016" s="25"/>
      <c r="Y1016" s="25"/>
      <c r="Z1016" s="25"/>
      <c r="AA1016" s="25"/>
      <c r="AB1016" s="25"/>
      <c r="AC1016" s="25"/>
      <c r="AD1016" s="25"/>
    </row>
    <row r="1017" customFormat="false" ht="15.75" hidden="false" customHeight="false" outlineLevel="0" collapsed="false">
      <c r="A1017" s="28" t="s">
        <v>1393</v>
      </c>
      <c r="B1017" s="27" t="s">
        <v>438</v>
      </c>
      <c r="C1017" s="27" t="s">
        <v>308</v>
      </c>
      <c r="D1017" s="25"/>
      <c r="E1017" s="25"/>
      <c r="F1017" s="25"/>
      <c r="G1017" s="25"/>
      <c r="H1017" s="25"/>
      <c r="I1017" s="25"/>
      <c r="J1017" s="27" t="s">
        <v>1356</v>
      </c>
      <c r="K1017" s="25" t="str">
        <f aca="false">IFERROR(__xludf.dummyfunction("SPLIT(J1017,"" "")"),"CIF")</f>
        <v>CIF</v>
      </c>
      <c r="L1017" s="28" t="str">
        <f aca="false">IFERROR(__xludf.dummyfunction("""COMPUTED_VALUE"""),"Italy")</f>
        <v>Italy</v>
      </c>
      <c r="M1017" s="27" t="str">
        <f aca="false">IFERROR(__xludf.dummyfunction("""COMPUTED_VALUE"""),"(Diff)")</f>
        <v>(Diff)</v>
      </c>
      <c r="N1017" s="25"/>
      <c r="O1017" s="25"/>
      <c r="P1017" s="25"/>
      <c r="Q1017" s="29" t="s">
        <v>356</v>
      </c>
      <c r="R1017" s="8" t="str">
        <f aca="false">B1017&amp;" "&amp;C1017&amp;" "&amp;D1017&amp;" "&amp;E1017&amp;" "&amp;G1017&amp;" "&amp;H1017&amp;" "&amp;J1017&amp;" "&amp;N1017</f>
        <v>Differentials Graphite     CIF Italy (Diff) </v>
      </c>
      <c r="S1017" s="25"/>
      <c r="T1017" s="8"/>
      <c r="U1017" s="8"/>
      <c r="V1017" s="25"/>
      <c r="W1017" s="25"/>
      <c r="X1017" s="25"/>
      <c r="Y1017" s="25"/>
      <c r="Z1017" s="25"/>
      <c r="AA1017" s="25"/>
      <c r="AB1017" s="25"/>
      <c r="AC1017" s="25"/>
      <c r="AD1017" s="25"/>
    </row>
    <row r="1018" customFormat="false" ht="15.75" hidden="false" customHeight="false" outlineLevel="0" collapsed="false">
      <c r="A1018" s="28" t="s">
        <v>1394</v>
      </c>
      <c r="B1018" s="27" t="s">
        <v>438</v>
      </c>
      <c r="C1018" s="27" t="s">
        <v>308</v>
      </c>
      <c r="D1018" s="25"/>
      <c r="E1018" s="25"/>
      <c r="F1018" s="25"/>
      <c r="G1018" s="25"/>
      <c r="H1018" s="25"/>
      <c r="I1018" s="25"/>
      <c r="J1018" s="27" t="s">
        <v>1356</v>
      </c>
      <c r="K1018" s="25" t="str">
        <f aca="false">IFERROR(__xludf.dummyfunction("SPLIT(J1018,"" "")"),"CIF")</f>
        <v>CIF</v>
      </c>
      <c r="L1018" s="28" t="str">
        <f aca="false">IFERROR(__xludf.dummyfunction("""COMPUTED_VALUE"""),"Italy")</f>
        <v>Italy</v>
      </c>
      <c r="M1018" s="27" t="str">
        <f aca="false">IFERROR(__xludf.dummyfunction("""COMPUTED_VALUE"""),"(Diff)")</f>
        <v>(Diff)</v>
      </c>
      <c r="N1018" s="25"/>
      <c r="O1018" s="25"/>
      <c r="P1018" s="25"/>
      <c r="Q1018" s="29" t="s">
        <v>354</v>
      </c>
      <c r="R1018" s="8" t="str">
        <f aca="false">B1018&amp;" "&amp;C1018&amp;" "&amp;D1018&amp;" "&amp;E1018&amp;" "&amp;G1018&amp;" "&amp;H1018&amp;" "&amp;J1018&amp;" "&amp;N1018</f>
        <v>Differentials Graphite     CIF Italy (Diff) </v>
      </c>
      <c r="S1018" s="25"/>
      <c r="T1018" s="8"/>
      <c r="U1018" s="8"/>
      <c r="V1018" s="25"/>
      <c r="W1018" s="25"/>
      <c r="X1018" s="25"/>
      <c r="Y1018" s="25"/>
      <c r="Z1018" s="25"/>
      <c r="AA1018" s="25"/>
      <c r="AB1018" s="25"/>
      <c r="AC1018" s="25"/>
      <c r="AD1018" s="25"/>
    </row>
    <row r="1019" customFormat="false" ht="15.75" hidden="false" customHeight="false" outlineLevel="0" collapsed="false">
      <c r="A1019" s="28" t="s">
        <v>1395</v>
      </c>
      <c r="B1019" s="27" t="s">
        <v>438</v>
      </c>
      <c r="C1019" s="27" t="s">
        <v>308</v>
      </c>
      <c r="D1019" s="25"/>
      <c r="E1019" s="25"/>
      <c r="F1019" s="25"/>
      <c r="G1019" s="25"/>
      <c r="H1019" s="25"/>
      <c r="I1019" s="25"/>
      <c r="J1019" s="27" t="s">
        <v>1356</v>
      </c>
      <c r="K1019" s="25" t="str">
        <f aca="false">IFERROR(__xludf.dummyfunction("SPLIT(J1019,"" "")"),"CIF")</f>
        <v>CIF</v>
      </c>
      <c r="L1019" s="28" t="str">
        <f aca="false">IFERROR(__xludf.dummyfunction("""COMPUTED_VALUE"""),"Italy")</f>
        <v>Italy</v>
      </c>
      <c r="M1019" s="27" t="str">
        <f aca="false">IFERROR(__xludf.dummyfunction("""COMPUTED_VALUE"""),"(Diff)")</f>
        <v>(Diff)</v>
      </c>
      <c r="N1019" s="25"/>
      <c r="O1019" s="25"/>
      <c r="P1019" s="25"/>
      <c r="Q1019" s="29" t="s">
        <v>352</v>
      </c>
      <c r="R1019" s="8" t="str">
        <f aca="false">B1019&amp;" "&amp;C1019&amp;" "&amp;D1019&amp;" "&amp;E1019&amp;" "&amp;G1019&amp;" "&amp;H1019&amp;" "&amp;J1019&amp;" "&amp;N1019</f>
        <v>Differentials Graphite     CIF Italy (Diff) </v>
      </c>
      <c r="S1019" s="25"/>
      <c r="T1019" s="8"/>
      <c r="U1019" s="8"/>
      <c r="V1019" s="25"/>
      <c r="W1019" s="25"/>
      <c r="X1019" s="25"/>
      <c r="Y1019" s="25"/>
      <c r="Z1019" s="25"/>
      <c r="AA1019" s="25"/>
      <c r="AB1019" s="25"/>
      <c r="AC1019" s="25"/>
      <c r="AD1019" s="25"/>
    </row>
    <row r="1020" customFormat="false" ht="15.75" hidden="false" customHeight="false" outlineLevel="0" collapsed="false">
      <c r="A1020" s="28" t="s">
        <v>1396</v>
      </c>
      <c r="B1020" s="27" t="s">
        <v>438</v>
      </c>
      <c r="C1020" s="27" t="s">
        <v>308</v>
      </c>
      <c r="D1020" s="25"/>
      <c r="E1020" s="25"/>
      <c r="F1020" s="25"/>
      <c r="G1020" s="25"/>
      <c r="H1020" s="25"/>
      <c r="I1020" s="25"/>
      <c r="J1020" s="27" t="s">
        <v>1356</v>
      </c>
      <c r="K1020" s="25" t="str">
        <f aca="false">IFERROR(__xludf.dummyfunction("SPLIT(J1020,"" "")"),"CIF")</f>
        <v>CIF</v>
      </c>
      <c r="L1020" s="28" t="str">
        <f aca="false">IFERROR(__xludf.dummyfunction("""COMPUTED_VALUE"""),"Italy")</f>
        <v>Italy</v>
      </c>
      <c r="M1020" s="27" t="str">
        <f aca="false">IFERROR(__xludf.dummyfunction("""COMPUTED_VALUE"""),"(Diff)")</f>
        <v>(Diff)</v>
      </c>
      <c r="N1020" s="25"/>
      <c r="O1020" s="25"/>
      <c r="P1020" s="25"/>
      <c r="Q1020" s="29" t="s">
        <v>350</v>
      </c>
      <c r="R1020" s="8" t="str">
        <f aca="false">B1020&amp;" "&amp;C1020&amp;" "&amp;D1020&amp;" "&amp;E1020&amp;" "&amp;G1020&amp;" "&amp;H1020&amp;" "&amp;J1020&amp;" "&amp;N1020</f>
        <v>Differentials Graphite     CIF Italy (Diff) </v>
      </c>
      <c r="S1020" s="25"/>
      <c r="T1020" s="8"/>
      <c r="U1020" s="8"/>
      <c r="V1020" s="25"/>
      <c r="W1020" s="25"/>
      <c r="X1020" s="25"/>
      <c r="Y1020" s="25"/>
      <c r="Z1020" s="25"/>
      <c r="AA1020" s="25"/>
      <c r="AB1020" s="25"/>
      <c r="AC1020" s="25"/>
      <c r="AD1020" s="25"/>
    </row>
    <row r="1021" customFormat="false" ht="15.75" hidden="false" customHeight="false" outlineLevel="0" collapsed="false">
      <c r="A1021" s="28" t="s">
        <v>1397</v>
      </c>
      <c r="B1021" s="27" t="s">
        <v>438</v>
      </c>
      <c r="C1021" s="27" t="s">
        <v>308</v>
      </c>
      <c r="D1021" s="25"/>
      <c r="E1021" s="25"/>
      <c r="F1021" s="25"/>
      <c r="G1021" s="25"/>
      <c r="H1021" s="25"/>
      <c r="I1021" s="25"/>
      <c r="J1021" s="27" t="s">
        <v>1356</v>
      </c>
      <c r="K1021" s="25" t="str">
        <f aca="false">IFERROR(__xludf.dummyfunction("SPLIT(J1021,"" "")"),"CIF")</f>
        <v>CIF</v>
      </c>
      <c r="L1021" s="28" t="str">
        <f aca="false">IFERROR(__xludf.dummyfunction("""COMPUTED_VALUE"""),"Italy")</f>
        <v>Italy</v>
      </c>
      <c r="M1021" s="27" t="str">
        <f aca="false">IFERROR(__xludf.dummyfunction("""COMPUTED_VALUE"""),"(Diff)")</f>
        <v>(Diff)</v>
      </c>
      <c r="N1021" s="25"/>
      <c r="O1021" s="25"/>
      <c r="P1021" s="25"/>
      <c r="Q1021" s="29" t="s">
        <v>347</v>
      </c>
      <c r="R1021" s="8" t="str">
        <f aca="false">B1021&amp;" "&amp;C1021&amp;" "&amp;D1021&amp;" "&amp;E1021&amp;" "&amp;G1021&amp;" "&amp;H1021&amp;" "&amp;J1021&amp;" "&amp;N1021</f>
        <v>Differentials Graphite     CIF Italy (Diff) </v>
      </c>
      <c r="S1021" s="25"/>
      <c r="T1021" s="8"/>
      <c r="U1021" s="8"/>
      <c r="V1021" s="25"/>
      <c r="W1021" s="25"/>
      <c r="X1021" s="25"/>
      <c r="Y1021" s="25"/>
      <c r="Z1021" s="25"/>
      <c r="AA1021" s="25"/>
      <c r="AB1021" s="25"/>
      <c r="AC1021" s="25"/>
      <c r="AD1021" s="25"/>
    </row>
    <row r="1022" customFormat="false" ht="15.75" hidden="false" customHeight="false" outlineLevel="0" collapsed="false">
      <c r="A1022" s="28" t="s">
        <v>1398</v>
      </c>
      <c r="B1022" s="27" t="s">
        <v>438</v>
      </c>
      <c r="C1022" s="27" t="s">
        <v>308</v>
      </c>
      <c r="D1022" s="25"/>
      <c r="E1022" s="25"/>
      <c r="F1022" s="25"/>
      <c r="G1022" s="25"/>
      <c r="H1022" s="25"/>
      <c r="I1022" s="25"/>
      <c r="J1022" s="27" t="s">
        <v>1356</v>
      </c>
      <c r="K1022" s="25" t="str">
        <f aca="false">IFERROR(__xludf.dummyfunction("SPLIT(J1022,"" "")"),"CIF")</f>
        <v>CIF</v>
      </c>
      <c r="L1022" s="28" t="str">
        <f aca="false">IFERROR(__xludf.dummyfunction("""COMPUTED_VALUE"""),"Italy")</f>
        <v>Italy</v>
      </c>
      <c r="M1022" s="27" t="str">
        <f aca="false">IFERROR(__xludf.dummyfunction("""COMPUTED_VALUE"""),"(Diff)")</f>
        <v>(Diff)</v>
      </c>
      <c r="N1022" s="25"/>
      <c r="O1022" s="25"/>
      <c r="P1022" s="25"/>
      <c r="Q1022" s="29" t="s">
        <v>344</v>
      </c>
      <c r="R1022" s="8" t="str">
        <f aca="false">B1022&amp;" "&amp;C1022&amp;" "&amp;D1022&amp;" "&amp;E1022&amp;" "&amp;G1022&amp;" "&amp;H1022&amp;" "&amp;J1022&amp;" "&amp;N1022</f>
        <v>Differentials Graphite     CIF Italy (Diff) </v>
      </c>
      <c r="S1022" s="25"/>
      <c r="T1022" s="8"/>
      <c r="U1022" s="8"/>
      <c r="V1022" s="25"/>
      <c r="W1022" s="25"/>
      <c r="X1022" s="25"/>
      <c r="Y1022" s="25"/>
      <c r="Z1022" s="25"/>
      <c r="AA1022" s="25"/>
      <c r="AB1022" s="25"/>
      <c r="AC1022" s="25"/>
      <c r="AD1022" s="25"/>
    </row>
    <row r="1023" customFormat="false" ht="15.75" hidden="false" customHeight="false" outlineLevel="0" collapsed="false">
      <c r="A1023" s="28" t="s">
        <v>1399</v>
      </c>
      <c r="B1023" s="27" t="s">
        <v>438</v>
      </c>
      <c r="C1023" s="27" t="s">
        <v>308</v>
      </c>
      <c r="D1023" s="25"/>
      <c r="E1023" s="25"/>
      <c r="F1023" s="25"/>
      <c r="G1023" s="25"/>
      <c r="H1023" s="25"/>
      <c r="I1023" s="25"/>
      <c r="J1023" s="27" t="s">
        <v>1356</v>
      </c>
      <c r="K1023" s="25" t="str">
        <f aca="false">IFERROR(__xludf.dummyfunction("SPLIT(J1023,"" "")"),"CIF")</f>
        <v>CIF</v>
      </c>
      <c r="L1023" s="28" t="str">
        <f aca="false">IFERROR(__xludf.dummyfunction("""COMPUTED_VALUE"""),"Italy")</f>
        <v>Italy</v>
      </c>
      <c r="M1023" s="27" t="str">
        <f aca="false">IFERROR(__xludf.dummyfunction("""COMPUTED_VALUE"""),"(Diff)")</f>
        <v>(Diff)</v>
      </c>
      <c r="N1023" s="25"/>
      <c r="O1023" s="25"/>
      <c r="P1023" s="25"/>
      <c r="Q1023" s="29" t="s">
        <v>340</v>
      </c>
      <c r="R1023" s="8" t="str">
        <f aca="false">B1023&amp;" "&amp;C1023&amp;" "&amp;D1023&amp;" "&amp;E1023&amp;" "&amp;G1023&amp;" "&amp;H1023&amp;" "&amp;J1023&amp;" "&amp;N1023</f>
        <v>Differentials Graphite     CIF Italy (Diff) </v>
      </c>
      <c r="S1023" s="25"/>
      <c r="T1023" s="8"/>
      <c r="U1023" s="8"/>
      <c r="V1023" s="25"/>
      <c r="W1023" s="25"/>
      <c r="X1023" s="25"/>
      <c r="Y1023" s="25"/>
      <c r="Z1023" s="25"/>
      <c r="AA1023" s="25"/>
      <c r="AB1023" s="25"/>
      <c r="AC1023" s="25"/>
      <c r="AD1023" s="25"/>
    </row>
    <row r="1024" customFormat="false" ht="15.75" hidden="false" customHeight="false" outlineLevel="0" collapsed="false">
      <c r="A1024" s="28" t="s">
        <v>1400</v>
      </c>
      <c r="B1024" s="27" t="s">
        <v>438</v>
      </c>
      <c r="C1024" s="27" t="s">
        <v>308</v>
      </c>
      <c r="D1024" s="25"/>
      <c r="E1024" s="25"/>
      <c r="F1024" s="25"/>
      <c r="G1024" s="25"/>
      <c r="H1024" s="25"/>
      <c r="I1024" s="25"/>
      <c r="J1024" s="27" t="s">
        <v>1356</v>
      </c>
      <c r="K1024" s="25" t="str">
        <f aca="false">IFERROR(__xludf.dummyfunction("SPLIT(J1024,"" "")"),"CIF")</f>
        <v>CIF</v>
      </c>
      <c r="L1024" s="28" t="str">
        <f aca="false">IFERROR(__xludf.dummyfunction("""COMPUTED_VALUE"""),"Italy")</f>
        <v>Italy</v>
      </c>
      <c r="M1024" s="27" t="str">
        <f aca="false">IFERROR(__xludf.dummyfunction("""COMPUTED_VALUE"""),"(Diff)")</f>
        <v>(Diff)</v>
      </c>
      <c r="N1024" s="25"/>
      <c r="O1024" s="25"/>
      <c r="P1024" s="25"/>
      <c r="Q1024" s="29" t="s">
        <v>338</v>
      </c>
      <c r="R1024" s="8" t="str">
        <f aca="false">B1024&amp;" "&amp;C1024&amp;" "&amp;D1024&amp;" "&amp;E1024&amp;" "&amp;G1024&amp;" "&amp;H1024&amp;" "&amp;J1024&amp;" "&amp;N1024</f>
        <v>Differentials Graphite     CIF Italy (Diff) </v>
      </c>
      <c r="S1024" s="25"/>
      <c r="T1024" s="8"/>
      <c r="U1024" s="8"/>
      <c r="V1024" s="25"/>
      <c r="W1024" s="25"/>
      <c r="X1024" s="25"/>
      <c r="Y1024" s="25"/>
      <c r="Z1024" s="25"/>
      <c r="AA1024" s="25"/>
      <c r="AB1024" s="25"/>
      <c r="AC1024" s="25"/>
      <c r="AD1024" s="25"/>
    </row>
    <row r="1025" customFormat="false" ht="15.75" hidden="false" customHeight="false" outlineLevel="0" collapsed="false">
      <c r="A1025" s="28" t="s">
        <v>1401</v>
      </c>
      <c r="B1025" s="27" t="s">
        <v>438</v>
      </c>
      <c r="C1025" s="27" t="s">
        <v>308</v>
      </c>
      <c r="D1025" s="25"/>
      <c r="E1025" s="25"/>
      <c r="F1025" s="25"/>
      <c r="G1025" s="25"/>
      <c r="H1025" s="25"/>
      <c r="I1025" s="25"/>
      <c r="J1025" s="27" t="s">
        <v>1356</v>
      </c>
      <c r="K1025" s="25" t="str">
        <f aca="false">IFERROR(__xludf.dummyfunction("SPLIT(J1025,"" "")"),"CIF")</f>
        <v>CIF</v>
      </c>
      <c r="L1025" s="28" t="str">
        <f aca="false">IFERROR(__xludf.dummyfunction("""COMPUTED_VALUE"""),"Italy")</f>
        <v>Italy</v>
      </c>
      <c r="M1025" s="27" t="str">
        <f aca="false">IFERROR(__xludf.dummyfunction("""COMPUTED_VALUE"""),"(Diff)")</f>
        <v>(Diff)</v>
      </c>
      <c r="N1025" s="25"/>
      <c r="O1025" s="25"/>
      <c r="P1025" s="25"/>
      <c r="Q1025" s="29" t="s">
        <v>335</v>
      </c>
      <c r="R1025" s="8" t="str">
        <f aca="false">B1025&amp;" "&amp;C1025&amp;" "&amp;D1025&amp;" "&amp;E1025&amp;" "&amp;G1025&amp;" "&amp;H1025&amp;" "&amp;J1025&amp;" "&amp;N1025</f>
        <v>Differentials Graphite     CIF Italy (Diff) </v>
      </c>
      <c r="S1025" s="25"/>
      <c r="T1025" s="8"/>
      <c r="U1025" s="8"/>
      <c r="V1025" s="25"/>
      <c r="W1025" s="25"/>
      <c r="X1025" s="25"/>
      <c r="Y1025" s="25"/>
      <c r="Z1025" s="25"/>
      <c r="AA1025" s="25"/>
      <c r="AB1025" s="25"/>
      <c r="AC1025" s="25"/>
      <c r="AD1025" s="25"/>
    </row>
    <row r="1026" customFormat="false" ht="15.75" hidden="false" customHeight="false" outlineLevel="0" collapsed="false">
      <c r="A1026" s="28" t="s">
        <v>1402</v>
      </c>
      <c r="B1026" s="27" t="s">
        <v>438</v>
      </c>
      <c r="C1026" s="27" t="s">
        <v>308</v>
      </c>
      <c r="D1026" s="25"/>
      <c r="E1026" s="25"/>
      <c r="F1026" s="25"/>
      <c r="G1026" s="25"/>
      <c r="H1026" s="25"/>
      <c r="I1026" s="25"/>
      <c r="J1026" s="27" t="s">
        <v>1356</v>
      </c>
      <c r="K1026" s="25" t="str">
        <f aca="false">IFERROR(__xludf.dummyfunction("SPLIT(J1026,"" "")"),"CIF")</f>
        <v>CIF</v>
      </c>
      <c r="L1026" s="28" t="str">
        <f aca="false">IFERROR(__xludf.dummyfunction("""COMPUTED_VALUE"""),"Italy")</f>
        <v>Italy</v>
      </c>
      <c r="M1026" s="27" t="str">
        <f aca="false">IFERROR(__xludf.dummyfunction("""COMPUTED_VALUE"""),"(Diff)")</f>
        <v>(Diff)</v>
      </c>
      <c r="N1026" s="25"/>
      <c r="O1026" s="25"/>
      <c r="P1026" s="25"/>
      <c r="Q1026" s="29" t="s">
        <v>332</v>
      </c>
      <c r="R1026" s="8" t="str">
        <f aca="false">B1026&amp;" "&amp;C1026&amp;" "&amp;D1026&amp;" "&amp;E1026&amp;" "&amp;G1026&amp;" "&amp;H1026&amp;" "&amp;J1026&amp;" "&amp;N1026</f>
        <v>Differentials Graphite     CIF Italy (Diff) </v>
      </c>
      <c r="S1026" s="25"/>
      <c r="T1026" s="8"/>
      <c r="U1026" s="8"/>
      <c r="V1026" s="25"/>
      <c r="W1026" s="25"/>
      <c r="X1026" s="25"/>
      <c r="Y1026" s="25"/>
      <c r="Z1026" s="25"/>
      <c r="AA1026" s="25"/>
      <c r="AB1026" s="25"/>
      <c r="AC1026" s="25"/>
      <c r="AD1026" s="25"/>
    </row>
    <row r="1027" customFormat="false" ht="15.75" hidden="false" customHeight="false" outlineLevel="0" collapsed="false">
      <c r="A1027" s="28" t="s">
        <v>1403</v>
      </c>
      <c r="B1027" s="27" t="s">
        <v>438</v>
      </c>
      <c r="C1027" s="27" t="s">
        <v>308</v>
      </c>
      <c r="D1027" s="25"/>
      <c r="E1027" s="25"/>
      <c r="F1027" s="25"/>
      <c r="G1027" s="25"/>
      <c r="H1027" s="25"/>
      <c r="I1027" s="25"/>
      <c r="J1027" s="27" t="s">
        <v>1356</v>
      </c>
      <c r="K1027" s="25" t="str">
        <f aca="false">IFERROR(__xludf.dummyfunction("SPLIT(J1027,"" "")"),"CIF")</f>
        <v>CIF</v>
      </c>
      <c r="L1027" s="28" t="str">
        <f aca="false">IFERROR(__xludf.dummyfunction("""COMPUTED_VALUE"""),"Italy")</f>
        <v>Italy</v>
      </c>
      <c r="M1027" s="27" t="str">
        <f aca="false">IFERROR(__xludf.dummyfunction("""COMPUTED_VALUE"""),"(Diff)")</f>
        <v>(Diff)</v>
      </c>
      <c r="N1027" s="25"/>
      <c r="O1027" s="25"/>
      <c r="P1027" s="25"/>
      <c r="Q1027" s="29" t="s">
        <v>329</v>
      </c>
      <c r="R1027" s="8" t="str">
        <f aca="false">B1027&amp;" "&amp;C1027&amp;" "&amp;D1027&amp;" "&amp;E1027&amp;" "&amp;G1027&amp;" "&amp;H1027&amp;" "&amp;J1027&amp;" "&amp;N1027</f>
        <v>Differentials Graphite     CIF Italy (Diff) </v>
      </c>
      <c r="S1027" s="25"/>
      <c r="T1027" s="8"/>
      <c r="U1027" s="8"/>
      <c r="V1027" s="25"/>
      <c r="W1027" s="25"/>
      <c r="X1027" s="25"/>
      <c r="Y1027" s="25"/>
      <c r="Z1027" s="25"/>
      <c r="AA1027" s="25"/>
      <c r="AB1027" s="25"/>
      <c r="AC1027" s="25"/>
      <c r="AD1027" s="25"/>
    </row>
    <row r="1028" customFormat="false" ht="15.75" hidden="false" customHeight="false" outlineLevel="0" collapsed="false">
      <c r="A1028" s="28" t="s">
        <v>1404</v>
      </c>
      <c r="B1028" s="27" t="s">
        <v>438</v>
      </c>
      <c r="C1028" s="27" t="s">
        <v>308</v>
      </c>
      <c r="D1028" s="25"/>
      <c r="E1028" s="25"/>
      <c r="F1028" s="25"/>
      <c r="G1028" s="25"/>
      <c r="H1028" s="25"/>
      <c r="I1028" s="25"/>
      <c r="J1028" s="27" t="s">
        <v>1356</v>
      </c>
      <c r="K1028" s="25" t="str">
        <f aca="false">IFERROR(__xludf.dummyfunction("SPLIT(J1028,"" "")"),"CIF")</f>
        <v>CIF</v>
      </c>
      <c r="L1028" s="28" t="str">
        <f aca="false">IFERROR(__xludf.dummyfunction("""COMPUTED_VALUE"""),"Italy")</f>
        <v>Italy</v>
      </c>
      <c r="M1028" s="27" t="str">
        <f aca="false">IFERROR(__xludf.dummyfunction("""COMPUTED_VALUE"""),"(Diff)")</f>
        <v>(Diff)</v>
      </c>
      <c r="N1028" s="25"/>
      <c r="O1028" s="25"/>
      <c r="P1028" s="25"/>
      <c r="Q1028" s="29" t="s">
        <v>326</v>
      </c>
      <c r="R1028" s="8" t="str">
        <f aca="false">B1028&amp;" "&amp;C1028&amp;" "&amp;D1028&amp;" "&amp;E1028&amp;" "&amp;G1028&amp;" "&amp;H1028&amp;" "&amp;J1028&amp;" "&amp;N1028</f>
        <v>Differentials Graphite     CIF Italy (Diff) </v>
      </c>
      <c r="S1028" s="25"/>
      <c r="T1028" s="8"/>
      <c r="U1028" s="8"/>
      <c r="V1028" s="25"/>
      <c r="W1028" s="25"/>
      <c r="X1028" s="25"/>
      <c r="Y1028" s="25"/>
      <c r="Z1028" s="25"/>
      <c r="AA1028" s="25"/>
      <c r="AB1028" s="25"/>
      <c r="AC1028" s="25"/>
      <c r="AD1028" s="25"/>
    </row>
    <row r="1029" customFormat="false" ht="15.75" hidden="false" customHeight="false" outlineLevel="0" collapsed="false">
      <c r="A1029" s="28" t="s">
        <v>1405</v>
      </c>
      <c r="B1029" s="27" t="s">
        <v>438</v>
      </c>
      <c r="C1029" s="27" t="s">
        <v>308</v>
      </c>
      <c r="D1029" s="25"/>
      <c r="E1029" s="25"/>
      <c r="F1029" s="25"/>
      <c r="G1029" s="25"/>
      <c r="H1029" s="25"/>
      <c r="I1029" s="25"/>
      <c r="J1029" s="27" t="s">
        <v>1356</v>
      </c>
      <c r="K1029" s="25" t="str">
        <f aca="false">IFERROR(__xludf.dummyfunction("SPLIT(J1029,"" "")"),"CIF")</f>
        <v>CIF</v>
      </c>
      <c r="L1029" s="28" t="str">
        <f aca="false">IFERROR(__xludf.dummyfunction("""COMPUTED_VALUE"""),"Italy")</f>
        <v>Italy</v>
      </c>
      <c r="M1029" s="27" t="str">
        <f aca="false">IFERROR(__xludf.dummyfunction("""COMPUTED_VALUE"""),"(Diff)")</f>
        <v>(Diff)</v>
      </c>
      <c r="N1029" s="25"/>
      <c r="O1029" s="25"/>
      <c r="P1029" s="25"/>
      <c r="Q1029" s="29" t="s">
        <v>323</v>
      </c>
      <c r="R1029" s="8" t="str">
        <f aca="false">B1029&amp;" "&amp;C1029&amp;" "&amp;D1029&amp;" "&amp;E1029&amp;" "&amp;G1029&amp;" "&amp;H1029&amp;" "&amp;J1029&amp;" "&amp;N1029</f>
        <v>Differentials Graphite     CIF Italy (Diff) </v>
      </c>
      <c r="S1029" s="25"/>
      <c r="T1029" s="8"/>
      <c r="U1029" s="8"/>
      <c r="V1029" s="25"/>
      <c r="W1029" s="25"/>
      <c r="X1029" s="25"/>
      <c r="Y1029" s="25"/>
      <c r="Z1029" s="25"/>
      <c r="AA1029" s="25"/>
      <c r="AB1029" s="25"/>
      <c r="AC1029" s="25"/>
      <c r="AD1029" s="25"/>
    </row>
    <row r="1030" customFormat="false" ht="15.75" hidden="false" customHeight="false" outlineLevel="0" collapsed="false">
      <c r="A1030" s="28" t="s">
        <v>1406</v>
      </c>
      <c r="B1030" s="27" t="s">
        <v>438</v>
      </c>
      <c r="C1030" s="27" t="s">
        <v>308</v>
      </c>
      <c r="D1030" s="25"/>
      <c r="E1030" s="25"/>
      <c r="F1030" s="25"/>
      <c r="G1030" s="25"/>
      <c r="H1030" s="25"/>
      <c r="I1030" s="25"/>
      <c r="J1030" s="27" t="s">
        <v>1356</v>
      </c>
      <c r="K1030" s="25" t="str">
        <f aca="false">IFERROR(__xludf.dummyfunction("SPLIT(J1030,"" "")"),"CIF")</f>
        <v>CIF</v>
      </c>
      <c r="L1030" s="28" t="str">
        <f aca="false">IFERROR(__xludf.dummyfunction("""COMPUTED_VALUE"""),"Italy")</f>
        <v>Italy</v>
      </c>
      <c r="M1030" s="27" t="str">
        <f aca="false">IFERROR(__xludf.dummyfunction("""COMPUTED_VALUE"""),"(Diff)")</f>
        <v>(Diff)</v>
      </c>
      <c r="N1030" s="25"/>
      <c r="O1030" s="25"/>
      <c r="P1030" s="25"/>
      <c r="Q1030" s="29" t="s">
        <v>319</v>
      </c>
      <c r="R1030" s="8" t="str">
        <f aca="false">B1030&amp;" "&amp;C1030&amp;" "&amp;D1030&amp;" "&amp;E1030&amp;" "&amp;G1030&amp;" "&amp;H1030&amp;" "&amp;J1030&amp;" "&amp;N1030</f>
        <v>Differentials Graphite     CIF Italy (Diff) </v>
      </c>
      <c r="S1030" s="25"/>
      <c r="T1030" s="8"/>
      <c r="U1030" s="8"/>
      <c r="V1030" s="25"/>
      <c r="W1030" s="25"/>
      <c r="X1030" s="25"/>
      <c r="Y1030" s="25"/>
      <c r="Z1030" s="25"/>
      <c r="AA1030" s="25"/>
      <c r="AB1030" s="25"/>
      <c r="AC1030" s="25"/>
      <c r="AD1030" s="25"/>
    </row>
    <row r="1031" customFormat="false" ht="15.75" hidden="false" customHeight="false" outlineLevel="0" collapsed="false">
      <c r="A1031" s="28" t="s">
        <v>1407</v>
      </c>
      <c r="B1031" s="27" t="s">
        <v>438</v>
      </c>
      <c r="C1031" s="27" t="s">
        <v>308</v>
      </c>
      <c r="D1031" s="25"/>
      <c r="E1031" s="25"/>
      <c r="F1031" s="25"/>
      <c r="G1031" s="25"/>
      <c r="H1031" s="25"/>
      <c r="I1031" s="25"/>
      <c r="J1031" s="27" t="s">
        <v>1356</v>
      </c>
      <c r="K1031" s="25" t="str">
        <f aca="false">IFERROR(__xludf.dummyfunction("SPLIT(J1031,"" "")"),"CIF")</f>
        <v>CIF</v>
      </c>
      <c r="L1031" s="28" t="str">
        <f aca="false">IFERROR(__xludf.dummyfunction("""COMPUTED_VALUE"""),"Italy")</f>
        <v>Italy</v>
      </c>
      <c r="M1031" s="27" t="str">
        <f aca="false">IFERROR(__xludf.dummyfunction("""COMPUTED_VALUE"""),"(Diff)")</f>
        <v>(Diff)</v>
      </c>
      <c r="N1031" s="25"/>
      <c r="O1031" s="25"/>
      <c r="P1031" s="25"/>
      <c r="Q1031" s="29" t="s">
        <v>315</v>
      </c>
      <c r="R1031" s="8" t="str">
        <f aca="false">B1031&amp;" "&amp;C1031&amp;" "&amp;D1031&amp;" "&amp;E1031&amp;" "&amp;G1031&amp;" "&amp;H1031&amp;" "&amp;J1031&amp;" "&amp;N1031</f>
        <v>Differentials Graphite     CIF Italy (Diff) </v>
      </c>
      <c r="S1031" s="25"/>
      <c r="T1031" s="8"/>
      <c r="U1031" s="8"/>
      <c r="V1031" s="25"/>
      <c r="W1031" s="25"/>
      <c r="X1031" s="25"/>
      <c r="Y1031" s="25"/>
      <c r="Z1031" s="25"/>
      <c r="AA1031" s="25"/>
      <c r="AB1031" s="25"/>
      <c r="AC1031" s="25"/>
      <c r="AD1031" s="25"/>
    </row>
    <row r="1032" customFormat="false" ht="15.75" hidden="false" customHeight="false" outlineLevel="0" collapsed="false">
      <c r="A1032" s="28" t="s">
        <v>1408</v>
      </c>
      <c r="B1032" s="27" t="s">
        <v>438</v>
      </c>
      <c r="C1032" s="27" t="s">
        <v>308</v>
      </c>
      <c r="D1032" s="25"/>
      <c r="E1032" s="25"/>
      <c r="F1032" s="25"/>
      <c r="G1032" s="25"/>
      <c r="H1032" s="25"/>
      <c r="I1032" s="25"/>
      <c r="J1032" s="27" t="s">
        <v>1356</v>
      </c>
      <c r="K1032" s="25" t="str">
        <f aca="false">IFERROR(__xludf.dummyfunction("SPLIT(J1032,"" "")"),"CIF")</f>
        <v>CIF</v>
      </c>
      <c r="L1032" s="28" t="str">
        <f aca="false">IFERROR(__xludf.dummyfunction("""COMPUTED_VALUE"""),"Italy")</f>
        <v>Italy</v>
      </c>
      <c r="M1032" s="27" t="str">
        <f aca="false">IFERROR(__xludf.dummyfunction("""COMPUTED_VALUE"""),"(Diff)")</f>
        <v>(Diff)</v>
      </c>
      <c r="N1032" s="25"/>
      <c r="O1032" s="25"/>
      <c r="P1032" s="25"/>
      <c r="Q1032" s="29" t="s">
        <v>311</v>
      </c>
      <c r="R1032" s="8" t="str">
        <f aca="false">B1032&amp;" "&amp;C1032&amp;" "&amp;D1032&amp;" "&amp;E1032&amp;" "&amp;G1032&amp;" "&amp;H1032&amp;" "&amp;J1032&amp;" "&amp;N1032</f>
        <v>Differentials Graphite     CIF Italy (Diff) </v>
      </c>
      <c r="S1032" s="25"/>
      <c r="T1032" s="8"/>
      <c r="U1032" s="8"/>
      <c r="V1032" s="25"/>
      <c r="W1032" s="25"/>
      <c r="X1032" s="25"/>
      <c r="Y1032" s="25"/>
      <c r="Z1032" s="25"/>
      <c r="AA1032" s="25"/>
      <c r="AB1032" s="25"/>
      <c r="AC1032" s="25"/>
      <c r="AD1032" s="25"/>
    </row>
    <row r="1033" customFormat="false" ht="15.75" hidden="false" customHeight="false" outlineLevel="0" collapsed="false">
      <c r="A1033" s="28" t="s">
        <v>1409</v>
      </c>
      <c r="B1033" s="27" t="s">
        <v>438</v>
      </c>
      <c r="C1033" s="27" t="s">
        <v>408</v>
      </c>
      <c r="D1033" s="25"/>
      <c r="E1033" s="25"/>
      <c r="F1033" s="25"/>
      <c r="G1033" s="25"/>
      <c r="H1033" s="25"/>
      <c r="I1033" s="25"/>
      <c r="J1033" s="27" t="s">
        <v>1356</v>
      </c>
      <c r="K1033" s="25" t="str">
        <f aca="false">IFERROR(__xludf.dummyfunction("SPLIT(J1033,"" "")"),"CIF")</f>
        <v>CIF</v>
      </c>
      <c r="L1033" s="28" t="str">
        <f aca="false">IFERROR(__xludf.dummyfunction("""COMPUTED_VALUE"""),"Italy")</f>
        <v>Italy</v>
      </c>
      <c r="M1033" s="27" t="str">
        <f aca="false">IFERROR(__xludf.dummyfunction("""COMPUTED_VALUE"""),"(Diff)")</f>
        <v>(Diff)</v>
      </c>
      <c r="N1033" s="25"/>
      <c r="O1033" s="25"/>
      <c r="P1033" s="25"/>
      <c r="Q1033" s="29" t="s">
        <v>415</v>
      </c>
      <c r="R1033" s="8" t="str">
        <f aca="false">B1033&amp;" "&amp;C1033&amp;" "&amp;D1033&amp;" "&amp;E1033&amp;" "&amp;G1033&amp;" "&amp;H1033&amp;" "&amp;J1033&amp;" "&amp;N1033</f>
        <v>Differentials Rare Earths     CIF Italy (Diff) </v>
      </c>
      <c r="S1033" s="25"/>
      <c r="T1033" s="8"/>
      <c r="U1033" s="8"/>
      <c r="V1033" s="25"/>
      <c r="W1033" s="25"/>
      <c r="X1033" s="25"/>
      <c r="Y1033" s="25"/>
      <c r="Z1033" s="25"/>
      <c r="AA1033" s="25"/>
      <c r="AB1033" s="25"/>
      <c r="AC1033" s="25"/>
      <c r="AD1033" s="25"/>
    </row>
    <row r="1034" customFormat="false" ht="15.75" hidden="false" customHeight="false" outlineLevel="0" collapsed="false">
      <c r="A1034" s="28" t="s">
        <v>1410</v>
      </c>
      <c r="B1034" s="27" t="s">
        <v>438</v>
      </c>
      <c r="C1034" s="27" t="s">
        <v>408</v>
      </c>
      <c r="D1034" s="25"/>
      <c r="E1034" s="25"/>
      <c r="F1034" s="25"/>
      <c r="G1034" s="25"/>
      <c r="H1034" s="25"/>
      <c r="I1034" s="25"/>
      <c r="J1034" s="27" t="s">
        <v>1356</v>
      </c>
      <c r="K1034" s="25" t="str">
        <f aca="false">IFERROR(__xludf.dummyfunction("SPLIT(J1034,"" "")"),"CIF")</f>
        <v>CIF</v>
      </c>
      <c r="L1034" s="28" t="str">
        <f aca="false">IFERROR(__xludf.dummyfunction("""COMPUTED_VALUE"""),"Italy")</f>
        <v>Italy</v>
      </c>
      <c r="M1034" s="27" t="str">
        <f aca="false">IFERROR(__xludf.dummyfunction("""COMPUTED_VALUE"""),"(Diff)")</f>
        <v>(Diff)</v>
      </c>
      <c r="N1034" s="25"/>
      <c r="O1034" s="25"/>
      <c r="P1034" s="25"/>
      <c r="Q1034" s="29" t="s">
        <v>413</v>
      </c>
      <c r="R1034" s="8" t="str">
        <f aca="false">B1034&amp;" "&amp;C1034&amp;" "&amp;D1034&amp;" "&amp;E1034&amp;" "&amp;G1034&amp;" "&amp;H1034&amp;" "&amp;J1034&amp;" "&amp;N1034</f>
        <v>Differentials Rare Earths     CIF Italy (Diff) </v>
      </c>
      <c r="S1034" s="25"/>
      <c r="T1034" s="8"/>
      <c r="U1034" s="8"/>
      <c r="V1034" s="25"/>
      <c r="W1034" s="25"/>
      <c r="X1034" s="25"/>
      <c r="Y1034" s="25"/>
      <c r="Z1034" s="25"/>
      <c r="AA1034" s="25"/>
      <c r="AB1034" s="25"/>
      <c r="AC1034" s="25"/>
      <c r="AD1034" s="25"/>
    </row>
    <row r="1035" customFormat="false" ht="15.75" hidden="false" customHeight="false" outlineLevel="0" collapsed="false">
      <c r="A1035" s="28" t="s">
        <v>1411</v>
      </c>
      <c r="B1035" s="27" t="s">
        <v>438</v>
      </c>
      <c r="C1035" s="27" t="s">
        <v>408</v>
      </c>
      <c r="D1035" s="25"/>
      <c r="E1035" s="25"/>
      <c r="F1035" s="25"/>
      <c r="G1035" s="25"/>
      <c r="H1035" s="25"/>
      <c r="I1035" s="25"/>
      <c r="J1035" s="27" t="s">
        <v>1356</v>
      </c>
      <c r="K1035" s="25" t="str">
        <f aca="false">IFERROR(__xludf.dummyfunction("SPLIT(J1035,"" "")"),"CIF")</f>
        <v>CIF</v>
      </c>
      <c r="L1035" s="28" t="str">
        <f aca="false">IFERROR(__xludf.dummyfunction("""COMPUTED_VALUE"""),"Italy")</f>
        <v>Italy</v>
      </c>
      <c r="M1035" s="27" t="str">
        <f aca="false">IFERROR(__xludf.dummyfunction("""COMPUTED_VALUE"""),"(Diff)")</f>
        <v>(Diff)</v>
      </c>
      <c r="N1035" s="25"/>
      <c r="O1035" s="25"/>
      <c r="P1035" s="25"/>
      <c r="Q1035" s="29" t="s">
        <v>411</v>
      </c>
      <c r="R1035" s="8" t="str">
        <f aca="false">B1035&amp;" "&amp;C1035&amp;" "&amp;D1035&amp;" "&amp;E1035&amp;" "&amp;G1035&amp;" "&amp;H1035&amp;" "&amp;J1035&amp;" "&amp;N1035</f>
        <v>Differentials Rare Earths     CIF Italy (Diff) </v>
      </c>
      <c r="S1035" s="25"/>
      <c r="T1035" s="8"/>
      <c r="U1035" s="8"/>
      <c r="V1035" s="25"/>
      <c r="W1035" s="25"/>
      <c r="X1035" s="25"/>
      <c r="Y1035" s="25"/>
      <c r="Z1035" s="25"/>
      <c r="AA1035" s="25"/>
      <c r="AB1035" s="25"/>
      <c r="AC1035" s="25"/>
      <c r="AD1035" s="25"/>
    </row>
    <row r="1036" customFormat="false" ht="15.75" hidden="false" customHeight="false" outlineLevel="0" collapsed="false">
      <c r="A1036" s="28" t="s">
        <v>1412</v>
      </c>
      <c r="B1036" s="27" t="s">
        <v>438</v>
      </c>
      <c r="C1036" s="27" t="s">
        <v>408</v>
      </c>
      <c r="D1036" s="25"/>
      <c r="E1036" s="25"/>
      <c r="F1036" s="25"/>
      <c r="G1036" s="25"/>
      <c r="H1036" s="25"/>
      <c r="I1036" s="25"/>
      <c r="J1036" s="27" t="s">
        <v>1356</v>
      </c>
      <c r="K1036" s="25" t="str">
        <f aca="false">IFERROR(__xludf.dummyfunction("SPLIT(J1036,"" "")"),"CIF")</f>
        <v>CIF</v>
      </c>
      <c r="L1036" s="28" t="str">
        <f aca="false">IFERROR(__xludf.dummyfunction("""COMPUTED_VALUE"""),"Italy")</f>
        <v>Italy</v>
      </c>
      <c r="M1036" s="27" t="str">
        <f aca="false">IFERROR(__xludf.dummyfunction("""COMPUTED_VALUE"""),"(Diff)")</f>
        <v>(Diff)</v>
      </c>
      <c r="N1036" s="25"/>
      <c r="O1036" s="25"/>
      <c r="P1036" s="25"/>
      <c r="Q1036" s="29" t="s">
        <v>409</v>
      </c>
      <c r="R1036" s="8" t="str">
        <f aca="false">B1036&amp;" "&amp;C1036&amp;" "&amp;D1036&amp;" "&amp;E1036&amp;" "&amp;G1036&amp;" "&amp;H1036&amp;" "&amp;J1036&amp;" "&amp;N1036</f>
        <v>Differentials Rare Earths     CIF Italy (Diff) </v>
      </c>
      <c r="S1036" s="25"/>
      <c r="T1036" s="8"/>
      <c r="U1036" s="8"/>
      <c r="V1036" s="25"/>
      <c r="W1036" s="25"/>
      <c r="X1036" s="25"/>
      <c r="Y1036" s="25"/>
      <c r="Z1036" s="25"/>
      <c r="AA1036" s="25"/>
      <c r="AB1036" s="25"/>
      <c r="AC1036" s="25"/>
      <c r="AD1036" s="25"/>
    </row>
    <row r="1037" customFormat="false" ht="15.75" hidden="false" customHeight="false" outlineLevel="0" collapsed="false">
      <c r="A1037" s="28" t="s">
        <v>1413</v>
      </c>
      <c r="B1037" s="27" t="s">
        <v>438</v>
      </c>
      <c r="C1037" s="27" t="s">
        <v>417</v>
      </c>
      <c r="D1037" s="25"/>
      <c r="E1037" s="25"/>
      <c r="F1037" s="25"/>
      <c r="G1037" s="25"/>
      <c r="H1037" s="25"/>
      <c r="I1037" s="25"/>
      <c r="J1037" s="27" t="s">
        <v>1356</v>
      </c>
      <c r="K1037" s="25" t="str">
        <f aca="false">IFERROR(__xludf.dummyfunction("SPLIT(J1037,"" "")"),"CIF")</f>
        <v>CIF</v>
      </c>
      <c r="L1037" s="28" t="str">
        <f aca="false">IFERROR(__xludf.dummyfunction("""COMPUTED_VALUE"""),"Italy")</f>
        <v>Italy</v>
      </c>
      <c r="M1037" s="27" t="str">
        <f aca="false">IFERROR(__xludf.dummyfunction("""COMPUTED_VALUE"""),"(Diff)")</f>
        <v>(Diff)</v>
      </c>
      <c r="N1037" s="25"/>
      <c r="O1037" s="25"/>
      <c r="P1037" s="25"/>
      <c r="Q1037" s="29" t="s">
        <v>436</v>
      </c>
      <c r="R1037" s="8" t="str">
        <f aca="false">B1037&amp;" "&amp;C1037&amp;" "&amp;D1037&amp;" "&amp;E1037&amp;" "&amp;G1037&amp;" "&amp;H1037&amp;" "&amp;J1037&amp;" "&amp;N1037</f>
        <v>Differentials Solvent     CIF Italy (Diff) </v>
      </c>
      <c r="S1037" s="25"/>
      <c r="T1037" s="8"/>
      <c r="U1037" s="8"/>
      <c r="V1037" s="25"/>
      <c r="W1037" s="25"/>
      <c r="X1037" s="25"/>
      <c r="Y1037" s="25"/>
      <c r="Z1037" s="25"/>
      <c r="AA1037" s="25"/>
      <c r="AB1037" s="25"/>
      <c r="AC1037" s="25"/>
      <c r="AD1037" s="25"/>
    </row>
    <row r="1038" customFormat="false" ht="15.75" hidden="false" customHeight="false" outlineLevel="0" collapsed="false">
      <c r="A1038" s="28" t="s">
        <v>1414</v>
      </c>
      <c r="B1038" s="27" t="s">
        <v>438</v>
      </c>
      <c r="C1038" s="27" t="s">
        <v>417</v>
      </c>
      <c r="D1038" s="25"/>
      <c r="E1038" s="25"/>
      <c r="F1038" s="25"/>
      <c r="G1038" s="25"/>
      <c r="H1038" s="25"/>
      <c r="I1038" s="25"/>
      <c r="J1038" s="27" t="s">
        <v>1356</v>
      </c>
      <c r="K1038" s="25" t="str">
        <f aca="false">IFERROR(__xludf.dummyfunction("SPLIT(J1038,"" "")"),"CIF")</f>
        <v>CIF</v>
      </c>
      <c r="L1038" s="28" t="str">
        <f aca="false">IFERROR(__xludf.dummyfunction("""COMPUTED_VALUE"""),"Italy")</f>
        <v>Italy</v>
      </c>
      <c r="M1038" s="27" t="str">
        <f aca="false">IFERROR(__xludf.dummyfunction("""COMPUTED_VALUE"""),"(Diff)")</f>
        <v>(Diff)</v>
      </c>
      <c r="N1038" s="25"/>
      <c r="O1038" s="25"/>
      <c r="P1038" s="25"/>
      <c r="Q1038" s="29" t="s">
        <v>434</v>
      </c>
      <c r="R1038" s="8" t="str">
        <f aca="false">B1038&amp;" "&amp;C1038&amp;" "&amp;D1038&amp;" "&amp;E1038&amp;" "&amp;G1038&amp;" "&amp;H1038&amp;" "&amp;J1038&amp;" "&amp;N1038</f>
        <v>Differentials Solvent     CIF Italy (Diff) </v>
      </c>
      <c r="S1038" s="25"/>
      <c r="T1038" s="8"/>
      <c r="U1038" s="8"/>
      <c r="V1038" s="25"/>
      <c r="W1038" s="25"/>
      <c r="X1038" s="25"/>
      <c r="Y1038" s="25"/>
      <c r="Z1038" s="25"/>
      <c r="AA1038" s="25"/>
      <c r="AB1038" s="25"/>
      <c r="AC1038" s="25"/>
      <c r="AD1038" s="25"/>
    </row>
    <row r="1039" customFormat="false" ht="15.75" hidden="false" customHeight="false" outlineLevel="0" collapsed="false">
      <c r="A1039" s="28" t="s">
        <v>1415</v>
      </c>
      <c r="B1039" s="27" t="s">
        <v>438</v>
      </c>
      <c r="C1039" s="27" t="s">
        <v>417</v>
      </c>
      <c r="D1039" s="25"/>
      <c r="E1039" s="25"/>
      <c r="F1039" s="25"/>
      <c r="G1039" s="25"/>
      <c r="H1039" s="25"/>
      <c r="I1039" s="25"/>
      <c r="J1039" s="27" t="s">
        <v>1356</v>
      </c>
      <c r="K1039" s="25" t="str">
        <f aca="false">IFERROR(__xludf.dummyfunction("SPLIT(J1039,"" "")"),"CIF")</f>
        <v>CIF</v>
      </c>
      <c r="L1039" s="28" t="str">
        <f aca="false">IFERROR(__xludf.dummyfunction("""COMPUTED_VALUE"""),"Italy")</f>
        <v>Italy</v>
      </c>
      <c r="M1039" s="27" t="str">
        <f aca="false">IFERROR(__xludf.dummyfunction("""COMPUTED_VALUE"""),"(Diff)")</f>
        <v>(Diff)</v>
      </c>
      <c r="N1039" s="25"/>
      <c r="O1039" s="25"/>
      <c r="P1039" s="25"/>
      <c r="Q1039" s="29" t="s">
        <v>432</v>
      </c>
      <c r="R1039" s="8" t="str">
        <f aca="false">B1039&amp;" "&amp;C1039&amp;" "&amp;D1039&amp;" "&amp;E1039&amp;" "&amp;G1039&amp;" "&amp;H1039&amp;" "&amp;J1039&amp;" "&amp;N1039</f>
        <v>Differentials Solvent     CIF Italy (Diff) </v>
      </c>
      <c r="S1039" s="25"/>
      <c r="T1039" s="8"/>
      <c r="U1039" s="8"/>
      <c r="V1039" s="25"/>
      <c r="W1039" s="25"/>
      <c r="X1039" s="25"/>
      <c r="Y1039" s="25"/>
      <c r="Z1039" s="25"/>
      <c r="AA1039" s="25"/>
      <c r="AB1039" s="25"/>
      <c r="AC1039" s="25"/>
      <c r="AD1039" s="25"/>
    </row>
    <row r="1040" customFormat="false" ht="15.75" hidden="false" customHeight="false" outlineLevel="0" collapsed="false">
      <c r="A1040" s="28" t="s">
        <v>1416</v>
      </c>
      <c r="B1040" s="27" t="s">
        <v>438</v>
      </c>
      <c r="C1040" s="27" t="s">
        <v>417</v>
      </c>
      <c r="D1040" s="25"/>
      <c r="E1040" s="25"/>
      <c r="F1040" s="25"/>
      <c r="G1040" s="25"/>
      <c r="H1040" s="25"/>
      <c r="I1040" s="25"/>
      <c r="J1040" s="27" t="s">
        <v>1356</v>
      </c>
      <c r="K1040" s="25" t="str">
        <f aca="false">IFERROR(__xludf.dummyfunction("SPLIT(J1040,"" "")"),"CIF")</f>
        <v>CIF</v>
      </c>
      <c r="L1040" s="28" t="str">
        <f aca="false">IFERROR(__xludf.dummyfunction("""COMPUTED_VALUE"""),"Italy")</f>
        <v>Italy</v>
      </c>
      <c r="M1040" s="27" t="str">
        <f aca="false">IFERROR(__xludf.dummyfunction("""COMPUTED_VALUE"""),"(Diff)")</f>
        <v>(Diff)</v>
      </c>
      <c r="N1040" s="25"/>
      <c r="O1040" s="25"/>
      <c r="P1040" s="25"/>
      <c r="Q1040" s="29" t="s">
        <v>430</v>
      </c>
      <c r="R1040" s="8" t="str">
        <f aca="false">B1040&amp;" "&amp;C1040&amp;" "&amp;D1040&amp;" "&amp;E1040&amp;" "&amp;G1040&amp;" "&amp;H1040&amp;" "&amp;J1040&amp;" "&amp;N1040</f>
        <v>Differentials Solvent     CIF Italy (Diff) </v>
      </c>
      <c r="S1040" s="25"/>
      <c r="T1040" s="8"/>
      <c r="U1040" s="8"/>
      <c r="V1040" s="25"/>
      <c r="W1040" s="25"/>
      <c r="X1040" s="25"/>
      <c r="Y1040" s="25"/>
      <c r="Z1040" s="25"/>
      <c r="AA1040" s="25"/>
      <c r="AB1040" s="25"/>
      <c r="AC1040" s="25"/>
      <c r="AD1040" s="25"/>
    </row>
    <row r="1041" customFormat="false" ht="15.75" hidden="false" customHeight="false" outlineLevel="0" collapsed="false">
      <c r="A1041" s="28" t="s">
        <v>1417</v>
      </c>
      <c r="B1041" s="27" t="s">
        <v>438</v>
      </c>
      <c r="C1041" s="27" t="s">
        <v>417</v>
      </c>
      <c r="D1041" s="25"/>
      <c r="E1041" s="25"/>
      <c r="F1041" s="25"/>
      <c r="G1041" s="25"/>
      <c r="H1041" s="25"/>
      <c r="I1041" s="25"/>
      <c r="J1041" s="27" t="s">
        <v>1356</v>
      </c>
      <c r="K1041" s="25" t="str">
        <f aca="false">IFERROR(__xludf.dummyfunction("SPLIT(J1041,"" "")"),"CIF")</f>
        <v>CIF</v>
      </c>
      <c r="L1041" s="28" t="str">
        <f aca="false">IFERROR(__xludf.dummyfunction("""COMPUTED_VALUE"""),"Italy")</f>
        <v>Italy</v>
      </c>
      <c r="M1041" s="27" t="str">
        <f aca="false">IFERROR(__xludf.dummyfunction("""COMPUTED_VALUE"""),"(Diff)")</f>
        <v>(Diff)</v>
      </c>
      <c r="N1041" s="25"/>
      <c r="O1041" s="25"/>
      <c r="P1041" s="25"/>
      <c r="Q1041" s="29" t="s">
        <v>428</v>
      </c>
      <c r="R1041" s="8" t="str">
        <f aca="false">B1041&amp;" "&amp;C1041&amp;" "&amp;D1041&amp;" "&amp;E1041&amp;" "&amp;G1041&amp;" "&amp;H1041&amp;" "&amp;J1041&amp;" "&amp;N1041</f>
        <v>Differentials Solvent     CIF Italy (Diff) </v>
      </c>
      <c r="S1041" s="25"/>
      <c r="T1041" s="8"/>
      <c r="U1041" s="8"/>
      <c r="V1041" s="25"/>
      <c r="W1041" s="25"/>
      <c r="X1041" s="25"/>
      <c r="Y1041" s="25"/>
      <c r="Z1041" s="25"/>
      <c r="AA1041" s="25"/>
      <c r="AB1041" s="25"/>
      <c r="AC1041" s="25"/>
      <c r="AD1041" s="25"/>
    </row>
    <row r="1042" customFormat="false" ht="15.75" hidden="false" customHeight="false" outlineLevel="0" collapsed="false">
      <c r="A1042" s="28" t="s">
        <v>1418</v>
      </c>
      <c r="B1042" s="27" t="s">
        <v>438</v>
      </c>
      <c r="C1042" s="27" t="s">
        <v>417</v>
      </c>
      <c r="D1042" s="25"/>
      <c r="E1042" s="25"/>
      <c r="F1042" s="25"/>
      <c r="G1042" s="25"/>
      <c r="H1042" s="25"/>
      <c r="I1042" s="25"/>
      <c r="J1042" s="27" t="s">
        <v>1356</v>
      </c>
      <c r="K1042" s="25" t="str">
        <f aca="false">IFERROR(__xludf.dummyfunction("SPLIT(J1042,"" "")"),"CIF")</f>
        <v>CIF</v>
      </c>
      <c r="L1042" s="28" t="str">
        <f aca="false">IFERROR(__xludf.dummyfunction("""COMPUTED_VALUE"""),"Italy")</f>
        <v>Italy</v>
      </c>
      <c r="M1042" s="27" t="str">
        <f aca="false">IFERROR(__xludf.dummyfunction("""COMPUTED_VALUE"""),"(Diff)")</f>
        <v>(Diff)</v>
      </c>
      <c r="N1042" s="25"/>
      <c r="O1042" s="25"/>
      <c r="P1042" s="25"/>
      <c r="Q1042" s="29" t="s">
        <v>426</v>
      </c>
      <c r="R1042" s="8" t="str">
        <f aca="false">B1042&amp;" "&amp;C1042&amp;" "&amp;D1042&amp;" "&amp;E1042&amp;" "&amp;G1042&amp;" "&amp;H1042&amp;" "&amp;J1042&amp;" "&amp;N1042</f>
        <v>Differentials Solvent     CIF Italy (Diff) </v>
      </c>
      <c r="S1042" s="25"/>
      <c r="T1042" s="8"/>
      <c r="U1042" s="8"/>
      <c r="V1042" s="25"/>
      <c r="W1042" s="25"/>
      <c r="X1042" s="25"/>
      <c r="Y1042" s="25"/>
      <c r="Z1042" s="25"/>
      <c r="AA1042" s="25"/>
      <c r="AB1042" s="25"/>
      <c r="AC1042" s="25"/>
      <c r="AD1042" s="25"/>
    </row>
    <row r="1043" customFormat="false" ht="15.75" hidden="false" customHeight="false" outlineLevel="0" collapsed="false">
      <c r="A1043" s="28" t="s">
        <v>1419</v>
      </c>
      <c r="B1043" s="27" t="s">
        <v>438</v>
      </c>
      <c r="C1043" s="27" t="s">
        <v>417</v>
      </c>
      <c r="D1043" s="25"/>
      <c r="E1043" s="25"/>
      <c r="F1043" s="25"/>
      <c r="G1043" s="25"/>
      <c r="H1043" s="25"/>
      <c r="I1043" s="25"/>
      <c r="J1043" s="27" t="s">
        <v>1356</v>
      </c>
      <c r="K1043" s="25" t="str">
        <f aca="false">IFERROR(__xludf.dummyfunction("SPLIT(J1043,"" "")"),"CIF")</f>
        <v>CIF</v>
      </c>
      <c r="L1043" s="28" t="str">
        <f aca="false">IFERROR(__xludf.dummyfunction("""COMPUTED_VALUE"""),"Italy")</f>
        <v>Italy</v>
      </c>
      <c r="M1043" s="27" t="str">
        <f aca="false">IFERROR(__xludf.dummyfunction("""COMPUTED_VALUE"""),"(Diff)")</f>
        <v>(Diff)</v>
      </c>
      <c r="N1043" s="25"/>
      <c r="O1043" s="25"/>
      <c r="P1043" s="25"/>
      <c r="Q1043" s="29" t="s">
        <v>424</v>
      </c>
      <c r="R1043" s="8" t="str">
        <f aca="false">B1043&amp;" "&amp;C1043&amp;" "&amp;D1043&amp;" "&amp;E1043&amp;" "&amp;G1043&amp;" "&amp;H1043&amp;" "&amp;J1043&amp;" "&amp;N1043</f>
        <v>Differentials Solvent     CIF Italy (Diff) </v>
      </c>
      <c r="S1043" s="25"/>
      <c r="T1043" s="8"/>
      <c r="U1043" s="8"/>
      <c r="V1043" s="25"/>
      <c r="W1043" s="25"/>
      <c r="X1043" s="25"/>
      <c r="Y1043" s="25"/>
      <c r="Z1043" s="25"/>
      <c r="AA1043" s="25"/>
      <c r="AB1043" s="25"/>
      <c r="AC1043" s="25"/>
      <c r="AD1043" s="25"/>
    </row>
    <row r="1044" customFormat="false" ht="15.75" hidden="false" customHeight="false" outlineLevel="0" collapsed="false">
      <c r="A1044" s="28" t="s">
        <v>1420</v>
      </c>
      <c r="B1044" s="27" t="s">
        <v>438</v>
      </c>
      <c r="C1044" s="27" t="s">
        <v>417</v>
      </c>
      <c r="D1044" s="25"/>
      <c r="E1044" s="25"/>
      <c r="F1044" s="25"/>
      <c r="G1044" s="25"/>
      <c r="H1044" s="25"/>
      <c r="I1044" s="25"/>
      <c r="J1044" s="27" t="s">
        <v>1356</v>
      </c>
      <c r="K1044" s="25" t="str">
        <f aca="false">IFERROR(__xludf.dummyfunction("SPLIT(J1044,"" "")"),"CIF")</f>
        <v>CIF</v>
      </c>
      <c r="L1044" s="28" t="str">
        <f aca="false">IFERROR(__xludf.dummyfunction("""COMPUTED_VALUE"""),"Italy")</f>
        <v>Italy</v>
      </c>
      <c r="M1044" s="27" t="str">
        <f aca="false">IFERROR(__xludf.dummyfunction("""COMPUTED_VALUE"""),"(Diff)")</f>
        <v>(Diff)</v>
      </c>
      <c r="N1044" s="25"/>
      <c r="O1044" s="25"/>
      <c r="P1044" s="25"/>
      <c r="Q1044" s="29" t="s">
        <v>422</v>
      </c>
      <c r="R1044" s="8" t="str">
        <f aca="false">B1044&amp;" "&amp;C1044&amp;" "&amp;D1044&amp;" "&amp;E1044&amp;" "&amp;G1044&amp;" "&amp;H1044&amp;" "&amp;J1044&amp;" "&amp;N1044</f>
        <v>Differentials Solvent     CIF Italy (Diff) </v>
      </c>
      <c r="S1044" s="25"/>
      <c r="T1044" s="8"/>
      <c r="U1044" s="8"/>
      <c r="V1044" s="25"/>
      <c r="W1044" s="25"/>
      <c r="X1044" s="25"/>
      <c r="Y1044" s="25"/>
      <c r="Z1044" s="25"/>
      <c r="AA1044" s="25"/>
      <c r="AB1044" s="25"/>
      <c r="AC1044" s="25"/>
      <c r="AD1044" s="25"/>
    </row>
    <row r="1045" customFormat="false" ht="15.75" hidden="false" customHeight="false" outlineLevel="0" collapsed="false">
      <c r="A1045" s="28" t="s">
        <v>1421</v>
      </c>
      <c r="B1045" s="27" t="s">
        <v>438</v>
      </c>
      <c r="C1045" s="27" t="s">
        <v>417</v>
      </c>
      <c r="D1045" s="25"/>
      <c r="E1045" s="25"/>
      <c r="F1045" s="25"/>
      <c r="G1045" s="25"/>
      <c r="H1045" s="25"/>
      <c r="I1045" s="25"/>
      <c r="J1045" s="27" t="s">
        <v>1356</v>
      </c>
      <c r="K1045" s="25" t="str">
        <f aca="false">IFERROR(__xludf.dummyfunction("SPLIT(J1045,"" "")"),"CIF")</f>
        <v>CIF</v>
      </c>
      <c r="L1045" s="28" t="str">
        <f aca="false">IFERROR(__xludf.dummyfunction("""COMPUTED_VALUE"""),"Italy")</f>
        <v>Italy</v>
      </c>
      <c r="M1045" s="27" t="str">
        <f aca="false">IFERROR(__xludf.dummyfunction("""COMPUTED_VALUE"""),"(Diff)")</f>
        <v>(Diff)</v>
      </c>
      <c r="N1045" s="25"/>
      <c r="O1045" s="25"/>
      <c r="P1045" s="25"/>
      <c r="Q1045" s="29" t="s">
        <v>420</v>
      </c>
      <c r="R1045" s="8" t="str">
        <f aca="false">B1045&amp;" "&amp;C1045&amp;" "&amp;D1045&amp;" "&amp;E1045&amp;" "&amp;G1045&amp;" "&amp;H1045&amp;" "&amp;J1045&amp;" "&amp;N1045</f>
        <v>Differentials Solvent     CIF Italy (Diff) </v>
      </c>
      <c r="S1045" s="25"/>
      <c r="T1045" s="8"/>
      <c r="U1045" s="8"/>
      <c r="V1045" s="25"/>
      <c r="W1045" s="25"/>
      <c r="X1045" s="25"/>
      <c r="Y1045" s="25"/>
      <c r="Z1045" s="25"/>
      <c r="AA1045" s="25"/>
      <c r="AB1045" s="25"/>
      <c r="AC1045" s="25"/>
      <c r="AD1045" s="25"/>
    </row>
    <row r="1046" customFormat="false" ht="15.75" hidden="false" customHeight="false" outlineLevel="0" collapsed="false">
      <c r="A1046" s="28" t="s">
        <v>1422</v>
      </c>
      <c r="B1046" s="27" t="s">
        <v>438</v>
      </c>
      <c r="C1046" s="27" t="s">
        <v>417</v>
      </c>
      <c r="D1046" s="25"/>
      <c r="E1046" s="25"/>
      <c r="F1046" s="25"/>
      <c r="G1046" s="25"/>
      <c r="H1046" s="25"/>
      <c r="I1046" s="25"/>
      <c r="J1046" s="27" t="s">
        <v>1356</v>
      </c>
      <c r="K1046" s="25" t="str">
        <f aca="false">IFERROR(__xludf.dummyfunction("SPLIT(J1046,"" "")"),"CIF")</f>
        <v>CIF</v>
      </c>
      <c r="L1046" s="28" t="str">
        <f aca="false">IFERROR(__xludf.dummyfunction("""COMPUTED_VALUE"""),"Italy")</f>
        <v>Italy</v>
      </c>
      <c r="M1046" s="27" t="str">
        <f aca="false">IFERROR(__xludf.dummyfunction("""COMPUTED_VALUE"""),"(Diff)")</f>
        <v>(Diff)</v>
      </c>
      <c r="N1046" s="25"/>
      <c r="O1046" s="25"/>
      <c r="P1046" s="25"/>
      <c r="Q1046" s="29" t="s">
        <v>418</v>
      </c>
      <c r="R1046" s="8" t="str">
        <f aca="false">B1046&amp;" "&amp;C1046&amp;" "&amp;D1046&amp;" "&amp;E1046&amp;" "&amp;G1046&amp;" "&amp;H1046&amp;" "&amp;J1046&amp;" "&amp;N1046</f>
        <v>Differentials Solvent     CIF Italy (Diff) </v>
      </c>
      <c r="S1046" s="25"/>
      <c r="T1046" s="8"/>
      <c r="U1046" s="8"/>
      <c r="V1046" s="25"/>
      <c r="W1046" s="25"/>
      <c r="X1046" s="25"/>
      <c r="Y1046" s="25"/>
      <c r="Z1046" s="25"/>
      <c r="AA1046" s="25"/>
      <c r="AB1046" s="25"/>
      <c r="AC1046" s="25"/>
      <c r="AD1046" s="25"/>
    </row>
    <row r="1047" customFormat="false" ht="15.75" hidden="false" customHeight="false" outlineLevel="0" collapsed="false">
      <c r="A1047" s="28" t="s">
        <v>1423</v>
      </c>
      <c r="B1047" s="27" t="s">
        <v>438</v>
      </c>
      <c r="C1047" s="27" t="s">
        <v>168</v>
      </c>
      <c r="D1047" s="25"/>
      <c r="E1047" s="25"/>
      <c r="F1047" s="25"/>
      <c r="G1047" s="25"/>
      <c r="H1047" s="25"/>
      <c r="I1047" s="25"/>
      <c r="J1047" s="27" t="s">
        <v>1424</v>
      </c>
      <c r="K1047" s="25" t="str">
        <f aca="false">IFERROR(__xludf.dummyfunction("SPLIT(J1047,"" "")"),"CIF")</f>
        <v>CIF</v>
      </c>
      <c r="L1047" s="28" t="str">
        <f aca="false">IFERROR(__xludf.dummyfunction("""COMPUTED_VALUE"""),"Japan")</f>
        <v>Japan</v>
      </c>
      <c r="M1047" s="27" t="str">
        <f aca="false">IFERROR(__xludf.dummyfunction("""COMPUTED_VALUE"""),"(Diff)")</f>
        <v>(Diff)</v>
      </c>
      <c r="N1047" s="25"/>
      <c r="O1047" s="25"/>
      <c r="P1047" s="25"/>
      <c r="Q1047" s="29" t="s">
        <v>175</v>
      </c>
      <c r="R1047" s="8" t="str">
        <f aca="false">B1047&amp;" "&amp;C1047&amp;" "&amp;D1047&amp;" "&amp;E1047&amp;" "&amp;G1047&amp;" "&amp;H1047&amp;" "&amp;J1047&amp;" "&amp;N1047</f>
        <v>Differentials Aluminium (Battery Grade)     CIF Japan (Diff) </v>
      </c>
      <c r="S1047" s="25"/>
      <c r="T1047" s="8"/>
      <c r="U1047" s="8"/>
      <c r="V1047" s="25"/>
      <c r="W1047" s="25"/>
      <c r="X1047" s="25"/>
      <c r="Y1047" s="25"/>
      <c r="Z1047" s="25"/>
      <c r="AA1047" s="25"/>
      <c r="AB1047" s="25"/>
      <c r="AC1047" s="25"/>
      <c r="AD1047" s="25"/>
    </row>
    <row r="1048" customFormat="false" ht="15.75" hidden="false" customHeight="false" outlineLevel="0" collapsed="false">
      <c r="A1048" s="28" t="s">
        <v>1425</v>
      </c>
      <c r="B1048" s="27" t="s">
        <v>438</v>
      </c>
      <c r="C1048" s="27" t="s">
        <v>168</v>
      </c>
      <c r="D1048" s="25"/>
      <c r="E1048" s="25"/>
      <c r="F1048" s="25"/>
      <c r="G1048" s="25"/>
      <c r="H1048" s="25"/>
      <c r="I1048" s="25"/>
      <c r="J1048" s="27" t="s">
        <v>1424</v>
      </c>
      <c r="K1048" s="25" t="str">
        <f aca="false">IFERROR(__xludf.dummyfunction("SPLIT(J1048,"" "")"),"CIF")</f>
        <v>CIF</v>
      </c>
      <c r="L1048" s="28" t="str">
        <f aca="false">IFERROR(__xludf.dummyfunction("""COMPUTED_VALUE"""),"Japan")</f>
        <v>Japan</v>
      </c>
      <c r="M1048" s="27" t="str">
        <f aca="false">IFERROR(__xludf.dummyfunction("""COMPUTED_VALUE"""),"(Diff)")</f>
        <v>(Diff)</v>
      </c>
      <c r="N1048" s="25"/>
      <c r="O1048" s="25"/>
      <c r="P1048" s="25"/>
      <c r="Q1048" s="29" t="s">
        <v>173</v>
      </c>
      <c r="R1048" s="8" t="str">
        <f aca="false">B1048&amp;" "&amp;C1048&amp;" "&amp;D1048&amp;" "&amp;E1048&amp;" "&amp;G1048&amp;" "&amp;H1048&amp;" "&amp;J1048&amp;" "&amp;N1048</f>
        <v>Differentials Aluminium (Battery Grade)     CIF Japan (Diff) </v>
      </c>
      <c r="S1048" s="25"/>
      <c r="T1048" s="8"/>
      <c r="U1048" s="8"/>
      <c r="V1048" s="25"/>
      <c r="W1048" s="25"/>
      <c r="X1048" s="25"/>
      <c r="Y1048" s="25"/>
      <c r="Z1048" s="25"/>
      <c r="AA1048" s="25"/>
      <c r="AB1048" s="25"/>
      <c r="AC1048" s="25"/>
      <c r="AD1048" s="25"/>
    </row>
    <row r="1049" customFormat="false" ht="15.75" hidden="false" customHeight="false" outlineLevel="0" collapsed="false">
      <c r="A1049" s="28" t="s">
        <v>1426</v>
      </c>
      <c r="B1049" s="27" t="s">
        <v>438</v>
      </c>
      <c r="C1049" s="27" t="s">
        <v>168</v>
      </c>
      <c r="D1049" s="25"/>
      <c r="E1049" s="25"/>
      <c r="F1049" s="25"/>
      <c r="G1049" s="25"/>
      <c r="H1049" s="25"/>
      <c r="I1049" s="25"/>
      <c r="J1049" s="27" t="s">
        <v>1424</v>
      </c>
      <c r="K1049" s="25" t="str">
        <f aca="false">IFERROR(__xludf.dummyfunction("SPLIT(J1049,"" "")"),"CIF")</f>
        <v>CIF</v>
      </c>
      <c r="L1049" s="28" t="str">
        <f aca="false">IFERROR(__xludf.dummyfunction("""COMPUTED_VALUE"""),"Japan")</f>
        <v>Japan</v>
      </c>
      <c r="M1049" s="27" t="str">
        <f aca="false">IFERROR(__xludf.dummyfunction("""COMPUTED_VALUE"""),"(Diff)")</f>
        <v>(Diff)</v>
      </c>
      <c r="N1049" s="25"/>
      <c r="O1049" s="25"/>
      <c r="P1049" s="25"/>
      <c r="Q1049" s="29" t="s">
        <v>169</v>
      </c>
      <c r="R1049" s="8" t="str">
        <f aca="false">B1049&amp;" "&amp;C1049&amp;" "&amp;D1049&amp;" "&amp;E1049&amp;" "&amp;G1049&amp;" "&amp;H1049&amp;" "&amp;J1049&amp;" "&amp;N1049</f>
        <v>Differentials Aluminium (Battery Grade)     CIF Japan (Diff) </v>
      </c>
      <c r="S1049" s="25"/>
      <c r="T1049" s="8"/>
      <c r="U1049" s="8"/>
      <c r="V1049" s="25"/>
      <c r="W1049" s="25"/>
      <c r="X1049" s="25"/>
      <c r="Y1049" s="25"/>
      <c r="Z1049" s="25"/>
      <c r="AA1049" s="25"/>
      <c r="AB1049" s="25"/>
      <c r="AC1049" s="25"/>
      <c r="AD1049" s="25"/>
    </row>
    <row r="1050" customFormat="false" ht="15.75" hidden="false" customHeight="false" outlineLevel="0" collapsed="false">
      <c r="A1050" s="28" t="s">
        <v>1427</v>
      </c>
      <c r="B1050" s="27" t="s">
        <v>438</v>
      </c>
      <c r="C1050" s="27" t="s">
        <v>177</v>
      </c>
      <c r="D1050" s="25"/>
      <c r="E1050" s="25"/>
      <c r="F1050" s="25"/>
      <c r="G1050" s="25"/>
      <c r="H1050" s="25"/>
      <c r="I1050" s="25"/>
      <c r="J1050" s="27" t="s">
        <v>1424</v>
      </c>
      <c r="K1050" s="25" t="str">
        <f aca="false">IFERROR(__xludf.dummyfunction("SPLIT(J1050,"" "")"),"CIF")</f>
        <v>CIF</v>
      </c>
      <c r="L1050" s="28" t="str">
        <f aca="false">IFERROR(__xludf.dummyfunction("""COMPUTED_VALUE"""),"Japan")</f>
        <v>Japan</v>
      </c>
      <c r="M1050" s="27" t="str">
        <f aca="false">IFERROR(__xludf.dummyfunction("""COMPUTED_VALUE"""),"(Diff)")</f>
        <v>(Diff)</v>
      </c>
      <c r="N1050" s="25"/>
      <c r="O1050" s="25"/>
      <c r="P1050" s="25"/>
      <c r="Q1050" s="29" t="s">
        <v>209</v>
      </c>
      <c r="R1050" s="8" t="str">
        <f aca="false">B1050&amp;" "&amp;C1050&amp;" "&amp;D1050&amp;" "&amp;E1050&amp;" "&amp;G1050&amp;" "&amp;H1050&amp;" "&amp;J1050&amp;" "&amp;N1050</f>
        <v>Differentials Anode     CIF Japan (Diff) </v>
      </c>
      <c r="S1050" s="25"/>
      <c r="T1050" s="8"/>
      <c r="U1050" s="8"/>
      <c r="V1050" s="25"/>
      <c r="W1050" s="25"/>
      <c r="X1050" s="25"/>
      <c r="Y1050" s="25"/>
      <c r="Z1050" s="25"/>
      <c r="AA1050" s="25"/>
      <c r="AB1050" s="25"/>
      <c r="AC1050" s="25"/>
      <c r="AD1050" s="25"/>
    </row>
    <row r="1051" customFormat="false" ht="15.75" hidden="false" customHeight="false" outlineLevel="0" collapsed="false">
      <c r="A1051" s="28" t="s">
        <v>1428</v>
      </c>
      <c r="B1051" s="27" t="s">
        <v>438</v>
      </c>
      <c r="C1051" s="27" t="s">
        <v>177</v>
      </c>
      <c r="D1051" s="25"/>
      <c r="E1051" s="25"/>
      <c r="F1051" s="25"/>
      <c r="G1051" s="25"/>
      <c r="H1051" s="25"/>
      <c r="I1051" s="25"/>
      <c r="J1051" s="27" t="s">
        <v>1424</v>
      </c>
      <c r="K1051" s="25" t="str">
        <f aca="false">IFERROR(__xludf.dummyfunction("SPLIT(J1051,"" "")"),"CIF")</f>
        <v>CIF</v>
      </c>
      <c r="L1051" s="28" t="str">
        <f aca="false">IFERROR(__xludf.dummyfunction("""COMPUTED_VALUE"""),"Japan")</f>
        <v>Japan</v>
      </c>
      <c r="M1051" s="27" t="str">
        <f aca="false">IFERROR(__xludf.dummyfunction("""COMPUTED_VALUE"""),"(Diff)")</f>
        <v>(Diff)</v>
      </c>
      <c r="N1051" s="25"/>
      <c r="O1051" s="25"/>
      <c r="P1051" s="25"/>
      <c r="Q1051" s="29" t="s">
        <v>205</v>
      </c>
      <c r="R1051" s="8" t="str">
        <f aca="false">B1051&amp;" "&amp;C1051&amp;" "&amp;D1051&amp;" "&amp;E1051&amp;" "&amp;G1051&amp;" "&amp;H1051&amp;" "&amp;J1051&amp;" "&amp;N1051</f>
        <v>Differentials Anode     CIF Japan (Diff) </v>
      </c>
      <c r="S1051" s="25"/>
      <c r="T1051" s="8"/>
      <c r="U1051" s="8"/>
      <c r="V1051" s="25"/>
      <c r="W1051" s="25"/>
      <c r="X1051" s="25"/>
      <c r="Y1051" s="25"/>
      <c r="Z1051" s="25"/>
      <c r="AA1051" s="25"/>
      <c r="AB1051" s="25"/>
      <c r="AC1051" s="25"/>
      <c r="AD1051" s="25"/>
    </row>
    <row r="1052" customFormat="false" ht="15.75" hidden="false" customHeight="false" outlineLevel="0" collapsed="false">
      <c r="A1052" s="28" t="s">
        <v>1429</v>
      </c>
      <c r="B1052" s="27" t="s">
        <v>438</v>
      </c>
      <c r="C1052" s="27" t="s">
        <v>177</v>
      </c>
      <c r="D1052" s="25"/>
      <c r="E1052" s="25"/>
      <c r="F1052" s="25"/>
      <c r="G1052" s="25"/>
      <c r="H1052" s="25"/>
      <c r="I1052" s="25"/>
      <c r="J1052" s="27" t="s">
        <v>1424</v>
      </c>
      <c r="K1052" s="25" t="str">
        <f aca="false">IFERROR(__xludf.dummyfunction("SPLIT(J1052,"" "")"),"CIF")</f>
        <v>CIF</v>
      </c>
      <c r="L1052" s="28" t="str">
        <f aca="false">IFERROR(__xludf.dummyfunction("""COMPUTED_VALUE"""),"Japan")</f>
        <v>Japan</v>
      </c>
      <c r="M1052" s="27" t="str">
        <f aca="false">IFERROR(__xludf.dummyfunction("""COMPUTED_VALUE"""),"(Diff)")</f>
        <v>(Diff)</v>
      </c>
      <c r="N1052" s="25"/>
      <c r="O1052" s="25"/>
      <c r="P1052" s="25"/>
      <c r="Q1052" s="29" t="s">
        <v>202</v>
      </c>
      <c r="R1052" s="8" t="str">
        <f aca="false">B1052&amp;" "&amp;C1052&amp;" "&amp;D1052&amp;" "&amp;E1052&amp;" "&amp;G1052&amp;" "&amp;H1052&amp;" "&amp;J1052&amp;" "&amp;N1052</f>
        <v>Differentials Anode     CIF Japan (Diff) </v>
      </c>
      <c r="S1052" s="25"/>
      <c r="T1052" s="8"/>
      <c r="U1052" s="8"/>
      <c r="V1052" s="25"/>
      <c r="W1052" s="25"/>
      <c r="X1052" s="25"/>
      <c r="Y1052" s="25"/>
      <c r="Z1052" s="25"/>
      <c r="AA1052" s="25"/>
      <c r="AB1052" s="25"/>
      <c r="AC1052" s="25"/>
      <c r="AD1052" s="25"/>
    </row>
    <row r="1053" customFormat="false" ht="15.75" hidden="false" customHeight="false" outlineLevel="0" collapsed="false">
      <c r="A1053" s="28" t="s">
        <v>1430</v>
      </c>
      <c r="B1053" s="27" t="s">
        <v>438</v>
      </c>
      <c r="C1053" s="27" t="s">
        <v>177</v>
      </c>
      <c r="D1053" s="25"/>
      <c r="E1053" s="25"/>
      <c r="F1053" s="25"/>
      <c r="G1053" s="25"/>
      <c r="H1053" s="25"/>
      <c r="I1053" s="25"/>
      <c r="J1053" s="27" t="s">
        <v>1424</v>
      </c>
      <c r="K1053" s="25" t="str">
        <f aca="false">IFERROR(__xludf.dummyfunction("SPLIT(J1053,"" "")"),"CIF")</f>
        <v>CIF</v>
      </c>
      <c r="L1053" s="28" t="str">
        <f aca="false">IFERROR(__xludf.dummyfunction("""COMPUTED_VALUE"""),"Japan")</f>
        <v>Japan</v>
      </c>
      <c r="M1053" s="27" t="str">
        <f aca="false">IFERROR(__xludf.dummyfunction("""COMPUTED_VALUE"""),"(Diff)")</f>
        <v>(Diff)</v>
      </c>
      <c r="N1053" s="25"/>
      <c r="O1053" s="25"/>
      <c r="P1053" s="25"/>
      <c r="Q1053" s="29" t="s">
        <v>197</v>
      </c>
      <c r="R1053" s="8" t="str">
        <f aca="false">B1053&amp;" "&amp;C1053&amp;" "&amp;D1053&amp;" "&amp;E1053&amp;" "&amp;G1053&amp;" "&amp;H1053&amp;" "&amp;J1053&amp;" "&amp;N1053</f>
        <v>Differentials Anode     CIF Japan (Diff) </v>
      </c>
      <c r="S1053" s="25"/>
      <c r="T1053" s="8"/>
      <c r="U1053" s="8"/>
      <c r="V1053" s="25"/>
      <c r="W1053" s="25"/>
      <c r="X1053" s="25"/>
      <c r="Y1053" s="25"/>
      <c r="Z1053" s="25"/>
      <c r="AA1053" s="25"/>
      <c r="AB1053" s="25"/>
      <c r="AC1053" s="25"/>
      <c r="AD1053" s="25"/>
    </row>
    <row r="1054" customFormat="false" ht="15.75" hidden="false" customHeight="false" outlineLevel="0" collapsed="false">
      <c r="A1054" s="28" t="s">
        <v>1431</v>
      </c>
      <c r="B1054" s="27" t="s">
        <v>438</v>
      </c>
      <c r="C1054" s="27" t="s">
        <v>177</v>
      </c>
      <c r="D1054" s="25"/>
      <c r="E1054" s="25"/>
      <c r="F1054" s="25"/>
      <c r="G1054" s="25"/>
      <c r="H1054" s="25"/>
      <c r="I1054" s="25"/>
      <c r="J1054" s="27" t="s">
        <v>1424</v>
      </c>
      <c r="K1054" s="25" t="str">
        <f aca="false">IFERROR(__xludf.dummyfunction("SPLIT(J1054,"" "")"),"CIF")</f>
        <v>CIF</v>
      </c>
      <c r="L1054" s="28" t="str">
        <f aca="false">IFERROR(__xludf.dummyfunction("""COMPUTED_VALUE"""),"Japan")</f>
        <v>Japan</v>
      </c>
      <c r="M1054" s="27" t="str">
        <f aca="false">IFERROR(__xludf.dummyfunction("""COMPUTED_VALUE"""),"(Diff)")</f>
        <v>(Diff)</v>
      </c>
      <c r="N1054" s="25"/>
      <c r="O1054" s="25"/>
      <c r="P1054" s="25"/>
      <c r="Q1054" s="29" t="s">
        <v>193</v>
      </c>
      <c r="R1054" s="8" t="str">
        <f aca="false">B1054&amp;" "&amp;C1054&amp;" "&amp;D1054&amp;" "&amp;E1054&amp;" "&amp;G1054&amp;" "&amp;H1054&amp;" "&amp;J1054&amp;" "&amp;N1054</f>
        <v>Differentials Anode     CIF Japan (Diff) </v>
      </c>
      <c r="S1054" s="25"/>
      <c r="T1054" s="8"/>
      <c r="U1054" s="8"/>
      <c r="V1054" s="25"/>
      <c r="W1054" s="25"/>
      <c r="X1054" s="25"/>
      <c r="Y1054" s="25"/>
      <c r="Z1054" s="25"/>
      <c r="AA1054" s="25"/>
      <c r="AB1054" s="25"/>
      <c r="AC1054" s="25"/>
      <c r="AD1054" s="25"/>
    </row>
    <row r="1055" customFormat="false" ht="15.75" hidden="false" customHeight="false" outlineLevel="0" collapsed="false">
      <c r="A1055" s="28" t="s">
        <v>1432</v>
      </c>
      <c r="B1055" s="27" t="s">
        <v>438</v>
      </c>
      <c r="C1055" s="27" t="s">
        <v>177</v>
      </c>
      <c r="D1055" s="25"/>
      <c r="E1055" s="25"/>
      <c r="F1055" s="25"/>
      <c r="G1055" s="25"/>
      <c r="H1055" s="25"/>
      <c r="I1055" s="25"/>
      <c r="J1055" s="27" t="s">
        <v>1424</v>
      </c>
      <c r="K1055" s="25" t="str">
        <f aca="false">IFERROR(__xludf.dummyfunction("SPLIT(J1055,"" "")"),"CIF")</f>
        <v>CIF</v>
      </c>
      <c r="L1055" s="28" t="str">
        <f aca="false">IFERROR(__xludf.dummyfunction("""COMPUTED_VALUE"""),"Japan")</f>
        <v>Japan</v>
      </c>
      <c r="M1055" s="27" t="str">
        <f aca="false">IFERROR(__xludf.dummyfunction("""COMPUTED_VALUE"""),"(Diff)")</f>
        <v>(Diff)</v>
      </c>
      <c r="N1055" s="25"/>
      <c r="O1055" s="25"/>
      <c r="P1055" s="25"/>
      <c r="Q1055" s="29" t="s">
        <v>188</v>
      </c>
      <c r="R1055" s="8" t="str">
        <f aca="false">B1055&amp;" "&amp;C1055&amp;" "&amp;D1055&amp;" "&amp;E1055&amp;" "&amp;G1055&amp;" "&amp;H1055&amp;" "&amp;J1055&amp;" "&amp;N1055</f>
        <v>Differentials Anode     CIF Japan (Diff) </v>
      </c>
      <c r="S1055" s="25"/>
      <c r="T1055" s="8"/>
      <c r="U1055" s="8"/>
      <c r="V1055" s="25"/>
      <c r="W1055" s="25"/>
      <c r="X1055" s="25"/>
      <c r="Y1055" s="25"/>
      <c r="Z1055" s="25"/>
      <c r="AA1055" s="25"/>
      <c r="AB1055" s="25"/>
      <c r="AC1055" s="25"/>
      <c r="AD1055" s="25"/>
    </row>
    <row r="1056" customFormat="false" ht="15.75" hidden="false" customHeight="false" outlineLevel="0" collapsed="false">
      <c r="A1056" s="28" t="s">
        <v>1433</v>
      </c>
      <c r="B1056" s="27" t="s">
        <v>438</v>
      </c>
      <c r="C1056" s="27" t="s">
        <v>177</v>
      </c>
      <c r="D1056" s="25"/>
      <c r="E1056" s="25"/>
      <c r="F1056" s="25"/>
      <c r="G1056" s="25"/>
      <c r="H1056" s="25"/>
      <c r="I1056" s="25"/>
      <c r="J1056" s="27" t="s">
        <v>1424</v>
      </c>
      <c r="K1056" s="25" t="str">
        <f aca="false">IFERROR(__xludf.dummyfunction("SPLIT(J1056,"" "")"),"CIF")</f>
        <v>CIF</v>
      </c>
      <c r="L1056" s="28" t="str">
        <f aca="false">IFERROR(__xludf.dummyfunction("""COMPUTED_VALUE"""),"Japan")</f>
        <v>Japan</v>
      </c>
      <c r="M1056" s="27" t="str">
        <f aca="false">IFERROR(__xludf.dummyfunction("""COMPUTED_VALUE"""),"(Diff)")</f>
        <v>(Diff)</v>
      </c>
      <c r="N1056" s="25"/>
      <c r="O1056" s="25"/>
      <c r="P1056" s="25"/>
      <c r="Q1056" s="29" t="s">
        <v>180</v>
      </c>
      <c r="R1056" s="8" t="str">
        <f aca="false">B1056&amp;" "&amp;C1056&amp;" "&amp;D1056&amp;" "&amp;E1056&amp;" "&amp;G1056&amp;" "&amp;H1056&amp;" "&amp;J1056&amp;" "&amp;N1056</f>
        <v>Differentials Anode     CIF Japan (Diff) </v>
      </c>
      <c r="S1056" s="25"/>
      <c r="T1056" s="8"/>
      <c r="U1056" s="8"/>
      <c r="V1056" s="25"/>
      <c r="W1056" s="25"/>
      <c r="X1056" s="25"/>
      <c r="Y1056" s="25"/>
      <c r="Z1056" s="25"/>
      <c r="AA1056" s="25"/>
      <c r="AB1056" s="25"/>
      <c r="AC1056" s="25"/>
      <c r="AD1056" s="25"/>
    </row>
    <row r="1057" customFormat="false" ht="15.75" hidden="false" customHeight="false" outlineLevel="0" collapsed="false">
      <c r="A1057" s="28" t="s">
        <v>1434</v>
      </c>
      <c r="B1057" s="27" t="s">
        <v>438</v>
      </c>
      <c r="C1057" s="27" t="s">
        <v>211</v>
      </c>
      <c r="D1057" s="25"/>
      <c r="E1057" s="25"/>
      <c r="F1057" s="25"/>
      <c r="G1057" s="25"/>
      <c r="H1057" s="25"/>
      <c r="I1057" s="25"/>
      <c r="J1057" s="27" t="s">
        <v>1424</v>
      </c>
      <c r="K1057" s="25" t="str">
        <f aca="false">IFERROR(__xludf.dummyfunction("SPLIT(J1057,"" "")"),"CIF")</f>
        <v>CIF</v>
      </c>
      <c r="L1057" s="28" t="str">
        <f aca="false">IFERROR(__xludf.dummyfunction("""COMPUTED_VALUE"""),"Japan")</f>
        <v>Japan</v>
      </c>
      <c r="M1057" s="27" t="str">
        <f aca="false">IFERROR(__xludf.dummyfunction("""COMPUTED_VALUE"""),"(Diff)")</f>
        <v>(Diff)</v>
      </c>
      <c r="N1057" s="25"/>
      <c r="O1057" s="25"/>
      <c r="P1057" s="25"/>
      <c r="Q1057" s="29" t="s">
        <v>234</v>
      </c>
      <c r="R1057" s="8" t="str">
        <f aca="false">B1057&amp;" "&amp;C1057&amp;" "&amp;D1057&amp;" "&amp;E1057&amp;" "&amp;G1057&amp;" "&amp;H1057&amp;" "&amp;J1057&amp;" "&amp;N1057</f>
        <v>Differentials Binders &amp; Additives     CIF Japan (Diff) </v>
      </c>
      <c r="S1057" s="25"/>
      <c r="T1057" s="8"/>
      <c r="U1057" s="8"/>
      <c r="V1057" s="25"/>
      <c r="W1057" s="25"/>
      <c r="X1057" s="25"/>
      <c r="Y1057" s="25"/>
      <c r="Z1057" s="25"/>
      <c r="AA1057" s="25"/>
      <c r="AB1057" s="25"/>
      <c r="AC1057" s="25"/>
      <c r="AD1057" s="25"/>
    </row>
    <row r="1058" customFormat="false" ht="15.75" hidden="false" customHeight="false" outlineLevel="0" collapsed="false">
      <c r="A1058" s="28" t="s">
        <v>1435</v>
      </c>
      <c r="B1058" s="27" t="s">
        <v>438</v>
      </c>
      <c r="C1058" s="27" t="s">
        <v>211</v>
      </c>
      <c r="D1058" s="25"/>
      <c r="E1058" s="25"/>
      <c r="F1058" s="25"/>
      <c r="G1058" s="25"/>
      <c r="H1058" s="25"/>
      <c r="I1058" s="25"/>
      <c r="J1058" s="27" t="s">
        <v>1424</v>
      </c>
      <c r="K1058" s="25" t="str">
        <f aca="false">IFERROR(__xludf.dummyfunction("SPLIT(J1058,"" "")"),"CIF")</f>
        <v>CIF</v>
      </c>
      <c r="L1058" s="28" t="str">
        <f aca="false">IFERROR(__xludf.dummyfunction("""COMPUTED_VALUE"""),"Japan")</f>
        <v>Japan</v>
      </c>
      <c r="M1058" s="27" t="str">
        <f aca="false">IFERROR(__xludf.dummyfunction("""COMPUTED_VALUE"""),"(Diff)")</f>
        <v>(Diff)</v>
      </c>
      <c r="N1058" s="25"/>
      <c r="O1058" s="25"/>
      <c r="P1058" s="25"/>
      <c r="Q1058" s="29" t="s">
        <v>232</v>
      </c>
      <c r="R1058" s="8" t="str">
        <f aca="false">B1058&amp;" "&amp;C1058&amp;" "&amp;D1058&amp;" "&amp;E1058&amp;" "&amp;G1058&amp;" "&amp;H1058&amp;" "&amp;J1058&amp;" "&amp;N1058</f>
        <v>Differentials Binders &amp; Additives     CIF Japan (Diff) </v>
      </c>
      <c r="S1058" s="25"/>
      <c r="T1058" s="8"/>
      <c r="U1058" s="8"/>
      <c r="V1058" s="25"/>
      <c r="W1058" s="25"/>
      <c r="X1058" s="25"/>
      <c r="Y1058" s="25"/>
      <c r="Z1058" s="25"/>
      <c r="AA1058" s="25"/>
      <c r="AB1058" s="25"/>
      <c r="AC1058" s="25"/>
      <c r="AD1058" s="25"/>
    </row>
    <row r="1059" customFormat="false" ht="15.75" hidden="false" customHeight="false" outlineLevel="0" collapsed="false">
      <c r="A1059" s="28" t="s">
        <v>1436</v>
      </c>
      <c r="B1059" s="27" t="s">
        <v>438</v>
      </c>
      <c r="C1059" s="27" t="s">
        <v>211</v>
      </c>
      <c r="D1059" s="25"/>
      <c r="E1059" s="25"/>
      <c r="F1059" s="25"/>
      <c r="G1059" s="25"/>
      <c r="H1059" s="25"/>
      <c r="I1059" s="25"/>
      <c r="J1059" s="27" t="s">
        <v>1424</v>
      </c>
      <c r="K1059" s="25" t="str">
        <f aca="false">IFERROR(__xludf.dummyfunction("SPLIT(J1059,"" "")"),"CIF")</f>
        <v>CIF</v>
      </c>
      <c r="L1059" s="28" t="str">
        <f aca="false">IFERROR(__xludf.dummyfunction("""COMPUTED_VALUE"""),"Japan")</f>
        <v>Japan</v>
      </c>
      <c r="M1059" s="27" t="str">
        <f aca="false">IFERROR(__xludf.dummyfunction("""COMPUTED_VALUE"""),"(Diff)")</f>
        <v>(Diff)</v>
      </c>
      <c r="N1059" s="25"/>
      <c r="O1059" s="25"/>
      <c r="P1059" s="25"/>
      <c r="Q1059" s="29" t="s">
        <v>230</v>
      </c>
      <c r="R1059" s="8" t="str">
        <f aca="false">B1059&amp;" "&amp;C1059&amp;" "&amp;D1059&amp;" "&amp;E1059&amp;" "&amp;G1059&amp;" "&amp;H1059&amp;" "&amp;J1059&amp;" "&amp;N1059</f>
        <v>Differentials Binders &amp; Additives     CIF Japan (Diff) </v>
      </c>
      <c r="S1059" s="25"/>
      <c r="T1059" s="8"/>
      <c r="U1059" s="8"/>
      <c r="V1059" s="25"/>
      <c r="W1059" s="25"/>
      <c r="X1059" s="25"/>
      <c r="Y1059" s="25"/>
      <c r="Z1059" s="25"/>
      <c r="AA1059" s="25"/>
      <c r="AB1059" s="25"/>
      <c r="AC1059" s="25"/>
      <c r="AD1059" s="25"/>
    </row>
    <row r="1060" customFormat="false" ht="15.75" hidden="false" customHeight="false" outlineLevel="0" collapsed="false">
      <c r="A1060" s="28" t="s">
        <v>1437</v>
      </c>
      <c r="B1060" s="27" t="s">
        <v>438</v>
      </c>
      <c r="C1060" s="27" t="s">
        <v>211</v>
      </c>
      <c r="D1060" s="25"/>
      <c r="E1060" s="25"/>
      <c r="F1060" s="25"/>
      <c r="G1060" s="25"/>
      <c r="H1060" s="25"/>
      <c r="I1060" s="25"/>
      <c r="J1060" s="27" t="s">
        <v>1424</v>
      </c>
      <c r="K1060" s="25" t="str">
        <f aca="false">IFERROR(__xludf.dummyfunction("SPLIT(J1060,"" "")"),"CIF")</f>
        <v>CIF</v>
      </c>
      <c r="L1060" s="28" t="str">
        <f aca="false">IFERROR(__xludf.dummyfunction("""COMPUTED_VALUE"""),"Japan")</f>
        <v>Japan</v>
      </c>
      <c r="M1060" s="27" t="str">
        <f aca="false">IFERROR(__xludf.dummyfunction("""COMPUTED_VALUE"""),"(Diff)")</f>
        <v>(Diff)</v>
      </c>
      <c r="N1060" s="25"/>
      <c r="O1060" s="25"/>
      <c r="P1060" s="25"/>
      <c r="Q1060" s="29" t="s">
        <v>228</v>
      </c>
      <c r="R1060" s="8" t="str">
        <f aca="false">B1060&amp;" "&amp;C1060&amp;" "&amp;D1060&amp;" "&amp;E1060&amp;" "&amp;G1060&amp;" "&amp;H1060&amp;" "&amp;J1060&amp;" "&amp;N1060</f>
        <v>Differentials Binders &amp; Additives     CIF Japan (Diff) </v>
      </c>
      <c r="S1060" s="25"/>
      <c r="T1060" s="8"/>
      <c r="U1060" s="8"/>
      <c r="V1060" s="25"/>
      <c r="W1060" s="25"/>
      <c r="X1060" s="25"/>
      <c r="Y1060" s="25"/>
      <c r="Z1060" s="25"/>
      <c r="AA1060" s="25"/>
      <c r="AB1060" s="25"/>
      <c r="AC1060" s="25"/>
      <c r="AD1060" s="25"/>
    </row>
    <row r="1061" customFormat="false" ht="15.75" hidden="false" customHeight="false" outlineLevel="0" collapsed="false">
      <c r="A1061" s="28" t="s">
        <v>1438</v>
      </c>
      <c r="B1061" s="27" t="s">
        <v>438</v>
      </c>
      <c r="C1061" s="27" t="s">
        <v>211</v>
      </c>
      <c r="D1061" s="25"/>
      <c r="E1061" s="25"/>
      <c r="F1061" s="25"/>
      <c r="G1061" s="25"/>
      <c r="H1061" s="25"/>
      <c r="I1061" s="25"/>
      <c r="J1061" s="27" t="s">
        <v>1424</v>
      </c>
      <c r="K1061" s="25" t="str">
        <f aca="false">IFERROR(__xludf.dummyfunction("SPLIT(J1061,"" "")"),"CIF")</f>
        <v>CIF</v>
      </c>
      <c r="L1061" s="28" t="str">
        <f aca="false">IFERROR(__xludf.dummyfunction("""COMPUTED_VALUE"""),"Japan")</f>
        <v>Japan</v>
      </c>
      <c r="M1061" s="27" t="str">
        <f aca="false">IFERROR(__xludf.dummyfunction("""COMPUTED_VALUE"""),"(Diff)")</f>
        <v>(Diff)</v>
      </c>
      <c r="N1061" s="25"/>
      <c r="O1061" s="25"/>
      <c r="P1061" s="25"/>
      <c r="Q1061" s="29" t="s">
        <v>226</v>
      </c>
      <c r="R1061" s="8" t="str">
        <f aca="false">B1061&amp;" "&amp;C1061&amp;" "&amp;D1061&amp;" "&amp;E1061&amp;" "&amp;G1061&amp;" "&amp;H1061&amp;" "&amp;J1061&amp;" "&amp;N1061</f>
        <v>Differentials Binders &amp; Additives     CIF Japan (Diff) </v>
      </c>
      <c r="S1061" s="25"/>
      <c r="T1061" s="8"/>
      <c r="U1061" s="8"/>
      <c r="V1061" s="25"/>
      <c r="W1061" s="25"/>
      <c r="X1061" s="25"/>
      <c r="Y1061" s="25"/>
      <c r="Z1061" s="25"/>
      <c r="AA1061" s="25"/>
      <c r="AB1061" s="25"/>
      <c r="AC1061" s="25"/>
      <c r="AD1061" s="25"/>
    </row>
    <row r="1062" customFormat="false" ht="15.75" hidden="false" customHeight="false" outlineLevel="0" collapsed="false">
      <c r="A1062" s="28" t="s">
        <v>1439</v>
      </c>
      <c r="B1062" s="27" t="s">
        <v>438</v>
      </c>
      <c r="C1062" s="27" t="s">
        <v>211</v>
      </c>
      <c r="D1062" s="25"/>
      <c r="E1062" s="25"/>
      <c r="F1062" s="25"/>
      <c r="G1062" s="25"/>
      <c r="H1062" s="25"/>
      <c r="I1062" s="25"/>
      <c r="J1062" s="27" t="s">
        <v>1424</v>
      </c>
      <c r="K1062" s="25" t="str">
        <f aca="false">IFERROR(__xludf.dummyfunction("SPLIT(J1062,"" "")"),"CIF")</f>
        <v>CIF</v>
      </c>
      <c r="L1062" s="28" t="str">
        <f aca="false">IFERROR(__xludf.dummyfunction("""COMPUTED_VALUE"""),"Japan")</f>
        <v>Japan</v>
      </c>
      <c r="M1062" s="27" t="str">
        <f aca="false">IFERROR(__xludf.dummyfunction("""COMPUTED_VALUE"""),"(Diff)")</f>
        <v>(Diff)</v>
      </c>
      <c r="N1062" s="25"/>
      <c r="O1062" s="25"/>
      <c r="P1062" s="25"/>
      <c r="Q1062" s="29" t="s">
        <v>224</v>
      </c>
      <c r="R1062" s="8" t="str">
        <f aca="false">B1062&amp;" "&amp;C1062&amp;" "&amp;D1062&amp;" "&amp;E1062&amp;" "&amp;G1062&amp;" "&amp;H1062&amp;" "&amp;J1062&amp;" "&amp;N1062</f>
        <v>Differentials Binders &amp; Additives     CIF Japan (Diff) </v>
      </c>
      <c r="S1062" s="25"/>
      <c r="T1062" s="8"/>
      <c r="U1062" s="8"/>
      <c r="V1062" s="25"/>
      <c r="W1062" s="25"/>
      <c r="X1062" s="25"/>
      <c r="Y1062" s="25"/>
      <c r="Z1062" s="25"/>
      <c r="AA1062" s="25"/>
      <c r="AB1062" s="25"/>
      <c r="AC1062" s="25"/>
      <c r="AD1062" s="25"/>
    </row>
    <row r="1063" customFormat="false" ht="15.75" hidden="false" customHeight="false" outlineLevel="0" collapsed="false">
      <c r="A1063" s="28" t="s">
        <v>1440</v>
      </c>
      <c r="B1063" s="27" t="s">
        <v>438</v>
      </c>
      <c r="C1063" s="27" t="s">
        <v>211</v>
      </c>
      <c r="D1063" s="25"/>
      <c r="E1063" s="25"/>
      <c r="F1063" s="25"/>
      <c r="G1063" s="25"/>
      <c r="H1063" s="25"/>
      <c r="I1063" s="25"/>
      <c r="J1063" s="27" t="s">
        <v>1424</v>
      </c>
      <c r="K1063" s="25" t="str">
        <f aca="false">IFERROR(__xludf.dummyfunction("SPLIT(J1063,"" "")"),"CIF")</f>
        <v>CIF</v>
      </c>
      <c r="L1063" s="28" t="str">
        <f aca="false">IFERROR(__xludf.dummyfunction("""COMPUTED_VALUE"""),"Japan")</f>
        <v>Japan</v>
      </c>
      <c r="M1063" s="27" t="str">
        <f aca="false">IFERROR(__xludf.dummyfunction("""COMPUTED_VALUE"""),"(Diff)")</f>
        <v>(Diff)</v>
      </c>
      <c r="N1063" s="25"/>
      <c r="O1063" s="25"/>
      <c r="P1063" s="25"/>
      <c r="Q1063" s="29" t="s">
        <v>222</v>
      </c>
      <c r="R1063" s="8" t="str">
        <f aca="false">B1063&amp;" "&amp;C1063&amp;" "&amp;D1063&amp;" "&amp;E1063&amp;" "&amp;G1063&amp;" "&amp;H1063&amp;" "&amp;J1063&amp;" "&amp;N1063</f>
        <v>Differentials Binders &amp; Additives     CIF Japan (Diff) </v>
      </c>
      <c r="S1063" s="25"/>
      <c r="T1063" s="8"/>
      <c r="U1063" s="8"/>
      <c r="V1063" s="25"/>
      <c r="W1063" s="25"/>
      <c r="X1063" s="25"/>
      <c r="Y1063" s="25"/>
      <c r="Z1063" s="25"/>
      <c r="AA1063" s="25"/>
      <c r="AB1063" s="25"/>
      <c r="AC1063" s="25"/>
      <c r="AD1063" s="25"/>
    </row>
    <row r="1064" customFormat="false" ht="15.75" hidden="false" customHeight="false" outlineLevel="0" collapsed="false">
      <c r="A1064" s="28" t="s">
        <v>1441</v>
      </c>
      <c r="B1064" s="27" t="s">
        <v>438</v>
      </c>
      <c r="C1064" s="27" t="s">
        <v>211</v>
      </c>
      <c r="D1064" s="25"/>
      <c r="E1064" s="25"/>
      <c r="F1064" s="25"/>
      <c r="G1064" s="25"/>
      <c r="H1064" s="25"/>
      <c r="I1064" s="25"/>
      <c r="J1064" s="27" t="s">
        <v>1424</v>
      </c>
      <c r="K1064" s="25" t="str">
        <f aca="false">IFERROR(__xludf.dummyfunction("SPLIT(J1064,"" "")"),"CIF")</f>
        <v>CIF</v>
      </c>
      <c r="L1064" s="28" t="str">
        <f aca="false">IFERROR(__xludf.dummyfunction("""COMPUTED_VALUE"""),"Japan")</f>
        <v>Japan</v>
      </c>
      <c r="M1064" s="27" t="str">
        <f aca="false">IFERROR(__xludf.dummyfunction("""COMPUTED_VALUE"""),"(Diff)")</f>
        <v>(Diff)</v>
      </c>
      <c r="N1064" s="25"/>
      <c r="O1064" s="25"/>
      <c r="P1064" s="25"/>
      <c r="Q1064" s="29" t="s">
        <v>220</v>
      </c>
      <c r="R1064" s="8" t="str">
        <f aca="false">B1064&amp;" "&amp;C1064&amp;" "&amp;D1064&amp;" "&amp;E1064&amp;" "&amp;G1064&amp;" "&amp;H1064&amp;" "&amp;J1064&amp;" "&amp;N1064</f>
        <v>Differentials Binders &amp; Additives     CIF Japan (Diff) </v>
      </c>
      <c r="S1064" s="25"/>
      <c r="T1064" s="8"/>
      <c r="U1064" s="8"/>
      <c r="V1064" s="25"/>
      <c r="W1064" s="25"/>
      <c r="X1064" s="25"/>
      <c r="Y1064" s="25"/>
      <c r="Z1064" s="25"/>
      <c r="AA1064" s="25"/>
      <c r="AB1064" s="25"/>
      <c r="AC1064" s="25"/>
      <c r="AD1064" s="25"/>
    </row>
    <row r="1065" customFormat="false" ht="15.75" hidden="false" customHeight="false" outlineLevel="0" collapsed="false">
      <c r="A1065" s="28" t="s">
        <v>1442</v>
      </c>
      <c r="B1065" s="27" t="s">
        <v>438</v>
      </c>
      <c r="C1065" s="27" t="s">
        <v>211</v>
      </c>
      <c r="D1065" s="25"/>
      <c r="E1065" s="25"/>
      <c r="F1065" s="25"/>
      <c r="G1065" s="25"/>
      <c r="H1065" s="25"/>
      <c r="I1065" s="25"/>
      <c r="J1065" s="27" t="s">
        <v>1424</v>
      </c>
      <c r="K1065" s="25" t="str">
        <f aca="false">IFERROR(__xludf.dummyfunction("SPLIT(J1065,"" "")"),"CIF")</f>
        <v>CIF</v>
      </c>
      <c r="L1065" s="28" t="str">
        <f aca="false">IFERROR(__xludf.dummyfunction("""COMPUTED_VALUE"""),"Japan")</f>
        <v>Japan</v>
      </c>
      <c r="M1065" s="27" t="str">
        <f aca="false">IFERROR(__xludf.dummyfunction("""COMPUTED_VALUE"""),"(Diff)")</f>
        <v>(Diff)</v>
      </c>
      <c r="N1065" s="25"/>
      <c r="O1065" s="25"/>
      <c r="P1065" s="25"/>
      <c r="Q1065" s="29" t="s">
        <v>218</v>
      </c>
      <c r="R1065" s="8" t="str">
        <f aca="false">B1065&amp;" "&amp;C1065&amp;" "&amp;D1065&amp;" "&amp;E1065&amp;" "&amp;G1065&amp;" "&amp;H1065&amp;" "&amp;J1065&amp;" "&amp;N1065</f>
        <v>Differentials Binders &amp; Additives     CIF Japan (Diff) </v>
      </c>
      <c r="S1065" s="25"/>
      <c r="T1065" s="8"/>
      <c r="U1065" s="8"/>
      <c r="V1065" s="25"/>
      <c r="W1065" s="25"/>
      <c r="X1065" s="25"/>
      <c r="Y1065" s="25"/>
      <c r="Z1065" s="25"/>
      <c r="AA1065" s="25"/>
      <c r="AB1065" s="25"/>
      <c r="AC1065" s="25"/>
      <c r="AD1065" s="25"/>
    </row>
    <row r="1066" customFormat="false" ht="15.75" hidden="false" customHeight="false" outlineLevel="0" collapsed="false">
      <c r="A1066" s="28" t="s">
        <v>1443</v>
      </c>
      <c r="B1066" s="27" t="s">
        <v>438</v>
      </c>
      <c r="C1066" s="27" t="s">
        <v>211</v>
      </c>
      <c r="D1066" s="25"/>
      <c r="E1066" s="25"/>
      <c r="F1066" s="25"/>
      <c r="G1066" s="25"/>
      <c r="H1066" s="25"/>
      <c r="I1066" s="25"/>
      <c r="J1066" s="27" t="s">
        <v>1424</v>
      </c>
      <c r="K1066" s="25" t="str">
        <f aca="false">IFERROR(__xludf.dummyfunction("SPLIT(J1066,"" "")"),"CIF")</f>
        <v>CIF</v>
      </c>
      <c r="L1066" s="28" t="str">
        <f aca="false">IFERROR(__xludf.dummyfunction("""COMPUTED_VALUE"""),"Japan")</f>
        <v>Japan</v>
      </c>
      <c r="M1066" s="27" t="str">
        <f aca="false">IFERROR(__xludf.dummyfunction("""COMPUTED_VALUE"""),"(Diff)")</f>
        <v>(Diff)</v>
      </c>
      <c r="N1066" s="25"/>
      <c r="O1066" s="25"/>
      <c r="P1066" s="25"/>
      <c r="Q1066" s="29" t="s">
        <v>215</v>
      </c>
      <c r="R1066" s="8" t="str">
        <f aca="false">B1066&amp;" "&amp;C1066&amp;" "&amp;D1066&amp;" "&amp;E1066&amp;" "&amp;G1066&amp;" "&amp;H1066&amp;" "&amp;J1066&amp;" "&amp;N1066</f>
        <v>Differentials Binders &amp; Additives     CIF Japan (Diff) </v>
      </c>
      <c r="S1066" s="25"/>
      <c r="T1066" s="8"/>
      <c r="U1066" s="8"/>
      <c r="V1066" s="25"/>
      <c r="W1066" s="25"/>
      <c r="X1066" s="25"/>
      <c r="Y1066" s="25"/>
      <c r="Z1066" s="25"/>
      <c r="AA1066" s="25"/>
      <c r="AB1066" s="25"/>
      <c r="AC1066" s="25"/>
      <c r="AD1066" s="25"/>
    </row>
    <row r="1067" customFormat="false" ht="15.75" hidden="false" customHeight="false" outlineLevel="0" collapsed="false">
      <c r="A1067" s="28" t="s">
        <v>1444</v>
      </c>
      <c r="B1067" s="27" t="s">
        <v>438</v>
      </c>
      <c r="C1067" s="27" t="s">
        <v>211</v>
      </c>
      <c r="D1067" s="25"/>
      <c r="E1067" s="25"/>
      <c r="F1067" s="25"/>
      <c r="G1067" s="25"/>
      <c r="H1067" s="25"/>
      <c r="I1067" s="25"/>
      <c r="J1067" s="27" t="s">
        <v>1424</v>
      </c>
      <c r="K1067" s="25" t="str">
        <f aca="false">IFERROR(__xludf.dummyfunction("SPLIT(J1067,"" "")"),"CIF")</f>
        <v>CIF</v>
      </c>
      <c r="L1067" s="28" t="str">
        <f aca="false">IFERROR(__xludf.dummyfunction("""COMPUTED_VALUE"""),"Japan")</f>
        <v>Japan</v>
      </c>
      <c r="M1067" s="27" t="str">
        <f aca="false">IFERROR(__xludf.dummyfunction("""COMPUTED_VALUE"""),"(Diff)")</f>
        <v>(Diff)</v>
      </c>
      <c r="N1067" s="25"/>
      <c r="O1067" s="25"/>
      <c r="P1067" s="25"/>
      <c r="Q1067" s="29" t="s">
        <v>213</v>
      </c>
      <c r="R1067" s="8" t="str">
        <f aca="false">B1067&amp;" "&amp;C1067&amp;" "&amp;D1067&amp;" "&amp;E1067&amp;" "&amp;G1067&amp;" "&amp;H1067&amp;" "&amp;J1067&amp;" "&amp;N1067</f>
        <v>Differentials Binders &amp; Additives     CIF Japan (Diff) </v>
      </c>
      <c r="S1067" s="25"/>
      <c r="T1067" s="8"/>
      <c r="U1067" s="8"/>
      <c r="V1067" s="25"/>
      <c r="W1067" s="25"/>
      <c r="X1067" s="25"/>
      <c r="Y1067" s="25"/>
      <c r="Z1067" s="25"/>
      <c r="AA1067" s="25"/>
      <c r="AB1067" s="25"/>
      <c r="AC1067" s="25"/>
      <c r="AD1067" s="25"/>
    </row>
    <row r="1068" customFormat="false" ht="15.75" hidden="false" customHeight="false" outlineLevel="0" collapsed="false">
      <c r="A1068" s="28" t="s">
        <v>1445</v>
      </c>
      <c r="B1068" s="27" t="s">
        <v>438</v>
      </c>
      <c r="C1068" s="27" t="s">
        <v>236</v>
      </c>
      <c r="D1068" s="25"/>
      <c r="E1068" s="25"/>
      <c r="F1068" s="25"/>
      <c r="G1068" s="25"/>
      <c r="H1068" s="25"/>
      <c r="I1068" s="25"/>
      <c r="J1068" s="27" t="s">
        <v>1424</v>
      </c>
      <c r="K1068" s="25" t="str">
        <f aca="false">IFERROR(__xludf.dummyfunction("SPLIT(J1068,"" "")"),"CIF")</f>
        <v>CIF</v>
      </c>
      <c r="L1068" s="28" t="str">
        <f aca="false">IFERROR(__xludf.dummyfunction("""COMPUTED_VALUE"""),"Japan")</f>
        <v>Japan</v>
      </c>
      <c r="M1068" s="27" t="str">
        <f aca="false">IFERROR(__xludf.dummyfunction("""COMPUTED_VALUE"""),"(Diff)")</f>
        <v>(Diff)</v>
      </c>
      <c r="N1068" s="25"/>
      <c r="O1068" s="25"/>
      <c r="P1068" s="25"/>
      <c r="Q1068" s="29" t="s">
        <v>271</v>
      </c>
      <c r="R1068" s="8" t="str">
        <f aca="false">B1068&amp;" "&amp;C1068&amp;" "&amp;D1068&amp;" "&amp;E1068&amp;" "&amp;G1068&amp;" "&amp;H1068&amp;" "&amp;J1068&amp;" "&amp;N1068</f>
        <v>Differentials Cathode     CIF Japan (Diff) </v>
      </c>
      <c r="S1068" s="25"/>
      <c r="T1068" s="8"/>
      <c r="U1068" s="8"/>
      <c r="V1068" s="25"/>
      <c r="W1068" s="25"/>
      <c r="X1068" s="25"/>
      <c r="Y1068" s="25"/>
      <c r="Z1068" s="25"/>
      <c r="AA1068" s="25"/>
      <c r="AB1068" s="25"/>
      <c r="AC1068" s="25"/>
      <c r="AD1068" s="25"/>
    </row>
    <row r="1069" customFormat="false" ht="15.75" hidden="false" customHeight="false" outlineLevel="0" collapsed="false">
      <c r="A1069" s="28" t="s">
        <v>1446</v>
      </c>
      <c r="B1069" s="27" t="s">
        <v>438</v>
      </c>
      <c r="C1069" s="27" t="s">
        <v>236</v>
      </c>
      <c r="D1069" s="25"/>
      <c r="E1069" s="25"/>
      <c r="F1069" s="25"/>
      <c r="G1069" s="25"/>
      <c r="H1069" s="25"/>
      <c r="I1069" s="25"/>
      <c r="J1069" s="27" t="s">
        <v>1424</v>
      </c>
      <c r="K1069" s="25" t="str">
        <f aca="false">IFERROR(__xludf.dummyfunction("SPLIT(J1069,"" "")"),"CIF")</f>
        <v>CIF</v>
      </c>
      <c r="L1069" s="28" t="str">
        <f aca="false">IFERROR(__xludf.dummyfunction("""COMPUTED_VALUE"""),"Japan")</f>
        <v>Japan</v>
      </c>
      <c r="M1069" s="27" t="str">
        <f aca="false">IFERROR(__xludf.dummyfunction("""COMPUTED_VALUE"""),"(Diff)")</f>
        <v>(Diff)</v>
      </c>
      <c r="N1069" s="25"/>
      <c r="O1069" s="25"/>
      <c r="P1069" s="25"/>
      <c r="Q1069" s="29" t="s">
        <v>266</v>
      </c>
      <c r="R1069" s="8" t="str">
        <f aca="false">B1069&amp;" "&amp;C1069&amp;" "&amp;D1069&amp;" "&amp;E1069&amp;" "&amp;G1069&amp;" "&amp;H1069&amp;" "&amp;J1069&amp;" "&amp;N1069</f>
        <v>Differentials Cathode     CIF Japan (Diff) </v>
      </c>
      <c r="S1069" s="25"/>
      <c r="T1069" s="8"/>
      <c r="U1069" s="8"/>
      <c r="V1069" s="25"/>
      <c r="W1069" s="25"/>
      <c r="X1069" s="25"/>
      <c r="Y1069" s="25"/>
      <c r="Z1069" s="25"/>
      <c r="AA1069" s="25"/>
      <c r="AB1069" s="25"/>
      <c r="AC1069" s="25"/>
      <c r="AD1069" s="25"/>
    </row>
    <row r="1070" customFormat="false" ht="15.75" hidden="false" customHeight="false" outlineLevel="0" collapsed="false">
      <c r="A1070" s="28" t="s">
        <v>1447</v>
      </c>
      <c r="B1070" s="27" t="s">
        <v>438</v>
      </c>
      <c r="C1070" s="27" t="s">
        <v>236</v>
      </c>
      <c r="D1070" s="25"/>
      <c r="E1070" s="25"/>
      <c r="F1070" s="25"/>
      <c r="G1070" s="25"/>
      <c r="H1070" s="25"/>
      <c r="I1070" s="25"/>
      <c r="J1070" s="27" t="s">
        <v>1424</v>
      </c>
      <c r="K1070" s="25" t="str">
        <f aca="false">IFERROR(__xludf.dummyfunction("SPLIT(J1070,"" "")"),"CIF")</f>
        <v>CIF</v>
      </c>
      <c r="L1070" s="28" t="str">
        <f aca="false">IFERROR(__xludf.dummyfunction("""COMPUTED_VALUE"""),"Japan")</f>
        <v>Japan</v>
      </c>
      <c r="M1070" s="27" t="str">
        <f aca="false">IFERROR(__xludf.dummyfunction("""COMPUTED_VALUE"""),"(Diff)")</f>
        <v>(Diff)</v>
      </c>
      <c r="N1070" s="25"/>
      <c r="O1070" s="25"/>
      <c r="P1070" s="25"/>
      <c r="Q1070" s="29" t="s">
        <v>261</v>
      </c>
      <c r="R1070" s="8" t="str">
        <f aca="false">B1070&amp;" "&amp;C1070&amp;" "&amp;D1070&amp;" "&amp;E1070&amp;" "&amp;G1070&amp;" "&amp;H1070&amp;" "&amp;J1070&amp;" "&amp;N1070</f>
        <v>Differentials Cathode     CIF Japan (Diff) </v>
      </c>
      <c r="S1070" s="25"/>
      <c r="T1070" s="8"/>
      <c r="U1070" s="8"/>
      <c r="V1070" s="25"/>
      <c r="W1070" s="25"/>
      <c r="X1070" s="25"/>
      <c r="Y1070" s="25"/>
      <c r="Z1070" s="25"/>
      <c r="AA1070" s="25"/>
      <c r="AB1070" s="25"/>
      <c r="AC1070" s="25"/>
      <c r="AD1070" s="25"/>
    </row>
    <row r="1071" customFormat="false" ht="15.75" hidden="false" customHeight="false" outlineLevel="0" collapsed="false">
      <c r="A1071" s="28" t="s">
        <v>1448</v>
      </c>
      <c r="B1071" s="27" t="s">
        <v>438</v>
      </c>
      <c r="C1071" s="27" t="s">
        <v>236</v>
      </c>
      <c r="D1071" s="25"/>
      <c r="E1071" s="25"/>
      <c r="F1071" s="25"/>
      <c r="G1071" s="25"/>
      <c r="H1071" s="25"/>
      <c r="I1071" s="25"/>
      <c r="J1071" s="27" t="s">
        <v>1424</v>
      </c>
      <c r="K1071" s="25" t="str">
        <f aca="false">IFERROR(__xludf.dummyfunction("SPLIT(J1071,"" "")"),"CIF")</f>
        <v>CIF</v>
      </c>
      <c r="L1071" s="28" t="str">
        <f aca="false">IFERROR(__xludf.dummyfunction("""COMPUTED_VALUE"""),"Japan")</f>
        <v>Japan</v>
      </c>
      <c r="M1071" s="27" t="str">
        <f aca="false">IFERROR(__xludf.dummyfunction("""COMPUTED_VALUE"""),"(Diff)")</f>
        <v>(Diff)</v>
      </c>
      <c r="N1071" s="25"/>
      <c r="O1071" s="25"/>
      <c r="P1071" s="25"/>
      <c r="Q1071" s="29" t="s">
        <v>256</v>
      </c>
      <c r="R1071" s="8" t="str">
        <f aca="false">B1071&amp;" "&amp;C1071&amp;" "&amp;D1071&amp;" "&amp;E1071&amp;" "&amp;G1071&amp;" "&amp;H1071&amp;" "&amp;J1071&amp;" "&amp;N1071</f>
        <v>Differentials Cathode     CIF Japan (Diff) </v>
      </c>
      <c r="S1071" s="25"/>
      <c r="T1071" s="8"/>
      <c r="U1071" s="8"/>
      <c r="V1071" s="25"/>
      <c r="W1071" s="25"/>
      <c r="X1071" s="25"/>
      <c r="Y1071" s="25"/>
      <c r="Z1071" s="25"/>
      <c r="AA1071" s="25"/>
      <c r="AB1071" s="25"/>
      <c r="AC1071" s="25"/>
      <c r="AD1071" s="25"/>
    </row>
    <row r="1072" customFormat="false" ht="15.75" hidden="false" customHeight="false" outlineLevel="0" collapsed="false">
      <c r="A1072" s="28" t="s">
        <v>1449</v>
      </c>
      <c r="B1072" s="27" t="s">
        <v>438</v>
      </c>
      <c r="C1072" s="27" t="s">
        <v>236</v>
      </c>
      <c r="D1072" s="25"/>
      <c r="E1072" s="25"/>
      <c r="F1072" s="25"/>
      <c r="G1072" s="25"/>
      <c r="H1072" s="25"/>
      <c r="I1072" s="25"/>
      <c r="J1072" s="27" t="s">
        <v>1424</v>
      </c>
      <c r="K1072" s="25" t="str">
        <f aca="false">IFERROR(__xludf.dummyfunction("SPLIT(J1072,"" "")"),"CIF")</f>
        <v>CIF</v>
      </c>
      <c r="L1072" s="28" t="str">
        <f aca="false">IFERROR(__xludf.dummyfunction("""COMPUTED_VALUE"""),"Japan")</f>
        <v>Japan</v>
      </c>
      <c r="M1072" s="27" t="str">
        <f aca="false">IFERROR(__xludf.dummyfunction("""COMPUTED_VALUE"""),"(Diff)")</f>
        <v>(Diff)</v>
      </c>
      <c r="N1072" s="25"/>
      <c r="O1072" s="25"/>
      <c r="P1072" s="25"/>
      <c r="Q1072" s="29" t="s">
        <v>251</v>
      </c>
      <c r="R1072" s="8" t="str">
        <f aca="false">B1072&amp;" "&amp;C1072&amp;" "&amp;D1072&amp;" "&amp;E1072&amp;" "&amp;G1072&amp;" "&amp;H1072&amp;" "&amp;J1072&amp;" "&amp;N1072</f>
        <v>Differentials Cathode     CIF Japan (Diff) </v>
      </c>
      <c r="S1072" s="25"/>
      <c r="T1072" s="8"/>
      <c r="U1072" s="8"/>
      <c r="V1072" s="25"/>
      <c r="W1072" s="25"/>
      <c r="X1072" s="25"/>
      <c r="Y1072" s="25"/>
      <c r="Z1072" s="25"/>
      <c r="AA1072" s="25"/>
      <c r="AB1072" s="25"/>
      <c r="AC1072" s="25"/>
      <c r="AD1072" s="25"/>
    </row>
    <row r="1073" customFormat="false" ht="15.75" hidden="false" customHeight="false" outlineLevel="0" collapsed="false">
      <c r="A1073" s="28" t="s">
        <v>1450</v>
      </c>
      <c r="B1073" s="27" t="s">
        <v>438</v>
      </c>
      <c r="C1073" s="27" t="s">
        <v>236</v>
      </c>
      <c r="D1073" s="25"/>
      <c r="E1073" s="25"/>
      <c r="F1073" s="25"/>
      <c r="G1073" s="25"/>
      <c r="H1073" s="25"/>
      <c r="I1073" s="25"/>
      <c r="J1073" s="27" t="s">
        <v>1424</v>
      </c>
      <c r="K1073" s="25" t="str">
        <f aca="false">IFERROR(__xludf.dummyfunction("SPLIT(J1073,"" "")"),"CIF")</f>
        <v>CIF</v>
      </c>
      <c r="L1073" s="28" t="str">
        <f aca="false">IFERROR(__xludf.dummyfunction("""COMPUTED_VALUE"""),"Japan")</f>
        <v>Japan</v>
      </c>
      <c r="M1073" s="27" t="str">
        <f aca="false">IFERROR(__xludf.dummyfunction("""COMPUTED_VALUE"""),"(Diff)")</f>
        <v>(Diff)</v>
      </c>
      <c r="N1073" s="25"/>
      <c r="O1073" s="25"/>
      <c r="P1073" s="25"/>
      <c r="Q1073" s="29" t="s">
        <v>247</v>
      </c>
      <c r="R1073" s="8" t="str">
        <f aca="false">B1073&amp;" "&amp;C1073&amp;" "&amp;D1073&amp;" "&amp;E1073&amp;" "&amp;G1073&amp;" "&amp;H1073&amp;" "&amp;J1073&amp;" "&amp;N1073</f>
        <v>Differentials Cathode     CIF Japan (Diff) </v>
      </c>
      <c r="S1073" s="25"/>
      <c r="T1073" s="8"/>
      <c r="U1073" s="8"/>
      <c r="V1073" s="25"/>
      <c r="W1073" s="25"/>
      <c r="X1073" s="25"/>
      <c r="Y1073" s="25"/>
      <c r="Z1073" s="25"/>
      <c r="AA1073" s="25"/>
      <c r="AB1073" s="25"/>
      <c r="AC1073" s="25"/>
      <c r="AD1073" s="25"/>
    </row>
    <row r="1074" customFormat="false" ht="15.75" hidden="false" customHeight="false" outlineLevel="0" collapsed="false">
      <c r="A1074" s="28" t="s">
        <v>1451</v>
      </c>
      <c r="B1074" s="27" t="s">
        <v>438</v>
      </c>
      <c r="C1074" s="27" t="s">
        <v>236</v>
      </c>
      <c r="D1074" s="25"/>
      <c r="E1074" s="25"/>
      <c r="F1074" s="25"/>
      <c r="G1074" s="25"/>
      <c r="H1074" s="25"/>
      <c r="I1074" s="25"/>
      <c r="J1074" s="27" t="s">
        <v>1424</v>
      </c>
      <c r="K1074" s="25" t="str">
        <f aca="false">IFERROR(__xludf.dummyfunction("SPLIT(J1074,"" "")"),"CIF")</f>
        <v>CIF</v>
      </c>
      <c r="L1074" s="28" t="str">
        <f aca="false">IFERROR(__xludf.dummyfunction("""COMPUTED_VALUE"""),"Japan")</f>
        <v>Japan</v>
      </c>
      <c r="M1074" s="27" t="str">
        <f aca="false">IFERROR(__xludf.dummyfunction("""COMPUTED_VALUE"""),"(Diff)")</f>
        <v>(Diff)</v>
      </c>
      <c r="N1074" s="25"/>
      <c r="O1074" s="25"/>
      <c r="P1074" s="25"/>
      <c r="Q1074" s="29" t="s">
        <v>243</v>
      </c>
      <c r="R1074" s="8" t="str">
        <f aca="false">B1074&amp;" "&amp;C1074&amp;" "&amp;D1074&amp;" "&amp;E1074&amp;" "&amp;G1074&amp;" "&amp;H1074&amp;" "&amp;J1074&amp;" "&amp;N1074</f>
        <v>Differentials Cathode     CIF Japan (Diff) </v>
      </c>
      <c r="S1074" s="25"/>
      <c r="T1074" s="8"/>
      <c r="U1074" s="8"/>
      <c r="V1074" s="25"/>
      <c r="W1074" s="25"/>
      <c r="X1074" s="25"/>
      <c r="Y1074" s="25"/>
      <c r="Z1074" s="25"/>
      <c r="AA1074" s="25"/>
      <c r="AB1074" s="25"/>
      <c r="AC1074" s="25"/>
      <c r="AD1074" s="25"/>
    </row>
    <row r="1075" customFormat="false" ht="15.75" hidden="false" customHeight="false" outlineLevel="0" collapsed="false">
      <c r="A1075" s="28" t="s">
        <v>1452</v>
      </c>
      <c r="B1075" s="27" t="s">
        <v>438</v>
      </c>
      <c r="C1075" s="27" t="s">
        <v>236</v>
      </c>
      <c r="D1075" s="25"/>
      <c r="E1075" s="25"/>
      <c r="F1075" s="25"/>
      <c r="G1075" s="25"/>
      <c r="H1075" s="25"/>
      <c r="I1075" s="25"/>
      <c r="J1075" s="27" t="s">
        <v>1424</v>
      </c>
      <c r="K1075" s="25" t="str">
        <f aca="false">IFERROR(__xludf.dummyfunction("SPLIT(J1075,"" "")"),"CIF")</f>
        <v>CIF</v>
      </c>
      <c r="L1075" s="28" t="str">
        <f aca="false">IFERROR(__xludf.dummyfunction("""COMPUTED_VALUE"""),"Japan")</f>
        <v>Japan</v>
      </c>
      <c r="M1075" s="27" t="str">
        <f aca="false">IFERROR(__xludf.dummyfunction("""COMPUTED_VALUE"""),"(Diff)")</f>
        <v>(Diff)</v>
      </c>
      <c r="N1075" s="25"/>
      <c r="O1075" s="25"/>
      <c r="P1075" s="25"/>
      <c r="Q1075" s="29" t="s">
        <v>239</v>
      </c>
      <c r="R1075" s="8" t="str">
        <f aca="false">B1075&amp;" "&amp;C1075&amp;" "&amp;D1075&amp;" "&amp;E1075&amp;" "&amp;G1075&amp;" "&amp;H1075&amp;" "&amp;J1075&amp;" "&amp;N1075</f>
        <v>Differentials Cathode     CIF Japan (Diff) </v>
      </c>
      <c r="S1075" s="25"/>
      <c r="T1075" s="8"/>
      <c r="U1075" s="8"/>
      <c r="V1075" s="25"/>
      <c r="W1075" s="25"/>
      <c r="X1075" s="25"/>
      <c r="Y1075" s="25"/>
      <c r="Z1075" s="25"/>
      <c r="AA1075" s="25"/>
      <c r="AB1075" s="25"/>
      <c r="AC1075" s="25"/>
      <c r="AD1075" s="25"/>
    </row>
    <row r="1076" customFormat="false" ht="15.75" hidden="false" customHeight="false" outlineLevel="0" collapsed="false">
      <c r="A1076" s="28" t="s">
        <v>1453</v>
      </c>
      <c r="B1076" s="27" t="s">
        <v>438</v>
      </c>
      <c r="C1076" s="27" t="s">
        <v>273</v>
      </c>
      <c r="D1076" s="25"/>
      <c r="E1076" s="25"/>
      <c r="F1076" s="25"/>
      <c r="G1076" s="25"/>
      <c r="H1076" s="25"/>
      <c r="I1076" s="25"/>
      <c r="J1076" s="27" t="s">
        <v>1424</v>
      </c>
      <c r="K1076" s="25" t="str">
        <f aca="false">IFERROR(__xludf.dummyfunction("SPLIT(J1076,"" "")"),"CIF")</f>
        <v>CIF</v>
      </c>
      <c r="L1076" s="28" t="str">
        <f aca="false">IFERROR(__xludf.dummyfunction("""COMPUTED_VALUE"""),"Japan")</f>
        <v>Japan</v>
      </c>
      <c r="M1076" s="27" t="str">
        <f aca="false">IFERROR(__xludf.dummyfunction("""COMPUTED_VALUE"""),"(Diff)")</f>
        <v>(Diff)</v>
      </c>
      <c r="N1076" s="25"/>
      <c r="O1076" s="25"/>
      <c r="P1076" s="25"/>
      <c r="Q1076" s="29" t="s">
        <v>274</v>
      </c>
      <c r="R1076" s="8" t="str">
        <f aca="false">B1076&amp;" "&amp;C1076&amp;" "&amp;D1076&amp;" "&amp;E1076&amp;" "&amp;G1076&amp;" "&amp;H1076&amp;" "&amp;J1076&amp;" "&amp;N1076</f>
        <v>Differentials Cobalt     CIF Japan (Diff) </v>
      </c>
      <c r="S1076" s="25"/>
      <c r="T1076" s="8"/>
      <c r="U1076" s="8"/>
      <c r="V1076" s="25"/>
      <c r="W1076" s="25"/>
      <c r="X1076" s="25"/>
      <c r="Y1076" s="25"/>
      <c r="Z1076" s="25"/>
      <c r="AA1076" s="25"/>
      <c r="AB1076" s="25"/>
      <c r="AC1076" s="25"/>
      <c r="AD1076" s="25"/>
    </row>
    <row r="1077" customFormat="false" ht="15.75" hidden="false" customHeight="false" outlineLevel="0" collapsed="false">
      <c r="A1077" s="28" t="s">
        <v>1454</v>
      </c>
      <c r="B1077" s="27" t="s">
        <v>438</v>
      </c>
      <c r="C1077" s="27" t="s">
        <v>273</v>
      </c>
      <c r="D1077" s="25"/>
      <c r="E1077" s="25"/>
      <c r="F1077" s="25"/>
      <c r="G1077" s="25"/>
      <c r="H1077" s="25"/>
      <c r="I1077" s="25"/>
      <c r="J1077" s="27" t="s">
        <v>1424</v>
      </c>
      <c r="K1077" s="25" t="str">
        <f aca="false">IFERROR(__xludf.dummyfunction("SPLIT(J1077,"" "")"),"CIF")</f>
        <v>CIF</v>
      </c>
      <c r="L1077" s="28" t="str">
        <f aca="false">IFERROR(__xludf.dummyfunction("""COMPUTED_VALUE"""),"Japan")</f>
        <v>Japan</v>
      </c>
      <c r="M1077" s="27" t="str">
        <f aca="false">IFERROR(__xludf.dummyfunction("""COMPUTED_VALUE"""),"(Diff)")</f>
        <v>(Diff)</v>
      </c>
      <c r="N1077" s="25"/>
      <c r="O1077" s="25"/>
      <c r="P1077" s="25"/>
      <c r="Q1077" s="29" t="s">
        <v>282</v>
      </c>
      <c r="R1077" s="8" t="str">
        <f aca="false">B1077&amp;" "&amp;C1077&amp;" "&amp;D1077&amp;" "&amp;E1077&amp;" "&amp;G1077&amp;" "&amp;H1077&amp;" "&amp;J1077&amp;" "&amp;N1077</f>
        <v>Differentials Cobalt     CIF Japan (Diff) </v>
      </c>
      <c r="S1077" s="25"/>
      <c r="T1077" s="8"/>
      <c r="U1077" s="8"/>
      <c r="V1077" s="25"/>
      <c r="W1077" s="25"/>
      <c r="X1077" s="25"/>
      <c r="Y1077" s="25"/>
      <c r="Z1077" s="25"/>
      <c r="AA1077" s="25"/>
      <c r="AB1077" s="25"/>
      <c r="AC1077" s="25"/>
      <c r="AD1077" s="25"/>
    </row>
    <row r="1078" customFormat="false" ht="15.75" hidden="false" customHeight="false" outlineLevel="0" collapsed="false">
      <c r="A1078" s="28" t="s">
        <v>1455</v>
      </c>
      <c r="B1078" s="27" t="s">
        <v>438</v>
      </c>
      <c r="C1078" s="27" t="s">
        <v>273</v>
      </c>
      <c r="D1078" s="25"/>
      <c r="E1078" s="25"/>
      <c r="F1078" s="25"/>
      <c r="G1078" s="25"/>
      <c r="H1078" s="25"/>
      <c r="I1078" s="25"/>
      <c r="J1078" s="27" t="s">
        <v>1424</v>
      </c>
      <c r="K1078" s="25" t="str">
        <f aca="false">IFERROR(__xludf.dummyfunction("SPLIT(J1078,"" "")"),"CIF")</f>
        <v>CIF</v>
      </c>
      <c r="L1078" s="28" t="str">
        <f aca="false">IFERROR(__xludf.dummyfunction("""COMPUTED_VALUE"""),"Japan")</f>
        <v>Japan</v>
      </c>
      <c r="M1078" s="27" t="str">
        <f aca="false">IFERROR(__xludf.dummyfunction("""COMPUTED_VALUE"""),"(Diff)")</f>
        <v>(Diff)</v>
      </c>
      <c r="N1078" s="25"/>
      <c r="O1078" s="25"/>
      <c r="P1078" s="25"/>
      <c r="Q1078" s="29" t="s">
        <v>280</v>
      </c>
      <c r="R1078" s="8" t="str">
        <f aca="false">B1078&amp;" "&amp;C1078&amp;" "&amp;D1078&amp;" "&amp;E1078&amp;" "&amp;G1078&amp;" "&amp;H1078&amp;" "&amp;J1078&amp;" "&amp;N1078</f>
        <v>Differentials Cobalt     CIF Japan (Diff) </v>
      </c>
      <c r="S1078" s="25"/>
      <c r="T1078" s="8"/>
      <c r="U1078" s="8"/>
      <c r="V1078" s="25"/>
      <c r="W1078" s="25"/>
      <c r="X1078" s="25"/>
      <c r="Y1078" s="25"/>
      <c r="Z1078" s="25"/>
      <c r="AA1078" s="25"/>
      <c r="AB1078" s="25"/>
      <c r="AC1078" s="25"/>
      <c r="AD1078" s="25"/>
    </row>
    <row r="1079" customFormat="false" ht="15.75" hidden="false" customHeight="false" outlineLevel="0" collapsed="false">
      <c r="A1079" s="28" t="s">
        <v>1456</v>
      </c>
      <c r="B1079" s="27" t="s">
        <v>438</v>
      </c>
      <c r="C1079" s="27" t="s">
        <v>273</v>
      </c>
      <c r="D1079" s="25"/>
      <c r="E1079" s="25"/>
      <c r="F1079" s="25"/>
      <c r="G1079" s="25"/>
      <c r="H1079" s="25"/>
      <c r="I1079" s="25"/>
      <c r="J1079" s="27" t="s">
        <v>1424</v>
      </c>
      <c r="K1079" s="25" t="str">
        <f aca="false">IFERROR(__xludf.dummyfunction("SPLIT(J1079,"" "")"),"CIF")</f>
        <v>CIF</v>
      </c>
      <c r="L1079" s="28" t="str">
        <f aca="false">IFERROR(__xludf.dummyfunction("""COMPUTED_VALUE"""),"Japan")</f>
        <v>Japan</v>
      </c>
      <c r="M1079" s="27" t="str">
        <f aca="false">IFERROR(__xludf.dummyfunction("""COMPUTED_VALUE"""),"(Diff)")</f>
        <v>(Diff)</v>
      </c>
      <c r="N1079" s="25"/>
      <c r="O1079" s="25"/>
      <c r="P1079" s="25"/>
      <c r="Q1079" s="29" t="s">
        <v>278</v>
      </c>
      <c r="R1079" s="8" t="str">
        <f aca="false">B1079&amp;" "&amp;C1079&amp;" "&amp;D1079&amp;" "&amp;E1079&amp;" "&amp;G1079&amp;" "&amp;H1079&amp;" "&amp;J1079&amp;" "&amp;N1079</f>
        <v>Differentials Cobalt     CIF Japan (Diff) </v>
      </c>
      <c r="S1079" s="25"/>
      <c r="T1079" s="8"/>
      <c r="U1079" s="8"/>
      <c r="V1079" s="25"/>
      <c r="W1079" s="25"/>
      <c r="X1079" s="25"/>
      <c r="Y1079" s="25"/>
      <c r="Z1079" s="25"/>
      <c r="AA1079" s="25"/>
      <c r="AB1079" s="25"/>
      <c r="AC1079" s="25"/>
      <c r="AD1079" s="25"/>
    </row>
    <row r="1080" customFormat="false" ht="15.75" hidden="false" customHeight="false" outlineLevel="0" collapsed="false">
      <c r="A1080" s="28" t="s">
        <v>1457</v>
      </c>
      <c r="B1080" s="27" t="s">
        <v>438</v>
      </c>
      <c r="C1080" s="27" t="s">
        <v>273</v>
      </c>
      <c r="D1080" s="25"/>
      <c r="E1080" s="25"/>
      <c r="F1080" s="25"/>
      <c r="G1080" s="25"/>
      <c r="H1080" s="25"/>
      <c r="I1080" s="25"/>
      <c r="J1080" s="27" t="s">
        <v>1424</v>
      </c>
      <c r="K1080" s="25" t="str">
        <f aca="false">IFERROR(__xludf.dummyfunction("SPLIT(J1080,"" "")"),"CIF")</f>
        <v>CIF</v>
      </c>
      <c r="L1080" s="28" t="str">
        <f aca="false">IFERROR(__xludf.dummyfunction("""COMPUTED_VALUE"""),"Japan")</f>
        <v>Japan</v>
      </c>
      <c r="M1080" s="27" t="str">
        <f aca="false">IFERROR(__xludf.dummyfunction("""COMPUTED_VALUE"""),"(Diff)")</f>
        <v>(Diff)</v>
      </c>
      <c r="N1080" s="25"/>
      <c r="O1080" s="25"/>
      <c r="P1080" s="25"/>
      <c r="Q1080" s="29" t="s">
        <v>276</v>
      </c>
      <c r="R1080" s="8" t="str">
        <f aca="false">B1080&amp;" "&amp;C1080&amp;" "&amp;D1080&amp;" "&amp;E1080&amp;" "&amp;G1080&amp;" "&amp;H1080&amp;" "&amp;J1080&amp;" "&amp;N1080</f>
        <v>Differentials Cobalt     CIF Japan (Diff) </v>
      </c>
      <c r="S1080" s="25"/>
      <c r="T1080" s="8"/>
      <c r="U1080" s="8"/>
      <c r="V1080" s="25"/>
      <c r="W1080" s="25"/>
      <c r="X1080" s="25"/>
      <c r="Y1080" s="25"/>
      <c r="Z1080" s="25"/>
      <c r="AA1080" s="25"/>
      <c r="AB1080" s="25"/>
      <c r="AC1080" s="25"/>
      <c r="AD1080" s="25"/>
    </row>
    <row r="1081" customFormat="false" ht="15.75" hidden="false" customHeight="false" outlineLevel="0" collapsed="false">
      <c r="A1081" s="28" t="s">
        <v>1458</v>
      </c>
      <c r="B1081" s="27" t="s">
        <v>438</v>
      </c>
      <c r="C1081" s="27" t="s">
        <v>284</v>
      </c>
      <c r="D1081" s="25"/>
      <c r="E1081" s="25"/>
      <c r="F1081" s="25"/>
      <c r="G1081" s="25"/>
      <c r="H1081" s="25"/>
      <c r="I1081" s="25"/>
      <c r="J1081" s="27" t="s">
        <v>1424</v>
      </c>
      <c r="K1081" s="25" t="str">
        <f aca="false">IFERROR(__xludf.dummyfunction("SPLIT(J1081,"" "")"),"CIF")</f>
        <v>CIF</v>
      </c>
      <c r="L1081" s="28" t="str">
        <f aca="false">IFERROR(__xludf.dummyfunction("""COMPUTED_VALUE"""),"Japan")</f>
        <v>Japan</v>
      </c>
      <c r="M1081" s="27" t="str">
        <f aca="false">IFERROR(__xludf.dummyfunction("""COMPUTED_VALUE"""),"(Diff)")</f>
        <v>(Diff)</v>
      </c>
      <c r="N1081" s="25"/>
      <c r="O1081" s="25"/>
      <c r="P1081" s="25"/>
      <c r="Q1081" s="29" t="s">
        <v>287</v>
      </c>
      <c r="R1081" s="8" t="str">
        <f aca="false">B1081&amp;" "&amp;C1081&amp;" "&amp;D1081&amp;" "&amp;E1081&amp;" "&amp;G1081&amp;" "&amp;H1081&amp;" "&amp;J1081&amp;" "&amp;N1081</f>
        <v>Differentials Copper (Battery Grade)     CIF Japan (Diff) </v>
      </c>
      <c r="S1081" s="25"/>
      <c r="T1081" s="8"/>
      <c r="U1081" s="8"/>
      <c r="V1081" s="25"/>
      <c r="W1081" s="25"/>
      <c r="X1081" s="25"/>
      <c r="Y1081" s="25"/>
      <c r="Z1081" s="25"/>
      <c r="AA1081" s="25"/>
      <c r="AB1081" s="25"/>
      <c r="AC1081" s="25"/>
      <c r="AD1081" s="25"/>
    </row>
    <row r="1082" customFormat="false" ht="15.75" hidden="false" customHeight="false" outlineLevel="0" collapsed="false">
      <c r="A1082" s="28" t="s">
        <v>1459</v>
      </c>
      <c r="B1082" s="27" t="s">
        <v>438</v>
      </c>
      <c r="C1082" s="27" t="s">
        <v>284</v>
      </c>
      <c r="D1082" s="25"/>
      <c r="E1082" s="25"/>
      <c r="F1082" s="25"/>
      <c r="G1082" s="25"/>
      <c r="H1082" s="25"/>
      <c r="I1082" s="25"/>
      <c r="J1082" s="27" t="s">
        <v>1424</v>
      </c>
      <c r="K1082" s="25" t="str">
        <f aca="false">IFERROR(__xludf.dummyfunction("SPLIT(J1082,"" "")"),"CIF")</f>
        <v>CIF</v>
      </c>
      <c r="L1082" s="28" t="str">
        <f aca="false">IFERROR(__xludf.dummyfunction("""COMPUTED_VALUE"""),"Japan")</f>
        <v>Japan</v>
      </c>
      <c r="M1082" s="27" t="str">
        <f aca="false">IFERROR(__xludf.dummyfunction("""COMPUTED_VALUE"""),"(Diff)")</f>
        <v>(Diff)</v>
      </c>
      <c r="N1082" s="25"/>
      <c r="O1082" s="25"/>
      <c r="P1082" s="25"/>
      <c r="Q1082" s="29" t="s">
        <v>285</v>
      </c>
      <c r="R1082" s="8" t="str">
        <f aca="false">B1082&amp;" "&amp;C1082&amp;" "&amp;D1082&amp;" "&amp;E1082&amp;" "&amp;G1082&amp;" "&amp;H1082&amp;" "&amp;J1082&amp;" "&amp;N1082</f>
        <v>Differentials Copper (Battery Grade)     CIF Japan (Diff) </v>
      </c>
      <c r="S1082" s="25"/>
      <c r="T1082" s="8"/>
      <c r="U1082" s="8"/>
      <c r="V1082" s="25"/>
      <c r="W1082" s="25"/>
      <c r="X1082" s="25"/>
      <c r="Y1082" s="25"/>
      <c r="Z1082" s="25"/>
      <c r="AA1082" s="25"/>
      <c r="AB1082" s="25"/>
      <c r="AC1082" s="25"/>
      <c r="AD1082" s="25"/>
    </row>
    <row r="1083" customFormat="false" ht="15.75" hidden="false" customHeight="false" outlineLevel="0" collapsed="false">
      <c r="A1083" s="28" t="s">
        <v>1460</v>
      </c>
      <c r="B1083" s="27" t="s">
        <v>438</v>
      </c>
      <c r="C1083" s="27" t="s">
        <v>289</v>
      </c>
      <c r="D1083" s="25"/>
      <c r="E1083" s="25"/>
      <c r="F1083" s="25"/>
      <c r="G1083" s="25"/>
      <c r="H1083" s="25"/>
      <c r="I1083" s="25"/>
      <c r="J1083" s="27" t="s">
        <v>1424</v>
      </c>
      <c r="K1083" s="25" t="str">
        <f aca="false">IFERROR(__xludf.dummyfunction("SPLIT(J1083,"" "")"),"CIF")</f>
        <v>CIF</v>
      </c>
      <c r="L1083" s="28" t="str">
        <f aca="false">IFERROR(__xludf.dummyfunction("""COMPUTED_VALUE"""),"Japan")</f>
        <v>Japan</v>
      </c>
      <c r="M1083" s="27" t="str">
        <f aca="false">IFERROR(__xludf.dummyfunction("""COMPUTED_VALUE"""),"(Diff)")</f>
        <v>(Diff)</v>
      </c>
      <c r="N1083" s="25"/>
      <c r="O1083" s="25"/>
      <c r="P1083" s="25"/>
      <c r="Q1083" s="29" t="s">
        <v>306</v>
      </c>
      <c r="R1083" s="8" t="str">
        <f aca="false">B1083&amp;" "&amp;C1083&amp;" "&amp;D1083&amp;" "&amp;E1083&amp;" "&amp;G1083&amp;" "&amp;H1083&amp;" "&amp;J1083&amp;" "&amp;N1083</f>
        <v>Differentials Electrolyte     CIF Japan (Diff) </v>
      </c>
      <c r="S1083" s="25"/>
      <c r="T1083" s="8"/>
      <c r="U1083" s="8"/>
      <c r="V1083" s="25"/>
      <c r="W1083" s="25"/>
      <c r="X1083" s="25"/>
      <c r="Y1083" s="25"/>
      <c r="Z1083" s="25"/>
      <c r="AA1083" s="25"/>
      <c r="AB1083" s="25"/>
      <c r="AC1083" s="25"/>
      <c r="AD1083" s="25"/>
    </row>
    <row r="1084" customFormat="false" ht="15.75" hidden="false" customHeight="false" outlineLevel="0" collapsed="false">
      <c r="A1084" s="28" t="s">
        <v>1461</v>
      </c>
      <c r="B1084" s="27" t="s">
        <v>438</v>
      </c>
      <c r="C1084" s="27" t="s">
        <v>289</v>
      </c>
      <c r="D1084" s="25"/>
      <c r="E1084" s="25"/>
      <c r="F1084" s="25"/>
      <c r="G1084" s="25"/>
      <c r="H1084" s="25"/>
      <c r="I1084" s="25"/>
      <c r="J1084" s="27" t="s">
        <v>1424</v>
      </c>
      <c r="K1084" s="25" t="str">
        <f aca="false">IFERROR(__xludf.dummyfunction("SPLIT(J1084,"" "")"),"CIF")</f>
        <v>CIF</v>
      </c>
      <c r="L1084" s="28" t="str">
        <f aca="false">IFERROR(__xludf.dummyfunction("""COMPUTED_VALUE"""),"Japan")</f>
        <v>Japan</v>
      </c>
      <c r="M1084" s="27" t="str">
        <f aca="false">IFERROR(__xludf.dummyfunction("""COMPUTED_VALUE"""),"(Diff)")</f>
        <v>(Diff)</v>
      </c>
      <c r="N1084" s="25"/>
      <c r="O1084" s="25"/>
      <c r="P1084" s="25"/>
      <c r="Q1084" s="29" t="s">
        <v>304</v>
      </c>
      <c r="R1084" s="8" t="str">
        <f aca="false">B1084&amp;" "&amp;C1084&amp;" "&amp;D1084&amp;" "&amp;E1084&amp;" "&amp;G1084&amp;" "&amp;H1084&amp;" "&amp;J1084&amp;" "&amp;N1084</f>
        <v>Differentials Electrolyte     CIF Japan (Diff) </v>
      </c>
      <c r="S1084" s="25"/>
      <c r="T1084" s="8"/>
      <c r="U1084" s="8"/>
      <c r="V1084" s="25"/>
      <c r="W1084" s="25"/>
      <c r="X1084" s="25"/>
      <c r="Y1084" s="25"/>
      <c r="Z1084" s="25"/>
      <c r="AA1084" s="25"/>
      <c r="AB1084" s="25"/>
      <c r="AC1084" s="25"/>
      <c r="AD1084" s="25"/>
    </row>
    <row r="1085" customFormat="false" ht="15.75" hidden="false" customHeight="false" outlineLevel="0" collapsed="false">
      <c r="A1085" s="28" t="s">
        <v>1462</v>
      </c>
      <c r="B1085" s="27" t="s">
        <v>438</v>
      </c>
      <c r="C1085" s="27" t="s">
        <v>289</v>
      </c>
      <c r="D1085" s="25"/>
      <c r="E1085" s="25"/>
      <c r="F1085" s="25"/>
      <c r="G1085" s="25"/>
      <c r="H1085" s="25"/>
      <c r="I1085" s="25"/>
      <c r="J1085" s="27" t="s">
        <v>1424</v>
      </c>
      <c r="K1085" s="25" t="str">
        <f aca="false">IFERROR(__xludf.dummyfunction("SPLIT(J1085,"" "")"),"CIF")</f>
        <v>CIF</v>
      </c>
      <c r="L1085" s="28" t="str">
        <f aca="false">IFERROR(__xludf.dummyfunction("""COMPUTED_VALUE"""),"Japan")</f>
        <v>Japan</v>
      </c>
      <c r="M1085" s="27" t="str">
        <f aca="false">IFERROR(__xludf.dummyfunction("""COMPUTED_VALUE"""),"(Diff)")</f>
        <v>(Diff)</v>
      </c>
      <c r="N1085" s="25"/>
      <c r="O1085" s="25"/>
      <c r="P1085" s="25"/>
      <c r="Q1085" s="29" t="s">
        <v>302</v>
      </c>
      <c r="R1085" s="8" t="str">
        <f aca="false">B1085&amp;" "&amp;C1085&amp;" "&amp;D1085&amp;" "&amp;E1085&amp;" "&amp;G1085&amp;" "&amp;H1085&amp;" "&amp;J1085&amp;" "&amp;N1085</f>
        <v>Differentials Electrolyte     CIF Japan (Diff) </v>
      </c>
      <c r="S1085" s="25"/>
      <c r="T1085" s="8"/>
      <c r="U1085" s="8"/>
      <c r="V1085" s="25"/>
      <c r="W1085" s="25"/>
      <c r="X1085" s="25"/>
      <c r="Y1085" s="25"/>
      <c r="Z1085" s="25"/>
      <c r="AA1085" s="25"/>
      <c r="AB1085" s="25"/>
      <c r="AC1085" s="25"/>
      <c r="AD1085" s="25"/>
    </row>
    <row r="1086" customFormat="false" ht="15.75" hidden="false" customHeight="false" outlineLevel="0" collapsed="false">
      <c r="A1086" s="28" t="s">
        <v>1463</v>
      </c>
      <c r="B1086" s="27" t="s">
        <v>438</v>
      </c>
      <c r="C1086" s="27" t="s">
        <v>289</v>
      </c>
      <c r="D1086" s="25"/>
      <c r="E1086" s="25"/>
      <c r="F1086" s="25"/>
      <c r="G1086" s="25"/>
      <c r="H1086" s="25"/>
      <c r="I1086" s="25"/>
      <c r="J1086" s="27" t="s">
        <v>1424</v>
      </c>
      <c r="K1086" s="25" t="str">
        <f aca="false">IFERROR(__xludf.dummyfunction("SPLIT(J1086,"" "")"),"CIF")</f>
        <v>CIF</v>
      </c>
      <c r="L1086" s="28" t="str">
        <f aca="false">IFERROR(__xludf.dummyfunction("""COMPUTED_VALUE"""),"Japan")</f>
        <v>Japan</v>
      </c>
      <c r="M1086" s="27" t="str">
        <f aca="false">IFERROR(__xludf.dummyfunction("""COMPUTED_VALUE"""),"(Diff)")</f>
        <v>(Diff)</v>
      </c>
      <c r="N1086" s="25"/>
      <c r="O1086" s="25"/>
      <c r="P1086" s="25"/>
      <c r="Q1086" s="29" t="s">
        <v>300</v>
      </c>
      <c r="R1086" s="8" t="str">
        <f aca="false">B1086&amp;" "&amp;C1086&amp;" "&amp;D1086&amp;" "&amp;E1086&amp;" "&amp;G1086&amp;" "&amp;H1086&amp;" "&amp;J1086&amp;" "&amp;N1086</f>
        <v>Differentials Electrolyte     CIF Japan (Diff) </v>
      </c>
      <c r="S1086" s="25"/>
      <c r="T1086" s="8"/>
      <c r="U1086" s="8"/>
      <c r="V1086" s="25"/>
      <c r="W1086" s="25"/>
      <c r="X1086" s="25"/>
      <c r="Y1086" s="25"/>
      <c r="Z1086" s="25"/>
      <c r="AA1086" s="25"/>
      <c r="AB1086" s="25"/>
      <c r="AC1086" s="25"/>
      <c r="AD1086" s="25"/>
    </row>
    <row r="1087" customFormat="false" ht="15.75" hidden="false" customHeight="false" outlineLevel="0" collapsed="false">
      <c r="A1087" s="28" t="s">
        <v>1464</v>
      </c>
      <c r="B1087" s="27" t="s">
        <v>438</v>
      </c>
      <c r="C1087" s="27" t="s">
        <v>289</v>
      </c>
      <c r="D1087" s="25"/>
      <c r="E1087" s="25"/>
      <c r="F1087" s="25"/>
      <c r="G1087" s="25"/>
      <c r="H1087" s="25"/>
      <c r="I1087" s="25"/>
      <c r="J1087" s="27" t="s">
        <v>1424</v>
      </c>
      <c r="K1087" s="25" t="str">
        <f aca="false">IFERROR(__xludf.dummyfunction("SPLIT(J1087,"" "")"),"CIF")</f>
        <v>CIF</v>
      </c>
      <c r="L1087" s="28" t="str">
        <f aca="false">IFERROR(__xludf.dummyfunction("""COMPUTED_VALUE"""),"Japan")</f>
        <v>Japan</v>
      </c>
      <c r="M1087" s="27" t="str">
        <f aca="false">IFERROR(__xludf.dummyfunction("""COMPUTED_VALUE"""),"(Diff)")</f>
        <v>(Diff)</v>
      </c>
      <c r="N1087" s="25"/>
      <c r="O1087" s="25"/>
      <c r="P1087" s="25"/>
      <c r="Q1087" s="29" t="s">
        <v>298</v>
      </c>
      <c r="R1087" s="8" t="str">
        <f aca="false">B1087&amp;" "&amp;C1087&amp;" "&amp;D1087&amp;" "&amp;E1087&amp;" "&amp;G1087&amp;" "&amp;H1087&amp;" "&amp;J1087&amp;" "&amp;N1087</f>
        <v>Differentials Electrolyte     CIF Japan (Diff) </v>
      </c>
      <c r="S1087" s="25"/>
      <c r="T1087" s="8"/>
      <c r="U1087" s="8"/>
      <c r="V1087" s="25"/>
      <c r="W1087" s="25"/>
      <c r="X1087" s="25"/>
      <c r="Y1087" s="25"/>
      <c r="Z1087" s="25"/>
      <c r="AA1087" s="25"/>
      <c r="AB1087" s="25"/>
      <c r="AC1087" s="25"/>
      <c r="AD1087" s="25"/>
    </row>
    <row r="1088" customFormat="false" ht="15.75" hidden="false" customHeight="false" outlineLevel="0" collapsed="false">
      <c r="A1088" s="28" t="s">
        <v>1465</v>
      </c>
      <c r="B1088" s="27" t="s">
        <v>438</v>
      </c>
      <c r="C1088" s="27" t="s">
        <v>289</v>
      </c>
      <c r="D1088" s="25"/>
      <c r="E1088" s="25"/>
      <c r="F1088" s="25"/>
      <c r="G1088" s="25"/>
      <c r="H1088" s="25"/>
      <c r="I1088" s="25"/>
      <c r="J1088" s="27" t="s">
        <v>1424</v>
      </c>
      <c r="K1088" s="25" t="str">
        <f aca="false">IFERROR(__xludf.dummyfunction("SPLIT(J1088,"" "")"),"CIF")</f>
        <v>CIF</v>
      </c>
      <c r="L1088" s="28" t="str">
        <f aca="false">IFERROR(__xludf.dummyfunction("""COMPUTED_VALUE"""),"Japan")</f>
        <v>Japan</v>
      </c>
      <c r="M1088" s="27" t="str">
        <f aca="false">IFERROR(__xludf.dummyfunction("""COMPUTED_VALUE"""),"(Diff)")</f>
        <v>(Diff)</v>
      </c>
      <c r="N1088" s="25"/>
      <c r="O1088" s="25"/>
      <c r="P1088" s="25"/>
      <c r="Q1088" s="29" t="s">
        <v>296</v>
      </c>
      <c r="R1088" s="8" t="str">
        <f aca="false">B1088&amp;" "&amp;C1088&amp;" "&amp;D1088&amp;" "&amp;E1088&amp;" "&amp;G1088&amp;" "&amp;H1088&amp;" "&amp;J1088&amp;" "&amp;N1088</f>
        <v>Differentials Electrolyte     CIF Japan (Diff) </v>
      </c>
      <c r="S1088" s="25"/>
      <c r="T1088" s="8"/>
      <c r="U1088" s="8"/>
      <c r="V1088" s="25"/>
      <c r="W1088" s="25"/>
      <c r="X1088" s="25"/>
      <c r="Y1088" s="25"/>
      <c r="Z1088" s="25"/>
      <c r="AA1088" s="25"/>
      <c r="AB1088" s="25"/>
      <c r="AC1088" s="25"/>
      <c r="AD1088" s="25"/>
    </row>
    <row r="1089" customFormat="false" ht="15.75" hidden="false" customHeight="false" outlineLevel="0" collapsed="false">
      <c r="A1089" s="28" t="s">
        <v>1466</v>
      </c>
      <c r="B1089" s="27" t="s">
        <v>438</v>
      </c>
      <c r="C1089" s="27" t="s">
        <v>289</v>
      </c>
      <c r="D1089" s="25"/>
      <c r="E1089" s="25"/>
      <c r="F1089" s="25"/>
      <c r="G1089" s="25"/>
      <c r="H1089" s="25"/>
      <c r="I1089" s="25"/>
      <c r="J1089" s="27" t="s">
        <v>1424</v>
      </c>
      <c r="K1089" s="25" t="str">
        <f aca="false">IFERROR(__xludf.dummyfunction("SPLIT(J1089,"" "")"),"CIF")</f>
        <v>CIF</v>
      </c>
      <c r="L1089" s="28" t="str">
        <f aca="false">IFERROR(__xludf.dummyfunction("""COMPUTED_VALUE"""),"Japan")</f>
        <v>Japan</v>
      </c>
      <c r="M1089" s="27" t="str">
        <f aca="false">IFERROR(__xludf.dummyfunction("""COMPUTED_VALUE"""),"(Diff)")</f>
        <v>(Diff)</v>
      </c>
      <c r="N1089" s="25"/>
      <c r="O1089" s="25"/>
      <c r="P1089" s="25"/>
      <c r="Q1089" s="29" t="s">
        <v>294</v>
      </c>
      <c r="R1089" s="8" t="str">
        <f aca="false">B1089&amp;" "&amp;C1089&amp;" "&amp;D1089&amp;" "&amp;E1089&amp;" "&amp;G1089&amp;" "&amp;H1089&amp;" "&amp;J1089&amp;" "&amp;N1089</f>
        <v>Differentials Electrolyte     CIF Japan (Diff) </v>
      </c>
      <c r="S1089" s="25"/>
      <c r="T1089" s="8"/>
      <c r="U1089" s="8"/>
      <c r="V1089" s="25"/>
      <c r="W1089" s="25"/>
      <c r="X1089" s="25"/>
      <c r="Y1089" s="25"/>
      <c r="Z1089" s="25"/>
      <c r="AA1089" s="25"/>
      <c r="AB1089" s="25"/>
      <c r="AC1089" s="25"/>
      <c r="AD1089" s="25"/>
    </row>
    <row r="1090" customFormat="false" ht="15.75" hidden="false" customHeight="false" outlineLevel="0" collapsed="false">
      <c r="A1090" s="28" t="s">
        <v>1467</v>
      </c>
      <c r="B1090" s="27" t="s">
        <v>438</v>
      </c>
      <c r="C1090" s="27" t="s">
        <v>289</v>
      </c>
      <c r="D1090" s="25"/>
      <c r="E1090" s="25"/>
      <c r="F1090" s="25"/>
      <c r="G1090" s="25"/>
      <c r="H1090" s="25"/>
      <c r="I1090" s="25"/>
      <c r="J1090" s="27" t="s">
        <v>1424</v>
      </c>
      <c r="K1090" s="25" t="str">
        <f aca="false">IFERROR(__xludf.dummyfunction("SPLIT(J1090,"" "")"),"CIF")</f>
        <v>CIF</v>
      </c>
      <c r="L1090" s="28" t="str">
        <f aca="false">IFERROR(__xludf.dummyfunction("""COMPUTED_VALUE"""),"Japan")</f>
        <v>Japan</v>
      </c>
      <c r="M1090" s="27" t="str">
        <f aca="false">IFERROR(__xludf.dummyfunction("""COMPUTED_VALUE"""),"(Diff)")</f>
        <v>(Diff)</v>
      </c>
      <c r="N1090" s="25"/>
      <c r="O1090" s="25"/>
      <c r="P1090" s="25"/>
      <c r="Q1090" s="29" t="s">
        <v>291</v>
      </c>
      <c r="R1090" s="8" t="str">
        <f aca="false">B1090&amp;" "&amp;C1090&amp;" "&amp;D1090&amp;" "&amp;E1090&amp;" "&amp;G1090&amp;" "&amp;H1090&amp;" "&amp;J1090&amp;" "&amp;N1090</f>
        <v>Differentials Electrolyte     CIF Japan (Diff) </v>
      </c>
      <c r="S1090" s="25"/>
      <c r="T1090" s="8"/>
      <c r="U1090" s="8"/>
      <c r="V1090" s="25"/>
      <c r="W1090" s="25"/>
      <c r="X1090" s="25"/>
      <c r="Y1090" s="25"/>
      <c r="Z1090" s="25"/>
      <c r="AA1090" s="25"/>
      <c r="AB1090" s="25"/>
      <c r="AC1090" s="25"/>
      <c r="AD1090" s="25"/>
    </row>
    <row r="1091" customFormat="false" ht="15.75" hidden="false" customHeight="false" outlineLevel="0" collapsed="false">
      <c r="A1091" s="28" t="s">
        <v>1468</v>
      </c>
      <c r="B1091" s="27" t="s">
        <v>438</v>
      </c>
      <c r="C1091" s="27" t="s">
        <v>308</v>
      </c>
      <c r="D1091" s="25"/>
      <c r="E1091" s="25"/>
      <c r="F1091" s="25"/>
      <c r="G1091" s="25"/>
      <c r="H1091" s="25"/>
      <c r="I1091" s="25"/>
      <c r="J1091" s="27" t="s">
        <v>1424</v>
      </c>
      <c r="K1091" s="25" t="str">
        <f aca="false">IFERROR(__xludf.dummyfunction("SPLIT(J1091,"" "")"),"CIF")</f>
        <v>CIF</v>
      </c>
      <c r="L1091" s="28" t="str">
        <f aca="false">IFERROR(__xludf.dummyfunction("""COMPUTED_VALUE"""),"Japan")</f>
        <v>Japan</v>
      </c>
      <c r="M1091" s="27" t="str">
        <f aca="false">IFERROR(__xludf.dummyfunction("""COMPUTED_VALUE"""),"(Diff)")</f>
        <v>(Diff)</v>
      </c>
      <c r="N1091" s="25"/>
      <c r="O1091" s="25"/>
      <c r="P1091" s="25"/>
      <c r="Q1091" s="29" t="s">
        <v>358</v>
      </c>
      <c r="R1091" s="8" t="str">
        <f aca="false">B1091&amp;" "&amp;C1091&amp;" "&amp;D1091&amp;" "&amp;E1091&amp;" "&amp;G1091&amp;" "&amp;H1091&amp;" "&amp;J1091&amp;" "&amp;N1091</f>
        <v>Differentials Graphite     CIF Japan (Diff) </v>
      </c>
      <c r="S1091" s="25"/>
      <c r="T1091" s="8"/>
      <c r="U1091" s="8"/>
      <c r="V1091" s="25"/>
      <c r="W1091" s="25"/>
      <c r="X1091" s="25"/>
      <c r="Y1091" s="25"/>
      <c r="Z1091" s="25"/>
      <c r="AA1091" s="25"/>
      <c r="AB1091" s="25"/>
      <c r="AC1091" s="25"/>
      <c r="AD1091" s="25"/>
    </row>
    <row r="1092" customFormat="false" ht="15.75" hidden="false" customHeight="false" outlineLevel="0" collapsed="false">
      <c r="A1092" s="28" t="s">
        <v>1469</v>
      </c>
      <c r="B1092" s="27" t="s">
        <v>438</v>
      </c>
      <c r="C1092" s="27" t="s">
        <v>308</v>
      </c>
      <c r="D1092" s="25"/>
      <c r="E1092" s="25"/>
      <c r="F1092" s="25"/>
      <c r="G1092" s="25"/>
      <c r="H1092" s="25"/>
      <c r="I1092" s="25"/>
      <c r="J1092" s="27" t="s">
        <v>1424</v>
      </c>
      <c r="K1092" s="25" t="str">
        <f aca="false">IFERROR(__xludf.dummyfunction("SPLIT(J1092,"" "")"),"CIF")</f>
        <v>CIF</v>
      </c>
      <c r="L1092" s="28" t="str">
        <f aca="false">IFERROR(__xludf.dummyfunction("""COMPUTED_VALUE"""),"Japan")</f>
        <v>Japan</v>
      </c>
      <c r="M1092" s="27" t="str">
        <f aca="false">IFERROR(__xludf.dummyfunction("""COMPUTED_VALUE"""),"(Diff)")</f>
        <v>(Diff)</v>
      </c>
      <c r="N1092" s="25"/>
      <c r="O1092" s="25"/>
      <c r="P1092" s="25"/>
      <c r="Q1092" s="29" t="s">
        <v>356</v>
      </c>
      <c r="R1092" s="8" t="str">
        <f aca="false">B1092&amp;" "&amp;C1092&amp;" "&amp;D1092&amp;" "&amp;E1092&amp;" "&amp;G1092&amp;" "&amp;H1092&amp;" "&amp;J1092&amp;" "&amp;N1092</f>
        <v>Differentials Graphite     CIF Japan (Diff) </v>
      </c>
      <c r="S1092" s="25"/>
      <c r="T1092" s="8"/>
      <c r="U1092" s="8"/>
      <c r="V1092" s="25"/>
      <c r="W1092" s="25"/>
      <c r="X1092" s="25"/>
      <c r="Y1092" s="25"/>
      <c r="Z1092" s="25"/>
      <c r="AA1092" s="25"/>
      <c r="AB1092" s="25"/>
      <c r="AC1092" s="25"/>
      <c r="AD1092" s="25"/>
    </row>
    <row r="1093" customFormat="false" ht="15.75" hidden="false" customHeight="false" outlineLevel="0" collapsed="false">
      <c r="A1093" s="28" t="s">
        <v>1470</v>
      </c>
      <c r="B1093" s="27" t="s">
        <v>438</v>
      </c>
      <c r="C1093" s="27" t="s">
        <v>308</v>
      </c>
      <c r="D1093" s="25"/>
      <c r="E1093" s="25"/>
      <c r="F1093" s="25"/>
      <c r="G1093" s="25"/>
      <c r="H1093" s="25"/>
      <c r="I1093" s="25"/>
      <c r="J1093" s="27" t="s">
        <v>1424</v>
      </c>
      <c r="K1093" s="25" t="str">
        <f aca="false">IFERROR(__xludf.dummyfunction("SPLIT(J1093,"" "")"),"CIF")</f>
        <v>CIF</v>
      </c>
      <c r="L1093" s="28" t="str">
        <f aca="false">IFERROR(__xludf.dummyfunction("""COMPUTED_VALUE"""),"Japan")</f>
        <v>Japan</v>
      </c>
      <c r="M1093" s="27" t="str">
        <f aca="false">IFERROR(__xludf.dummyfunction("""COMPUTED_VALUE"""),"(Diff)")</f>
        <v>(Diff)</v>
      </c>
      <c r="N1093" s="25"/>
      <c r="O1093" s="25"/>
      <c r="P1093" s="25"/>
      <c r="Q1093" s="29" t="s">
        <v>354</v>
      </c>
      <c r="R1093" s="8" t="str">
        <f aca="false">B1093&amp;" "&amp;C1093&amp;" "&amp;D1093&amp;" "&amp;E1093&amp;" "&amp;G1093&amp;" "&amp;H1093&amp;" "&amp;J1093&amp;" "&amp;N1093</f>
        <v>Differentials Graphite     CIF Japan (Diff) </v>
      </c>
      <c r="S1093" s="25"/>
      <c r="T1093" s="8"/>
      <c r="U1093" s="8"/>
      <c r="V1093" s="25"/>
      <c r="W1093" s="25"/>
      <c r="X1093" s="25"/>
      <c r="Y1093" s="25"/>
      <c r="Z1093" s="25"/>
      <c r="AA1093" s="25"/>
      <c r="AB1093" s="25"/>
      <c r="AC1093" s="25"/>
      <c r="AD1093" s="25"/>
    </row>
    <row r="1094" customFormat="false" ht="15.75" hidden="false" customHeight="false" outlineLevel="0" collapsed="false">
      <c r="A1094" s="28" t="s">
        <v>1471</v>
      </c>
      <c r="B1094" s="27" t="s">
        <v>438</v>
      </c>
      <c r="C1094" s="27" t="s">
        <v>308</v>
      </c>
      <c r="D1094" s="25"/>
      <c r="E1094" s="25"/>
      <c r="F1094" s="25"/>
      <c r="G1094" s="25"/>
      <c r="H1094" s="25"/>
      <c r="I1094" s="25"/>
      <c r="J1094" s="27" t="s">
        <v>1424</v>
      </c>
      <c r="K1094" s="25" t="str">
        <f aca="false">IFERROR(__xludf.dummyfunction("SPLIT(J1094,"" "")"),"CIF")</f>
        <v>CIF</v>
      </c>
      <c r="L1094" s="28" t="str">
        <f aca="false">IFERROR(__xludf.dummyfunction("""COMPUTED_VALUE"""),"Japan")</f>
        <v>Japan</v>
      </c>
      <c r="M1094" s="27" t="str">
        <f aca="false">IFERROR(__xludf.dummyfunction("""COMPUTED_VALUE"""),"(Diff)")</f>
        <v>(Diff)</v>
      </c>
      <c r="N1094" s="25"/>
      <c r="O1094" s="25"/>
      <c r="P1094" s="25"/>
      <c r="Q1094" s="29" t="s">
        <v>352</v>
      </c>
      <c r="R1094" s="8" t="str">
        <f aca="false">B1094&amp;" "&amp;C1094&amp;" "&amp;D1094&amp;" "&amp;E1094&amp;" "&amp;G1094&amp;" "&amp;H1094&amp;" "&amp;J1094&amp;" "&amp;N1094</f>
        <v>Differentials Graphite     CIF Japan (Diff) </v>
      </c>
      <c r="S1094" s="25"/>
      <c r="T1094" s="8"/>
      <c r="U1094" s="8"/>
      <c r="V1094" s="25"/>
      <c r="W1094" s="25"/>
      <c r="X1094" s="25"/>
      <c r="Y1094" s="25"/>
      <c r="Z1094" s="25"/>
      <c r="AA1094" s="25"/>
      <c r="AB1094" s="25"/>
      <c r="AC1094" s="25"/>
      <c r="AD1094" s="25"/>
    </row>
    <row r="1095" customFormat="false" ht="15.75" hidden="false" customHeight="false" outlineLevel="0" collapsed="false">
      <c r="A1095" s="28" t="s">
        <v>1472</v>
      </c>
      <c r="B1095" s="27" t="s">
        <v>438</v>
      </c>
      <c r="C1095" s="27" t="s">
        <v>308</v>
      </c>
      <c r="D1095" s="25"/>
      <c r="E1095" s="25"/>
      <c r="F1095" s="25"/>
      <c r="G1095" s="25"/>
      <c r="H1095" s="25"/>
      <c r="I1095" s="25"/>
      <c r="J1095" s="27" t="s">
        <v>1424</v>
      </c>
      <c r="K1095" s="25" t="str">
        <f aca="false">IFERROR(__xludf.dummyfunction("SPLIT(J1095,"" "")"),"CIF")</f>
        <v>CIF</v>
      </c>
      <c r="L1095" s="28" t="str">
        <f aca="false">IFERROR(__xludf.dummyfunction("""COMPUTED_VALUE"""),"Japan")</f>
        <v>Japan</v>
      </c>
      <c r="M1095" s="27" t="str">
        <f aca="false">IFERROR(__xludf.dummyfunction("""COMPUTED_VALUE"""),"(Diff)")</f>
        <v>(Diff)</v>
      </c>
      <c r="N1095" s="25"/>
      <c r="O1095" s="25"/>
      <c r="P1095" s="25"/>
      <c r="Q1095" s="29" t="s">
        <v>350</v>
      </c>
      <c r="R1095" s="8" t="str">
        <f aca="false">B1095&amp;" "&amp;C1095&amp;" "&amp;D1095&amp;" "&amp;E1095&amp;" "&amp;G1095&amp;" "&amp;H1095&amp;" "&amp;J1095&amp;" "&amp;N1095</f>
        <v>Differentials Graphite     CIF Japan (Diff) </v>
      </c>
      <c r="S1095" s="25"/>
      <c r="T1095" s="8"/>
      <c r="U1095" s="8"/>
      <c r="V1095" s="25"/>
      <c r="W1095" s="25"/>
      <c r="X1095" s="25"/>
      <c r="Y1095" s="25"/>
      <c r="Z1095" s="25"/>
      <c r="AA1095" s="25"/>
      <c r="AB1095" s="25"/>
      <c r="AC1095" s="25"/>
      <c r="AD1095" s="25"/>
    </row>
    <row r="1096" customFormat="false" ht="15.75" hidden="false" customHeight="false" outlineLevel="0" collapsed="false">
      <c r="A1096" s="28" t="s">
        <v>1473</v>
      </c>
      <c r="B1096" s="27" t="s">
        <v>438</v>
      </c>
      <c r="C1096" s="27" t="s">
        <v>308</v>
      </c>
      <c r="D1096" s="25"/>
      <c r="E1096" s="25"/>
      <c r="F1096" s="25"/>
      <c r="G1096" s="25"/>
      <c r="H1096" s="25"/>
      <c r="I1096" s="25"/>
      <c r="J1096" s="27" t="s">
        <v>1424</v>
      </c>
      <c r="K1096" s="25" t="str">
        <f aca="false">IFERROR(__xludf.dummyfunction("SPLIT(J1096,"" "")"),"CIF")</f>
        <v>CIF</v>
      </c>
      <c r="L1096" s="28" t="str">
        <f aca="false">IFERROR(__xludf.dummyfunction("""COMPUTED_VALUE"""),"Japan")</f>
        <v>Japan</v>
      </c>
      <c r="M1096" s="27" t="str">
        <f aca="false">IFERROR(__xludf.dummyfunction("""COMPUTED_VALUE"""),"(Diff)")</f>
        <v>(Diff)</v>
      </c>
      <c r="N1096" s="25"/>
      <c r="O1096" s="25"/>
      <c r="P1096" s="25"/>
      <c r="Q1096" s="29" t="s">
        <v>347</v>
      </c>
      <c r="R1096" s="8" t="str">
        <f aca="false">B1096&amp;" "&amp;C1096&amp;" "&amp;D1096&amp;" "&amp;E1096&amp;" "&amp;G1096&amp;" "&amp;H1096&amp;" "&amp;J1096&amp;" "&amp;N1096</f>
        <v>Differentials Graphite     CIF Japan (Diff) </v>
      </c>
      <c r="S1096" s="25"/>
      <c r="T1096" s="8"/>
      <c r="U1096" s="8"/>
      <c r="V1096" s="25"/>
      <c r="W1096" s="25"/>
      <c r="X1096" s="25"/>
      <c r="Y1096" s="25"/>
      <c r="Z1096" s="25"/>
      <c r="AA1096" s="25"/>
      <c r="AB1096" s="25"/>
      <c r="AC1096" s="25"/>
      <c r="AD1096" s="25"/>
    </row>
    <row r="1097" customFormat="false" ht="15.75" hidden="false" customHeight="false" outlineLevel="0" collapsed="false">
      <c r="A1097" s="28" t="s">
        <v>1474</v>
      </c>
      <c r="B1097" s="27" t="s">
        <v>438</v>
      </c>
      <c r="C1097" s="27" t="s">
        <v>308</v>
      </c>
      <c r="D1097" s="25"/>
      <c r="E1097" s="25"/>
      <c r="F1097" s="25"/>
      <c r="G1097" s="25"/>
      <c r="H1097" s="25"/>
      <c r="I1097" s="25"/>
      <c r="J1097" s="27" t="s">
        <v>1424</v>
      </c>
      <c r="K1097" s="25" t="str">
        <f aca="false">IFERROR(__xludf.dummyfunction("SPLIT(J1097,"" "")"),"CIF")</f>
        <v>CIF</v>
      </c>
      <c r="L1097" s="28" t="str">
        <f aca="false">IFERROR(__xludf.dummyfunction("""COMPUTED_VALUE"""),"Japan")</f>
        <v>Japan</v>
      </c>
      <c r="M1097" s="27" t="str">
        <f aca="false">IFERROR(__xludf.dummyfunction("""COMPUTED_VALUE"""),"(Diff)")</f>
        <v>(Diff)</v>
      </c>
      <c r="N1097" s="25"/>
      <c r="O1097" s="25"/>
      <c r="P1097" s="25"/>
      <c r="Q1097" s="29" t="s">
        <v>344</v>
      </c>
      <c r="R1097" s="8" t="str">
        <f aca="false">B1097&amp;" "&amp;C1097&amp;" "&amp;D1097&amp;" "&amp;E1097&amp;" "&amp;G1097&amp;" "&amp;H1097&amp;" "&amp;J1097&amp;" "&amp;N1097</f>
        <v>Differentials Graphite     CIF Japan (Diff) </v>
      </c>
      <c r="S1097" s="25"/>
      <c r="T1097" s="8"/>
      <c r="U1097" s="8"/>
      <c r="V1097" s="25"/>
      <c r="W1097" s="25"/>
      <c r="X1097" s="25"/>
      <c r="Y1097" s="25"/>
      <c r="Z1097" s="25"/>
      <c r="AA1097" s="25"/>
      <c r="AB1097" s="25"/>
      <c r="AC1097" s="25"/>
      <c r="AD1097" s="25"/>
    </row>
    <row r="1098" customFormat="false" ht="15.75" hidden="false" customHeight="false" outlineLevel="0" collapsed="false">
      <c r="A1098" s="28" t="s">
        <v>1475</v>
      </c>
      <c r="B1098" s="27" t="s">
        <v>438</v>
      </c>
      <c r="C1098" s="27" t="s">
        <v>308</v>
      </c>
      <c r="D1098" s="25"/>
      <c r="E1098" s="25"/>
      <c r="F1098" s="25"/>
      <c r="G1098" s="25"/>
      <c r="H1098" s="25"/>
      <c r="I1098" s="25"/>
      <c r="J1098" s="27" t="s">
        <v>1424</v>
      </c>
      <c r="K1098" s="25" t="str">
        <f aca="false">IFERROR(__xludf.dummyfunction("SPLIT(J1098,"" "")"),"CIF")</f>
        <v>CIF</v>
      </c>
      <c r="L1098" s="28" t="str">
        <f aca="false">IFERROR(__xludf.dummyfunction("""COMPUTED_VALUE"""),"Japan")</f>
        <v>Japan</v>
      </c>
      <c r="M1098" s="27" t="str">
        <f aca="false">IFERROR(__xludf.dummyfunction("""COMPUTED_VALUE"""),"(Diff)")</f>
        <v>(Diff)</v>
      </c>
      <c r="N1098" s="25"/>
      <c r="O1098" s="25"/>
      <c r="P1098" s="25"/>
      <c r="Q1098" s="29" t="s">
        <v>340</v>
      </c>
      <c r="R1098" s="8" t="str">
        <f aca="false">B1098&amp;" "&amp;C1098&amp;" "&amp;D1098&amp;" "&amp;E1098&amp;" "&amp;G1098&amp;" "&amp;H1098&amp;" "&amp;J1098&amp;" "&amp;N1098</f>
        <v>Differentials Graphite     CIF Japan (Diff) </v>
      </c>
      <c r="S1098" s="25"/>
      <c r="T1098" s="8"/>
      <c r="U1098" s="8"/>
      <c r="V1098" s="25"/>
      <c r="W1098" s="25"/>
      <c r="X1098" s="25"/>
      <c r="Y1098" s="25"/>
      <c r="Z1098" s="25"/>
      <c r="AA1098" s="25"/>
      <c r="AB1098" s="25"/>
      <c r="AC1098" s="25"/>
      <c r="AD1098" s="25"/>
    </row>
    <row r="1099" customFormat="false" ht="15.75" hidden="false" customHeight="false" outlineLevel="0" collapsed="false">
      <c r="A1099" s="28" t="s">
        <v>1476</v>
      </c>
      <c r="B1099" s="27" t="s">
        <v>438</v>
      </c>
      <c r="C1099" s="27" t="s">
        <v>308</v>
      </c>
      <c r="D1099" s="25"/>
      <c r="E1099" s="25"/>
      <c r="F1099" s="25"/>
      <c r="G1099" s="25"/>
      <c r="H1099" s="25"/>
      <c r="I1099" s="25"/>
      <c r="J1099" s="27" t="s">
        <v>1424</v>
      </c>
      <c r="K1099" s="25" t="str">
        <f aca="false">IFERROR(__xludf.dummyfunction("SPLIT(J1099,"" "")"),"CIF")</f>
        <v>CIF</v>
      </c>
      <c r="L1099" s="28" t="str">
        <f aca="false">IFERROR(__xludf.dummyfunction("""COMPUTED_VALUE"""),"Japan")</f>
        <v>Japan</v>
      </c>
      <c r="M1099" s="27" t="str">
        <f aca="false">IFERROR(__xludf.dummyfunction("""COMPUTED_VALUE"""),"(Diff)")</f>
        <v>(Diff)</v>
      </c>
      <c r="N1099" s="25"/>
      <c r="O1099" s="25"/>
      <c r="P1099" s="25"/>
      <c r="Q1099" s="29" t="s">
        <v>338</v>
      </c>
      <c r="R1099" s="8" t="str">
        <f aca="false">B1099&amp;" "&amp;C1099&amp;" "&amp;D1099&amp;" "&amp;E1099&amp;" "&amp;G1099&amp;" "&amp;H1099&amp;" "&amp;J1099&amp;" "&amp;N1099</f>
        <v>Differentials Graphite     CIF Japan (Diff) </v>
      </c>
      <c r="S1099" s="25"/>
      <c r="T1099" s="8"/>
      <c r="U1099" s="8"/>
      <c r="V1099" s="25"/>
      <c r="W1099" s="25"/>
      <c r="X1099" s="25"/>
      <c r="Y1099" s="25"/>
      <c r="Z1099" s="25"/>
      <c r="AA1099" s="25"/>
      <c r="AB1099" s="25"/>
      <c r="AC1099" s="25"/>
      <c r="AD1099" s="25"/>
    </row>
    <row r="1100" customFormat="false" ht="15.75" hidden="false" customHeight="false" outlineLevel="0" collapsed="false">
      <c r="A1100" s="28" t="s">
        <v>1477</v>
      </c>
      <c r="B1100" s="27" t="s">
        <v>438</v>
      </c>
      <c r="C1100" s="27" t="s">
        <v>308</v>
      </c>
      <c r="D1100" s="25"/>
      <c r="E1100" s="25"/>
      <c r="F1100" s="25"/>
      <c r="G1100" s="25"/>
      <c r="H1100" s="25"/>
      <c r="I1100" s="25"/>
      <c r="J1100" s="27" t="s">
        <v>1424</v>
      </c>
      <c r="K1100" s="25" t="str">
        <f aca="false">IFERROR(__xludf.dummyfunction("SPLIT(J1100,"" "")"),"CIF")</f>
        <v>CIF</v>
      </c>
      <c r="L1100" s="28" t="str">
        <f aca="false">IFERROR(__xludf.dummyfunction("""COMPUTED_VALUE"""),"Japan")</f>
        <v>Japan</v>
      </c>
      <c r="M1100" s="27" t="str">
        <f aca="false">IFERROR(__xludf.dummyfunction("""COMPUTED_VALUE"""),"(Diff)")</f>
        <v>(Diff)</v>
      </c>
      <c r="N1100" s="25"/>
      <c r="O1100" s="25"/>
      <c r="P1100" s="25"/>
      <c r="Q1100" s="29" t="s">
        <v>335</v>
      </c>
      <c r="R1100" s="8" t="str">
        <f aca="false">B1100&amp;" "&amp;C1100&amp;" "&amp;D1100&amp;" "&amp;E1100&amp;" "&amp;G1100&amp;" "&amp;H1100&amp;" "&amp;J1100&amp;" "&amp;N1100</f>
        <v>Differentials Graphite     CIF Japan (Diff) </v>
      </c>
      <c r="S1100" s="25"/>
      <c r="T1100" s="8"/>
      <c r="U1100" s="8"/>
      <c r="V1100" s="25"/>
      <c r="W1100" s="25"/>
      <c r="X1100" s="25"/>
      <c r="Y1100" s="25"/>
      <c r="Z1100" s="25"/>
      <c r="AA1100" s="25"/>
      <c r="AB1100" s="25"/>
      <c r="AC1100" s="25"/>
      <c r="AD1100" s="25"/>
    </row>
    <row r="1101" customFormat="false" ht="15.75" hidden="false" customHeight="false" outlineLevel="0" collapsed="false">
      <c r="A1101" s="28" t="s">
        <v>1478</v>
      </c>
      <c r="B1101" s="27" t="s">
        <v>438</v>
      </c>
      <c r="C1101" s="27" t="s">
        <v>308</v>
      </c>
      <c r="D1101" s="25"/>
      <c r="E1101" s="25"/>
      <c r="F1101" s="25"/>
      <c r="G1101" s="25"/>
      <c r="H1101" s="25"/>
      <c r="I1101" s="25"/>
      <c r="J1101" s="27" t="s">
        <v>1424</v>
      </c>
      <c r="K1101" s="25" t="str">
        <f aca="false">IFERROR(__xludf.dummyfunction("SPLIT(J1101,"" "")"),"CIF")</f>
        <v>CIF</v>
      </c>
      <c r="L1101" s="28" t="str">
        <f aca="false">IFERROR(__xludf.dummyfunction("""COMPUTED_VALUE"""),"Japan")</f>
        <v>Japan</v>
      </c>
      <c r="M1101" s="27" t="str">
        <f aca="false">IFERROR(__xludf.dummyfunction("""COMPUTED_VALUE"""),"(Diff)")</f>
        <v>(Diff)</v>
      </c>
      <c r="N1101" s="25"/>
      <c r="O1101" s="25"/>
      <c r="P1101" s="25"/>
      <c r="Q1101" s="29" t="s">
        <v>332</v>
      </c>
      <c r="R1101" s="8" t="str">
        <f aca="false">B1101&amp;" "&amp;C1101&amp;" "&amp;D1101&amp;" "&amp;E1101&amp;" "&amp;G1101&amp;" "&amp;H1101&amp;" "&amp;J1101&amp;" "&amp;N1101</f>
        <v>Differentials Graphite     CIF Japan (Diff) </v>
      </c>
      <c r="S1101" s="25"/>
      <c r="T1101" s="8"/>
      <c r="U1101" s="8"/>
      <c r="V1101" s="25"/>
      <c r="W1101" s="25"/>
      <c r="X1101" s="25"/>
      <c r="Y1101" s="25"/>
      <c r="Z1101" s="25"/>
      <c r="AA1101" s="25"/>
      <c r="AB1101" s="25"/>
      <c r="AC1101" s="25"/>
      <c r="AD1101" s="25"/>
    </row>
    <row r="1102" customFormat="false" ht="15.75" hidden="false" customHeight="false" outlineLevel="0" collapsed="false">
      <c r="A1102" s="28" t="s">
        <v>1479</v>
      </c>
      <c r="B1102" s="27" t="s">
        <v>438</v>
      </c>
      <c r="C1102" s="27" t="s">
        <v>308</v>
      </c>
      <c r="D1102" s="25"/>
      <c r="E1102" s="25"/>
      <c r="F1102" s="25"/>
      <c r="G1102" s="25"/>
      <c r="H1102" s="25"/>
      <c r="I1102" s="25"/>
      <c r="J1102" s="27" t="s">
        <v>1424</v>
      </c>
      <c r="K1102" s="25" t="str">
        <f aca="false">IFERROR(__xludf.dummyfunction("SPLIT(J1102,"" "")"),"CIF")</f>
        <v>CIF</v>
      </c>
      <c r="L1102" s="28" t="str">
        <f aca="false">IFERROR(__xludf.dummyfunction("""COMPUTED_VALUE"""),"Japan")</f>
        <v>Japan</v>
      </c>
      <c r="M1102" s="27" t="str">
        <f aca="false">IFERROR(__xludf.dummyfunction("""COMPUTED_VALUE"""),"(Diff)")</f>
        <v>(Diff)</v>
      </c>
      <c r="N1102" s="25"/>
      <c r="O1102" s="25"/>
      <c r="P1102" s="25"/>
      <c r="Q1102" s="29" t="s">
        <v>329</v>
      </c>
      <c r="R1102" s="8" t="str">
        <f aca="false">B1102&amp;" "&amp;C1102&amp;" "&amp;D1102&amp;" "&amp;E1102&amp;" "&amp;G1102&amp;" "&amp;H1102&amp;" "&amp;J1102&amp;" "&amp;N1102</f>
        <v>Differentials Graphite     CIF Japan (Diff) </v>
      </c>
      <c r="S1102" s="25"/>
      <c r="T1102" s="8"/>
      <c r="U1102" s="8"/>
      <c r="V1102" s="25"/>
      <c r="W1102" s="25"/>
      <c r="X1102" s="25"/>
      <c r="Y1102" s="25"/>
      <c r="Z1102" s="25"/>
      <c r="AA1102" s="25"/>
      <c r="AB1102" s="25"/>
      <c r="AC1102" s="25"/>
      <c r="AD1102" s="25"/>
    </row>
    <row r="1103" customFormat="false" ht="15.75" hidden="false" customHeight="false" outlineLevel="0" collapsed="false">
      <c r="A1103" s="28" t="s">
        <v>1480</v>
      </c>
      <c r="B1103" s="27" t="s">
        <v>438</v>
      </c>
      <c r="C1103" s="27" t="s">
        <v>308</v>
      </c>
      <c r="D1103" s="25"/>
      <c r="E1103" s="25"/>
      <c r="F1103" s="25"/>
      <c r="G1103" s="25"/>
      <c r="H1103" s="25"/>
      <c r="I1103" s="25"/>
      <c r="J1103" s="27" t="s">
        <v>1424</v>
      </c>
      <c r="K1103" s="25" t="str">
        <f aca="false">IFERROR(__xludf.dummyfunction("SPLIT(J1103,"" "")"),"CIF")</f>
        <v>CIF</v>
      </c>
      <c r="L1103" s="28" t="str">
        <f aca="false">IFERROR(__xludf.dummyfunction("""COMPUTED_VALUE"""),"Japan")</f>
        <v>Japan</v>
      </c>
      <c r="M1103" s="27" t="str">
        <f aca="false">IFERROR(__xludf.dummyfunction("""COMPUTED_VALUE"""),"(Diff)")</f>
        <v>(Diff)</v>
      </c>
      <c r="N1103" s="25"/>
      <c r="O1103" s="25"/>
      <c r="P1103" s="25"/>
      <c r="Q1103" s="29" t="s">
        <v>326</v>
      </c>
      <c r="R1103" s="8" t="str">
        <f aca="false">B1103&amp;" "&amp;C1103&amp;" "&amp;D1103&amp;" "&amp;E1103&amp;" "&amp;G1103&amp;" "&amp;H1103&amp;" "&amp;J1103&amp;" "&amp;N1103</f>
        <v>Differentials Graphite     CIF Japan (Diff) </v>
      </c>
      <c r="S1103" s="25"/>
      <c r="T1103" s="8"/>
      <c r="U1103" s="8"/>
      <c r="V1103" s="25"/>
      <c r="W1103" s="25"/>
      <c r="X1103" s="25"/>
      <c r="Y1103" s="25"/>
      <c r="Z1103" s="25"/>
      <c r="AA1103" s="25"/>
      <c r="AB1103" s="25"/>
      <c r="AC1103" s="25"/>
      <c r="AD1103" s="25"/>
    </row>
    <row r="1104" customFormat="false" ht="15.75" hidden="false" customHeight="false" outlineLevel="0" collapsed="false">
      <c r="A1104" s="28" t="s">
        <v>1481</v>
      </c>
      <c r="B1104" s="27" t="s">
        <v>438</v>
      </c>
      <c r="C1104" s="27" t="s">
        <v>308</v>
      </c>
      <c r="D1104" s="25"/>
      <c r="E1104" s="25"/>
      <c r="F1104" s="25"/>
      <c r="G1104" s="25"/>
      <c r="H1104" s="25"/>
      <c r="I1104" s="25"/>
      <c r="J1104" s="27" t="s">
        <v>1424</v>
      </c>
      <c r="K1104" s="25" t="str">
        <f aca="false">IFERROR(__xludf.dummyfunction("SPLIT(J1104,"" "")"),"CIF")</f>
        <v>CIF</v>
      </c>
      <c r="L1104" s="28" t="str">
        <f aca="false">IFERROR(__xludf.dummyfunction("""COMPUTED_VALUE"""),"Japan")</f>
        <v>Japan</v>
      </c>
      <c r="M1104" s="27" t="str">
        <f aca="false">IFERROR(__xludf.dummyfunction("""COMPUTED_VALUE"""),"(Diff)")</f>
        <v>(Diff)</v>
      </c>
      <c r="N1104" s="25"/>
      <c r="O1104" s="25"/>
      <c r="P1104" s="25"/>
      <c r="Q1104" s="29" t="s">
        <v>323</v>
      </c>
      <c r="R1104" s="8" t="str">
        <f aca="false">B1104&amp;" "&amp;C1104&amp;" "&amp;D1104&amp;" "&amp;E1104&amp;" "&amp;G1104&amp;" "&amp;H1104&amp;" "&amp;J1104&amp;" "&amp;N1104</f>
        <v>Differentials Graphite     CIF Japan (Diff) </v>
      </c>
      <c r="S1104" s="25"/>
      <c r="T1104" s="8"/>
      <c r="U1104" s="8"/>
      <c r="V1104" s="25"/>
      <c r="W1104" s="25"/>
      <c r="X1104" s="25"/>
      <c r="Y1104" s="25"/>
      <c r="Z1104" s="25"/>
      <c r="AA1104" s="25"/>
      <c r="AB1104" s="25"/>
      <c r="AC1104" s="25"/>
      <c r="AD1104" s="25"/>
    </row>
    <row r="1105" customFormat="false" ht="15.75" hidden="false" customHeight="false" outlineLevel="0" collapsed="false">
      <c r="A1105" s="28" t="s">
        <v>1482</v>
      </c>
      <c r="B1105" s="27" t="s">
        <v>438</v>
      </c>
      <c r="C1105" s="27" t="s">
        <v>308</v>
      </c>
      <c r="D1105" s="25"/>
      <c r="E1105" s="25"/>
      <c r="F1105" s="25"/>
      <c r="G1105" s="25"/>
      <c r="H1105" s="25"/>
      <c r="I1105" s="25"/>
      <c r="J1105" s="27" t="s">
        <v>1424</v>
      </c>
      <c r="K1105" s="25" t="str">
        <f aca="false">IFERROR(__xludf.dummyfunction("SPLIT(J1105,"" "")"),"CIF")</f>
        <v>CIF</v>
      </c>
      <c r="L1105" s="28" t="str">
        <f aca="false">IFERROR(__xludf.dummyfunction("""COMPUTED_VALUE"""),"Japan")</f>
        <v>Japan</v>
      </c>
      <c r="M1105" s="27" t="str">
        <f aca="false">IFERROR(__xludf.dummyfunction("""COMPUTED_VALUE"""),"(Diff)")</f>
        <v>(Diff)</v>
      </c>
      <c r="N1105" s="25"/>
      <c r="O1105" s="25"/>
      <c r="P1105" s="25"/>
      <c r="Q1105" s="29" t="s">
        <v>319</v>
      </c>
      <c r="R1105" s="8" t="str">
        <f aca="false">B1105&amp;" "&amp;C1105&amp;" "&amp;D1105&amp;" "&amp;E1105&amp;" "&amp;G1105&amp;" "&amp;H1105&amp;" "&amp;J1105&amp;" "&amp;N1105</f>
        <v>Differentials Graphite     CIF Japan (Diff) </v>
      </c>
      <c r="S1105" s="25"/>
      <c r="T1105" s="8"/>
      <c r="U1105" s="8"/>
      <c r="V1105" s="25"/>
      <c r="W1105" s="25"/>
      <c r="X1105" s="25"/>
      <c r="Y1105" s="25"/>
      <c r="Z1105" s="25"/>
      <c r="AA1105" s="25"/>
      <c r="AB1105" s="25"/>
      <c r="AC1105" s="25"/>
      <c r="AD1105" s="25"/>
    </row>
    <row r="1106" customFormat="false" ht="15.75" hidden="false" customHeight="false" outlineLevel="0" collapsed="false">
      <c r="A1106" s="28" t="s">
        <v>1483</v>
      </c>
      <c r="B1106" s="27" t="s">
        <v>438</v>
      </c>
      <c r="C1106" s="27" t="s">
        <v>308</v>
      </c>
      <c r="D1106" s="25"/>
      <c r="E1106" s="25"/>
      <c r="F1106" s="25"/>
      <c r="G1106" s="25"/>
      <c r="H1106" s="25"/>
      <c r="I1106" s="25"/>
      <c r="J1106" s="27" t="s">
        <v>1424</v>
      </c>
      <c r="K1106" s="25" t="str">
        <f aca="false">IFERROR(__xludf.dummyfunction("SPLIT(J1106,"" "")"),"CIF")</f>
        <v>CIF</v>
      </c>
      <c r="L1106" s="28" t="str">
        <f aca="false">IFERROR(__xludf.dummyfunction("""COMPUTED_VALUE"""),"Japan")</f>
        <v>Japan</v>
      </c>
      <c r="M1106" s="27" t="str">
        <f aca="false">IFERROR(__xludf.dummyfunction("""COMPUTED_VALUE"""),"(Diff)")</f>
        <v>(Diff)</v>
      </c>
      <c r="N1106" s="25"/>
      <c r="O1106" s="25"/>
      <c r="P1106" s="25"/>
      <c r="Q1106" s="29" t="s">
        <v>315</v>
      </c>
      <c r="R1106" s="8" t="str">
        <f aca="false">B1106&amp;" "&amp;C1106&amp;" "&amp;D1106&amp;" "&amp;E1106&amp;" "&amp;G1106&amp;" "&amp;H1106&amp;" "&amp;J1106&amp;" "&amp;N1106</f>
        <v>Differentials Graphite     CIF Japan (Diff) </v>
      </c>
      <c r="S1106" s="25"/>
      <c r="T1106" s="8"/>
      <c r="U1106" s="8"/>
      <c r="V1106" s="25"/>
      <c r="W1106" s="25"/>
      <c r="X1106" s="25"/>
      <c r="Y1106" s="25"/>
      <c r="Z1106" s="25"/>
      <c r="AA1106" s="25"/>
      <c r="AB1106" s="25"/>
      <c r="AC1106" s="25"/>
      <c r="AD1106" s="25"/>
    </row>
    <row r="1107" customFormat="false" ht="15.75" hidden="false" customHeight="false" outlineLevel="0" collapsed="false">
      <c r="A1107" s="28" t="s">
        <v>1484</v>
      </c>
      <c r="B1107" s="27" t="s">
        <v>438</v>
      </c>
      <c r="C1107" s="27" t="s">
        <v>308</v>
      </c>
      <c r="D1107" s="25"/>
      <c r="E1107" s="25"/>
      <c r="F1107" s="25"/>
      <c r="G1107" s="25"/>
      <c r="H1107" s="25"/>
      <c r="I1107" s="25"/>
      <c r="J1107" s="27" t="s">
        <v>1424</v>
      </c>
      <c r="K1107" s="25" t="str">
        <f aca="false">IFERROR(__xludf.dummyfunction("SPLIT(J1107,"" "")"),"CIF")</f>
        <v>CIF</v>
      </c>
      <c r="L1107" s="28" t="str">
        <f aca="false">IFERROR(__xludf.dummyfunction("""COMPUTED_VALUE"""),"Japan")</f>
        <v>Japan</v>
      </c>
      <c r="M1107" s="27" t="str">
        <f aca="false">IFERROR(__xludf.dummyfunction("""COMPUTED_VALUE"""),"(Diff)")</f>
        <v>(Diff)</v>
      </c>
      <c r="N1107" s="25"/>
      <c r="O1107" s="25"/>
      <c r="P1107" s="25"/>
      <c r="Q1107" s="29" t="s">
        <v>311</v>
      </c>
      <c r="R1107" s="8" t="str">
        <f aca="false">B1107&amp;" "&amp;C1107&amp;" "&amp;D1107&amp;" "&amp;E1107&amp;" "&amp;G1107&amp;" "&amp;H1107&amp;" "&amp;J1107&amp;" "&amp;N1107</f>
        <v>Differentials Graphite     CIF Japan (Diff) </v>
      </c>
      <c r="S1107" s="25"/>
      <c r="T1107" s="8"/>
      <c r="U1107" s="8"/>
      <c r="V1107" s="25"/>
      <c r="W1107" s="25"/>
      <c r="X1107" s="25"/>
      <c r="Y1107" s="25"/>
      <c r="Z1107" s="25"/>
      <c r="AA1107" s="25"/>
      <c r="AB1107" s="25"/>
      <c r="AC1107" s="25"/>
      <c r="AD1107" s="25"/>
    </row>
    <row r="1108" customFormat="false" ht="15.75" hidden="false" customHeight="false" outlineLevel="0" collapsed="false">
      <c r="A1108" s="28" t="s">
        <v>1485</v>
      </c>
      <c r="B1108" s="27" t="s">
        <v>438</v>
      </c>
      <c r="C1108" s="27" t="s">
        <v>360</v>
      </c>
      <c r="D1108" s="25"/>
      <c r="E1108" s="25"/>
      <c r="F1108" s="25"/>
      <c r="G1108" s="25"/>
      <c r="H1108" s="25"/>
      <c r="I1108" s="25"/>
      <c r="J1108" s="27" t="s">
        <v>1424</v>
      </c>
      <c r="K1108" s="25" t="str">
        <f aca="false">IFERROR(__xludf.dummyfunction("SPLIT(J1108,"" "")"),"CIF")</f>
        <v>CIF</v>
      </c>
      <c r="L1108" s="28" t="str">
        <f aca="false">IFERROR(__xludf.dummyfunction("""COMPUTED_VALUE"""),"Japan")</f>
        <v>Japan</v>
      </c>
      <c r="M1108" s="27" t="str">
        <f aca="false">IFERROR(__xludf.dummyfunction("""COMPUTED_VALUE"""),"(Diff)")</f>
        <v>(Diff)</v>
      </c>
      <c r="N1108" s="25"/>
      <c r="O1108" s="25"/>
      <c r="P1108" s="25"/>
      <c r="Q1108" s="29" t="s">
        <v>368</v>
      </c>
      <c r="R1108" s="8" t="str">
        <f aca="false">B1108&amp;" "&amp;C1108&amp;" "&amp;D1108&amp;" "&amp;E1108&amp;" "&amp;G1108&amp;" "&amp;H1108&amp;" "&amp;J1108&amp;" "&amp;N1108</f>
        <v>Differentials Lithium     CIF Japan (Diff) </v>
      </c>
      <c r="S1108" s="25"/>
      <c r="T1108" s="8"/>
      <c r="U1108" s="8"/>
      <c r="V1108" s="25"/>
      <c r="W1108" s="25"/>
      <c r="X1108" s="25"/>
      <c r="Y1108" s="25"/>
      <c r="Z1108" s="25"/>
      <c r="AA1108" s="25"/>
      <c r="AB1108" s="25"/>
      <c r="AC1108" s="25"/>
      <c r="AD1108" s="25"/>
    </row>
    <row r="1109" customFormat="false" ht="15.75" hidden="false" customHeight="false" outlineLevel="0" collapsed="false">
      <c r="A1109" s="28" t="s">
        <v>1486</v>
      </c>
      <c r="B1109" s="27" t="s">
        <v>438</v>
      </c>
      <c r="C1109" s="27" t="s">
        <v>360</v>
      </c>
      <c r="D1109" s="25"/>
      <c r="E1109" s="25"/>
      <c r="F1109" s="25"/>
      <c r="G1109" s="25"/>
      <c r="H1109" s="25"/>
      <c r="I1109" s="25"/>
      <c r="J1109" s="27" t="s">
        <v>1424</v>
      </c>
      <c r="K1109" s="25" t="str">
        <f aca="false">IFERROR(__xludf.dummyfunction("SPLIT(J1109,"" "")"),"CIF")</f>
        <v>CIF</v>
      </c>
      <c r="L1109" s="28" t="str">
        <f aca="false">IFERROR(__xludf.dummyfunction("""COMPUTED_VALUE"""),"Japan")</f>
        <v>Japan</v>
      </c>
      <c r="M1109" s="27" t="str">
        <f aca="false">IFERROR(__xludf.dummyfunction("""COMPUTED_VALUE"""),"(Diff)")</f>
        <v>(Diff)</v>
      </c>
      <c r="N1109" s="25"/>
      <c r="O1109" s="25"/>
      <c r="P1109" s="25"/>
      <c r="Q1109" s="29" t="s">
        <v>366</v>
      </c>
      <c r="R1109" s="8" t="str">
        <f aca="false">B1109&amp;" "&amp;C1109&amp;" "&amp;D1109&amp;" "&amp;E1109&amp;" "&amp;G1109&amp;" "&amp;H1109&amp;" "&amp;J1109&amp;" "&amp;N1109</f>
        <v>Differentials Lithium     CIF Japan (Diff) </v>
      </c>
      <c r="S1109" s="25"/>
      <c r="T1109" s="8"/>
      <c r="U1109" s="8"/>
      <c r="V1109" s="25"/>
      <c r="W1109" s="25"/>
      <c r="X1109" s="25"/>
      <c r="Y1109" s="25"/>
      <c r="Z1109" s="25"/>
      <c r="AA1109" s="25"/>
      <c r="AB1109" s="25"/>
      <c r="AC1109" s="25"/>
      <c r="AD1109" s="25"/>
    </row>
    <row r="1110" customFormat="false" ht="15.75" hidden="false" customHeight="false" outlineLevel="0" collapsed="false">
      <c r="A1110" s="28" t="s">
        <v>1487</v>
      </c>
      <c r="B1110" s="27" t="s">
        <v>438</v>
      </c>
      <c r="C1110" s="27" t="s">
        <v>360</v>
      </c>
      <c r="D1110" s="25"/>
      <c r="E1110" s="25"/>
      <c r="F1110" s="25"/>
      <c r="G1110" s="25"/>
      <c r="H1110" s="25"/>
      <c r="I1110" s="25"/>
      <c r="J1110" s="27" t="s">
        <v>1424</v>
      </c>
      <c r="K1110" s="25" t="str">
        <f aca="false">IFERROR(__xludf.dummyfunction("SPLIT(J1110,"" "")"),"CIF")</f>
        <v>CIF</v>
      </c>
      <c r="L1110" s="28" t="str">
        <f aca="false">IFERROR(__xludf.dummyfunction("""COMPUTED_VALUE"""),"Japan")</f>
        <v>Japan</v>
      </c>
      <c r="M1110" s="27" t="str">
        <f aca="false">IFERROR(__xludf.dummyfunction("""COMPUTED_VALUE"""),"(Diff)")</f>
        <v>(Diff)</v>
      </c>
      <c r="N1110" s="25"/>
      <c r="O1110" s="25"/>
      <c r="P1110" s="25"/>
      <c r="Q1110" s="29" t="s">
        <v>361</v>
      </c>
      <c r="R1110" s="8" t="str">
        <f aca="false">B1110&amp;" "&amp;C1110&amp;" "&amp;D1110&amp;" "&amp;E1110&amp;" "&amp;G1110&amp;" "&amp;H1110&amp;" "&amp;J1110&amp;" "&amp;N1110</f>
        <v>Differentials Lithium     CIF Japan (Diff) </v>
      </c>
      <c r="S1110" s="25"/>
      <c r="T1110" s="8"/>
      <c r="U1110" s="8"/>
      <c r="V1110" s="25"/>
      <c r="W1110" s="25"/>
      <c r="X1110" s="25"/>
      <c r="Y1110" s="25"/>
      <c r="Z1110" s="25"/>
      <c r="AA1110" s="25"/>
      <c r="AB1110" s="25"/>
      <c r="AC1110" s="25"/>
      <c r="AD1110" s="25"/>
    </row>
    <row r="1111" customFormat="false" ht="15.75" hidden="false" customHeight="false" outlineLevel="0" collapsed="false">
      <c r="A1111" s="28" t="s">
        <v>1488</v>
      </c>
      <c r="B1111" s="27" t="s">
        <v>438</v>
      </c>
      <c r="C1111" s="27" t="s">
        <v>360</v>
      </c>
      <c r="D1111" s="25"/>
      <c r="E1111" s="25"/>
      <c r="F1111" s="25"/>
      <c r="G1111" s="25"/>
      <c r="H1111" s="25"/>
      <c r="I1111" s="25"/>
      <c r="J1111" s="27" t="s">
        <v>1424</v>
      </c>
      <c r="K1111" s="25" t="str">
        <f aca="false">IFERROR(__xludf.dummyfunction("SPLIT(J1111,"" "")"),"CIF")</f>
        <v>CIF</v>
      </c>
      <c r="L1111" s="28" t="str">
        <f aca="false">IFERROR(__xludf.dummyfunction("""COMPUTED_VALUE"""),"Japan")</f>
        <v>Japan</v>
      </c>
      <c r="M1111" s="27" t="str">
        <f aca="false">IFERROR(__xludf.dummyfunction("""COMPUTED_VALUE"""),"(Diff)")</f>
        <v>(Diff)</v>
      </c>
      <c r="N1111" s="25"/>
      <c r="O1111" s="25"/>
      <c r="P1111" s="25"/>
      <c r="Q1111" s="29" t="s">
        <v>363</v>
      </c>
      <c r="R1111" s="8" t="str">
        <f aca="false">B1111&amp;" "&amp;C1111&amp;" "&amp;D1111&amp;" "&amp;E1111&amp;" "&amp;G1111&amp;" "&amp;H1111&amp;" "&amp;J1111&amp;" "&amp;N1111</f>
        <v>Differentials Lithium     CIF Japan (Diff) </v>
      </c>
      <c r="S1111" s="25"/>
      <c r="T1111" s="8"/>
      <c r="U1111" s="8"/>
      <c r="V1111" s="25"/>
      <c r="W1111" s="25"/>
      <c r="X1111" s="25"/>
      <c r="Y1111" s="25"/>
      <c r="Z1111" s="25"/>
      <c r="AA1111" s="25"/>
      <c r="AB1111" s="25"/>
      <c r="AC1111" s="25"/>
      <c r="AD1111" s="25"/>
    </row>
    <row r="1112" customFormat="false" ht="15.75" hidden="false" customHeight="false" outlineLevel="0" collapsed="false">
      <c r="A1112" s="28" t="s">
        <v>1489</v>
      </c>
      <c r="B1112" s="27" t="s">
        <v>438</v>
      </c>
      <c r="C1112" s="27" t="s">
        <v>360</v>
      </c>
      <c r="D1112" s="25"/>
      <c r="E1112" s="25"/>
      <c r="F1112" s="25"/>
      <c r="G1112" s="25"/>
      <c r="H1112" s="25"/>
      <c r="I1112" s="25"/>
      <c r="J1112" s="27" t="s">
        <v>1424</v>
      </c>
      <c r="K1112" s="25" t="str">
        <f aca="false">IFERROR(__xludf.dummyfunction("SPLIT(J1112,"" "")"),"CIF")</f>
        <v>CIF</v>
      </c>
      <c r="L1112" s="28" t="str">
        <f aca="false">IFERROR(__xludf.dummyfunction("""COMPUTED_VALUE"""),"Japan")</f>
        <v>Japan</v>
      </c>
      <c r="M1112" s="27" t="str">
        <f aca="false">IFERROR(__xludf.dummyfunction("""COMPUTED_VALUE"""),"(Diff)")</f>
        <v>(Diff)</v>
      </c>
      <c r="N1112" s="25"/>
      <c r="O1112" s="25"/>
      <c r="P1112" s="25"/>
      <c r="Q1112" s="29" t="s">
        <v>361</v>
      </c>
      <c r="R1112" s="8" t="str">
        <f aca="false">B1112&amp;" "&amp;C1112&amp;" "&amp;D1112&amp;" "&amp;E1112&amp;" "&amp;G1112&amp;" "&amp;H1112&amp;" "&amp;J1112&amp;" "&amp;N1112</f>
        <v>Differentials Lithium     CIF Japan (Diff) </v>
      </c>
      <c r="S1112" s="25"/>
      <c r="T1112" s="8"/>
      <c r="U1112" s="8"/>
      <c r="V1112" s="25"/>
      <c r="W1112" s="25"/>
      <c r="X1112" s="25"/>
      <c r="Y1112" s="25"/>
      <c r="Z1112" s="25"/>
      <c r="AA1112" s="25"/>
      <c r="AB1112" s="25"/>
      <c r="AC1112" s="25"/>
      <c r="AD1112" s="25"/>
    </row>
    <row r="1113" customFormat="false" ht="15.75" hidden="false" customHeight="false" outlineLevel="0" collapsed="false">
      <c r="A1113" s="28" t="s">
        <v>1490</v>
      </c>
      <c r="B1113" s="27" t="s">
        <v>438</v>
      </c>
      <c r="C1113" s="27" t="s">
        <v>370</v>
      </c>
      <c r="D1113" s="25"/>
      <c r="E1113" s="25"/>
      <c r="F1113" s="25"/>
      <c r="G1113" s="25"/>
      <c r="H1113" s="25"/>
      <c r="I1113" s="25"/>
      <c r="J1113" s="27" t="s">
        <v>1424</v>
      </c>
      <c r="K1113" s="25" t="str">
        <f aca="false">IFERROR(__xludf.dummyfunction("SPLIT(J1113,"" "")"),"CIF")</f>
        <v>CIF</v>
      </c>
      <c r="L1113" s="28" t="str">
        <f aca="false">IFERROR(__xludf.dummyfunction("""COMPUTED_VALUE"""),"Japan")</f>
        <v>Japan</v>
      </c>
      <c r="M1113" s="27" t="str">
        <f aca="false">IFERROR(__xludf.dummyfunction("""COMPUTED_VALUE"""),"(Diff)")</f>
        <v>(Diff)</v>
      </c>
      <c r="N1113" s="25"/>
      <c r="O1113" s="25"/>
      <c r="P1113" s="25"/>
      <c r="Q1113" s="29" t="s">
        <v>374</v>
      </c>
      <c r="R1113" s="8" t="str">
        <f aca="false">B1113&amp;" "&amp;C1113&amp;" "&amp;D1113&amp;" "&amp;E1113&amp;" "&amp;G1113&amp;" "&amp;H1113&amp;" "&amp;J1113&amp;" "&amp;N1113</f>
        <v>Differentials Manganese     CIF Japan (Diff) </v>
      </c>
      <c r="S1113" s="25"/>
      <c r="T1113" s="8"/>
      <c r="U1113" s="8"/>
      <c r="V1113" s="25"/>
      <c r="W1113" s="25"/>
      <c r="X1113" s="25"/>
      <c r="Y1113" s="25"/>
      <c r="Z1113" s="25"/>
      <c r="AA1113" s="25"/>
      <c r="AB1113" s="25"/>
      <c r="AC1113" s="25"/>
      <c r="AD1113" s="25"/>
    </row>
    <row r="1114" customFormat="false" ht="15.75" hidden="false" customHeight="false" outlineLevel="0" collapsed="false">
      <c r="A1114" s="28" t="s">
        <v>1491</v>
      </c>
      <c r="B1114" s="27" t="s">
        <v>438</v>
      </c>
      <c r="C1114" s="27" t="s">
        <v>370</v>
      </c>
      <c r="D1114" s="25"/>
      <c r="E1114" s="25"/>
      <c r="F1114" s="25"/>
      <c r="G1114" s="25"/>
      <c r="H1114" s="25"/>
      <c r="I1114" s="25"/>
      <c r="J1114" s="27" t="s">
        <v>1424</v>
      </c>
      <c r="K1114" s="25" t="str">
        <f aca="false">IFERROR(__xludf.dummyfunction("SPLIT(J1114,"" "")"),"CIF")</f>
        <v>CIF</v>
      </c>
      <c r="L1114" s="28" t="str">
        <f aca="false">IFERROR(__xludf.dummyfunction("""COMPUTED_VALUE"""),"Japan")</f>
        <v>Japan</v>
      </c>
      <c r="M1114" s="27" t="str">
        <f aca="false">IFERROR(__xludf.dummyfunction("""COMPUTED_VALUE"""),"(Diff)")</f>
        <v>(Diff)</v>
      </c>
      <c r="N1114" s="25"/>
      <c r="O1114" s="25"/>
      <c r="P1114" s="25"/>
      <c r="Q1114" s="29" t="s">
        <v>371</v>
      </c>
      <c r="R1114" s="8" t="str">
        <f aca="false">B1114&amp;" "&amp;C1114&amp;" "&amp;D1114&amp;" "&amp;E1114&amp;" "&amp;G1114&amp;" "&amp;H1114&amp;" "&amp;J1114&amp;" "&amp;N1114</f>
        <v>Differentials Manganese     CIF Japan (Diff) </v>
      </c>
      <c r="S1114" s="25"/>
      <c r="T1114" s="8"/>
      <c r="U1114" s="8"/>
      <c r="V1114" s="25"/>
      <c r="W1114" s="25"/>
      <c r="X1114" s="25"/>
      <c r="Y1114" s="25"/>
      <c r="Z1114" s="25"/>
      <c r="AA1114" s="25"/>
      <c r="AB1114" s="25"/>
      <c r="AC1114" s="25"/>
      <c r="AD1114" s="25"/>
    </row>
    <row r="1115" customFormat="false" ht="15.75" hidden="false" customHeight="false" outlineLevel="0" collapsed="false">
      <c r="A1115" s="28" t="s">
        <v>1492</v>
      </c>
      <c r="B1115" s="27" t="s">
        <v>438</v>
      </c>
      <c r="C1115" s="27" t="s">
        <v>376</v>
      </c>
      <c r="D1115" s="25"/>
      <c r="E1115" s="25"/>
      <c r="F1115" s="25"/>
      <c r="G1115" s="25"/>
      <c r="H1115" s="25"/>
      <c r="I1115" s="25"/>
      <c r="J1115" s="27" t="s">
        <v>1424</v>
      </c>
      <c r="K1115" s="25" t="str">
        <f aca="false">IFERROR(__xludf.dummyfunction("SPLIT(J1115,"" "")"),"CIF")</f>
        <v>CIF</v>
      </c>
      <c r="L1115" s="28" t="str">
        <f aca="false">IFERROR(__xludf.dummyfunction("""COMPUTED_VALUE"""),"Japan")</f>
        <v>Japan</v>
      </c>
      <c r="M1115" s="27" t="str">
        <f aca="false">IFERROR(__xludf.dummyfunction("""COMPUTED_VALUE"""),"(Diff)")</f>
        <v>(Diff)</v>
      </c>
      <c r="N1115" s="25"/>
      <c r="O1115" s="25"/>
      <c r="P1115" s="25"/>
      <c r="Q1115" s="29" t="s">
        <v>381</v>
      </c>
      <c r="R1115" s="8" t="str">
        <f aca="false">B1115&amp;" "&amp;C1115&amp;" "&amp;D1115&amp;" "&amp;E1115&amp;" "&amp;G1115&amp;" "&amp;H1115&amp;" "&amp;J1115&amp;" "&amp;N1115</f>
        <v>Differentials Nickel     CIF Japan (Diff) </v>
      </c>
      <c r="S1115" s="25"/>
      <c r="T1115" s="8"/>
      <c r="U1115" s="8"/>
      <c r="V1115" s="25"/>
      <c r="W1115" s="25"/>
      <c r="X1115" s="25"/>
      <c r="Y1115" s="25"/>
      <c r="Z1115" s="25"/>
      <c r="AA1115" s="25"/>
      <c r="AB1115" s="25"/>
      <c r="AC1115" s="25"/>
      <c r="AD1115" s="25"/>
    </row>
    <row r="1116" customFormat="false" ht="15.75" hidden="false" customHeight="false" outlineLevel="0" collapsed="false">
      <c r="A1116" s="28" t="s">
        <v>1493</v>
      </c>
      <c r="B1116" s="27" t="s">
        <v>438</v>
      </c>
      <c r="C1116" s="27" t="s">
        <v>376</v>
      </c>
      <c r="D1116" s="25"/>
      <c r="E1116" s="25"/>
      <c r="F1116" s="25"/>
      <c r="G1116" s="25"/>
      <c r="H1116" s="25"/>
      <c r="I1116" s="25"/>
      <c r="J1116" s="27" t="s">
        <v>1424</v>
      </c>
      <c r="K1116" s="25" t="str">
        <f aca="false">IFERROR(__xludf.dummyfunction("SPLIT(J1116,"" "")"),"CIF")</f>
        <v>CIF</v>
      </c>
      <c r="L1116" s="28" t="str">
        <f aca="false">IFERROR(__xludf.dummyfunction("""COMPUTED_VALUE"""),"Japan")</f>
        <v>Japan</v>
      </c>
      <c r="M1116" s="27" t="str">
        <f aca="false">IFERROR(__xludf.dummyfunction("""COMPUTED_VALUE"""),"(Diff)")</f>
        <v>(Diff)</v>
      </c>
      <c r="N1116" s="25"/>
      <c r="O1116" s="25"/>
      <c r="P1116" s="25"/>
      <c r="Q1116" s="29" t="s">
        <v>379</v>
      </c>
      <c r="R1116" s="8" t="str">
        <f aca="false">B1116&amp;" "&amp;C1116&amp;" "&amp;D1116&amp;" "&amp;E1116&amp;" "&amp;G1116&amp;" "&amp;H1116&amp;" "&amp;J1116&amp;" "&amp;N1116</f>
        <v>Differentials Nickel     CIF Japan (Diff) </v>
      </c>
      <c r="S1116" s="25"/>
      <c r="T1116" s="8"/>
      <c r="U1116" s="8"/>
      <c r="V1116" s="25"/>
      <c r="W1116" s="25"/>
      <c r="X1116" s="25"/>
      <c r="Y1116" s="25"/>
      <c r="Z1116" s="25"/>
      <c r="AA1116" s="25"/>
      <c r="AB1116" s="25"/>
      <c r="AC1116" s="25"/>
      <c r="AD1116" s="25"/>
    </row>
    <row r="1117" customFormat="false" ht="15.75" hidden="false" customHeight="false" outlineLevel="0" collapsed="false">
      <c r="A1117" s="28" t="s">
        <v>1494</v>
      </c>
      <c r="B1117" s="27" t="s">
        <v>438</v>
      </c>
      <c r="C1117" s="27" t="s">
        <v>376</v>
      </c>
      <c r="D1117" s="25"/>
      <c r="E1117" s="25"/>
      <c r="F1117" s="25"/>
      <c r="G1117" s="25"/>
      <c r="H1117" s="25"/>
      <c r="I1117" s="25"/>
      <c r="J1117" s="27" t="s">
        <v>1424</v>
      </c>
      <c r="K1117" s="25" t="str">
        <f aca="false">IFERROR(__xludf.dummyfunction("SPLIT(J1117,"" "")"),"CIF")</f>
        <v>CIF</v>
      </c>
      <c r="L1117" s="28" t="str">
        <f aca="false">IFERROR(__xludf.dummyfunction("""COMPUTED_VALUE"""),"Japan")</f>
        <v>Japan</v>
      </c>
      <c r="M1117" s="27" t="str">
        <f aca="false">IFERROR(__xludf.dummyfunction("""COMPUTED_VALUE"""),"(Diff)")</f>
        <v>(Diff)</v>
      </c>
      <c r="N1117" s="25"/>
      <c r="O1117" s="25"/>
      <c r="P1117" s="25"/>
      <c r="Q1117" s="29" t="s">
        <v>377</v>
      </c>
      <c r="R1117" s="8" t="str">
        <f aca="false">B1117&amp;" "&amp;C1117&amp;" "&amp;D1117&amp;" "&amp;E1117&amp;" "&amp;G1117&amp;" "&amp;H1117&amp;" "&amp;J1117&amp;" "&amp;N1117</f>
        <v>Differentials Nickel     CIF Japan (Diff) </v>
      </c>
      <c r="S1117" s="25"/>
      <c r="T1117" s="8"/>
      <c r="U1117" s="8"/>
      <c r="V1117" s="25"/>
      <c r="W1117" s="25"/>
      <c r="X1117" s="25"/>
      <c r="Y1117" s="25"/>
      <c r="Z1117" s="25"/>
      <c r="AA1117" s="25"/>
      <c r="AB1117" s="25"/>
      <c r="AC1117" s="25"/>
      <c r="AD1117" s="25"/>
    </row>
    <row r="1118" customFormat="false" ht="15.75" hidden="false" customHeight="false" outlineLevel="0" collapsed="false">
      <c r="A1118" s="28" t="s">
        <v>1495</v>
      </c>
      <c r="B1118" s="27" t="s">
        <v>438</v>
      </c>
      <c r="C1118" s="27" t="s">
        <v>383</v>
      </c>
      <c r="D1118" s="25"/>
      <c r="E1118" s="25"/>
      <c r="F1118" s="25"/>
      <c r="G1118" s="25"/>
      <c r="H1118" s="25"/>
      <c r="I1118" s="25"/>
      <c r="J1118" s="27" t="s">
        <v>1424</v>
      </c>
      <c r="K1118" s="25" t="str">
        <f aca="false">IFERROR(__xludf.dummyfunction("SPLIT(J1118,"" "")"),"CIF")</f>
        <v>CIF</v>
      </c>
      <c r="L1118" s="28" t="str">
        <f aca="false">IFERROR(__xludf.dummyfunction("""COMPUTED_VALUE"""),"Japan")</f>
        <v>Japan</v>
      </c>
      <c r="M1118" s="27" t="str">
        <f aca="false">IFERROR(__xludf.dummyfunction("""COMPUTED_VALUE"""),"(Diff)")</f>
        <v>(Diff)</v>
      </c>
      <c r="N1118" s="25"/>
      <c r="O1118" s="25"/>
      <c r="P1118" s="25"/>
      <c r="Q1118" s="29" t="s">
        <v>406</v>
      </c>
      <c r="R1118" s="8" t="str">
        <f aca="false">B1118&amp;" "&amp;C1118&amp;" "&amp;D1118&amp;" "&amp;E1118&amp;" "&amp;G1118&amp;" "&amp;H1118&amp;" "&amp;J1118&amp;" "&amp;N1118</f>
        <v>Differentials Precursor     CIF Japan (Diff) </v>
      </c>
      <c r="S1118" s="25"/>
      <c r="T1118" s="8"/>
      <c r="U1118" s="8"/>
      <c r="V1118" s="25"/>
      <c r="W1118" s="25"/>
      <c r="X1118" s="25"/>
      <c r="Y1118" s="25"/>
      <c r="Z1118" s="25"/>
      <c r="AA1118" s="25"/>
      <c r="AB1118" s="25"/>
      <c r="AC1118" s="25"/>
      <c r="AD1118" s="25"/>
    </row>
    <row r="1119" customFormat="false" ht="15.75" hidden="false" customHeight="false" outlineLevel="0" collapsed="false">
      <c r="A1119" s="28" t="s">
        <v>1496</v>
      </c>
      <c r="B1119" s="27" t="s">
        <v>438</v>
      </c>
      <c r="C1119" s="27" t="s">
        <v>383</v>
      </c>
      <c r="D1119" s="25"/>
      <c r="E1119" s="25"/>
      <c r="F1119" s="25"/>
      <c r="G1119" s="25"/>
      <c r="H1119" s="25"/>
      <c r="I1119" s="25"/>
      <c r="J1119" s="27" t="s">
        <v>1424</v>
      </c>
      <c r="K1119" s="25" t="str">
        <f aca="false">IFERROR(__xludf.dummyfunction("SPLIT(J1119,"" "")"),"CIF")</f>
        <v>CIF</v>
      </c>
      <c r="L1119" s="28" t="str">
        <f aca="false">IFERROR(__xludf.dummyfunction("""COMPUTED_VALUE"""),"Japan")</f>
        <v>Japan</v>
      </c>
      <c r="M1119" s="27" t="str">
        <f aca="false">IFERROR(__xludf.dummyfunction("""COMPUTED_VALUE"""),"(Diff)")</f>
        <v>(Diff)</v>
      </c>
      <c r="N1119" s="25"/>
      <c r="O1119" s="25"/>
      <c r="P1119" s="25"/>
      <c r="Q1119" s="29" t="s">
        <v>404</v>
      </c>
      <c r="R1119" s="8" t="str">
        <f aca="false">B1119&amp;" "&amp;C1119&amp;" "&amp;D1119&amp;" "&amp;E1119&amp;" "&amp;G1119&amp;" "&amp;H1119&amp;" "&amp;J1119&amp;" "&amp;N1119</f>
        <v>Differentials Precursor     CIF Japan (Diff) </v>
      </c>
      <c r="S1119" s="25"/>
      <c r="T1119" s="8"/>
      <c r="U1119" s="8"/>
      <c r="V1119" s="25"/>
      <c r="W1119" s="25"/>
      <c r="X1119" s="25"/>
      <c r="Y1119" s="25"/>
      <c r="Z1119" s="25"/>
      <c r="AA1119" s="25"/>
      <c r="AB1119" s="25"/>
      <c r="AC1119" s="25"/>
      <c r="AD1119" s="25"/>
    </row>
    <row r="1120" customFormat="false" ht="15.75" hidden="false" customHeight="false" outlineLevel="0" collapsed="false">
      <c r="A1120" s="28" t="s">
        <v>1497</v>
      </c>
      <c r="B1120" s="27" t="s">
        <v>438</v>
      </c>
      <c r="C1120" s="27" t="s">
        <v>383</v>
      </c>
      <c r="D1120" s="25"/>
      <c r="E1120" s="25"/>
      <c r="F1120" s="25"/>
      <c r="G1120" s="25"/>
      <c r="H1120" s="25"/>
      <c r="I1120" s="25"/>
      <c r="J1120" s="27" t="s">
        <v>1424</v>
      </c>
      <c r="K1120" s="25" t="str">
        <f aca="false">IFERROR(__xludf.dummyfunction("SPLIT(J1120,"" "")"),"CIF")</f>
        <v>CIF</v>
      </c>
      <c r="L1120" s="28" t="str">
        <f aca="false">IFERROR(__xludf.dummyfunction("""COMPUTED_VALUE"""),"Japan")</f>
        <v>Japan</v>
      </c>
      <c r="M1120" s="27" t="str">
        <f aca="false">IFERROR(__xludf.dummyfunction("""COMPUTED_VALUE"""),"(Diff)")</f>
        <v>(Diff)</v>
      </c>
      <c r="N1120" s="25"/>
      <c r="O1120" s="25"/>
      <c r="P1120" s="25"/>
      <c r="Q1120" s="29" t="s">
        <v>402</v>
      </c>
      <c r="R1120" s="8" t="str">
        <f aca="false">B1120&amp;" "&amp;C1120&amp;" "&amp;D1120&amp;" "&amp;E1120&amp;" "&amp;G1120&amp;" "&amp;H1120&amp;" "&amp;J1120&amp;" "&amp;N1120</f>
        <v>Differentials Precursor     CIF Japan (Diff) </v>
      </c>
      <c r="S1120" s="25"/>
      <c r="T1120" s="8"/>
      <c r="U1120" s="8"/>
      <c r="V1120" s="25"/>
      <c r="W1120" s="25"/>
      <c r="X1120" s="25"/>
      <c r="Y1120" s="25"/>
      <c r="Z1120" s="25"/>
      <c r="AA1120" s="25"/>
      <c r="AB1120" s="25"/>
      <c r="AC1120" s="25"/>
      <c r="AD1120" s="25"/>
    </row>
    <row r="1121" customFormat="false" ht="15.75" hidden="false" customHeight="false" outlineLevel="0" collapsed="false">
      <c r="A1121" s="28" t="s">
        <v>1498</v>
      </c>
      <c r="B1121" s="27" t="s">
        <v>438</v>
      </c>
      <c r="C1121" s="27" t="s">
        <v>383</v>
      </c>
      <c r="D1121" s="25"/>
      <c r="E1121" s="25"/>
      <c r="F1121" s="25"/>
      <c r="G1121" s="25"/>
      <c r="H1121" s="25"/>
      <c r="I1121" s="25"/>
      <c r="J1121" s="27" t="s">
        <v>1424</v>
      </c>
      <c r="K1121" s="25" t="str">
        <f aca="false">IFERROR(__xludf.dummyfunction("SPLIT(J1121,"" "")"),"CIF")</f>
        <v>CIF</v>
      </c>
      <c r="L1121" s="28" t="str">
        <f aca="false">IFERROR(__xludf.dummyfunction("""COMPUTED_VALUE"""),"Japan")</f>
        <v>Japan</v>
      </c>
      <c r="M1121" s="27" t="str">
        <f aca="false">IFERROR(__xludf.dummyfunction("""COMPUTED_VALUE"""),"(Diff)")</f>
        <v>(Diff)</v>
      </c>
      <c r="N1121" s="25"/>
      <c r="O1121" s="25"/>
      <c r="P1121" s="25"/>
      <c r="Q1121" s="29" t="s">
        <v>400</v>
      </c>
      <c r="R1121" s="8" t="str">
        <f aca="false">B1121&amp;" "&amp;C1121&amp;" "&amp;D1121&amp;" "&amp;E1121&amp;" "&amp;G1121&amp;" "&amp;H1121&amp;" "&amp;J1121&amp;" "&amp;N1121</f>
        <v>Differentials Precursor     CIF Japan (Diff) </v>
      </c>
      <c r="S1121" s="25"/>
      <c r="T1121" s="8"/>
      <c r="U1121" s="8"/>
      <c r="V1121" s="25"/>
      <c r="W1121" s="25"/>
      <c r="X1121" s="25"/>
      <c r="Y1121" s="25"/>
      <c r="Z1121" s="25"/>
      <c r="AA1121" s="25"/>
      <c r="AB1121" s="25"/>
      <c r="AC1121" s="25"/>
      <c r="AD1121" s="25"/>
    </row>
    <row r="1122" customFormat="false" ht="15.75" hidden="false" customHeight="false" outlineLevel="0" collapsed="false">
      <c r="A1122" s="28" t="s">
        <v>1499</v>
      </c>
      <c r="B1122" s="27" t="s">
        <v>438</v>
      </c>
      <c r="C1122" s="27" t="s">
        <v>383</v>
      </c>
      <c r="D1122" s="25"/>
      <c r="E1122" s="25"/>
      <c r="F1122" s="25"/>
      <c r="G1122" s="25"/>
      <c r="H1122" s="25"/>
      <c r="I1122" s="25"/>
      <c r="J1122" s="27" t="s">
        <v>1424</v>
      </c>
      <c r="K1122" s="25" t="str">
        <f aca="false">IFERROR(__xludf.dummyfunction("SPLIT(J1122,"" "")"),"CIF")</f>
        <v>CIF</v>
      </c>
      <c r="L1122" s="28" t="str">
        <f aca="false">IFERROR(__xludf.dummyfunction("""COMPUTED_VALUE"""),"Japan")</f>
        <v>Japan</v>
      </c>
      <c r="M1122" s="27" t="str">
        <f aca="false">IFERROR(__xludf.dummyfunction("""COMPUTED_VALUE"""),"(Diff)")</f>
        <v>(Diff)</v>
      </c>
      <c r="N1122" s="25"/>
      <c r="O1122" s="25"/>
      <c r="P1122" s="25"/>
      <c r="Q1122" s="29" t="s">
        <v>398</v>
      </c>
      <c r="R1122" s="8" t="str">
        <f aca="false">B1122&amp;" "&amp;C1122&amp;" "&amp;D1122&amp;" "&amp;E1122&amp;" "&amp;G1122&amp;" "&amp;H1122&amp;" "&amp;J1122&amp;" "&amp;N1122</f>
        <v>Differentials Precursor     CIF Japan (Diff) </v>
      </c>
      <c r="S1122" s="25"/>
      <c r="T1122" s="8"/>
      <c r="U1122" s="8"/>
      <c r="V1122" s="25"/>
      <c r="W1122" s="25"/>
      <c r="X1122" s="25"/>
      <c r="Y1122" s="25"/>
      <c r="Z1122" s="25"/>
      <c r="AA1122" s="25"/>
      <c r="AB1122" s="25"/>
      <c r="AC1122" s="25"/>
      <c r="AD1122" s="25"/>
    </row>
    <row r="1123" customFormat="false" ht="15.75" hidden="false" customHeight="false" outlineLevel="0" collapsed="false">
      <c r="A1123" s="28" t="s">
        <v>1500</v>
      </c>
      <c r="B1123" s="27" t="s">
        <v>438</v>
      </c>
      <c r="C1123" s="27" t="s">
        <v>383</v>
      </c>
      <c r="D1123" s="25"/>
      <c r="E1123" s="25"/>
      <c r="F1123" s="25"/>
      <c r="G1123" s="25"/>
      <c r="H1123" s="25"/>
      <c r="I1123" s="25"/>
      <c r="J1123" s="27" t="s">
        <v>1424</v>
      </c>
      <c r="K1123" s="25" t="str">
        <f aca="false">IFERROR(__xludf.dummyfunction("SPLIT(J1123,"" "")"),"CIF")</f>
        <v>CIF</v>
      </c>
      <c r="L1123" s="28" t="str">
        <f aca="false">IFERROR(__xludf.dummyfunction("""COMPUTED_VALUE"""),"Japan")</f>
        <v>Japan</v>
      </c>
      <c r="M1123" s="27" t="str">
        <f aca="false">IFERROR(__xludf.dummyfunction("""COMPUTED_VALUE"""),"(Diff)")</f>
        <v>(Diff)</v>
      </c>
      <c r="N1123" s="25"/>
      <c r="O1123" s="25"/>
      <c r="P1123" s="25"/>
      <c r="Q1123" s="29" t="s">
        <v>259</v>
      </c>
      <c r="R1123" s="8" t="str">
        <f aca="false">B1123&amp;" "&amp;C1123&amp;" "&amp;D1123&amp;" "&amp;E1123&amp;" "&amp;G1123&amp;" "&amp;H1123&amp;" "&amp;J1123&amp;" "&amp;N1123</f>
        <v>Differentials Precursor     CIF Japan (Diff) </v>
      </c>
      <c r="S1123" s="25"/>
      <c r="T1123" s="8"/>
      <c r="U1123" s="8"/>
      <c r="V1123" s="25"/>
      <c r="W1123" s="25"/>
      <c r="X1123" s="25"/>
      <c r="Y1123" s="25"/>
      <c r="Z1123" s="25"/>
      <c r="AA1123" s="25"/>
      <c r="AB1123" s="25"/>
      <c r="AC1123" s="25"/>
      <c r="AD1123" s="25"/>
    </row>
    <row r="1124" customFormat="false" ht="15.75" hidden="false" customHeight="false" outlineLevel="0" collapsed="false">
      <c r="A1124" s="28" t="s">
        <v>1501</v>
      </c>
      <c r="B1124" s="27" t="s">
        <v>438</v>
      </c>
      <c r="C1124" s="27" t="s">
        <v>383</v>
      </c>
      <c r="D1124" s="25"/>
      <c r="E1124" s="25"/>
      <c r="F1124" s="25"/>
      <c r="G1124" s="25"/>
      <c r="H1124" s="25"/>
      <c r="I1124" s="25"/>
      <c r="J1124" s="27" t="s">
        <v>1424</v>
      </c>
      <c r="K1124" s="25" t="str">
        <f aca="false">IFERROR(__xludf.dummyfunction("SPLIT(J1124,"" "")"),"CIF")</f>
        <v>CIF</v>
      </c>
      <c r="L1124" s="28" t="str">
        <f aca="false">IFERROR(__xludf.dummyfunction("""COMPUTED_VALUE"""),"Japan")</f>
        <v>Japan</v>
      </c>
      <c r="M1124" s="27" t="str">
        <f aca="false">IFERROR(__xludf.dummyfunction("""COMPUTED_VALUE"""),"(Diff)")</f>
        <v>(Diff)</v>
      </c>
      <c r="N1124" s="25"/>
      <c r="O1124" s="25"/>
      <c r="P1124" s="25"/>
      <c r="Q1124" s="29" t="s">
        <v>395</v>
      </c>
      <c r="R1124" s="8" t="str">
        <f aca="false">B1124&amp;" "&amp;C1124&amp;" "&amp;D1124&amp;" "&amp;E1124&amp;" "&amp;G1124&amp;" "&amp;H1124&amp;" "&amp;J1124&amp;" "&amp;N1124</f>
        <v>Differentials Precursor     CIF Japan (Diff) </v>
      </c>
      <c r="S1124" s="25"/>
      <c r="T1124" s="8"/>
      <c r="U1124" s="8"/>
      <c r="V1124" s="25"/>
      <c r="W1124" s="25"/>
      <c r="X1124" s="25"/>
      <c r="Y1124" s="25"/>
      <c r="Z1124" s="25"/>
      <c r="AA1124" s="25"/>
      <c r="AB1124" s="25"/>
      <c r="AC1124" s="25"/>
      <c r="AD1124" s="25"/>
    </row>
    <row r="1125" customFormat="false" ht="15.75" hidden="false" customHeight="false" outlineLevel="0" collapsed="false">
      <c r="A1125" s="28" t="s">
        <v>1502</v>
      </c>
      <c r="B1125" s="27" t="s">
        <v>438</v>
      </c>
      <c r="C1125" s="27" t="s">
        <v>383</v>
      </c>
      <c r="D1125" s="25"/>
      <c r="E1125" s="25"/>
      <c r="F1125" s="25"/>
      <c r="G1125" s="25"/>
      <c r="H1125" s="25"/>
      <c r="I1125" s="25"/>
      <c r="J1125" s="27" t="s">
        <v>1424</v>
      </c>
      <c r="K1125" s="25" t="str">
        <f aca="false">IFERROR(__xludf.dummyfunction("SPLIT(J1125,"" "")"),"CIF")</f>
        <v>CIF</v>
      </c>
      <c r="L1125" s="28" t="str">
        <f aca="false">IFERROR(__xludf.dummyfunction("""COMPUTED_VALUE"""),"Japan")</f>
        <v>Japan</v>
      </c>
      <c r="M1125" s="27" t="str">
        <f aca="false">IFERROR(__xludf.dummyfunction("""COMPUTED_VALUE"""),"(Diff)")</f>
        <v>(Diff)</v>
      </c>
      <c r="N1125" s="25"/>
      <c r="O1125" s="25"/>
      <c r="P1125" s="25"/>
      <c r="Q1125" s="29" t="s">
        <v>393</v>
      </c>
      <c r="R1125" s="8" t="str">
        <f aca="false">B1125&amp;" "&amp;C1125&amp;" "&amp;D1125&amp;" "&amp;E1125&amp;" "&amp;G1125&amp;" "&amp;H1125&amp;" "&amp;J1125&amp;" "&amp;N1125</f>
        <v>Differentials Precursor     CIF Japan (Diff) </v>
      </c>
      <c r="S1125" s="25"/>
      <c r="T1125" s="8"/>
      <c r="U1125" s="8"/>
      <c r="V1125" s="25"/>
      <c r="W1125" s="25"/>
      <c r="X1125" s="25"/>
      <c r="Y1125" s="25"/>
      <c r="Z1125" s="25"/>
      <c r="AA1125" s="25"/>
      <c r="AB1125" s="25"/>
      <c r="AC1125" s="25"/>
      <c r="AD1125" s="25"/>
    </row>
    <row r="1126" customFormat="false" ht="15.75" hidden="false" customHeight="false" outlineLevel="0" collapsed="false">
      <c r="A1126" s="28" t="s">
        <v>1503</v>
      </c>
      <c r="B1126" s="27" t="s">
        <v>438</v>
      </c>
      <c r="C1126" s="27" t="s">
        <v>383</v>
      </c>
      <c r="D1126" s="25"/>
      <c r="E1126" s="25"/>
      <c r="F1126" s="25"/>
      <c r="G1126" s="25"/>
      <c r="H1126" s="25"/>
      <c r="I1126" s="25"/>
      <c r="J1126" s="27" t="s">
        <v>1424</v>
      </c>
      <c r="K1126" s="25" t="str">
        <f aca="false">IFERROR(__xludf.dummyfunction("SPLIT(J1126,"" "")"),"CIF")</f>
        <v>CIF</v>
      </c>
      <c r="L1126" s="28" t="str">
        <f aca="false">IFERROR(__xludf.dummyfunction("""COMPUTED_VALUE"""),"Japan")</f>
        <v>Japan</v>
      </c>
      <c r="M1126" s="27" t="str">
        <f aca="false">IFERROR(__xludf.dummyfunction("""COMPUTED_VALUE"""),"(Diff)")</f>
        <v>(Diff)</v>
      </c>
      <c r="N1126" s="25"/>
      <c r="O1126" s="25"/>
      <c r="P1126" s="25"/>
      <c r="Q1126" s="29" t="s">
        <v>391</v>
      </c>
      <c r="R1126" s="8" t="str">
        <f aca="false">B1126&amp;" "&amp;C1126&amp;" "&amp;D1126&amp;" "&amp;E1126&amp;" "&amp;G1126&amp;" "&amp;H1126&amp;" "&amp;J1126&amp;" "&amp;N1126</f>
        <v>Differentials Precursor     CIF Japan (Diff) </v>
      </c>
      <c r="S1126" s="25"/>
      <c r="T1126" s="8"/>
      <c r="U1126" s="8"/>
      <c r="V1126" s="25"/>
      <c r="W1126" s="25"/>
      <c r="X1126" s="25"/>
      <c r="Y1126" s="25"/>
      <c r="Z1126" s="25"/>
      <c r="AA1126" s="25"/>
      <c r="AB1126" s="25"/>
      <c r="AC1126" s="25"/>
      <c r="AD1126" s="25"/>
    </row>
    <row r="1127" customFormat="false" ht="15.75" hidden="false" customHeight="false" outlineLevel="0" collapsed="false">
      <c r="A1127" s="28" t="s">
        <v>1504</v>
      </c>
      <c r="B1127" s="27" t="s">
        <v>438</v>
      </c>
      <c r="C1127" s="27" t="s">
        <v>383</v>
      </c>
      <c r="D1127" s="25"/>
      <c r="E1127" s="25"/>
      <c r="F1127" s="25"/>
      <c r="G1127" s="25"/>
      <c r="H1127" s="25"/>
      <c r="I1127" s="25"/>
      <c r="J1127" s="27" t="s">
        <v>1424</v>
      </c>
      <c r="K1127" s="25" t="str">
        <f aca="false">IFERROR(__xludf.dummyfunction("SPLIT(J1127,"" "")"),"CIF")</f>
        <v>CIF</v>
      </c>
      <c r="L1127" s="28" t="str">
        <f aca="false">IFERROR(__xludf.dummyfunction("""COMPUTED_VALUE"""),"Japan")</f>
        <v>Japan</v>
      </c>
      <c r="M1127" s="27" t="str">
        <f aca="false">IFERROR(__xludf.dummyfunction("""COMPUTED_VALUE"""),"(Diff)")</f>
        <v>(Diff)</v>
      </c>
      <c r="N1127" s="25"/>
      <c r="O1127" s="25"/>
      <c r="P1127" s="25"/>
      <c r="Q1127" s="29" t="s">
        <v>389</v>
      </c>
      <c r="R1127" s="8" t="str">
        <f aca="false">B1127&amp;" "&amp;C1127&amp;" "&amp;D1127&amp;" "&amp;E1127&amp;" "&amp;G1127&amp;" "&amp;H1127&amp;" "&amp;J1127&amp;" "&amp;N1127</f>
        <v>Differentials Precursor     CIF Japan (Diff) </v>
      </c>
      <c r="S1127" s="25"/>
      <c r="T1127" s="8"/>
      <c r="U1127" s="8"/>
      <c r="V1127" s="25"/>
      <c r="W1127" s="25"/>
      <c r="X1127" s="25"/>
      <c r="Y1127" s="25"/>
      <c r="Z1127" s="25"/>
      <c r="AA1127" s="25"/>
      <c r="AB1127" s="25"/>
      <c r="AC1127" s="25"/>
      <c r="AD1127" s="25"/>
    </row>
    <row r="1128" customFormat="false" ht="15.75" hidden="false" customHeight="false" outlineLevel="0" collapsed="false">
      <c r="A1128" s="28" t="s">
        <v>1505</v>
      </c>
      <c r="B1128" s="27" t="s">
        <v>438</v>
      </c>
      <c r="C1128" s="27" t="s">
        <v>383</v>
      </c>
      <c r="D1128" s="25"/>
      <c r="E1128" s="25"/>
      <c r="F1128" s="25"/>
      <c r="G1128" s="25"/>
      <c r="H1128" s="25"/>
      <c r="I1128" s="25"/>
      <c r="J1128" s="27" t="s">
        <v>1424</v>
      </c>
      <c r="K1128" s="25" t="str">
        <f aca="false">IFERROR(__xludf.dummyfunction("SPLIT(J1128,"" "")"),"CIF")</f>
        <v>CIF</v>
      </c>
      <c r="L1128" s="28" t="str">
        <f aca="false">IFERROR(__xludf.dummyfunction("""COMPUTED_VALUE"""),"Japan")</f>
        <v>Japan</v>
      </c>
      <c r="M1128" s="27" t="str">
        <f aca="false">IFERROR(__xludf.dummyfunction("""COMPUTED_VALUE"""),"(Diff)")</f>
        <v>(Diff)</v>
      </c>
      <c r="N1128" s="25"/>
      <c r="O1128" s="25"/>
      <c r="P1128" s="25"/>
      <c r="Q1128" s="29" t="s">
        <v>387</v>
      </c>
      <c r="R1128" s="8" t="str">
        <f aca="false">B1128&amp;" "&amp;C1128&amp;" "&amp;D1128&amp;" "&amp;E1128&amp;" "&amp;G1128&amp;" "&amp;H1128&amp;" "&amp;J1128&amp;" "&amp;N1128</f>
        <v>Differentials Precursor     CIF Japan (Diff) </v>
      </c>
      <c r="S1128" s="25"/>
      <c r="T1128" s="8"/>
      <c r="U1128" s="8"/>
      <c r="V1128" s="25"/>
      <c r="W1128" s="25"/>
      <c r="X1128" s="25"/>
      <c r="Y1128" s="25"/>
      <c r="Z1128" s="25"/>
      <c r="AA1128" s="25"/>
      <c r="AB1128" s="25"/>
      <c r="AC1128" s="25"/>
      <c r="AD1128" s="25"/>
    </row>
    <row r="1129" customFormat="false" ht="15.75" hidden="false" customHeight="false" outlineLevel="0" collapsed="false">
      <c r="A1129" s="28" t="s">
        <v>1506</v>
      </c>
      <c r="B1129" s="27" t="s">
        <v>438</v>
      </c>
      <c r="C1129" s="27" t="s">
        <v>383</v>
      </c>
      <c r="D1129" s="25"/>
      <c r="E1129" s="25"/>
      <c r="F1129" s="25"/>
      <c r="G1129" s="25"/>
      <c r="H1129" s="25"/>
      <c r="I1129" s="25"/>
      <c r="J1129" s="27" t="s">
        <v>1424</v>
      </c>
      <c r="K1129" s="25" t="str">
        <f aca="false">IFERROR(__xludf.dummyfunction("SPLIT(J1129,"" "")"),"CIF")</f>
        <v>CIF</v>
      </c>
      <c r="L1129" s="28" t="str">
        <f aca="false">IFERROR(__xludf.dummyfunction("""COMPUTED_VALUE"""),"Japan")</f>
        <v>Japan</v>
      </c>
      <c r="M1129" s="27" t="str">
        <f aca="false">IFERROR(__xludf.dummyfunction("""COMPUTED_VALUE"""),"(Diff)")</f>
        <v>(Diff)</v>
      </c>
      <c r="N1129" s="25"/>
      <c r="O1129" s="25"/>
      <c r="P1129" s="25"/>
      <c r="Q1129" s="29" t="s">
        <v>385</v>
      </c>
      <c r="R1129" s="8" t="str">
        <f aca="false">B1129&amp;" "&amp;C1129&amp;" "&amp;D1129&amp;" "&amp;E1129&amp;" "&amp;G1129&amp;" "&amp;H1129&amp;" "&amp;J1129&amp;" "&amp;N1129</f>
        <v>Differentials Precursor     CIF Japan (Diff) </v>
      </c>
      <c r="S1129" s="25"/>
      <c r="T1129" s="8"/>
      <c r="U1129" s="8"/>
      <c r="V1129" s="25"/>
      <c r="W1129" s="25"/>
      <c r="X1129" s="25"/>
      <c r="Y1129" s="25"/>
      <c r="Z1129" s="25"/>
      <c r="AA1129" s="25"/>
      <c r="AB1129" s="25"/>
      <c r="AC1129" s="25"/>
      <c r="AD1129" s="25"/>
    </row>
    <row r="1130" customFormat="false" ht="15.75" hidden="false" customHeight="false" outlineLevel="0" collapsed="false">
      <c r="A1130" s="28" t="s">
        <v>1507</v>
      </c>
      <c r="B1130" s="27" t="s">
        <v>438</v>
      </c>
      <c r="C1130" s="27" t="s">
        <v>408</v>
      </c>
      <c r="D1130" s="25"/>
      <c r="E1130" s="25"/>
      <c r="F1130" s="25"/>
      <c r="G1130" s="25"/>
      <c r="H1130" s="25"/>
      <c r="I1130" s="25"/>
      <c r="J1130" s="27" t="s">
        <v>1424</v>
      </c>
      <c r="K1130" s="25" t="str">
        <f aca="false">IFERROR(__xludf.dummyfunction("SPLIT(J1130,"" "")"),"CIF")</f>
        <v>CIF</v>
      </c>
      <c r="L1130" s="28" t="str">
        <f aca="false">IFERROR(__xludf.dummyfunction("""COMPUTED_VALUE"""),"Japan")</f>
        <v>Japan</v>
      </c>
      <c r="M1130" s="27" t="str">
        <f aca="false">IFERROR(__xludf.dummyfunction("""COMPUTED_VALUE"""),"(Diff)")</f>
        <v>(Diff)</v>
      </c>
      <c r="N1130" s="25"/>
      <c r="O1130" s="25"/>
      <c r="P1130" s="25"/>
      <c r="Q1130" s="29" t="s">
        <v>415</v>
      </c>
      <c r="R1130" s="8" t="str">
        <f aca="false">B1130&amp;" "&amp;C1130&amp;" "&amp;D1130&amp;" "&amp;E1130&amp;" "&amp;G1130&amp;" "&amp;H1130&amp;" "&amp;J1130&amp;" "&amp;N1130</f>
        <v>Differentials Rare Earths     CIF Japan (Diff) </v>
      </c>
      <c r="S1130" s="25"/>
      <c r="T1130" s="8"/>
      <c r="U1130" s="8"/>
      <c r="V1130" s="25"/>
      <c r="W1130" s="25"/>
      <c r="X1130" s="25"/>
      <c r="Y1130" s="25"/>
      <c r="Z1130" s="25"/>
      <c r="AA1130" s="25"/>
      <c r="AB1130" s="25"/>
      <c r="AC1130" s="25"/>
      <c r="AD1130" s="25"/>
    </row>
    <row r="1131" customFormat="false" ht="15.75" hidden="false" customHeight="false" outlineLevel="0" collapsed="false">
      <c r="A1131" s="28" t="s">
        <v>1508</v>
      </c>
      <c r="B1131" s="27" t="s">
        <v>438</v>
      </c>
      <c r="C1131" s="27" t="s">
        <v>408</v>
      </c>
      <c r="D1131" s="25"/>
      <c r="E1131" s="25"/>
      <c r="F1131" s="25"/>
      <c r="G1131" s="25"/>
      <c r="H1131" s="25"/>
      <c r="I1131" s="25"/>
      <c r="J1131" s="27" t="s">
        <v>1424</v>
      </c>
      <c r="K1131" s="25" t="str">
        <f aca="false">IFERROR(__xludf.dummyfunction("SPLIT(J1131,"" "")"),"CIF")</f>
        <v>CIF</v>
      </c>
      <c r="L1131" s="28" t="str">
        <f aca="false">IFERROR(__xludf.dummyfunction("""COMPUTED_VALUE"""),"Japan")</f>
        <v>Japan</v>
      </c>
      <c r="M1131" s="27" t="str">
        <f aca="false">IFERROR(__xludf.dummyfunction("""COMPUTED_VALUE"""),"(Diff)")</f>
        <v>(Diff)</v>
      </c>
      <c r="N1131" s="25"/>
      <c r="O1131" s="25"/>
      <c r="P1131" s="25"/>
      <c r="Q1131" s="29" t="s">
        <v>413</v>
      </c>
      <c r="R1131" s="8" t="str">
        <f aca="false">B1131&amp;" "&amp;C1131&amp;" "&amp;D1131&amp;" "&amp;E1131&amp;" "&amp;G1131&amp;" "&amp;H1131&amp;" "&amp;J1131&amp;" "&amp;N1131</f>
        <v>Differentials Rare Earths     CIF Japan (Diff) </v>
      </c>
      <c r="S1131" s="25"/>
      <c r="T1131" s="8"/>
      <c r="U1131" s="8"/>
      <c r="V1131" s="25"/>
      <c r="W1131" s="25"/>
      <c r="X1131" s="25"/>
      <c r="Y1131" s="25"/>
      <c r="Z1131" s="25"/>
      <c r="AA1131" s="25"/>
      <c r="AB1131" s="25"/>
      <c r="AC1131" s="25"/>
      <c r="AD1131" s="25"/>
    </row>
    <row r="1132" customFormat="false" ht="15.75" hidden="false" customHeight="false" outlineLevel="0" collapsed="false">
      <c r="A1132" s="28" t="s">
        <v>1509</v>
      </c>
      <c r="B1132" s="27" t="s">
        <v>438</v>
      </c>
      <c r="C1132" s="27" t="s">
        <v>408</v>
      </c>
      <c r="D1132" s="25"/>
      <c r="E1132" s="25"/>
      <c r="F1132" s="25"/>
      <c r="G1132" s="25"/>
      <c r="H1132" s="25"/>
      <c r="I1132" s="25"/>
      <c r="J1132" s="27" t="s">
        <v>1424</v>
      </c>
      <c r="K1132" s="25" t="str">
        <f aca="false">IFERROR(__xludf.dummyfunction("SPLIT(J1132,"" "")"),"CIF")</f>
        <v>CIF</v>
      </c>
      <c r="L1132" s="28" t="str">
        <f aca="false">IFERROR(__xludf.dummyfunction("""COMPUTED_VALUE"""),"Japan")</f>
        <v>Japan</v>
      </c>
      <c r="M1132" s="27" t="str">
        <f aca="false">IFERROR(__xludf.dummyfunction("""COMPUTED_VALUE"""),"(Diff)")</f>
        <v>(Diff)</v>
      </c>
      <c r="N1132" s="25"/>
      <c r="O1132" s="25"/>
      <c r="P1132" s="25"/>
      <c r="Q1132" s="29" t="s">
        <v>411</v>
      </c>
      <c r="R1132" s="8" t="str">
        <f aca="false">B1132&amp;" "&amp;C1132&amp;" "&amp;D1132&amp;" "&amp;E1132&amp;" "&amp;G1132&amp;" "&amp;H1132&amp;" "&amp;J1132&amp;" "&amp;N1132</f>
        <v>Differentials Rare Earths     CIF Japan (Diff) </v>
      </c>
      <c r="S1132" s="25"/>
      <c r="T1132" s="8"/>
      <c r="U1132" s="8"/>
      <c r="V1132" s="25"/>
      <c r="W1132" s="25"/>
      <c r="X1132" s="25"/>
      <c r="Y1132" s="25"/>
      <c r="Z1132" s="25"/>
      <c r="AA1132" s="25"/>
      <c r="AB1132" s="25"/>
      <c r="AC1132" s="25"/>
      <c r="AD1132" s="25"/>
    </row>
    <row r="1133" customFormat="false" ht="15.75" hidden="false" customHeight="false" outlineLevel="0" collapsed="false">
      <c r="A1133" s="28" t="s">
        <v>1510</v>
      </c>
      <c r="B1133" s="27" t="s">
        <v>438</v>
      </c>
      <c r="C1133" s="27" t="s">
        <v>408</v>
      </c>
      <c r="D1133" s="25"/>
      <c r="E1133" s="25"/>
      <c r="F1133" s="25"/>
      <c r="G1133" s="25"/>
      <c r="H1133" s="25"/>
      <c r="I1133" s="25"/>
      <c r="J1133" s="27" t="s">
        <v>1424</v>
      </c>
      <c r="K1133" s="25" t="str">
        <f aca="false">IFERROR(__xludf.dummyfunction("SPLIT(J1133,"" "")"),"CIF")</f>
        <v>CIF</v>
      </c>
      <c r="L1133" s="28" t="str">
        <f aca="false">IFERROR(__xludf.dummyfunction("""COMPUTED_VALUE"""),"Japan")</f>
        <v>Japan</v>
      </c>
      <c r="M1133" s="27" t="str">
        <f aca="false">IFERROR(__xludf.dummyfunction("""COMPUTED_VALUE"""),"(Diff)")</f>
        <v>(Diff)</v>
      </c>
      <c r="N1133" s="25"/>
      <c r="O1133" s="25"/>
      <c r="P1133" s="25"/>
      <c r="Q1133" s="29" t="s">
        <v>409</v>
      </c>
      <c r="R1133" s="8" t="str">
        <f aca="false">B1133&amp;" "&amp;C1133&amp;" "&amp;D1133&amp;" "&amp;E1133&amp;" "&amp;G1133&amp;" "&amp;H1133&amp;" "&amp;J1133&amp;" "&amp;N1133</f>
        <v>Differentials Rare Earths     CIF Japan (Diff) </v>
      </c>
      <c r="S1133" s="25"/>
      <c r="T1133" s="8"/>
      <c r="U1133" s="8"/>
      <c r="V1133" s="25"/>
      <c r="W1133" s="25"/>
      <c r="X1133" s="25"/>
      <c r="Y1133" s="25"/>
      <c r="Z1133" s="25"/>
      <c r="AA1133" s="25"/>
      <c r="AB1133" s="25"/>
      <c r="AC1133" s="25"/>
      <c r="AD1133" s="25"/>
    </row>
    <row r="1134" customFormat="false" ht="15.75" hidden="false" customHeight="false" outlineLevel="0" collapsed="false">
      <c r="A1134" s="28" t="s">
        <v>1511</v>
      </c>
      <c r="B1134" s="27" t="s">
        <v>438</v>
      </c>
      <c r="C1134" s="27" t="s">
        <v>417</v>
      </c>
      <c r="D1134" s="25"/>
      <c r="E1134" s="25"/>
      <c r="F1134" s="25"/>
      <c r="G1134" s="25"/>
      <c r="H1134" s="25"/>
      <c r="I1134" s="25"/>
      <c r="J1134" s="27" t="s">
        <v>1424</v>
      </c>
      <c r="K1134" s="25" t="str">
        <f aca="false">IFERROR(__xludf.dummyfunction("SPLIT(J1134,"" "")"),"CIF")</f>
        <v>CIF</v>
      </c>
      <c r="L1134" s="28" t="str">
        <f aca="false">IFERROR(__xludf.dummyfunction("""COMPUTED_VALUE"""),"Japan")</f>
        <v>Japan</v>
      </c>
      <c r="M1134" s="27" t="str">
        <f aca="false">IFERROR(__xludf.dummyfunction("""COMPUTED_VALUE"""),"(Diff)")</f>
        <v>(Diff)</v>
      </c>
      <c r="N1134" s="25"/>
      <c r="O1134" s="25"/>
      <c r="P1134" s="25"/>
      <c r="Q1134" s="29" t="s">
        <v>436</v>
      </c>
      <c r="R1134" s="8" t="str">
        <f aca="false">B1134&amp;" "&amp;C1134&amp;" "&amp;D1134&amp;" "&amp;E1134&amp;" "&amp;G1134&amp;" "&amp;H1134&amp;" "&amp;J1134&amp;" "&amp;N1134</f>
        <v>Differentials Solvent     CIF Japan (Diff) </v>
      </c>
      <c r="S1134" s="25"/>
      <c r="T1134" s="8"/>
      <c r="U1134" s="8"/>
      <c r="V1134" s="25"/>
      <c r="W1134" s="25"/>
      <c r="X1134" s="25"/>
      <c r="Y1134" s="25"/>
      <c r="Z1134" s="25"/>
      <c r="AA1134" s="25"/>
      <c r="AB1134" s="25"/>
      <c r="AC1134" s="25"/>
      <c r="AD1134" s="25"/>
    </row>
    <row r="1135" customFormat="false" ht="15.75" hidden="false" customHeight="false" outlineLevel="0" collapsed="false">
      <c r="A1135" s="28" t="s">
        <v>1512</v>
      </c>
      <c r="B1135" s="27" t="s">
        <v>438</v>
      </c>
      <c r="C1135" s="27" t="s">
        <v>417</v>
      </c>
      <c r="D1135" s="25"/>
      <c r="E1135" s="25"/>
      <c r="F1135" s="25"/>
      <c r="G1135" s="25"/>
      <c r="H1135" s="25"/>
      <c r="I1135" s="25"/>
      <c r="J1135" s="27" t="s">
        <v>1424</v>
      </c>
      <c r="K1135" s="25" t="str">
        <f aca="false">IFERROR(__xludf.dummyfunction("SPLIT(J1135,"" "")"),"CIF")</f>
        <v>CIF</v>
      </c>
      <c r="L1135" s="28" t="str">
        <f aca="false">IFERROR(__xludf.dummyfunction("""COMPUTED_VALUE"""),"Japan")</f>
        <v>Japan</v>
      </c>
      <c r="M1135" s="27" t="str">
        <f aca="false">IFERROR(__xludf.dummyfunction("""COMPUTED_VALUE"""),"(Diff)")</f>
        <v>(Diff)</v>
      </c>
      <c r="N1135" s="25"/>
      <c r="O1135" s="25"/>
      <c r="P1135" s="25"/>
      <c r="Q1135" s="29" t="s">
        <v>434</v>
      </c>
      <c r="R1135" s="8" t="str">
        <f aca="false">B1135&amp;" "&amp;C1135&amp;" "&amp;D1135&amp;" "&amp;E1135&amp;" "&amp;G1135&amp;" "&amp;H1135&amp;" "&amp;J1135&amp;" "&amp;N1135</f>
        <v>Differentials Solvent     CIF Japan (Diff) </v>
      </c>
      <c r="S1135" s="25"/>
      <c r="T1135" s="8"/>
      <c r="U1135" s="8"/>
      <c r="V1135" s="25"/>
      <c r="W1135" s="25"/>
      <c r="X1135" s="25"/>
      <c r="Y1135" s="25"/>
      <c r="Z1135" s="25"/>
      <c r="AA1135" s="25"/>
      <c r="AB1135" s="25"/>
      <c r="AC1135" s="25"/>
      <c r="AD1135" s="25"/>
    </row>
    <row r="1136" customFormat="false" ht="15.75" hidden="false" customHeight="false" outlineLevel="0" collapsed="false">
      <c r="A1136" s="28" t="s">
        <v>1513</v>
      </c>
      <c r="B1136" s="27" t="s">
        <v>438</v>
      </c>
      <c r="C1136" s="27" t="s">
        <v>417</v>
      </c>
      <c r="D1136" s="25"/>
      <c r="E1136" s="25"/>
      <c r="F1136" s="25"/>
      <c r="G1136" s="25"/>
      <c r="H1136" s="25"/>
      <c r="I1136" s="25"/>
      <c r="J1136" s="27" t="s">
        <v>1424</v>
      </c>
      <c r="K1136" s="25" t="str">
        <f aca="false">IFERROR(__xludf.dummyfunction("SPLIT(J1136,"" "")"),"CIF")</f>
        <v>CIF</v>
      </c>
      <c r="L1136" s="28" t="str">
        <f aca="false">IFERROR(__xludf.dummyfunction("""COMPUTED_VALUE"""),"Japan")</f>
        <v>Japan</v>
      </c>
      <c r="M1136" s="27" t="str">
        <f aca="false">IFERROR(__xludf.dummyfunction("""COMPUTED_VALUE"""),"(Diff)")</f>
        <v>(Diff)</v>
      </c>
      <c r="N1136" s="25"/>
      <c r="O1136" s="25"/>
      <c r="P1136" s="25"/>
      <c r="Q1136" s="29" t="s">
        <v>432</v>
      </c>
      <c r="R1136" s="8" t="str">
        <f aca="false">B1136&amp;" "&amp;C1136&amp;" "&amp;D1136&amp;" "&amp;E1136&amp;" "&amp;G1136&amp;" "&amp;H1136&amp;" "&amp;J1136&amp;" "&amp;N1136</f>
        <v>Differentials Solvent     CIF Japan (Diff) </v>
      </c>
      <c r="S1136" s="25"/>
      <c r="T1136" s="8"/>
      <c r="U1136" s="8"/>
      <c r="V1136" s="25"/>
      <c r="W1136" s="25"/>
      <c r="X1136" s="25"/>
      <c r="Y1136" s="25"/>
      <c r="Z1136" s="25"/>
      <c r="AA1136" s="25"/>
      <c r="AB1136" s="25"/>
      <c r="AC1136" s="25"/>
      <c r="AD1136" s="25"/>
    </row>
    <row r="1137" customFormat="false" ht="15.75" hidden="false" customHeight="false" outlineLevel="0" collapsed="false">
      <c r="A1137" s="28" t="s">
        <v>1514</v>
      </c>
      <c r="B1137" s="27" t="s">
        <v>438</v>
      </c>
      <c r="C1137" s="27" t="s">
        <v>417</v>
      </c>
      <c r="D1137" s="25"/>
      <c r="E1137" s="25"/>
      <c r="F1137" s="25"/>
      <c r="G1137" s="25"/>
      <c r="H1137" s="25"/>
      <c r="I1137" s="25"/>
      <c r="J1137" s="27" t="s">
        <v>1424</v>
      </c>
      <c r="K1137" s="25" t="str">
        <f aca="false">IFERROR(__xludf.dummyfunction("SPLIT(J1137,"" "")"),"CIF")</f>
        <v>CIF</v>
      </c>
      <c r="L1137" s="28" t="str">
        <f aca="false">IFERROR(__xludf.dummyfunction("""COMPUTED_VALUE"""),"Japan")</f>
        <v>Japan</v>
      </c>
      <c r="M1137" s="27" t="str">
        <f aca="false">IFERROR(__xludf.dummyfunction("""COMPUTED_VALUE"""),"(Diff)")</f>
        <v>(Diff)</v>
      </c>
      <c r="N1137" s="25"/>
      <c r="O1137" s="25"/>
      <c r="P1137" s="25"/>
      <c r="Q1137" s="29" t="s">
        <v>430</v>
      </c>
      <c r="R1137" s="8" t="str">
        <f aca="false">B1137&amp;" "&amp;C1137&amp;" "&amp;D1137&amp;" "&amp;E1137&amp;" "&amp;G1137&amp;" "&amp;H1137&amp;" "&amp;J1137&amp;" "&amp;N1137</f>
        <v>Differentials Solvent     CIF Japan (Diff) </v>
      </c>
      <c r="S1137" s="25"/>
      <c r="T1137" s="8"/>
      <c r="U1137" s="8"/>
      <c r="V1137" s="25"/>
      <c r="W1137" s="25"/>
      <c r="X1137" s="25"/>
      <c r="Y1137" s="25"/>
      <c r="Z1137" s="25"/>
      <c r="AA1137" s="25"/>
      <c r="AB1137" s="25"/>
      <c r="AC1137" s="25"/>
      <c r="AD1137" s="25"/>
    </row>
    <row r="1138" customFormat="false" ht="15.75" hidden="false" customHeight="false" outlineLevel="0" collapsed="false">
      <c r="A1138" s="28" t="s">
        <v>1515</v>
      </c>
      <c r="B1138" s="27" t="s">
        <v>438</v>
      </c>
      <c r="C1138" s="27" t="s">
        <v>417</v>
      </c>
      <c r="D1138" s="25"/>
      <c r="E1138" s="25"/>
      <c r="F1138" s="25"/>
      <c r="G1138" s="25"/>
      <c r="H1138" s="25"/>
      <c r="I1138" s="25"/>
      <c r="J1138" s="27" t="s">
        <v>1424</v>
      </c>
      <c r="K1138" s="25" t="str">
        <f aca="false">IFERROR(__xludf.dummyfunction("SPLIT(J1138,"" "")"),"CIF")</f>
        <v>CIF</v>
      </c>
      <c r="L1138" s="28" t="str">
        <f aca="false">IFERROR(__xludf.dummyfunction("""COMPUTED_VALUE"""),"Japan")</f>
        <v>Japan</v>
      </c>
      <c r="M1138" s="27" t="str">
        <f aca="false">IFERROR(__xludf.dummyfunction("""COMPUTED_VALUE"""),"(Diff)")</f>
        <v>(Diff)</v>
      </c>
      <c r="N1138" s="25"/>
      <c r="O1138" s="25"/>
      <c r="P1138" s="25"/>
      <c r="Q1138" s="29" t="s">
        <v>428</v>
      </c>
      <c r="R1138" s="8" t="str">
        <f aca="false">B1138&amp;" "&amp;C1138&amp;" "&amp;D1138&amp;" "&amp;E1138&amp;" "&amp;G1138&amp;" "&amp;H1138&amp;" "&amp;J1138&amp;" "&amp;N1138</f>
        <v>Differentials Solvent     CIF Japan (Diff) </v>
      </c>
      <c r="S1138" s="25"/>
      <c r="T1138" s="8"/>
      <c r="U1138" s="8"/>
      <c r="V1138" s="25"/>
      <c r="W1138" s="25"/>
      <c r="X1138" s="25"/>
      <c r="Y1138" s="25"/>
      <c r="Z1138" s="25"/>
      <c r="AA1138" s="25"/>
      <c r="AB1138" s="25"/>
      <c r="AC1138" s="25"/>
      <c r="AD1138" s="25"/>
    </row>
    <row r="1139" customFormat="false" ht="15.75" hidden="false" customHeight="false" outlineLevel="0" collapsed="false">
      <c r="A1139" s="28" t="s">
        <v>1516</v>
      </c>
      <c r="B1139" s="27" t="s">
        <v>438</v>
      </c>
      <c r="C1139" s="27" t="s">
        <v>417</v>
      </c>
      <c r="D1139" s="25"/>
      <c r="E1139" s="25"/>
      <c r="F1139" s="25"/>
      <c r="G1139" s="25"/>
      <c r="H1139" s="25"/>
      <c r="I1139" s="25"/>
      <c r="J1139" s="27" t="s">
        <v>1424</v>
      </c>
      <c r="K1139" s="25" t="str">
        <f aca="false">IFERROR(__xludf.dummyfunction("SPLIT(J1139,"" "")"),"CIF")</f>
        <v>CIF</v>
      </c>
      <c r="L1139" s="28" t="str">
        <f aca="false">IFERROR(__xludf.dummyfunction("""COMPUTED_VALUE"""),"Japan")</f>
        <v>Japan</v>
      </c>
      <c r="M1139" s="27" t="str">
        <f aca="false">IFERROR(__xludf.dummyfunction("""COMPUTED_VALUE"""),"(Diff)")</f>
        <v>(Diff)</v>
      </c>
      <c r="N1139" s="25"/>
      <c r="O1139" s="25"/>
      <c r="P1139" s="25"/>
      <c r="Q1139" s="29" t="s">
        <v>426</v>
      </c>
      <c r="R1139" s="8" t="str">
        <f aca="false">B1139&amp;" "&amp;C1139&amp;" "&amp;D1139&amp;" "&amp;E1139&amp;" "&amp;G1139&amp;" "&amp;H1139&amp;" "&amp;J1139&amp;" "&amp;N1139</f>
        <v>Differentials Solvent     CIF Japan (Diff) </v>
      </c>
      <c r="S1139" s="25"/>
      <c r="T1139" s="8"/>
      <c r="U1139" s="8"/>
      <c r="V1139" s="25"/>
      <c r="W1139" s="25"/>
      <c r="X1139" s="25"/>
      <c r="Y1139" s="25"/>
      <c r="Z1139" s="25"/>
      <c r="AA1139" s="25"/>
      <c r="AB1139" s="25"/>
      <c r="AC1139" s="25"/>
      <c r="AD1139" s="25"/>
    </row>
    <row r="1140" customFormat="false" ht="15.75" hidden="false" customHeight="false" outlineLevel="0" collapsed="false">
      <c r="A1140" s="28" t="s">
        <v>1517</v>
      </c>
      <c r="B1140" s="27" t="s">
        <v>438</v>
      </c>
      <c r="C1140" s="27" t="s">
        <v>417</v>
      </c>
      <c r="D1140" s="25"/>
      <c r="E1140" s="25"/>
      <c r="F1140" s="25"/>
      <c r="G1140" s="25"/>
      <c r="H1140" s="25"/>
      <c r="I1140" s="25"/>
      <c r="J1140" s="27" t="s">
        <v>1424</v>
      </c>
      <c r="K1140" s="25" t="str">
        <f aca="false">IFERROR(__xludf.dummyfunction("SPLIT(J1140,"" "")"),"CIF")</f>
        <v>CIF</v>
      </c>
      <c r="L1140" s="28" t="str">
        <f aca="false">IFERROR(__xludf.dummyfunction("""COMPUTED_VALUE"""),"Japan")</f>
        <v>Japan</v>
      </c>
      <c r="M1140" s="27" t="str">
        <f aca="false">IFERROR(__xludf.dummyfunction("""COMPUTED_VALUE"""),"(Diff)")</f>
        <v>(Diff)</v>
      </c>
      <c r="N1140" s="25"/>
      <c r="O1140" s="25"/>
      <c r="P1140" s="25"/>
      <c r="Q1140" s="29" t="s">
        <v>424</v>
      </c>
      <c r="R1140" s="8" t="str">
        <f aca="false">B1140&amp;" "&amp;C1140&amp;" "&amp;D1140&amp;" "&amp;E1140&amp;" "&amp;G1140&amp;" "&amp;H1140&amp;" "&amp;J1140&amp;" "&amp;N1140</f>
        <v>Differentials Solvent     CIF Japan (Diff) </v>
      </c>
      <c r="S1140" s="25"/>
      <c r="T1140" s="8"/>
      <c r="U1140" s="8"/>
      <c r="V1140" s="25"/>
      <c r="W1140" s="25"/>
      <c r="X1140" s="25"/>
      <c r="Y1140" s="25"/>
      <c r="Z1140" s="25"/>
      <c r="AA1140" s="25"/>
      <c r="AB1140" s="25"/>
      <c r="AC1140" s="25"/>
      <c r="AD1140" s="25"/>
    </row>
    <row r="1141" customFormat="false" ht="15.75" hidden="false" customHeight="false" outlineLevel="0" collapsed="false">
      <c r="A1141" s="28" t="s">
        <v>1518</v>
      </c>
      <c r="B1141" s="27" t="s">
        <v>438</v>
      </c>
      <c r="C1141" s="27" t="s">
        <v>417</v>
      </c>
      <c r="D1141" s="25"/>
      <c r="E1141" s="25"/>
      <c r="F1141" s="25"/>
      <c r="G1141" s="25"/>
      <c r="H1141" s="25"/>
      <c r="I1141" s="25"/>
      <c r="J1141" s="27" t="s">
        <v>1424</v>
      </c>
      <c r="K1141" s="25" t="str">
        <f aca="false">IFERROR(__xludf.dummyfunction("SPLIT(J1141,"" "")"),"CIF")</f>
        <v>CIF</v>
      </c>
      <c r="L1141" s="28" t="str">
        <f aca="false">IFERROR(__xludf.dummyfunction("""COMPUTED_VALUE"""),"Japan")</f>
        <v>Japan</v>
      </c>
      <c r="M1141" s="27" t="str">
        <f aca="false">IFERROR(__xludf.dummyfunction("""COMPUTED_VALUE"""),"(Diff)")</f>
        <v>(Diff)</v>
      </c>
      <c r="N1141" s="25"/>
      <c r="O1141" s="25"/>
      <c r="P1141" s="25"/>
      <c r="Q1141" s="29" t="s">
        <v>422</v>
      </c>
      <c r="R1141" s="8" t="str">
        <f aca="false">B1141&amp;" "&amp;C1141&amp;" "&amp;D1141&amp;" "&amp;E1141&amp;" "&amp;G1141&amp;" "&amp;H1141&amp;" "&amp;J1141&amp;" "&amp;N1141</f>
        <v>Differentials Solvent     CIF Japan (Diff) </v>
      </c>
      <c r="S1141" s="25"/>
      <c r="T1141" s="8"/>
      <c r="U1141" s="8"/>
      <c r="V1141" s="25"/>
      <c r="W1141" s="25"/>
      <c r="X1141" s="25"/>
      <c r="Y1141" s="25"/>
      <c r="Z1141" s="25"/>
      <c r="AA1141" s="25"/>
      <c r="AB1141" s="25"/>
      <c r="AC1141" s="25"/>
      <c r="AD1141" s="25"/>
    </row>
    <row r="1142" customFormat="false" ht="15.75" hidden="false" customHeight="false" outlineLevel="0" collapsed="false">
      <c r="A1142" s="28" t="s">
        <v>1519</v>
      </c>
      <c r="B1142" s="27" t="s">
        <v>438</v>
      </c>
      <c r="C1142" s="27" t="s">
        <v>417</v>
      </c>
      <c r="D1142" s="25"/>
      <c r="E1142" s="25"/>
      <c r="F1142" s="25"/>
      <c r="G1142" s="25"/>
      <c r="H1142" s="25"/>
      <c r="I1142" s="25"/>
      <c r="J1142" s="27" t="s">
        <v>1424</v>
      </c>
      <c r="K1142" s="25" t="str">
        <f aca="false">IFERROR(__xludf.dummyfunction("SPLIT(J1142,"" "")"),"CIF")</f>
        <v>CIF</v>
      </c>
      <c r="L1142" s="28" t="str">
        <f aca="false">IFERROR(__xludf.dummyfunction("""COMPUTED_VALUE"""),"Japan")</f>
        <v>Japan</v>
      </c>
      <c r="M1142" s="27" t="str">
        <f aca="false">IFERROR(__xludf.dummyfunction("""COMPUTED_VALUE"""),"(Diff)")</f>
        <v>(Diff)</v>
      </c>
      <c r="N1142" s="25"/>
      <c r="O1142" s="25"/>
      <c r="P1142" s="25"/>
      <c r="Q1142" s="29" t="s">
        <v>420</v>
      </c>
      <c r="R1142" s="8" t="str">
        <f aca="false">B1142&amp;" "&amp;C1142&amp;" "&amp;D1142&amp;" "&amp;E1142&amp;" "&amp;G1142&amp;" "&amp;H1142&amp;" "&amp;J1142&amp;" "&amp;N1142</f>
        <v>Differentials Solvent     CIF Japan (Diff) </v>
      </c>
      <c r="S1142" s="25"/>
      <c r="T1142" s="8"/>
      <c r="U1142" s="8"/>
      <c r="V1142" s="25"/>
      <c r="W1142" s="25"/>
      <c r="X1142" s="25"/>
      <c r="Y1142" s="25"/>
      <c r="Z1142" s="25"/>
      <c r="AA1142" s="25"/>
      <c r="AB1142" s="25"/>
      <c r="AC1142" s="25"/>
      <c r="AD1142" s="25"/>
    </row>
    <row r="1143" customFormat="false" ht="15.75" hidden="false" customHeight="false" outlineLevel="0" collapsed="false">
      <c r="A1143" s="28" t="s">
        <v>1520</v>
      </c>
      <c r="B1143" s="27" t="s">
        <v>438</v>
      </c>
      <c r="C1143" s="27" t="s">
        <v>417</v>
      </c>
      <c r="D1143" s="25"/>
      <c r="E1143" s="25"/>
      <c r="F1143" s="25"/>
      <c r="G1143" s="25"/>
      <c r="H1143" s="25"/>
      <c r="I1143" s="25"/>
      <c r="J1143" s="27" t="s">
        <v>1424</v>
      </c>
      <c r="K1143" s="25" t="str">
        <f aca="false">IFERROR(__xludf.dummyfunction("SPLIT(J1143,"" "")"),"CIF")</f>
        <v>CIF</v>
      </c>
      <c r="L1143" s="28" t="str">
        <f aca="false">IFERROR(__xludf.dummyfunction("""COMPUTED_VALUE"""),"Japan")</f>
        <v>Japan</v>
      </c>
      <c r="M1143" s="27" t="str">
        <f aca="false">IFERROR(__xludf.dummyfunction("""COMPUTED_VALUE"""),"(Diff)")</f>
        <v>(Diff)</v>
      </c>
      <c r="N1143" s="25"/>
      <c r="O1143" s="25"/>
      <c r="P1143" s="25"/>
      <c r="Q1143" s="29" t="s">
        <v>418</v>
      </c>
      <c r="R1143" s="8" t="str">
        <f aca="false">B1143&amp;" "&amp;C1143&amp;" "&amp;D1143&amp;" "&amp;E1143&amp;" "&amp;G1143&amp;" "&amp;H1143&amp;" "&amp;J1143&amp;" "&amp;N1143</f>
        <v>Differentials Solvent     CIF Japan (Diff) </v>
      </c>
      <c r="S1143" s="25"/>
      <c r="T1143" s="8"/>
      <c r="U1143" s="8"/>
      <c r="V1143" s="25"/>
      <c r="W1143" s="25"/>
      <c r="X1143" s="25"/>
      <c r="Y1143" s="25"/>
      <c r="Z1143" s="25"/>
      <c r="AA1143" s="25"/>
      <c r="AB1143" s="25"/>
      <c r="AC1143" s="25"/>
      <c r="AD1143" s="25"/>
    </row>
    <row r="1144" customFormat="false" ht="15.75" hidden="false" customHeight="false" outlineLevel="0" collapsed="false">
      <c r="A1144" s="28" t="s">
        <v>1521</v>
      </c>
      <c r="B1144" s="27" t="s">
        <v>438</v>
      </c>
      <c r="C1144" s="27" t="s">
        <v>168</v>
      </c>
      <c r="D1144" s="25"/>
      <c r="E1144" s="25"/>
      <c r="F1144" s="25"/>
      <c r="G1144" s="25"/>
      <c r="H1144" s="25"/>
      <c r="I1144" s="25"/>
      <c r="J1144" s="27" t="s">
        <v>1522</v>
      </c>
      <c r="K1144" s="25" t="str">
        <f aca="false">IFERROR(__xludf.dummyfunction("SPLIT(J1144,"" "")"),"CIF")</f>
        <v>CIF</v>
      </c>
      <c r="L1144" s="28" t="str">
        <f aca="false">IFERROR(__xludf.dummyfunction("""COMPUTED_VALUE"""),"Jordan")</f>
        <v>Jordan</v>
      </c>
      <c r="M1144" s="27" t="str">
        <f aca="false">IFERROR(__xludf.dummyfunction("""COMPUTED_VALUE"""),"(Diff)")</f>
        <v>(Diff)</v>
      </c>
      <c r="N1144" s="25"/>
      <c r="O1144" s="25"/>
      <c r="P1144" s="25"/>
      <c r="Q1144" s="29" t="s">
        <v>175</v>
      </c>
      <c r="R1144" s="8" t="str">
        <f aca="false">B1144&amp;" "&amp;C1144&amp;" "&amp;D1144&amp;" "&amp;E1144&amp;" "&amp;G1144&amp;" "&amp;H1144&amp;" "&amp;J1144&amp;" "&amp;N1144</f>
        <v>Differentials Aluminium (Battery Grade)     CIF Jordan (Diff) </v>
      </c>
      <c r="S1144" s="25"/>
      <c r="T1144" s="8"/>
      <c r="U1144" s="8"/>
      <c r="V1144" s="25"/>
      <c r="W1144" s="25"/>
      <c r="X1144" s="25"/>
      <c r="Y1144" s="25"/>
      <c r="Z1144" s="25"/>
      <c r="AA1144" s="25"/>
      <c r="AB1144" s="25"/>
      <c r="AC1144" s="25"/>
      <c r="AD1144" s="25"/>
    </row>
    <row r="1145" customFormat="false" ht="15.75" hidden="false" customHeight="false" outlineLevel="0" collapsed="false">
      <c r="A1145" s="28" t="s">
        <v>1523</v>
      </c>
      <c r="B1145" s="27" t="s">
        <v>438</v>
      </c>
      <c r="C1145" s="27" t="s">
        <v>168</v>
      </c>
      <c r="D1145" s="25"/>
      <c r="E1145" s="25"/>
      <c r="F1145" s="25"/>
      <c r="G1145" s="25"/>
      <c r="H1145" s="25"/>
      <c r="I1145" s="25"/>
      <c r="J1145" s="27" t="s">
        <v>1522</v>
      </c>
      <c r="K1145" s="25" t="str">
        <f aca="false">IFERROR(__xludf.dummyfunction("SPLIT(J1145,"" "")"),"CIF")</f>
        <v>CIF</v>
      </c>
      <c r="L1145" s="28" t="str">
        <f aca="false">IFERROR(__xludf.dummyfunction("""COMPUTED_VALUE"""),"Jordan")</f>
        <v>Jordan</v>
      </c>
      <c r="M1145" s="27" t="str">
        <f aca="false">IFERROR(__xludf.dummyfunction("""COMPUTED_VALUE"""),"(Diff)")</f>
        <v>(Diff)</v>
      </c>
      <c r="N1145" s="25"/>
      <c r="O1145" s="25"/>
      <c r="P1145" s="25"/>
      <c r="Q1145" s="29" t="s">
        <v>173</v>
      </c>
      <c r="R1145" s="8" t="str">
        <f aca="false">B1145&amp;" "&amp;C1145&amp;" "&amp;D1145&amp;" "&amp;E1145&amp;" "&amp;G1145&amp;" "&amp;H1145&amp;" "&amp;J1145&amp;" "&amp;N1145</f>
        <v>Differentials Aluminium (Battery Grade)     CIF Jordan (Diff) </v>
      </c>
      <c r="S1145" s="25"/>
      <c r="T1145" s="8"/>
      <c r="U1145" s="8"/>
      <c r="V1145" s="25"/>
      <c r="W1145" s="25"/>
      <c r="X1145" s="25"/>
      <c r="Y1145" s="25"/>
      <c r="Z1145" s="25"/>
      <c r="AA1145" s="25"/>
      <c r="AB1145" s="25"/>
      <c r="AC1145" s="25"/>
      <c r="AD1145" s="25"/>
    </row>
    <row r="1146" customFormat="false" ht="15.75" hidden="false" customHeight="false" outlineLevel="0" collapsed="false">
      <c r="A1146" s="28" t="s">
        <v>1524</v>
      </c>
      <c r="B1146" s="27" t="s">
        <v>438</v>
      </c>
      <c r="C1146" s="27" t="s">
        <v>168</v>
      </c>
      <c r="D1146" s="25"/>
      <c r="E1146" s="25"/>
      <c r="F1146" s="25"/>
      <c r="G1146" s="25"/>
      <c r="H1146" s="25"/>
      <c r="I1146" s="25"/>
      <c r="J1146" s="27" t="s">
        <v>1522</v>
      </c>
      <c r="K1146" s="25" t="str">
        <f aca="false">IFERROR(__xludf.dummyfunction("SPLIT(J1146,"" "")"),"CIF")</f>
        <v>CIF</v>
      </c>
      <c r="L1146" s="28" t="str">
        <f aca="false">IFERROR(__xludf.dummyfunction("""COMPUTED_VALUE"""),"Jordan")</f>
        <v>Jordan</v>
      </c>
      <c r="M1146" s="27" t="str">
        <f aca="false">IFERROR(__xludf.dummyfunction("""COMPUTED_VALUE"""),"(Diff)")</f>
        <v>(Diff)</v>
      </c>
      <c r="N1146" s="25"/>
      <c r="O1146" s="25"/>
      <c r="P1146" s="25"/>
      <c r="Q1146" s="29" t="s">
        <v>169</v>
      </c>
      <c r="R1146" s="8" t="str">
        <f aca="false">B1146&amp;" "&amp;C1146&amp;" "&amp;D1146&amp;" "&amp;E1146&amp;" "&amp;G1146&amp;" "&amp;H1146&amp;" "&amp;J1146&amp;" "&amp;N1146</f>
        <v>Differentials Aluminium (Battery Grade)     CIF Jordan (Diff) </v>
      </c>
      <c r="S1146" s="25"/>
      <c r="T1146" s="8"/>
      <c r="U1146" s="8"/>
      <c r="V1146" s="25"/>
      <c r="W1146" s="25"/>
      <c r="X1146" s="25"/>
      <c r="Y1146" s="25"/>
      <c r="Z1146" s="25"/>
      <c r="AA1146" s="25"/>
      <c r="AB1146" s="25"/>
      <c r="AC1146" s="25"/>
      <c r="AD1146" s="25"/>
    </row>
    <row r="1147" customFormat="false" ht="15.75" hidden="false" customHeight="false" outlineLevel="0" collapsed="false">
      <c r="A1147" s="28" t="s">
        <v>1525</v>
      </c>
      <c r="B1147" s="27" t="s">
        <v>438</v>
      </c>
      <c r="C1147" s="27" t="s">
        <v>284</v>
      </c>
      <c r="D1147" s="25"/>
      <c r="E1147" s="25"/>
      <c r="F1147" s="25"/>
      <c r="G1147" s="25"/>
      <c r="H1147" s="25"/>
      <c r="I1147" s="25"/>
      <c r="J1147" s="27" t="s">
        <v>1522</v>
      </c>
      <c r="K1147" s="25" t="str">
        <f aca="false">IFERROR(__xludf.dummyfunction("SPLIT(J1147,"" "")"),"CIF")</f>
        <v>CIF</v>
      </c>
      <c r="L1147" s="28" t="str">
        <f aca="false">IFERROR(__xludf.dummyfunction("""COMPUTED_VALUE"""),"Jordan")</f>
        <v>Jordan</v>
      </c>
      <c r="M1147" s="27" t="str">
        <f aca="false">IFERROR(__xludf.dummyfunction("""COMPUTED_VALUE"""),"(Diff)")</f>
        <v>(Diff)</v>
      </c>
      <c r="N1147" s="25"/>
      <c r="O1147" s="25"/>
      <c r="P1147" s="25"/>
      <c r="Q1147" s="29" t="s">
        <v>287</v>
      </c>
      <c r="R1147" s="8" t="str">
        <f aca="false">B1147&amp;" "&amp;C1147&amp;" "&amp;D1147&amp;" "&amp;E1147&amp;" "&amp;G1147&amp;" "&amp;H1147&amp;" "&amp;J1147&amp;" "&amp;N1147</f>
        <v>Differentials Copper (Battery Grade)     CIF Jordan (Diff) </v>
      </c>
      <c r="S1147" s="25"/>
      <c r="T1147" s="8"/>
      <c r="U1147" s="8"/>
      <c r="V1147" s="25"/>
      <c r="W1147" s="25"/>
      <c r="X1147" s="25"/>
      <c r="Y1147" s="25"/>
      <c r="Z1147" s="25"/>
      <c r="AA1147" s="25"/>
      <c r="AB1147" s="25"/>
      <c r="AC1147" s="25"/>
      <c r="AD1147" s="25"/>
    </row>
    <row r="1148" customFormat="false" ht="15.75" hidden="false" customHeight="false" outlineLevel="0" collapsed="false">
      <c r="A1148" s="28" t="s">
        <v>1526</v>
      </c>
      <c r="B1148" s="27" t="s">
        <v>438</v>
      </c>
      <c r="C1148" s="27" t="s">
        <v>284</v>
      </c>
      <c r="D1148" s="25"/>
      <c r="E1148" s="25"/>
      <c r="F1148" s="25"/>
      <c r="G1148" s="25"/>
      <c r="H1148" s="25"/>
      <c r="I1148" s="25"/>
      <c r="J1148" s="27" t="s">
        <v>1522</v>
      </c>
      <c r="K1148" s="25" t="str">
        <f aca="false">IFERROR(__xludf.dummyfunction("SPLIT(J1148,"" "")"),"CIF")</f>
        <v>CIF</v>
      </c>
      <c r="L1148" s="28" t="str">
        <f aca="false">IFERROR(__xludf.dummyfunction("""COMPUTED_VALUE"""),"Jordan")</f>
        <v>Jordan</v>
      </c>
      <c r="M1148" s="27" t="str">
        <f aca="false">IFERROR(__xludf.dummyfunction("""COMPUTED_VALUE"""),"(Diff)")</f>
        <v>(Diff)</v>
      </c>
      <c r="N1148" s="25"/>
      <c r="O1148" s="25"/>
      <c r="P1148" s="25"/>
      <c r="Q1148" s="29" t="s">
        <v>285</v>
      </c>
      <c r="R1148" s="8" t="str">
        <f aca="false">B1148&amp;" "&amp;C1148&amp;" "&amp;D1148&amp;" "&amp;E1148&amp;" "&amp;G1148&amp;" "&amp;H1148&amp;" "&amp;J1148&amp;" "&amp;N1148</f>
        <v>Differentials Copper (Battery Grade)     CIF Jordan (Diff) </v>
      </c>
      <c r="S1148" s="25"/>
      <c r="T1148" s="8"/>
      <c r="U1148" s="8"/>
      <c r="V1148" s="25"/>
      <c r="W1148" s="25"/>
      <c r="X1148" s="25"/>
      <c r="Y1148" s="25"/>
      <c r="Z1148" s="25"/>
      <c r="AA1148" s="25"/>
      <c r="AB1148" s="25"/>
      <c r="AC1148" s="25"/>
      <c r="AD1148" s="25"/>
    </row>
    <row r="1149" customFormat="false" ht="15.75" hidden="false" customHeight="false" outlineLevel="0" collapsed="false">
      <c r="A1149" s="28" t="s">
        <v>1527</v>
      </c>
      <c r="B1149" s="27" t="s">
        <v>438</v>
      </c>
      <c r="C1149" s="27" t="s">
        <v>360</v>
      </c>
      <c r="D1149" s="25"/>
      <c r="E1149" s="25"/>
      <c r="F1149" s="25"/>
      <c r="G1149" s="25"/>
      <c r="H1149" s="25"/>
      <c r="I1149" s="25"/>
      <c r="J1149" s="27" t="s">
        <v>1522</v>
      </c>
      <c r="K1149" s="25" t="str">
        <f aca="false">IFERROR(__xludf.dummyfunction("SPLIT(J1149,"" "")"),"CIF")</f>
        <v>CIF</v>
      </c>
      <c r="L1149" s="28" t="str">
        <f aca="false">IFERROR(__xludf.dummyfunction("""COMPUTED_VALUE"""),"Jordan")</f>
        <v>Jordan</v>
      </c>
      <c r="M1149" s="27" t="str">
        <f aca="false">IFERROR(__xludf.dummyfunction("""COMPUTED_VALUE"""),"(Diff)")</f>
        <v>(Diff)</v>
      </c>
      <c r="N1149" s="25"/>
      <c r="O1149" s="25"/>
      <c r="P1149" s="25"/>
      <c r="Q1149" s="29" t="s">
        <v>368</v>
      </c>
      <c r="R1149" s="8" t="str">
        <f aca="false">B1149&amp;" "&amp;C1149&amp;" "&amp;D1149&amp;" "&amp;E1149&amp;" "&amp;G1149&amp;" "&amp;H1149&amp;" "&amp;J1149&amp;" "&amp;N1149</f>
        <v>Differentials Lithium     CIF Jordan (Diff) </v>
      </c>
      <c r="S1149" s="25"/>
      <c r="T1149" s="8"/>
      <c r="U1149" s="8"/>
      <c r="V1149" s="25"/>
      <c r="W1149" s="25"/>
      <c r="X1149" s="25"/>
      <c r="Y1149" s="25"/>
      <c r="Z1149" s="25"/>
      <c r="AA1149" s="25"/>
      <c r="AB1149" s="25"/>
      <c r="AC1149" s="25"/>
      <c r="AD1149" s="25"/>
    </row>
    <row r="1150" customFormat="false" ht="15.75" hidden="false" customHeight="false" outlineLevel="0" collapsed="false">
      <c r="A1150" s="28" t="s">
        <v>1528</v>
      </c>
      <c r="B1150" s="27" t="s">
        <v>438</v>
      </c>
      <c r="C1150" s="27" t="s">
        <v>360</v>
      </c>
      <c r="D1150" s="25"/>
      <c r="E1150" s="25"/>
      <c r="F1150" s="25"/>
      <c r="G1150" s="25"/>
      <c r="H1150" s="25"/>
      <c r="I1150" s="25"/>
      <c r="J1150" s="27" t="s">
        <v>1522</v>
      </c>
      <c r="K1150" s="25" t="str">
        <f aca="false">IFERROR(__xludf.dummyfunction("SPLIT(J1150,"" "")"),"CIF")</f>
        <v>CIF</v>
      </c>
      <c r="L1150" s="28" t="str">
        <f aca="false">IFERROR(__xludf.dummyfunction("""COMPUTED_VALUE"""),"Jordan")</f>
        <v>Jordan</v>
      </c>
      <c r="M1150" s="27" t="str">
        <f aca="false">IFERROR(__xludf.dummyfunction("""COMPUTED_VALUE"""),"(Diff)")</f>
        <v>(Diff)</v>
      </c>
      <c r="N1150" s="25"/>
      <c r="O1150" s="25"/>
      <c r="P1150" s="25"/>
      <c r="Q1150" s="29" t="s">
        <v>366</v>
      </c>
      <c r="R1150" s="8" t="str">
        <f aca="false">B1150&amp;" "&amp;C1150&amp;" "&amp;D1150&amp;" "&amp;E1150&amp;" "&amp;G1150&amp;" "&amp;H1150&amp;" "&amp;J1150&amp;" "&amp;N1150</f>
        <v>Differentials Lithium     CIF Jordan (Diff) </v>
      </c>
      <c r="S1150" s="25"/>
      <c r="T1150" s="8"/>
      <c r="U1150" s="8"/>
      <c r="V1150" s="25"/>
      <c r="W1150" s="25"/>
      <c r="X1150" s="25"/>
      <c r="Y1150" s="25"/>
      <c r="Z1150" s="25"/>
      <c r="AA1150" s="25"/>
      <c r="AB1150" s="25"/>
      <c r="AC1150" s="25"/>
      <c r="AD1150" s="25"/>
    </row>
    <row r="1151" customFormat="false" ht="15.75" hidden="false" customHeight="false" outlineLevel="0" collapsed="false">
      <c r="A1151" s="28" t="s">
        <v>1529</v>
      </c>
      <c r="B1151" s="27" t="s">
        <v>438</v>
      </c>
      <c r="C1151" s="27" t="s">
        <v>360</v>
      </c>
      <c r="D1151" s="25"/>
      <c r="E1151" s="25"/>
      <c r="F1151" s="25"/>
      <c r="G1151" s="25"/>
      <c r="H1151" s="25"/>
      <c r="I1151" s="25"/>
      <c r="J1151" s="27" t="s">
        <v>1522</v>
      </c>
      <c r="K1151" s="25" t="str">
        <f aca="false">IFERROR(__xludf.dummyfunction("SPLIT(J1151,"" "")"),"CIF")</f>
        <v>CIF</v>
      </c>
      <c r="L1151" s="28" t="str">
        <f aca="false">IFERROR(__xludf.dummyfunction("""COMPUTED_VALUE"""),"Jordan")</f>
        <v>Jordan</v>
      </c>
      <c r="M1151" s="27" t="str">
        <f aca="false">IFERROR(__xludf.dummyfunction("""COMPUTED_VALUE"""),"(Diff)")</f>
        <v>(Diff)</v>
      </c>
      <c r="N1151" s="25"/>
      <c r="O1151" s="25"/>
      <c r="P1151" s="25"/>
      <c r="Q1151" s="29" t="s">
        <v>361</v>
      </c>
      <c r="R1151" s="8" t="str">
        <f aca="false">B1151&amp;" "&amp;C1151&amp;" "&amp;D1151&amp;" "&amp;E1151&amp;" "&amp;G1151&amp;" "&amp;H1151&amp;" "&amp;J1151&amp;" "&amp;N1151</f>
        <v>Differentials Lithium     CIF Jordan (Diff) </v>
      </c>
      <c r="S1151" s="25"/>
      <c r="T1151" s="8"/>
      <c r="U1151" s="8"/>
      <c r="V1151" s="25"/>
      <c r="W1151" s="25"/>
      <c r="X1151" s="25"/>
      <c r="Y1151" s="25"/>
      <c r="Z1151" s="25"/>
      <c r="AA1151" s="25"/>
      <c r="AB1151" s="25"/>
      <c r="AC1151" s="25"/>
      <c r="AD1151" s="25"/>
    </row>
    <row r="1152" customFormat="false" ht="15.75" hidden="false" customHeight="false" outlineLevel="0" collapsed="false">
      <c r="A1152" s="28" t="s">
        <v>1530</v>
      </c>
      <c r="B1152" s="27" t="s">
        <v>438</v>
      </c>
      <c r="C1152" s="27" t="s">
        <v>360</v>
      </c>
      <c r="D1152" s="25"/>
      <c r="E1152" s="25"/>
      <c r="F1152" s="25"/>
      <c r="G1152" s="25"/>
      <c r="H1152" s="25"/>
      <c r="I1152" s="25"/>
      <c r="J1152" s="27" t="s">
        <v>1522</v>
      </c>
      <c r="K1152" s="25" t="str">
        <f aca="false">IFERROR(__xludf.dummyfunction("SPLIT(J1152,"" "")"),"CIF")</f>
        <v>CIF</v>
      </c>
      <c r="L1152" s="28" t="str">
        <f aca="false">IFERROR(__xludf.dummyfunction("""COMPUTED_VALUE"""),"Jordan")</f>
        <v>Jordan</v>
      </c>
      <c r="M1152" s="27" t="str">
        <f aca="false">IFERROR(__xludf.dummyfunction("""COMPUTED_VALUE"""),"(Diff)")</f>
        <v>(Diff)</v>
      </c>
      <c r="N1152" s="25"/>
      <c r="O1152" s="25"/>
      <c r="P1152" s="25"/>
      <c r="Q1152" s="29" t="s">
        <v>363</v>
      </c>
      <c r="R1152" s="8" t="str">
        <f aca="false">B1152&amp;" "&amp;C1152&amp;" "&amp;D1152&amp;" "&amp;E1152&amp;" "&amp;G1152&amp;" "&amp;H1152&amp;" "&amp;J1152&amp;" "&amp;N1152</f>
        <v>Differentials Lithium     CIF Jordan (Diff) </v>
      </c>
      <c r="S1152" s="25"/>
      <c r="T1152" s="8"/>
      <c r="U1152" s="8"/>
      <c r="V1152" s="25"/>
      <c r="W1152" s="25"/>
      <c r="X1152" s="25"/>
      <c r="Y1152" s="25"/>
      <c r="Z1152" s="25"/>
      <c r="AA1152" s="25"/>
      <c r="AB1152" s="25"/>
      <c r="AC1152" s="25"/>
      <c r="AD1152" s="25"/>
    </row>
    <row r="1153" customFormat="false" ht="15.75" hidden="false" customHeight="false" outlineLevel="0" collapsed="false">
      <c r="A1153" s="28" t="s">
        <v>1531</v>
      </c>
      <c r="B1153" s="27" t="s">
        <v>438</v>
      </c>
      <c r="C1153" s="27" t="s">
        <v>360</v>
      </c>
      <c r="D1153" s="25"/>
      <c r="E1153" s="25"/>
      <c r="F1153" s="25"/>
      <c r="G1153" s="25"/>
      <c r="H1153" s="25"/>
      <c r="I1153" s="25"/>
      <c r="J1153" s="27" t="s">
        <v>1522</v>
      </c>
      <c r="K1153" s="25" t="str">
        <f aca="false">IFERROR(__xludf.dummyfunction("SPLIT(J1153,"" "")"),"CIF")</f>
        <v>CIF</v>
      </c>
      <c r="L1153" s="28" t="str">
        <f aca="false">IFERROR(__xludf.dummyfunction("""COMPUTED_VALUE"""),"Jordan")</f>
        <v>Jordan</v>
      </c>
      <c r="M1153" s="27" t="str">
        <f aca="false">IFERROR(__xludf.dummyfunction("""COMPUTED_VALUE"""),"(Diff)")</f>
        <v>(Diff)</v>
      </c>
      <c r="N1153" s="25"/>
      <c r="O1153" s="25"/>
      <c r="P1153" s="25"/>
      <c r="Q1153" s="29" t="s">
        <v>361</v>
      </c>
      <c r="R1153" s="8" t="str">
        <f aca="false">B1153&amp;" "&amp;C1153&amp;" "&amp;D1153&amp;" "&amp;E1153&amp;" "&amp;G1153&amp;" "&amp;H1153&amp;" "&amp;J1153&amp;" "&amp;N1153</f>
        <v>Differentials Lithium     CIF Jordan (Diff) </v>
      </c>
      <c r="S1153" s="25"/>
      <c r="T1153" s="8"/>
      <c r="U1153" s="8"/>
      <c r="V1153" s="25"/>
      <c r="W1153" s="25"/>
      <c r="X1153" s="25"/>
      <c r="Y1153" s="25"/>
      <c r="Z1153" s="25"/>
      <c r="AA1153" s="25"/>
      <c r="AB1153" s="25"/>
      <c r="AC1153" s="25"/>
      <c r="AD1153" s="25"/>
    </row>
    <row r="1154" customFormat="false" ht="15.75" hidden="false" customHeight="false" outlineLevel="0" collapsed="false">
      <c r="A1154" s="28" t="s">
        <v>1532</v>
      </c>
      <c r="B1154" s="27" t="s">
        <v>438</v>
      </c>
      <c r="C1154" s="27" t="s">
        <v>383</v>
      </c>
      <c r="D1154" s="25"/>
      <c r="E1154" s="25"/>
      <c r="F1154" s="25"/>
      <c r="G1154" s="25"/>
      <c r="H1154" s="25"/>
      <c r="I1154" s="25"/>
      <c r="J1154" s="27" t="s">
        <v>1522</v>
      </c>
      <c r="K1154" s="25" t="str">
        <f aca="false">IFERROR(__xludf.dummyfunction("SPLIT(J1154,"" "")"),"CIF")</f>
        <v>CIF</v>
      </c>
      <c r="L1154" s="28" t="str">
        <f aca="false">IFERROR(__xludf.dummyfunction("""COMPUTED_VALUE"""),"Jordan")</f>
        <v>Jordan</v>
      </c>
      <c r="M1154" s="27" t="str">
        <f aca="false">IFERROR(__xludf.dummyfunction("""COMPUTED_VALUE"""),"(Diff)")</f>
        <v>(Diff)</v>
      </c>
      <c r="N1154" s="25"/>
      <c r="O1154" s="25"/>
      <c r="P1154" s="25"/>
      <c r="Q1154" s="29" t="s">
        <v>406</v>
      </c>
      <c r="R1154" s="8" t="str">
        <f aca="false">B1154&amp;" "&amp;C1154&amp;" "&amp;D1154&amp;" "&amp;E1154&amp;" "&amp;G1154&amp;" "&amp;H1154&amp;" "&amp;J1154&amp;" "&amp;N1154</f>
        <v>Differentials Precursor     CIF Jordan (Diff) </v>
      </c>
      <c r="S1154" s="25"/>
      <c r="T1154" s="8"/>
      <c r="U1154" s="8"/>
      <c r="V1154" s="25"/>
      <c r="W1154" s="25"/>
      <c r="X1154" s="25"/>
      <c r="Y1154" s="25"/>
      <c r="Z1154" s="25"/>
      <c r="AA1154" s="25"/>
      <c r="AB1154" s="25"/>
      <c r="AC1154" s="25"/>
      <c r="AD1154" s="25"/>
    </row>
    <row r="1155" customFormat="false" ht="15.75" hidden="false" customHeight="false" outlineLevel="0" collapsed="false">
      <c r="A1155" s="28" t="s">
        <v>1533</v>
      </c>
      <c r="B1155" s="27" t="s">
        <v>438</v>
      </c>
      <c r="C1155" s="27" t="s">
        <v>383</v>
      </c>
      <c r="D1155" s="25"/>
      <c r="E1155" s="25"/>
      <c r="F1155" s="25"/>
      <c r="G1155" s="25"/>
      <c r="H1155" s="25"/>
      <c r="I1155" s="25"/>
      <c r="J1155" s="27" t="s">
        <v>1522</v>
      </c>
      <c r="K1155" s="25" t="str">
        <f aca="false">IFERROR(__xludf.dummyfunction("SPLIT(J1155,"" "")"),"CIF")</f>
        <v>CIF</v>
      </c>
      <c r="L1155" s="28" t="str">
        <f aca="false">IFERROR(__xludf.dummyfunction("""COMPUTED_VALUE"""),"Jordan")</f>
        <v>Jordan</v>
      </c>
      <c r="M1155" s="27" t="str">
        <f aca="false">IFERROR(__xludf.dummyfunction("""COMPUTED_VALUE"""),"(Diff)")</f>
        <v>(Diff)</v>
      </c>
      <c r="N1155" s="25"/>
      <c r="O1155" s="25"/>
      <c r="P1155" s="25"/>
      <c r="Q1155" s="29" t="s">
        <v>404</v>
      </c>
      <c r="R1155" s="8" t="str">
        <f aca="false">B1155&amp;" "&amp;C1155&amp;" "&amp;D1155&amp;" "&amp;E1155&amp;" "&amp;G1155&amp;" "&amp;H1155&amp;" "&amp;J1155&amp;" "&amp;N1155</f>
        <v>Differentials Precursor     CIF Jordan (Diff) </v>
      </c>
      <c r="S1155" s="25"/>
      <c r="T1155" s="8"/>
      <c r="U1155" s="8"/>
      <c r="V1155" s="25"/>
      <c r="W1155" s="25"/>
      <c r="X1155" s="25"/>
      <c r="Y1155" s="25"/>
      <c r="Z1155" s="25"/>
      <c r="AA1155" s="25"/>
      <c r="AB1155" s="25"/>
      <c r="AC1155" s="25"/>
      <c r="AD1155" s="25"/>
    </row>
    <row r="1156" customFormat="false" ht="15.75" hidden="false" customHeight="false" outlineLevel="0" collapsed="false">
      <c r="A1156" s="28" t="s">
        <v>1534</v>
      </c>
      <c r="B1156" s="27" t="s">
        <v>438</v>
      </c>
      <c r="C1156" s="27" t="s">
        <v>383</v>
      </c>
      <c r="D1156" s="25"/>
      <c r="E1156" s="25"/>
      <c r="F1156" s="25"/>
      <c r="G1156" s="25"/>
      <c r="H1156" s="25"/>
      <c r="I1156" s="25"/>
      <c r="J1156" s="27" t="s">
        <v>1522</v>
      </c>
      <c r="K1156" s="25" t="str">
        <f aca="false">IFERROR(__xludf.dummyfunction("SPLIT(J1156,"" "")"),"CIF")</f>
        <v>CIF</v>
      </c>
      <c r="L1156" s="28" t="str">
        <f aca="false">IFERROR(__xludf.dummyfunction("""COMPUTED_VALUE"""),"Jordan")</f>
        <v>Jordan</v>
      </c>
      <c r="M1156" s="27" t="str">
        <f aca="false">IFERROR(__xludf.dummyfunction("""COMPUTED_VALUE"""),"(Diff)")</f>
        <v>(Diff)</v>
      </c>
      <c r="N1156" s="25"/>
      <c r="O1156" s="25"/>
      <c r="P1156" s="25"/>
      <c r="Q1156" s="29" t="s">
        <v>402</v>
      </c>
      <c r="R1156" s="8" t="str">
        <f aca="false">B1156&amp;" "&amp;C1156&amp;" "&amp;D1156&amp;" "&amp;E1156&amp;" "&amp;G1156&amp;" "&amp;H1156&amp;" "&amp;J1156&amp;" "&amp;N1156</f>
        <v>Differentials Precursor     CIF Jordan (Diff) </v>
      </c>
      <c r="S1156" s="25"/>
      <c r="T1156" s="8"/>
      <c r="U1156" s="8"/>
      <c r="V1156" s="25"/>
      <c r="W1156" s="25"/>
      <c r="X1156" s="25"/>
      <c r="Y1156" s="25"/>
      <c r="Z1156" s="25"/>
      <c r="AA1156" s="25"/>
      <c r="AB1156" s="25"/>
      <c r="AC1156" s="25"/>
      <c r="AD1156" s="25"/>
    </row>
    <row r="1157" customFormat="false" ht="15.75" hidden="false" customHeight="false" outlineLevel="0" collapsed="false">
      <c r="A1157" s="28" t="s">
        <v>1535</v>
      </c>
      <c r="B1157" s="27" t="s">
        <v>438</v>
      </c>
      <c r="C1157" s="27" t="s">
        <v>383</v>
      </c>
      <c r="D1157" s="25"/>
      <c r="E1157" s="25"/>
      <c r="F1157" s="25"/>
      <c r="G1157" s="25"/>
      <c r="H1157" s="25"/>
      <c r="I1157" s="25"/>
      <c r="J1157" s="27" t="s">
        <v>1522</v>
      </c>
      <c r="K1157" s="25" t="str">
        <f aca="false">IFERROR(__xludf.dummyfunction("SPLIT(J1157,"" "")"),"CIF")</f>
        <v>CIF</v>
      </c>
      <c r="L1157" s="28" t="str">
        <f aca="false">IFERROR(__xludf.dummyfunction("""COMPUTED_VALUE"""),"Jordan")</f>
        <v>Jordan</v>
      </c>
      <c r="M1157" s="27" t="str">
        <f aca="false">IFERROR(__xludf.dummyfunction("""COMPUTED_VALUE"""),"(Diff)")</f>
        <v>(Diff)</v>
      </c>
      <c r="N1157" s="25"/>
      <c r="O1157" s="25"/>
      <c r="P1157" s="25"/>
      <c r="Q1157" s="29" t="s">
        <v>400</v>
      </c>
      <c r="R1157" s="8" t="str">
        <f aca="false">B1157&amp;" "&amp;C1157&amp;" "&amp;D1157&amp;" "&amp;E1157&amp;" "&amp;G1157&amp;" "&amp;H1157&amp;" "&amp;J1157&amp;" "&amp;N1157</f>
        <v>Differentials Precursor     CIF Jordan (Diff) </v>
      </c>
      <c r="S1157" s="25"/>
      <c r="T1157" s="8"/>
      <c r="U1157" s="8"/>
      <c r="V1157" s="25"/>
      <c r="W1157" s="25"/>
      <c r="X1157" s="25"/>
      <c r="Y1157" s="25"/>
      <c r="Z1157" s="25"/>
      <c r="AA1157" s="25"/>
      <c r="AB1157" s="25"/>
      <c r="AC1157" s="25"/>
      <c r="AD1157" s="25"/>
    </row>
    <row r="1158" customFormat="false" ht="15.75" hidden="false" customHeight="false" outlineLevel="0" collapsed="false">
      <c r="A1158" s="28" t="s">
        <v>1536</v>
      </c>
      <c r="B1158" s="27" t="s">
        <v>438</v>
      </c>
      <c r="C1158" s="27" t="s">
        <v>383</v>
      </c>
      <c r="D1158" s="25"/>
      <c r="E1158" s="25"/>
      <c r="F1158" s="25"/>
      <c r="G1158" s="25"/>
      <c r="H1158" s="25"/>
      <c r="I1158" s="25"/>
      <c r="J1158" s="27" t="s">
        <v>1522</v>
      </c>
      <c r="K1158" s="25" t="str">
        <f aca="false">IFERROR(__xludf.dummyfunction("SPLIT(J1158,"" "")"),"CIF")</f>
        <v>CIF</v>
      </c>
      <c r="L1158" s="28" t="str">
        <f aca="false">IFERROR(__xludf.dummyfunction("""COMPUTED_VALUE"""),"Jordan")</f>
        <v>Jordan</v>
      </c>
      <c r="M1158" s="27" t="str">
        <f aca="false">IFERROR(__xludf.dummyfunction("""COMPUTED_VALUE"""),"(Diff)")</f>
        <v>(Diff)</v>
      </c>
      <c r="N1158" s="25"/>
      <c r="O1158" s="25"/>
      <c r="P1158" s="25"/>
      <c r="Q1158" s="29" t="s">
        <v>398</v>
      </c>
      <c r="R1158" s="8" t="str">
        <f aca="false">B1158&amp;" "&amp;C1158&amp;" "&amp;D1158&amp;" "&amp;E1158&amp;" "&amp;G1158&amp;" "&amp;H1158&amp;" "&amp;J1158&amp;" "&amp;N1158</f>
        <v>Differentials Precursor     CIF Jordan (Diff) </v>
      </c>
      <c r="S1158" s="25"/>
      <c r="T1158" s="8"/>
      <c r="U1158" s="8"/>
      <c r="V1158" s="25"/>
      <c r="W1158" s="25"/>
      <c r="X1158" s="25"/>
      <c r="Y1158" s="25"/>
      <c r="Z1158" s="25"/>
      <c r="AA1158" s="25"/>
      <c r="AB1158" s="25"/>
      <c r="AC1158" s="25"/>
      <c r="AD1158" s="25"/>
    </row>
    <row r="1159" customFormat="false" ht="15.75" hidden="false" customHeight="false" outlineLevel="0" collapsed="false">
      <c r="A1159" s="28" t="s">
        <v>1537</v>
      </c>
      <c r="B1159" s="27" t="s">
        <v>438</v>
      </c>
      <c r="C1159" s="27" t="s">
        <v>383</v>
      </c>
      <c r="D1159" s="25"/>
      <c r="E1159" s="25"/>
      <c r="F1159" s="25"/>
      <c r="G1159" s="25"/>
      <c r="H1159" s="25"/>
      <c r="I1159" s="25"/>
      <c r="J1159" s="27" t="s">
        <v>1522</v>
      </c>
      <c r="K1159" s="25" t="str">
        <f aca="false">IFERROR(__xludf.dummyfunction("SPLIT(J1159,"" "")"),"CIF")</f>
        <v>CIF</v>
      </c>
      <c r="L1159" s="28" t="str">
        <f aca="false">IFERROR(__xludf.dummyfunction("""COMPUTED_VALUE"""),"Jordan")</f>
        <v>Jordan</v>
      </c>
      <c r="M1159" s="27" t="str">
        <f aca="false">IFERROR(__xludf.dummyfunction("""COMPUTED_VALUE"""),"(Diff)")</f>
        <v>(Diff)</v>
      </c>
      <c r="N1159" s="25"/>
      <c r="O1159" s="25"/>
      <c r="P1159" s="25"/>
      <c r="Q1159" s="29" t="s">
        <v>259</v>
      </c>
      <c r="R1159" s="8" t="str">
        <f aca="false">B1159&amp;" "&amp;C1159&amp;" "&amp;D1159&amp;" "&amp;E1159&amp;" "&amp;G1159&amp;" "&amp;H1159&amp;" "&amp;J1159&amp;" "&amp;N1159</f>
        <v>Differentials Precursor     CIF Jordan (Diff) </v>
      </c>
      <c r="S1159" s="25"/>
      <c r="T1159" s="8"/>
      <c r="U1159" s="8"/>
      <c r="V1159" s="25"/>
      <c r="W1159" s="25"/>
      <c r="X1159" s="25"/>
      <c r="Y1159" s="25"/>
      <c r="Z1159" s="25"/>
      <c r="AA1159" s="25"/>
      <c r="AB1159" s="25"/>
      <c r="AC1159" s="25"/>
      <c r="AD1159" s="25"/>
    </row>
    <row r="1160" customFormat="false" ht="15.75" hidden="false" customHeight="false" outlineLevel="0" collapsed="false">
      <c r="A1160" s="28" t="s">
        <v>1538</v>
      </c>
      <c r="B1160" s="27" t="s">
        <v>438</v>
      </c>
      <c r="C1160" s="27" t="s">
        <v>383</v>
      </c>
      <c r="D1160" s="25"/>
      <c r="E1160" s="25"/>
      <c r="F1160" s="25"/>
      <c r="G1160" s="25"/>
      <c r="H1160" s="25"/>
      <c r="I1160" s="25"/>
      <c r="J1160" s="27" t="s">
        <v>1522</v>
      </c>
      <c r="K1160" s="25" t="str">
        <f aca="false">IFERROR(__xludf.dummyfunction("SPLIT(J1160,"" "")"),"CIF")</f>
        <v>CIF</v>
      </c>
      <c r="L1160" s="28" t="str">
        <f aca="false">IFERROR(__xludf.dummyfunction("""COMPUTED_VALUE"""),"Jordan")</f>
        <v>Jordan</v>
      </c>
      <c r="M1160" s="27" t="str">
        <f aca="false">IFERROR(__xludf.dummyfunction("""COMPUTED_VALUE"""),"(Diff)")</f>
        <v>(Diff)</v>
      </c>
      <c r="N1160" s="25"/>
      <c r="O1160" s="25"/>
      <c r="P1160" s="25"/>
      <c r="Q1160" s="29" t="s">
        <v>395</v>
      </c>
      <c r="R1160" s="8" t="str">
        <f aca="false">B1160&amp;" "&amp;C1160&amp;" "&amp;D1160&amp;" "&amp;E1160&amp;" "&amp;G1160&amp;" "&amp;H1160&amp;" "&amp;J1160&amp;" "&amp;N1160</f>
        <v>Differentials Precursor     CIF Jordan (Diff) </v>
      </c>
      <c r="S1160" s="25"/>
      <c r="T1160" s="8"/>
      <c r="U1160" s="8"/>
      <c r="V1160" s="25"/>
      <c r="W1160" s="25"/>
      <c r="X1160" s="25"/>
      <c r="Y1160" s="25"/>
      <c r="Z1160" s="25"/>
      <c r="AA1160" s="25"/>
      <c r="AB1160" s="25"/>
      <c r="AC1160" s="25"/>
      <c r="AD1160" s="25"/>
    </row>
    <row r="1161" customFormat="false" ht="15.75" hidden="false" customHeight="false" outlineLevel="0" collapsed="false">
      <c r="A1161" s="28" t="s">
        <v>1539</v>
      </c>
      <c r="B1161" s="27" t="s">
        <v>438</v>
      </c>
      <c r="C1161" s="27" t="s">
        <v>383</v>
      </c>
      <c r="D1161" s="25"/>
      <c r="E1161" s="25"/>
      <c r="F1161" s="25"/>
      <c r="G1161" s="25"/>
      <c r="H1161" s="25"/>
      <c r="I1161" s="25"/>
      <c r="J1161" s="27" t="s">
        <v>1522</v>
      </c>
      <c r="K1161" s="25" t="str">
        <f aca="false">IFERROR(__xludf.dummyfunction("SPLIT(J1161,"" "")"),"CIF")</f>
        <v>CIF</v>
      </c>
      <c r="L1161" s="28" t="str">
        <f aca="false">IFERROR(__xludf.dummyfunction("""COMPUTED_VALUE"""),"Jordan")</f>
        <v>Jordan</v>
      </c>
      <c r="M1161" s="27" t="str">
        <f aca="false">IFERROR(__xludf.dummyfunction("""COMPUTED_VALUE"""),"(Diff)")</f>
        <v>(Diff)</v>
      </c>
      <c r="N1161" s="25"/>
      <c r="O1161" s="25"/>
      <c r="P1161" s="25"/>
      <c r="Q1161" s="29" t="s">
        <v>393</v>
      </c>
      <c r="R1161" s="8" t="str">
        <f aca="false">B1161&amp;" "&amp;C1161&amp;" "&amp;D1161&amp;" "&amp;E1161&amp;" "&amp;G1161&amp;" "&amp;H1161&amp;" "&amp;J1161&amp;" "&amp;N1161</f>
        <v>Differentials Precursor     CIF Jordan (Diff) </v>
      </c>
      <c r="S1161" s="25"/>
      <c r="T1161" s="8"/>
      <c r="U1161" s="8"/>
      <c r="V1161" s="25"/>
      <c r="W1161" s="25"/>
      <c r="X1161" s="25"/>
      <c r="Y1161" s="25"/>
      <c r="Z1161" s="25"/>
      <c r="AA1161" s="25"/>
      <c r="AB1161" s="25"/>
      <c r="AC1161" s="25"/>
      <c r="AD1161" s="25"/>
    </row>
    <row r="1162" customFormat="false" ht="15.75" hidden="false" customHeight="false" outlineLevel="0" collapsed="false">
      <c r="A1162" s="28" t="s">
        <v>1540</v>
      </c>
      <c r="B1162" s="27" t="s">
        <v>438</v>
      </c>
      <c r="C1162" s="27" t="s">
        <v>383</v>
      </c>
      <c r="D1162" s="25"/>
      <c r="E1162" s="25"/>
      <c r="F1162" s="25"/>
      <c r="G1162" s="25"/>
      <c r="H1162" s="25"/>
      <c r="I1162" s="25"/>
      <c r="J1162" s="27" t="s">
        <v>1522</v>
      </c>
      <c r="K1162" s="25" t="str">
        <f aca="false">IFERROR(__xludf.dummyfunction("SPLIT(J1162,"" "")"),"CIF")</f>
        <v>CIF</v>
      </c>
      <c r="L1162" s="28" t="str">
        <f aca="false">IFERROR(__xludf.dummyfunction("""COMPUTED_VALUE"""),"Jordan")</f>
        <v>Jordan</v>
      </c>
      <c r="M1162" s="27" t="str">
        <f aca="false">IFERROR(__xludf.dummyfunction("""COMPUTED_VALUE"""),"(Diff)")</f>
        <v>(Diff)</v>
      </c>
      <c r="N1162" s="25"/>
      <c r="O1162" s="25"/>
      <c r="P1162" s="25"/>
      <c r="Q1162" s="29" t="s">
        <v>391</v>
      </c>
      <c r="R1162" s="8" t="str">
        <f aca="false">B1162&amp;" "&amp;C1162&amp;" "&amp;D1162&amp;" "&amp;E1162&amp;" "&amp;G1162&amp;" "&amp;H1162&amp;" "&amp;J1162&amp;" "&amp;N1162</f>
        <v>Differentials Precursor     CIF Jordan (Diff) </v>
      </c>
      <c r="S1162" s="25"/>
      <c r="T1162" s="8"/>
      <c r="U1162" s="8"/>
      <c r="V1162" s="25"/>
      <c r="W1162" s="25"/>
      <c r="X1162" s="25"/>
      <c r="Y1162" s="25"/>
      <c r="Z1162" s="25"/>
      <c r="AA1162" s="25"/>
      <c r="AB1162" s="25"/>
      <c r="AC1162" s="25"/>
      <c r="AD1162" s="25"/>
    </row>
    <row r="1163" customFormat="false" ht="15.75" hidden="false" customHeight="false" outlineLevel="0" collapsed="false">
      <c r="A1163" s="28" t="s">
        <v>1541</v>
      </c>
      <c r="B1163" s="27" t="s">
        <v>438</v>
      </c>
      <c r="C1163" s="27" t="s">
        <v>383</v>
      </c>
      <c r="D1163" s="25"/>
      <c r="E1163" s="25"/>
      <c r="F1163" s="25"/>
      <c r="G1163" s="25"/>
      <c r="H1163" s="25"/>
      <c r="I1163" s="25"/>
      <c r="J1163" s="27" t="s">
        <v>1522</v>
      </c>
      <c r="K1163" s="25" t="str">
        <f aca="false">IFERROR(__xludf.dummyfunction("SPLIT(J1163,"" "")"),"CIF")</f>
        <v>CIF</v>
      </c>
      <c r="L1163" s="28" t="str">
        <f aca="false">IFERROR(__xludf.dummyfunction("""COMPUTED_VALUE"""),"Jordan")</f>
        <v>Jordan</v>
      </c>
      <c r="M1163" s="27" t="str">
        <f aca="false">IFERROR(__xludf.dummyfunction("""COMPUTED_VALUE"""),"(Diff)")</f>
        <v>(Diff)</v>
      </c>
      <c r="N1163" s="25"/>
      <c r="O1163" s="25"/>
      <c r="P1163" s="25"/>
      <c r="Q1163" s="29" t="s">
        <v>389</v>
      </c>
      <c r="R1163" s="8" t="str">
        <f aca="false">B1163&amp;" "&amp;C1163&amp;" "&amp;D1163&amp;" "&amp;E1163&amp;" "&amp;G1163&amp;" "&amp;H1163&amp;" "&amp;J1163&amp;" "&amp;N1163</f>
        <v>Differentials Precursor     CIF Jordan (Diff) </v>
      </c>
      <c r="S1163" s="25"/>
      <c r="T1163" s="8"/>
      <c r="U1163" s="8"/>
      <c r="V1163" s="25"/>
      <c r="W1163" s="25"/>
      <c r="X1163" s="25"/>
      <c r="Y1163" s="25"/>
      <c r="Z1163" s="25"/>
      <c r="AA1163" s="25"/>
      <c r="AB1163" s="25"/>
      <c r="AC1163" s="25"/>
      <c r="AD1163" s="25"/>
    </row>
    <row r="1164" customFormat="false" ht="15.75" hidden="false" customHeight="false" outlineLevel="0" collapsed="false">
      <c r="A1164" s="28" t="s">
        <v>1542</v>
      </c>
      <c r="B1164" s="27" t="s">
        <v>438</v>
      </c>
      <c r="C1164" s="27" t="s">
        <v>383</v>
      </c>
      <c r="D1164" s="25"/>
      <c r="E1164" s="25"/>
      <c r="F1164" s="25"/>
      <c r="G1164" s="25"/>
      <c r="H1164" s="25"/>
      <c r="I1164" s="25"/>
      <c r="J1164" s="27" t="s">
        <v>1522</v>
      </c>
      <c r="K1164" s="25" t="str">
        <f aca="false">IFERROR(__xludf.dummyfunction("SPLIT(J1164,"" "")"),"CIF")</f>
        <v>CIF</v>
      </c>
      <c r="L1164" s="28" t="str">
        <f aca="false">IFERROR(__xludf.dummyfunction("""COMPUTED_VALUE"""),"Jordan")</f>
        <v>Jordan</v>
      </c>
      <c r="M1164" s="27" t="str">
        <f aca="false">IFERROR(__xludf.dummyfunction("""COMPUTED_VALUE"""),"(Diff)")</f>
        <v>(Diff)</v>
      </c>
      <c r="N1164" s="25"/>
      <c r="O1164" s="25"/>
      <c r="P1164" s="25"/>
      <c r="Q1164" s="29" t="s">
        <v>387</v>
      </c>
      <c r="R1164" s="8" t="str">
        <f aca="false">B1164&amp;" "&amp;C1164&amp;" "&amp;D1164&amp;" "&amp;E1164&amp;" "&amp;G1164&amp;" "&amp;H1164&amp;" "&amp;J1164&amp;" "&amp;N1164</f>
        <v>Differentials Precursor     CIF Jordan (Diff) </v>
      </c>
      <c r="S1164" s="25"/>
      <c r="T1164" s="8"/>
      <c r="U1164" s="8"/>
      <c r="V1164" s="25"/>
      <c r="W1164" s="25"/>
      <c r="X1164" s="25"/>
      <c r="Y1164" s="25"/>
      <c r="Z1164" s="25"/>
      <c r="AA1164" s="25"/>
      <c r="AB1164" s="25"/>
      <c r="AC1164" s="25"/>
      <c r="AD1164" s="25"/>
    </row>
    <row r="1165" customFormat="false" ht="15.75" hidden="false" customHeight="false" outlineLevel="0" collapsed="false">
      <c r="A1165" s="28" t="s">
        <v>1543</v>
      </c>
      <c r="B1165" s="27" t="s">
        <v>438</v>
      </c>
      <c r="C1165" s="27" t="s">
        <v>383</v>
      </c>
      <c r="D1165" s="25"/>
      <c r="E1165" s="25"/>
      <c r="F1165" s="25"/>
      <c r="G1165" s="25"/>
      <c r="H1165" s="25"/>
      <c r="I1165" s="25"/>
      <c r="J1165" s="27" t="s">
        <v>1522</v>
      </c>
      <c r="K1165" s="25" t="str">
        <f aca="false">IFERROR(__xludf.dummyfunction("SPLIT(J1165,"" "")"),"CIF")</f>
        <v>CIF</v>
      </c>
      <c r="L1165" s="28" t="str">
        <f aca="false">IFERROR(__xludf.dummyfunction("""COMPUTED_VALUE"""),"Jordan")</f>
        <v>Jordan</v>
      </c>
      <c r="M1165" s="27" t="str">
        <f aca="false">IFERROR(__xludf.dummyfunction("""COMPUTED_VALUE"""),"(Diff)")</f>
        <v>(Diff)</v>
      </c>
      <c r="N1165" s="25"/>
      <c r="O1165" s="25"/>
      <c r="P1165" s="25"/>
      <c r="Q1165" s="29" t="s">
        <v>385</v>
      </c>
      <c r="R1165" s="8" t="str">
        <f aca="false">B1165&amp;" "&amp;C1165&amp;" "&amp;D1165&amp;" "&amp;E1165&amp;" "&amp;G1165&amp;" "&amp;H1165&amp;" "&amp;J1165&amp;" "&amp;N1165</f>
        <v>Differentials Precursor     CIF Jordan (Diff) </v>
      </c>
      <c r="S1165" s="25"/>
      <c r="T1165" s="8"/>
      <c r="U1165" s="8"/>
      <c r="V1165" s="25"/>
      <c r="W1165" s="25"/>
      <c r="X1165" s="25"/>
      <c r="Y1165" s="25"/>
      <c r="Z1165" s="25"/>
      <c r="AA1165" s="25"/>
      <c r="AB1165" s="25"/>
      <c r="AC1165" s="25"/>
      <c r="AD1165" s="25"/>
    </row>
    <row r="1166" customFormat="false" ht="15.75" hidden="false" customHeight="false" outlineLevel="0" collapsed="false">
      <c r="A1166" s="28" t="s">
        <v>1544</v>
      </c>
      <c r="B1166" s="27" t="s">
        <v>438</v>
      </c>
      <c r="C1166" s="27" t="s">
        <v>177</v>
      </c>
      <c r="D1166" s="25"/>
      <c r="E1166" s="25"/>
      <c r="F1166" s="25"/>
      <c r="G1166" s="25"/>
      <c r="H1166" s="25"/>
      <c r="I1166" s="25"/>
      <c r="J1166" s="27" t="s">
        <v>1545</v>
      </c>
      <c r="K1166" s="25" t="str">
        <f aca="false">IFERROR(__xludf.dummyfunction("SPLIT(J1166,"" "")"),"CIF")</f>
        <v>CIF</v>
      </c>
      <c r="L1166" s="28" t="str">
        <f aca="false">IFERROR(__xludf.dummyfunction("""COMPUTED_VALUE"""),"Malaysia")</f>
        <v>Malaysia</v>
      </c>
      <c r="M1166" s="27" t="str">
        <f aca="false">IFERROR(__xludf.dummyfunction("""COMPUTED_VALUE"""),"(Diff)")</f>
        <v>(Diff)</v>
      </c>
      <c r="N1166" s="25"/>
      <c r="O1166" s="25"/>
      <c r="P1166" s="25"/>
      <c r="Q1166" s="29" t="s">
        <v>209</v>
      </c>
      <c r="R1166" s="8" t="str">
        <f aca="false">B1166&amp;" "&amp;C1166&amp;" "&amp;D1166&amp;" "&amp;E1166&amp;" "&amp;G1166&amp;" "&amp;H1166&amp;" "&amp;J1166&amp;" "&amp;N1166</f>
        <v>Differentials Anode     CIF Malaysia (Diff) </v>
      </c>
      <c r="S1166" s="25"/>
      <c r="T1166" s="8"/>
      <c r="U1166" s="8"/>
      <c r="V1166" s="25"/>
      <c r="W1166" s="25"/>
      <c r="X1166" s="25"/>
      <c r="Y1166" s="25"/>
      <c r="Z1166" s="25"/>
      <c r="AA1166" s="25"/>
      <c r="AB1166" s="25"/>
      <c r="AC1166" s="25"/>
      <c r="AD1166" s="25"/>
    </row>
    <row r="1167" customFormat="false" ht="15.75" hidden="false" customHeight="false" outlineLevel="0" collapsed="false">
      <c r="A1167" s="28" t="s">
        <v>1546</v>
      </c>
      <c r="B1167" s="27" t="s">
        <v>438</v>
      </c>
      <c r="C1167" s="27" t="s">
        <v>177</v>
      </c>
      <c r="D1167" s="25"/>
      <c r="E1167" s="25"/>
      <c r="F1167" s="25"/>
      <c r="G1167" s="25"/>
      <c r="H1167" s="25"/>
      <c r="I1167" s="25"/>
      <c r="J1167" s="27" t="s">
        <v>1545</v>
      </c>
      <c r="K1167" s="25" t="str">
        <f aca="false">IFERROR(__xludf.dummyfunction("SPLIT(J1167,"" "")"),"CIF")</f>
        <v>CIF</v>
      </c>
      <c r="L1167" s="28" t="str">
        <f aca="false">IFERROR(__xludf.dummyfunction("""COMPUTED_VALUE"""),"Malaysia")</f>
        <v>Malaysia</v>
      </c>
      <c r="M1167" s="27" t="str">
        <f aca="false">IFERROR(__xludf.dummyfunction("""COMPUTED_VALUE"""),"(Diff)")</f>
        <v>(Diff)</v>
      </c>
      <c r="N1167" s="25"/>
      <c r="O1167" s="25"/>
      <c r="P1167" s="25"/>
      <c r="Q1167" s="29" t="s">
        <v>205</v>
      </c>
      <c r="R1167" s="8" t="str">
        <f aca="false">B1167&amp;" "&amp;C1167&amp;" "&amp;D1167&amp;" "&amp;E1167&amp;" "&amp;G1167&amp;" "&amp;H1167&amp;" "&amp;J1167&amp;" "&amp;N1167</f>
        <v>Differentials Anode     CIF Malaysia (Diff) </v>
      </c>
      <c r="S1167" s="25"/>
      <c r="T1167" s="8"/>
      <c r="U1167" s="8"/>
      <c r="V1167" s="25"/>
      <c r="W1167" s="25"/>
      <c r="X1167" s="25"/>
      <c r="Y1167" s="25"/>
      <c r="Z1167" s="25"/>
      <c r="AA1167" s="25"/>
      <c r="AB1167" s="25"/>
      <c r="AC1167" s="25"/>
      <c r="AD1167" s="25"/>
    </row>
    <row r="1168" customFormat="false" ht="15.75" hidden="false" customHeight="false" outlineLevel="0" collapsed="false">
      <c r="A1168" s="28" t="s">
        <v>1547</v>
      </c>
      <c r="B1168" s="27" t="s">
        <v>438</v>
      </c>
      <c r="C1168" s="27" t="s">
        <v>177</v>
      </c>
      <c r="D1168" s="25"/>
      <c r="E1168" s="25"/>
      <c r="F1168" s="25"/>
      <c r="G1168" s="25"/>
      <c r="H1168" s="25"/>
      <c r="I1168" s="25"/>
      <c r="J1168" s="27" t="s">
        <v>1545</v>
      </c>
      <c r="K1168" s="25" t="str">
        <f aca="false">IFERROR(__xludf.dummyfunction("SPLIT(J1168,"" "")"),"CIF")</f>
        <v>CIF</v>
      </c>
      <c r="L1168" s="28" t="str">
        <f aca="false">IFERROR(__xludf.dummyfunction("""COMPUTED_VALUE"""),"Malaysia")</f>
        <v>Malaysia</v>
      </c>
      <c r="M1168" s="27" t="str">
        <f aca="false">IFERROR(__xludf.dummyfunction("""COMPUTED_VALUE"""),"(Diff)")</f>
        <v>(Diff)</v>
      </c>
      <c r="N1168" s="25"/>
      <c r="O1168" s="25"/>
      <c r="P1168" s="25"/>
      <c r="Q1168" s="29" t="s">
        <v>202</v>
      </c>
      <c r="R1168" s="8" t="str">
        <f aca="false">B1168&amp;" "&amp;C1168&amp;" "&amp;D1168&amp;" "&amp;E1168&amp;" "&amp;G1168&amp;" "&amp;H1168&amp;" "&amp;J1168&amp;" "&amp;N1168</f>
        <v>Differentials Anode     CIF Malaysia (Diff) </v>
      </c>
      <c r="S1168" s="25"/>
      <c r="T1168" s="8"/>
      <c r="U1168" s="8"/>
      <c r="V1168" s="25"/>
      <c r="W1168" s="25"/>
      <c r="X1168" s="25"/>
      <c r="Y1168" s="25"/>
      <c r="Z1168" s="25"/>
      <c r="AA1168" s="25"/>
      <c r="AB1168" s="25"/>
      <c r="AC1168" s="25"/>
      <c r="AD1168" s="25"/>
    </row>
    <row r="1169" customFormat="false" ht="15.75" hidden="false" customHeight="false" outlineLevel="0" collapsed="false">
      <c r="A1169" s="28" t="s">
        <v>1548</v>
      </c>
      <c r="B1169" s="27" t="s">
        <v>438</v>
      </c>
      <c r="C1169" s="27" t="s">
        <v>177</v>
      </c>
      <c r="D1169" s="25"/>
      <c r="E1169" s="25"/>
      <c r="F1169" s="25"/>
      <c r="G1169" s="25"/>
      <c r="H1169" s="25"/>
      <c r="I1169" s="25"/>
      <c r="J1169" s="27" t="s">
        <v>1545</v>
      </c>
      <c r="K1169" s="25" t="str">
        <f aca="false">IFERROR(__xludf.dummyfunction("SPLIT(J1169,"" "")"),"CIF")</f>
        <v>CIF</v>
      </c>
      <c r="L1169" s="28" t="str">
        <f aca="false">IFERROR(__xludf.dummyfunction("""COMPUTED_VALUE"""),"Malaysia")</f>
        <v>Malaysia</v>
      </c>
      <c r="M1169" s="27" t="str">
        <f aca="false">IFERROR(__xludf.dummyfunction("""COMPUTED_VALUE"""),"(Diff)")</f>
        <v>(Diff)</v>
      </c>
      <c r="N1169" s="25"/>
      <c r="O1169" s="25"/>
      <c r="P1169" s="25"/>
      <c r="Q1169" s="29" t="s">
        <v>197</v>
      </c>
      <c r="R1169" s="8" t="str">
        <f aca="false">B1169&amp;" "&amp;C1169&amp;" "&amp;D1169&amp;" "&amp;E1169&amp;" "&amp;G1169&amp;" "&amp;H1169&amp;" "&amp;J1169&amp;" "&amp;N1169</f>
        <v>Differentials Anode     CIF Malaysia (Diff) </v>
      </c>
      <c r="S1169" s="25"/>
      <c r="T1169" s="8"/>
      <c r="U1169" s="8"/>
      <c r="V1169" s="25"/>
      <c r="W1169" s="25"/>
      <c r="X1169" s="25"/>
      <c r="Y1169" s="25"/>
      <c r="Z1169" s="25"/>
      <c r="AA1169" s="25"/>
      <c r="AB1169" s="25"/>
      <c r="AC1169" s="25"/>
      <c r="AD1169" s="25"/>
    </row>
    <row r="1170" customFormat="false" ht="15.75" hidden="false" customHeight="false" outlineLevel="0" collapsed="false">
      <c r="A1170" s="28" t="s">
        <v>1549</v>
      </c>
      <c r="B1170" s="27" t="s">
        <v>438</v>
      </c>
      <c r="C1170" s="27" t="s">
        <v>177</v>
      </c>
      <c r="D1170" s="25"/>
      <c r="E1170" s="25"/>
      <c r="F1170" s="25"/>
      <c r="G1170" s="25"/>
      <c r="H1170" s="25"/>
      <c r="I1170" s="25"/>
      <c r="J1170" s="27" t="s">
        <v>1545</v>
      </c>
      <c r="K1170" s="25" t="str">
        <f aca="false">IFERROR(__xludf.dummyfunction("SPLIT(J1170,"" "")"),"CIF")</f>
        <v>CIF</v>
      </c>
      <c r="L1170" s="28" t="str">
        <f aca="false">IFERROR(__xludf.dummyfunction("""COMPUTED_VALUE"""),"Malaysia")</f>
        <v>Malaysia</v>
      </c>
      <c r="M1170" s="27" t="str">
        <f aca="false">IFERROR(__xludf.dummyfunction("""COMPUTED_VALUE"""),"(Diff)")</f>
        <v>(Diff)</v>
      </c>
      <c r="N1170" s="25"/>
      <c r="O1170" s="25"/>
      <c r="P1170" s="25"/>
      <c r="Q1170" s="29" t="s">
        <v>193</v>
      </c>
      <c r="R1170" s="8" t="str">
        <f aca="false">B1170&amp;" "&amp;C1170&amp;" "&amp;D1170&amp;" "&amp;E1170&amp;" "&amp;G1170&amp;" "&amp;H1170&amp;" "&amp;J1170&amp;" "&amp;N1170</f>
        <v>Differentials Anode     CIF Malaysia (Diff) </v>
      </c>
      <c r="S1170" s="25"/>
      <c r="T1170" s="8"/>
      <c r="U1170" s="8"/>
      <c r="V1170" s="25"/>
      <c r="W1170" s="25"/>
      <c r="X1170" s="25"/>
      <c r="Y1170" s="25"/>
      <c r="Z1170" s="25"/>
      <c r="AA1170" s="25"/>
      <c r="AB1170" s="25"/>
      <c r="AC1170" s="25"/>
      <c r="AD1170" s="25"/>
    </row>
    <row r="1171" customFormat="false" ht="15.75" hidden="false" customHeight="false" outlineLevel="0" collapsed="false">
      <c r="A1171" s="28" t="s">
        <v>1550</v>
      </c>
      <c r="B1171" s="27" t="s">
        <v>438</v>
      </c>
      <c r="C1171" s="27" t="s">
        <v>177</v>
      </c>
      <c r="D1171" s="25"/>
      <c r="E1171" s="25"/>
      <c r="F1171" s="25"/>
      <c r="G1171" s="25"/>
      <c r="H1171" s="25"/>
      <c r="I1171" s="25"/>
      <c r="J1171" s="27" t="s">
        <v>1545</v>
      </c>
      <c r="K1171" s="25" t="str">
        <f aca="false">IFERROR(__xludf.dummyfunction("SPLIT(J1171,"" "")"),"CIF")</f>
        <v>CIF</v>
      </c>
      <c r="L1171" s="28" t="str">
        <f aca="false">IFERROR(__xludf.dummyfunction("""COMPUTED_VALUE"""),"Malaysia")</f>
        <v>Malaysia</v>
      </c>
      <c r="M1171" s="27" t="str">
        <f aca="false">IFERROR(__xludf.dummyfunction("""COMPUTED_VALUE"""),"(Diff)")</f>
        <v>(Diff)</v>
      </c>
      <c r="N1171" s="25"/>
      <c r="O1171" s="25"/>
      <c r="P1171" s="25"/>
      <c r="Q1171" s="29" t="s">
        <v>188</v>
      </c>
      <c r="R1171" s="8" t="str">
        <f aca="false">B1171&amp;" "&amp;C1171&amp;" "&amp;D1171&amp;" "&amp;E1171&amp;" "&amp;G1171&amp;" "&amp;H1171&amp;" "&amp;J1171&amp;" "&amp;N1171</f>
        <v>Differentials Anode     CIF Malaysia (Diff) </v>
      </c>
      <c r="S1171" s="25"/>
      <c r="T1171" s="8"/>
      <c r="U1171" s="8"/>
      <c r="V1171" s="25"/>
      <c r="W1171" s="25"/>
      <c r="X1171" s="25"/>
      <c r="Y1171" s="25"/>
      <c r="Z1171" s="25"/>
      <c r="AA1171" s="25"/>
      <c r="AB1171" s="25"/>
      <c r="AC1171" s="25"/>
      <c r="AD1171" s="25"/>
    </row>
    <row r="1172" customFormat="false" ht="15.75" hidden="false" customHeight="false" outlineLevel="0" collapsed="false">
      <c r="A1172" s="28" t="s">
        <v>1551</v>
      </c>
      <c r="B1172" s="27" t="s">
        <v>438</v>
      </c>
      <c r="C1172" s="27" t="s">
        <v>177</v>
      </c>
      <c r="D1172" s="25"/>
      <c r="E1172" s="25"/>
      <c r="F1172" s="25"/>
      <c r="G1172" s="25"/>
      <c r="H1172" s="25"/>
      <c r="I1172" s="25"/>
      <c r="J1172" s="27" t="s">
        <v>1545</v>
      </c>
      <c r="K1172" s="25" t="str">
        <f aca="false">IFERROR(__xludf.dummyfunction("SPLIT(J1172,"" "")"),"CIF")</f>
        <v>CIF</v>
      </c>
      <c r="L1172" s="28" t="str">
        <f aca="false">IFERROR(__xludf.dummyfunction("""COMPUTED_VALUE"""),"Malaysia")</f>
        <v>Malaysia</v>
      </c>
      <c r="M1172" s="27" t="str">
        <f aca="false">IFERROR(__xludf.dummyfunction("""COMPUTED_VALUE"""),"(Diff)")</f>
        <v>(Diff)</v>
      </c>
      <c r="N1172" s="25"/>
      <c r="O1172" s="25"/>
      <c r="P1172" s="25"/>
      <c r="Q1172" s="29" t="s">
        <v>180</v>
      </c>
      <c r="R1172" s="8" t="str">
        <f aca="false">B1172&amp;" "&amp;C1172&amp;" "&amp;D1172&amp;" "&amp;E1172&amp;" "&amp;G1172&amp;" "&amp;H1172&amp;" "&amp;J1172&amp;" "&amp;N1172</f>
        <v>Differentials Anode     CIF Malaysia (Diff) </v>
      </c>
      <c r="S1172" s="25"/>
      <c r="T1172" s="8"/>
      <c r="U1172" s="8"/>
      <c r="V1172" s="25"/>
      <c r="W1172" s="25"/>
      <c r="X1172" s="25"/>
      <c r="Y1172" s="25"/>
      <c r="Z1172" s="25"/>
      <c r="AA1172" s="25"/>
      <c r="AB1172" s="25"/>
      <c r="AC1172" s="25"/>
      <c r="AD1172" s="25"/>
    </row>
    <row r="1173" customFormat="false" ht="15.75" hidden="false" customHeight="false" outlineLevel="0" collapsed="false">
      <c r="A1173" s="28" t="s">
        <v>1552</v>
      </c>
      <c r="B1173" s="27" t="s">
        <v>438</v>
      </c>
      <c r="C1173" s="27" t="s">
        <v>211</v>
      </c>
      <c r="D1173" s="25"/>
      <c r="E1173" s="25"/>
      <c r="F1173" s="25"/>
      <c r="G1173" s="25"/>
      <c r="H1173" s="25"/>
      <c r="I1173" s="25"/>
      <c r="J1173" s="27" t="s">
        <v>1545</v>
      </c>
      <c r="K1173" s="25" t="str">
        <f aca="false">IFERROR(__xludf.dummyfunction("SPLIT(J1173,"" "")"),"CIF")</f>
        <v>CIF</v>
      </c>
      <c r="L1173" s="28" t="str">
        <f aca="false">IFERROR(__xludf.dummyfunction("""COMPUTED_VALUE"""),"Malaysia")</f>
        <v>Malaysia</v>
      </c>
      <c r="M1173" s="27" t="str">
        <f aca="false">IFERROR(__xludf.dummyfunction("""COMPUTED_VALUE"""),"(Diff)")</f>
        <v>(Diff)</v>
      </c>
      <c r="N1173" s="25"/>
      <c r="O1173" s="25"/>
      <c r="P1173" s="25"/>
      <c r="Q1173" s="29" t="s">
        <v>234</v>
      </c>
      <c r="R1173" s="8" t="str">
        <f aca="false">B1173&amp;" "&amp;C1173&amp;" "&amp;D1173&amp;" "&amp;E1173&amp;" "&amp;G1173&amp;" "&amp;H1173&amp;" "&amp;J1173&amp;" "&amp;N1173</f>
        <v>Differentials Binders &amp; Additives     CIF Malaysia (Diff) </v>
      </c>
      <c r="S1173" s="25"/>
      <c r="T1173" s="8"/>
      <c r="U1173" s="8"/>
      <c r="V1173" s="25"/>
      <c r="W1173" s="25"/>
      <c r="X1173" s="25"/>
      <c r="Y1173" s="25"/>
      <c r="Z1173" s="25"/>
      <c r="AA1173" s="25"/>
      <c r="AB1173" s="25"/>
      <c r="AC1173" s="25"/>
      <c r="AD1173" s="25"/>
    </row>
    <row r="1174" customFormat="false" ht="15.75" hidden="false" customHeight="false" outlineLevel="0" collapsed="false">
      <c r="A1174" s="28" t="s">
        <v>1553</v>
      </c>
      <c r="B1174" s="27" t="s">
        <v>438</v>
      </c>
      <c r="C1174" s="27" t="s">
        <v>211</v>
      </c>
      <c r="D1174" s="25"/>
      <c r="E1174" s="25"/>
      <c r="F1174" s="25"/>
      <c r="G1174" s="25"/>
      <c r="H1174" s="25"/>
      <c r="I1174" s="25"/>
      <c r="J1174" s="27" t="s">
        <v>1545</v>
      </c>
      <c r="K1174" s="25" t="str">
        <f aca="false">IFERROR(__xludf.dummyfunction("SPLIT(J1174,"" "")"),"CIF")</f>
        <v>CIF</v>
      </c>
      <c r="L1174" s="28" t="str">
        <f aca="false">IFERROR(__xludf.dummyfunction("""COMPUTED_VALUE"""),"Malaysia")</f>
        <v>Malaysia</v>
      </c>
      <c r="M1174" s="27" t="str">
        <f aca="false">IFERROR(__xludf.dummyfunction("""COMPUTED_VALUE"""),"(Diff)")</f>
        <v>(Diff)</v>
      </c>
      <c r="N1174" s="25"/>
      <c r="O1174" s="25"/>
      <c r="P1174" s="25"/>
      <c r="Q1174" s="29" t="s">
        <v>232</v>
      </c>
      <c r="R1174" s="8" t="str">
        <f aca="false">B1174&amp;" "&amp;C1174&amp;" "&amp;D1174&amp;" "&amp;E1174&amp;" "&amp;G1174&amp;" "&amp;H1174&amp;" "&amp;J1174&amp;" "&amp;N1174</f>
        <v>Differentials Binders &amp; Additives     CIF Malaysia (Diff) </v>
      </c>
      <c r="S1174" s="25"/>
      <c r="T1174" s="8"/>
      <c r="U1174" s="8"/>
      <c r="V1174" s="25"/>
      <c r="W1174" s="25"/>
      <c r="X1174" s="25"/>
      <c r="Y1174" s="25"/>
      <c r="Z1174" s="25"/>
      <c r="AA1174" s="25"/>
      <c r="AB1174" s="25"/>
      <c r="AC1174" s="25"/>
      <c r="AD1174" s="25"/>
    </row>
    <row r="1175" customFormat="false" ht="15.75" hidden="false" customHeight="false" outlineLevel="0" collapsed="false">
      <c r="A1175" s="28" t="s">
        <v>1554</v>
      </c>
      <c r="B1175" s="27" t="s">
        <v>438</v>
      </c>
      <c r="C1175" s="27" t="s">
        <v>211</v>
      </c>
      <c r="D1175" s="25"/>
      <c r="E1175" s="25"/>
      <c r="F1175" s="25"/>
      <c r="G1175" s="25"/>
      <c r="H1175" s="25"/>
      <c r="I1175" s="25"/>
      <c r="J1175" s="27" t="s">
        <v>1545</v>
      </c>
      <c r="K1175" s="25" t="str">
        <f aca="false">IFERROR(__xludf.dummyfunction("SPLIT(J1175,"" "")"),"CIF")</f>
        <v>CIF</v>
      </c>
      <c r="L1175" s="28" t="str">
        <f aca="false">IFERROR(__xludf.dummyfunction("""COMPUTED_VALUE"""),"Malaysia")</f>
        <v>Malaysia</v>
      </c>
      <c r="M1175" s="27" t="str">
        <f aca="false">IFERROR(__xludf.dummyfunction("""COMPUTED_VALUE"""),"(Diff)")</f>
        <v>(Diff)</v>
      </c>
      <c r="N1175" s="25"/>
      <c r="O1175" s="25"/>
      <c r="P1175" s="25"/>
      <c r="Q1175" s="29" t="s">
        <v>230</v>
      </c>
      <c r="R1175" s="8" t="str">
        <f aca="false">B1175&amp;" "&amp;C1175&amp;" "&amp;D1175&amp;" "&amp;E1175&amp;" "&amp;G1175&amp;" "&amp;H1175&amp;" "&amp;J1175&amp;" "&amp;N1175</f>
        <v>Differentials Binders &amp; Additives     CIF Malaysia (Diff) </v>
      </c>
      <c r="S1175" s="25"/>
      <c r="T1175" s="8"/>
      <c r="U1175" s="8"/>
      <c r="V1175" s="25"/>
      <c r="W1175" s="25"/>
      <c r="X1175" s="25"/>
      <c r="Y1175" s="25"/>
      <c r="Z1175" s="25"/>
      <c r="AA1175" s="25"/>
      <c r="AB1175" s="25"/>
      <c r="AC1175" s="25"/>
      <c r="AD1175" s="25"/>
    </row>
    <row r="1176" customFormat="false" ht="15.75" hidden="false" customHeight="false" outlineLevel="0" collapsed="false">
      <c r="A1176" s="28" t="s">
        <v>1555</v>
      </c>
      <c r="B1176" s="27" t="s">
        <v>438</v>
      </c>
      <c r="C1176" s="27" t="s">
        <v>211</v>
      </c>
      <c r="D1176" s="25"/>
      <c r="E1176" s="25"/>
      <c r="F1176" s="25"/>
      <c r="G1176" s="25"/>
      <c r="H1176" s="25"/>
      <c r="I1176" s="25"/>
      <c r="J1176" s="27" t="s">
        <v>1545</v>
      </c>
      <c r="K1176" s="25" t="str">
        <f aca="false">IFERROR(__xludf.dummyfunction("SPLIT(J1176,"" "")"),"CIF")</f>
        <v>CIF</v>
      </c>
      <c r="L1176" s="28" t="str">
        <f aca="false">IFERROR(__xludf.dummyfunction("""COMPUTED_VALUE"""),"Malaysia")</f>
        <v>Malaysia</v>
      </c>
      <c r="M1176" s="27" t="str">
        <f aca="false">IFERROR(__xludf.dummyfunction("""COMPUTED_VALUE"""),"(Diff)")</f>
        <v>(Diff)</v>
      </c>
      <c r="N1176" s="25"/>
      <c r="O1176" s="25"/>
      <c r="P1176" s="25"/>
      <c r="Q1176" s="29" t="s">
        <v>228</v>
      </c>
      <c r="R1176" s="8" t="str">
        <f aca="false">B1176&amp;" "&amp;C1176&amp;" "&amp;D1176&amp;" "&amp;E1176&amp;" "&amp;G1176&amp;" "&amp;H1176&amp;" "&amp;J1176&amp;" "&amp;N1176</f>
        <v>Differentials Binders &amp; Additives     CIF Malaysia (Diff) </v>
      </c>
      <c r="S1176" s="25"/>
      <c r="T1176" s="8"/>
      <c r="U1176" s="8"/>
      <c r="V1176" s="25"/>
      <c r="W1176" s="25"/>
      <c r="X1176" s="25"/>
      <c r="Y1176" s="25"/>
      <c r="Z1176" s="25"/>
      <c r="AA1176" s="25"/>
      <c r="AB1176" s="25"/>
      <c r="AC1176" s="25"/>
      <c r="AD1176" s="25"/>
    </row>
    <row r="1177" customFormat="false" ht="15.75" hidden="false" customHeight="false" outlineLevel="0" collapsed="false">
      <c r="A1177" s="28" t="s">
        <v>1556</v>
      </c>
      <c r="B1177" s="27" t="s">
        <v>438</v>
      </c>
      <c r="C1177" s="27" t="s">
        <v>211</v>
      </c>
      <c r="D1177" s="25"/>
      <c r="E1177" s="25"/>
      <c r="F1177" s="25"/>
      <c r="G1177" s="25"/>
      <c r="H1177" s="25"/>
      <c r="I1177" s="25"/>
      <c r="J1177" s="27" t="s">
        <v>1545</v>
      </c>
      <c r="K1177" s="25" t="str">
        <f aca="false">IFERROR(__xludf.dummyfunction("SPLIT(J1177,"" "")"),"CIF")</f>
        <v>CIF</v>
      </c>
      <c r="L1177" s="28" t="str">
        <f aca="false">IFERROR(__xludf.dummyfunction("""COMPUTED_VALUE"""),"Malaysia")</f>
        <v>Malaysia</v>
      </c>
      <c r="M1177" s="27" t="str">
        <f aca="false">IFERROR(__xludf.dummyfunction("""COMPUTED_VALUE"""),"(Diff)")</f>
        <v>(Diff)</v>
      </c>
      <c r="N1177" s="25"/>
      <c r="O1177" s="25"/>
      <c r="P1177" s="25"/>
      <c r="Q1177" s="29" t="s">
        <v>226</v>
      </c>
      <c r="R1177" s="8" t="str">
        <f aca="false">B1177&amp;" "&amp;C1177&amp;" "&amp;D1177&amp;" "&amp;E1177&amp;" "&amp;G1177&amp;" "&amp;H1177&amp;" "&amp;J1177&amp;" "&amp;N1177</f>
        <v>Differentials Binders &amp; Additives     CIF Malaysia (Diff) </v>
      </c>
      <c r="S1177" s="25"/>
      <c r="T1177" s="8"/>
      <c r="U1177" s="8"/>
      <c r="V1177" s="25"/>
      <c r="W1177" s="25"/>
      <c r="X1177" s="25"/>
      <c r="Y1177" s="25"/>
      <c r="Z1177" s="25"/>
      <c r="AA1177" s="25"/>
      <c r="AB1177" s="25"/>
      <c r="AC1177" s="25"/>
      <c r="AD1177" s="25"/>
    </row>
    <row r="1178" customFormat="false" ht="15.75" hidden="false" customHeight="false" outlineLevel="0" collapsed="false">
      <c r="A1178" s="28" t="s">
        <v>1557</v>
      </c>
      <c r="B1178" s="27" t="s">
        <v>438</v>
      </c>
      <c r="C1178" s="27" t="s">
        <v>211</v>
      </c>
      <c r="D1178" s="25"/>
      <c r="E1178" s="25"/>
      <c r="F1178" s="25"/>
      <c r="G1178" s="25"/>
      <c r="H1178" s="25"/>
      <c r="I1178" s="25"/>
      <c r="J1178" s="27" t="s">
        <v>1545</v>
      </c>
      <c r="K1178" s="25" t="str">
        <f aca="false">IFERROR(__xludf.dummyfunction("SPLIT(J1178,"" "")"),"CIF")</f>
        <v>CIF</v>
      </c>
      <c r="L1178" s="28" t="str">
        <f aca="false">IFERROR(__xludf.dummyfunction("""COMPUTED_VALUE"""),"Malaysia")</f>
        <v>Malaysia</v>
      </c>
      <c r="M1178" s="27" t="str">
        <f aca="false">IFERROR(__xludf.dummyfunction("""COMPUTED_VALUE"""),"(Diff)")</f>
        <v>(Diff)</v>
      </c>
      <c r="N1178" s="25"/>
      <c r="O1178" s="25"/>
      <c r="P1178" s="25"/>
      <c r="Q1178" s="29" t="s">
        <v>224</v>
      </c>
      <c r="R1178" s="8" t="str">
        <f aca="false">B1178&amp;" "&amp;C1178&amp;" "&amp;D1178&amp;" "&amp;E1178&amp;" "&amp;G1178&amp;" "&amp;H1178&amp;" "&amp;J1178&amp;" "&amp;N1178</f>
        <v>Differentials Binders &amp; Additives     CIF Malaysia (Diff) </v>
      </c>
      <c r="S1178" s="25"/>
      <c r="T1178" s="8"/>
      <c r="U1178" s="8"/>
      <c r="V1178" s="25"/>
      <c r="W1178" s="25"/>
      <c r="X1178" s="25"/>
      <c r="Y1178" s="25"/>
      <c r="Z1178" s="25"/>
      <c r="AA1178" s="25"/>
      <c r="AB1178" s="25"/>
      <c r="AC1178" s="25"/>
      <c r="AD1178" s="25"/>
    </row>
    <row r="1179" customFormat="false" ht="15.75" hidden="false" customHeight="false" outlineLevel="0" collapsed="false">
      <c r="A1179" s="28" t="s">
        <v>1558</v>
      </c>
      <c r="B1179" s="27" t="s">
        <v>438</v>
      </c>
      <c r="C1179" s="27" t="s">
        <v>211</v>
      </c>
      <c r="D1179" s="25"/>
      <c r="E1179" s="25"/>
      <c r="F1179" s="25"/>
      <c r="G1179" s="25"/>
      <c r="H1179" s="25"/>
      <c r="I1179" s="25"/>
      <c r="J1179" s="27" t="s">
        <v>1545</v>
      </c>
      <c r="K1179" s="25" t="str">
        <f aca="false">IFERROR(__xludf.dummyfunction("SPLIT(J1179,"" "")"),"CIF")</f>
        <v>CIF</v>
      </c>
      <c r="L1179" s="28" t="str">
        <f aca="false">IFERROR(__xludf.dummyfunction("""COMPUTED_VALUE"""),"Malaysia")</f>
        <v>Malaysia</v>
      </c>
      <c r="M1179" s="27" t="str">
        <f aca="false">IFERROR(__xludf.dummyfunction("""COMPUTED_VALUE"""),"(Diff)")</f>
        <v>(Diff)</v>
      </c>
      <c r="N1179" s="25"/>
      <c r="O1179" s="25"/>
      <c r="P1179" s="25"/>
      <c r="Q1179" s="29" t="s">
        <v>222</v>
      </c>
      <c r="R1179" s="8" t="str">
        <f aca="false">B1179&amp;" "&amp;C1179&amp;" "&amp;D1179&amp;" "&amp;E1179&amp;" "&amp;G1179&amp;" "&amp;H1179&amp;" "&amp;J1179&amp;" "&amp;N1179</f>
        <v>Differentials Binders &amp; Additives     CIF Malaysia (Diff) </v>
      </c>
      <c r="S1179" s="25"/>
      <c r="T1179" s="8"/>
      <c r="U1179" s="8"/>
      <c r="V1179" s="25"/>
      <c r="W1179" s="25"/>
      <c r="X1179" s="25"/>
      <c r="Y1179" s="25"/>
      <c r="Z1179" s="25"/>
      <c r="AA1179" s="25"/>
      <c r="AB1179" s="25"/>
      <c r="AC1179" s="25"/>
      <c r="AD1179" s="25"/>
    </row>
    <row r="1180" customFormat="false" ht="15.75" hidden="false" customHeight="false" outlineLevel="0" collapsed="false">
      <c r="A1180" s="28" t="s">
        <v>1559</v>
      </c>
      <c r="B1180" s="27" t="s">
        <v>438</v>
      </c>
      <c r="C1180" s="27" t="s">
        <v>211</v>
      </c>
      <c r="D1180" s="25"/>
      <c r="E1180" s="25"/>
      <c r="F1180" s="25"/>
      <c r="G1180" s="25"/>
      <c r="H1180" s="25"/>
      <c r="I1180" s="25"/>
      <c r="J1180" s="27" t="s">
        <v>1545</v>
      </c>
      <c r="K1180" s="25" t="str">
        <f aca="false">IFERROR(__xludf.dummyfunction("SPLIT(J1180,"" "")"),"CIF")</f>
        <v>CIF</v>
      </c>
      <c r="L1180" s="28" t="str">
        <f aca="false">IFERROR(__xludf.dummyfunction("""COMPUTED_VALUE"""),"Malaysia")</f>
        <v>Malaysia</v>
      </c>
      <c r="M1180" s="27" t="str">
        <f aca="false">IFERROR(__xludf.dummyfunction("""COMPUTED_VALUE"""),"(Diff)")</f>
        <v>(Diff)</v>
      </c>
      <c r="N1180" s="25"/>
      <c r="O1180" s="25"/>
      <c r="P1180" s="25"/>
      <c r="Q1180" s="29" t="s">
        <v>220</v>
      </c>
      <c r="R1180" s="8" t="str">
        <f aca="false">B1180&amp;" "&amp;C1180&amp;" "&amp;D1180&amp;" "&amp;E1180&amp;" "&amp;G1180&amp;" "&amp;H1180&amp;" "&amp;J1180&amp;" "&amp;N1180</f>
        <v>Differentials Binders &amp; Additives     CIF Malaysia (Diff) </v>
      </c>
      <c r="S1180" s="25"/>
      <c r="T1180" s="8"/>
      <c r="U1180" s="8"/>
      <c r="V1180" s="25"/>
      <c r="W1180" s="25"/>
      <c r="X1180" s="25"/>
      <c r="Y1180" s="25"/>
      <c r="Z1180" s="25"/>
      <c r="AA1180" s="25"/>
      <c r="AB1180" s="25"/>
      <c r="AC1180" s="25"/>
      <c r="AD1180" s="25"/>
    </row>
    <row r="1181" customFormat="false" ht="15.75" hidden="false" customHeight="false" outlineLevel="0" collapsed="false">
      <c r="A1181" s="28" t="s">
        <v>1560</v>
      </c>
      <c r="B1181" s="27" t="s">
        <v>438</v>
      </c>
      <c r="C1181" s="27" t="s">
        <v>211</v>
      </c>
      <c r="D1181" s="25"/>
      <c r="E1181" s="25"/>
      <c r="F1181" s="25"/>
      <c r="G1181" s="25"/>
      <c r="H1181" s="25"/>
      <c r="I1181" s="25"/>
      <c r="J1181" s="27" t="s">
        <v>1545</v>
      </c>
      <c r="K1181" s="25" t="str">
        <f aca="false">IFERROR(__xludf.dummyfunction("SPLIT(J1181,"" "")"),"CIF")</f>
        <v>CIF</v>
      </c>
      <c r="L1181" s="28" t="str">
        <f aca="false">IFERROR(__xludf.dummyfunction("""COMPUTED_VALUE"""),"Malaysia")</f>
        <v>Malaysia</v>
      </c>
      <c r="M1181" s="27" t="str">
        <f aca="false">IFERROR(__xludf.dummyfunction("""COMPUTED_VALUE"""),"(Diff)")</f>
        <v>(Diff)</v>
      </c>
      <c r="N1181" s="25"/>
      <c r="O1181" s="25"/>
      <c r="P1181" s="25"/>
      <c r="Q1181" s="29" t="s">
        <v>218</v>
      </c>
      <c r="R1181" s="8" t="str">
        <f aca="false">B1181&amp;" "&amp;C1181&amp;" "&amp;D1181&amp;" "&amp;E1181&amp;" "&amp;G1181&amp;" "&amp;H1181&amp;" "&amp;J1181&amp;" "&amp;N1181</f>
        <v>Differentials Binders &amp; Additives     CIF Malaysia (Diff) </v>
      </c>
      <c r="S1181" s="25"/>
      <c r="T1181" s="8"/>
      <c r="U1181" s="8"/>
      <c r="V1181" s="25"/>
      <c r="W1181" s="25"/>
      <c r="X1181" s="25"/>
      <c r="Y1181" s="25"/>
      <c r="Z1181" s="25"/>
      <c r="AA1181" s="25"/>
      <c r="AB1181" s="25"/>
      <c r="AC1181" s="25"/>
      <c r="AD1181" s="25"/>
    </row>
    <row r="1182" customFormat="false" ht="15.75" hidden="false" customHeight="false" outlineLevel="0" collapsed="false">
      <c r="A1182" s="28" t="s">
        <v>1561</v>
      </c>
      <c r="B1182" s="27" t="s">
        <v>438</v>
      </c>
      <c r="C1182" s="27" t="s">
        <v>211</v>
      </c>
      <c r="D1182" s="25"/>
      <c r="E1182" s="25"/>
      <c r="F1182" s="25"/>
      <c r="G1182" s="25"/>
      <c r="H1182" s="25"/>
      <c r="I1182" s="25"/>
      <c r="J1182" s="27" t="s">
        <v>1545</v>
      </c>
      <c r="K1182" s="25" t="str">
        <f aca="false">IFERROR(__xludf.dummyfunction("SPLIT(J1182,"" "")"),"CIF")</f>
        <v>CIF</v>
      </c>
      <c r="L1182" s="28" t="str">
        <f aca="false">IFERROR(__xludf.dummyfunction("""COMPUTED_VALUE"""),"Malaysia")</f>
        <v>Malaysia</v>
      </c>
      <c r="M1182" s="27" t="str">
        <f aca="false">IFERROR(__xludf.dummyfunction("""COMPUTED_VALUE"""),"(Diff)")</f>
        <v>(Diff)</v>
      </c>
      <c r="N1182" s="25"/>
      <c r="O1182" s="25"/>
      <c r="P1182" s="25"/>
      <c r="Q1182" s="29" t="s">
        <v>215</v>
      </c>
      <c r="R1182" s="8" t="str">
        <f aca="false">B1182&amp;" "&amp;C1182&amp;" "&amp;D1182&amp;" "&amp;E1182&amp;" "&amp;G1182&amp;" "&amp;H1182&amp;" "&amp;J1182&amp;" "&amp;N1182</f>
        <v>Differentials Binders &amp; Additives     CIF Malaysia (Diff) </v>
      </c>
      <c r="S1182" s="25"/>
      <c r="T1182" s="8"/>
      <c r="U1182" s="8"/>
      <c r="V1182" s="25"/>
      <c r="W1182" s="25"/>
      <c r="X1182" s="25"/>
      <c r="Y1182" s="25"/>
      <c r="Z1182" s="25"/>
      <c r="AA1182" s="25"/>
      <c r="AB1182" s="25"/>
      <c r="AC1182" s="25"/>
      <c r="AD1182" s="25"/>
    </row>
    <row r="1183" customFormat="false" ht="15.75" hidden="false" customHeight="false" outlineLevel="0" collapsed="false">
      <c r="A1183" s="28" t="s">
        <v>1562</v>
      </c>
      <c r="B1183" s="27" t="s">
        <v>438</v>
      </c>
      <c r="C1183" s="27" t="s">
        <v>211</v>
      </c>
      <c r="D1183" s="25"/>
      <c r="E1183" s="25"/>
      <c r="F1183" s="25"/>
      <c r="G1183" s="25"/>
      <c r="H1183" s="25"/>
      <c r="I1183" s="25"/>
      <c r="J1183" s="27" t="s">
        <v>1545</v>
      </c>
      <c r="K1183" s="25" t="str">
        <f aca="false">IFERROR(__xludf.dummyfunction("SPLIT(J1183,"" "")"),"CIF")</f>
        <v>CIF</v>
      </c>
      <c r="L1183" s="28" t="str">
        <f aca="false">IFERROR(__xludf.dummyfunction("""COMPUTED_VALUE"""),"Malaysia")</f>
        <v>Malaysia</v>
      </c>
      <c r="M1183" s="27" t="str">
        <f aca="false">IFERROR(__xludf.dummyfunction("""COMPUTED_VALUE"""),"(Diff)")</f>
        <v>(Diff)</v>
      </c>
      <c r="N1183" s="25"/>
      <c r="O1183" s="25"/>
      <c r="P1183" s="25"/>
      <c r="Q1183" s="29" t="s">
        <v>213</v>
      </c>
      <c r="R1183" s="8" t="str">
        <f aca="false">B1183&amp;" "&amp;C1183&amp;" "&amp;D1183&amp;" "&amp;E1183&amp;" "&amp;G1183&amp;" "&amp;H1183&amp;" "&amp;J1183&amp;" "&amp;N1183</f>
        <v>Differentials Binders &amp; Additives     CIF Malaysia (Diff) </v>
      </c>
      <c r="S1183" s="25"/>
      <c r="T1183" s="8"/>
      <c r="U1183" s="8"/>
      <c r="V1183" s="25"/>
      <c r="W1183" s="25"/>
      <c r="X1183" s="25"/>
      <c r="Y1183" s="25"/>
      <c r="Z1183" s="25"/>
      <c r="AA1183" s="25"/>
      <c r="AB1183" s="25"/>
      <c r="AC1183" s="25"/>
      <c r="AD1183" s="25"/>
    </row>
    <row r="1184" customFormat="false" ht="15.75" hidden="false" customHeight="false" outlineLevel="0" collapsed="false">
      <c r="A1184" s="28" t="s">
        <v>1563</v>
      </c>
      <c r="B1184" s="27" t="s">
        <v>438</v>
      </c>
      <c r="C1184" s="27" t="s">
        <v>236</v>
      </c>
      <c r="D1184" s="25"/>
      <c r="E1184" s="25"/>
      <c r="F1184" s="25"/>
      <c r="G1184" s="25"/>
      <c r="H1184" s="25"/>
      <c r="I1184" s="25"/>
      <c r="J1184" s="27" t="s">
        <v>1545</v>
      </c>
      <c r="K1184" s="25" t="str">
        <f aca="false">IFERROR(__xludf.dummyfunction("SPLIT(J1184,"" "")"),"CIF")</f>
        <v>CIF</v>
      </c>
      <c r="L1184" s="28" t="str">
        <f aca="false">IFERROR(__xludf.dummyfunction("""COMPUTED_VALUE"""),"Malaysia")</f>
        <v>Malaysia</v>
      </c>
      <c r="M1184" s="27" t="str">
        <f aca="false">IFERROR(__xludf.dummyfunction("""COMPUTED_VALUE"""),"(Diff)")</f>
        <v>(Diff)</v>
      </c>
      <c r="N1184" s="25"/>
      <c r="O1184" s="25"/>
      <c r="P1184" s="25"/>
      <c r="Q1184" s="29" t="s">
        <v>271</v>
      </c>
      <c r="R1184" s="8" t="str">
        <f aca="false">B1184&amp;" "&amp;C1184&amp;" "&amp;D1184&amp;" "&amp;E1184&amp;" "&amp;G1184&amp;" "&amp;H1184&amp;" "&amp;J1184&amp;" "&amp;N1184</f>
        <v>Differentials Cathode     CIF Malaysia (Diff) </v>
      </c>
      <c r="S1184" s="25"/>
      <c r="T1184" s="8"/>
      <c r="U1184" s="8"/>
      <c r="V1184" s="25"/>
      <c r="W1184" s="25"/>
      <c r="X1184" s="25"/>
      <c r="Y1184" s="25"/>
      <c r="Z1184" s="25"/>
      <c r="AA1184" s="25"/>
      <c r="AB1184" s="25"/>
      <c r="AC1184" s="25"/>
      <c r="AD1184" s="25"/>
    </row>
    <row r="1185" customFormat="false" ht="15.75" hidden="false" customHeight="false" outlineLevel="0" collapsed="false">
      <c r="A1185" s="28" t="s">
        <v>1564</v>
      </c>
      <c r="B1185" s="27" t="s">
        <v>438</v>
      </c>
      <c r="C1185" s="27" t="s">
        <v>236</v>
      </c>
      <c r="D1185" s="25"/>
      <c r="E1185" s="25"/>
      <c r="F1185" s="25"/>
      <c r="G1185" s="25"/>
      <c r="H1185" s="25"/>
      <c r="I1185" s="25"/>
      <c r="J1185" s="27" t="s">
        <v>1545</v>
      </c>
      <c r="K1185" s="25" t="str">
        <f aca="false">IFERROR(__xludf.dummyfunction("SPLIT(J1185,"" "")"),"CIF")</f>
        <v>CIF</v>
      </c>
      <c r="L1185" s="28" t="str">
        <f aca="false">IFERROR(__xludf.dummyfunction("""COMPUTED_VALUE"""),"Malaysia")</f>
        <v>Malaysia</v>
      </c>
      <c r="M1185" s="27" t="str">
        <f aca="false">IFERROR(__xludf.dummyfunction("""COMPUTED_VALUE"""),"(Diff)")</f>
        <v>(Diff)</v>
      </c>
      <c r="N1185" s="25"/>
      <c r="O1185" s="25"/>
      <c r="P1185" s="25"/>
      <c r="Q1185" s="29" t="s">
        <v>266</v>
      </c>
      <c r="R1185" s="8" t="str">
        <f aca="false">B1185&amp;" "&amp;C1185&amp;" "&amp;D1185&amp;" "&amp;E1185&amp;" "&amp;G1185&amp;" "&amp;H1185&amp;" "&amp;J1185&amp;" "&amp;N1185</f>
        <v>Differentials Cathode     CIF Malaysia (Diff) </v>
      </c>
      <c r="S1185" s="25"/>
      <c r="T1185" s="8"/>
      <c r="U1185" s="8"/>
      <c r="V1185" s="25"/>
      <c r="W1185" s="25"/>
      <c r="X1185" s="25"/>
      <c r="Y1185" s="25"/>
      <c r="Z1185" s="25"/>
      <c r="AA1185" s="25"/>
      <c r="AB1185" s="25"/>
      <c r="AC1185" s="25"/>
      <c r="AD1185" s="25"/>
    </row>
    <row r="1186" customFormat="false" ht="15.75" hidden="false" customHeight="false" outlineLevel="0" collapsed="false">
      <c r="A1186" s="28" t="s">
        <v>1565</v>
      </c>
      <c r="B1186" s="27" t="s">
        <v>438</v>
      </c>
      <c r="C1186" s="27" t="s">
        <v>236</v>
      </c>
      <c r="D1186" s="25"/>
      <c r="E1186" s="25"/>
      <c r="F1186" s="25"/>
      <c r="G1186" s="25"/>
      <c r="H1186" s="25"/>
      <c r="I1186" s="25"/>
      <c r="J1186" s="27" t="s">
        <v>1545</v>
      </c>
      <c r="K1186" s="25" t="str">
        <f aca="false">IFERROR(__xludf.dummyfunction("SPLIT(J1186,"" "")"),"CIF")</f>
        <v>CIF</v>
      </c>
      <c r="L1186" s="28" t="str">
        <f aca="false">IFERROR(__xludf.dummyfunction("""COMPUTED_VALUE"""),"Malaysia")</f>
        <v>Malaysia</v>
      </c>
      <c r="M1186" s="27" t="str">
        <f aca="false">IFERROR(__xludf.dummyfunction("""COMPUTED_VALUE"""),"(Diff)")</f>
        <v>(Diff)</v>
      </c>
      <c r="N1186" s="25"/>
      <c r="O1186" s="25"/>
      <c r="P1186" s="25"/>
      <c r="Q1186" s="29" t="s">
        <v>261</v>
      </c>
      <c r="R1186" s="8" t="str">
        <f aca="false">B1186&amp;" "&amp;C1186&amp;" "&amp;D1186&amp;" "&amp;E1186&amp;" "&amp;G1186&amp;" "&amp;H1186&amp;" "&amp;J1186&amp;" "&amp;N1186</f>
        <v>Differentials Cathode     CIF Malaysia (Diff) </v>
      </c>
      <c r="S1186" s="25"/>
      <c r="T1186" s="8"/>
      <c r="U1186" s="8"/>
      <c r="V1186" s="25"/>
      <c r="W1186" s="25"/>
      <c r="X1186" s="25"/>
      <c r="Y1186" s="25"/>
      <c r="Z1186" s="25"/>
      <c r="AA1186" s="25"/>
      <c r="AB1186" s="25"/>
      <c r="AC1186" s="25"/>
      <c r="AD1186" s="25"/>
    </row>
    <row r="1187" customFormat="false" ht="15.75" hidden="false" customHeight="false" outlineLevel="0" collapsed="false">
      <c r="A1187" s="28" t="s">
        <v>1566</v>
      </c>
      <c r="B1187" s="27" t="s">
        <v>438</v>
      </c>
      <c r="C1187" s="27" t="s">
        <v>236</v>
      </c>
      <c r="D1187" s="25"/>
      <c r="E1187" s="25"/>
      <c r="F1187" s="25"/>
      <c r="G1187" s="25"/>
      <c r="H1187" s="25"/>
      <c r="I1187" s="25"/>
      <c r="J1187" s="27" t="s">
        <v>1545</v>
      </c>
      <c r="K1187" s="25" t="str">
        <f aca="false">IFERROR(__xludf.dummyfunction("SPLIT(J1187,"" "")"),"CIF")</f>
        <v>CIF</v>
      </c>
      <c r="L1187" s="28" t="str">
        <f aca="false">IFERROR(__xludf.dummyfunction("""COMPUTED_VALUE"""),"Malaysia")</f>
        <v>Malaysia</v>
      </c>
      <c r="M1187" s="27" t="str">
        <f aca="false">IFERROR(__xludf.dummyfunction("""COMPUTED_VALUE"""),"(Diff)")</f>
        <v>(Diff)</v>
      </c>
      <c r="N1187" s="25"/>
      <c r="O1187" s="25"/>
      <c r="P1187" s="25"/>
      <c r="Q1187" s="29" t="s">
        <v>256</v>
      </c>
      <c r="R1187" s="8" t="str">
        <f aca="false">B1187&amp;" "&amp;C1187&amp;" "&amp;D1187&amp;" "&amp;E1187&amp;" "&amp;G1187&amp;" "&amp;H1187&amp;" "&amp;J1187&amp;" "&amp;N1187</f>
        <v>Differentials Cathode     CIF Malaysia (Diff) </v>
      </c>
      <c r="S1187" s="25"/>
      <c r="T1187" s="8"/>
      <c r="U1187" s="8"/>
      <c r="V1187" s="25"/>
      <c r="W1187" s="25"/>
      <c r="X1187" s="25"/>
      <c r="Y1187" s="25"/>
      <c r="Z1187" s="25"/>
      <c r="AA1187" s="25"/>
      <c r="AB1187" s="25"/>
      <c r="AC1187" s="25"/>
      <c r="AD1187" s="25"/>
    </row>
    <row r="1188" customFormat="false" ht="15.75" hidden="false" customHeight="false" outlineLevel="0" collapsed="false">
      <c r="A1188" s="28" t="s">
        <v>1567</v>
      </c>
      <c r="B1188" s="27" t="s">
        <v>438</v>
      </c>
      <c r="C1188" s="27" t="s">
        <v>236</v>
      </c>
      <c r="D1188" s="25"/>
      <c r="E1188" s="25"/>
      <c r="F1188" s="25"/>
      <c r="G1188" s="25"/>
      <c r="H1188" s="25"/>
      <c r="I1188" s="25"/>
      <c r="J1188" s="27" t="s">
        <v>1545</v>
      </c>
      <c r="K1188" s="25" t="str">
        <f aca="false">IFERROR(__xludf.dummyfunction("SPLIT(J1188,"" "")"),"CIF")</f>
        <v>CIF</v>
      </c>
      <c r="L1188" s="28" t="str">
        <f aca="false">IFERROR(__xludf.dummyfunction("""COMPUTED_VALUE"""),"Malaysia")</f>
        <v>Malaysia</v>
      </c>
      <c r="M1188" s="27" t="str">
        <f aca="false">IFERROR(__xludf.dummyfunction("""COMPUTED_VALUE"""),"(Diff)")</f>
        <v>(Diff)</v>
      </c>
      <c r="N1188" s="25"/>
      <c r="O1188" s="25"/>
      <c r="P1188" s="25"/>
      <c r="Q1188" s="29" t="s">
        <v>251</v>
      </c>
      <c r="R1188" s="8" t="str">
        <f aca="false">B1188&amp;" "&amp;C1188&amp;" "&amp;D1188&amp;" "&amp;E1188&amp;" "&amp;G1188&amp;" "&amp;H1188&amp;" "&amp;J1188&amp;" "&amp;N1188</f>
        <v>Differentials Cathode     CIF Malaysia (Diff) </v>
      </c>
      <c r="S1188" s="25"/>
      <c r="T1188" s="8"/>
      <c r="U1188" s="8"/>
      <c r="V1188" s="25"/>
      <c r="W1188" s="25"/>
      <c r="X1188" s="25"/>
      <c r="Y1188" s="25"/>
      <c r="Z1188" s="25"/>
      <c r="AA1188" s="25"/>
      <c r="AB1188" s="25"/>
      <c r="AC1188" s="25"/>
      <c r="AD1188" s="25"/>
    </row>
    <row r="1189" customFormat="false" ht="15.75" hidden="false" customHeight="false" outlineLevel="0" collapsed="false">
      <c r="A1189" s="28" t="s">
        <v>1568</v>
      </c>
      <c r="B1189" s="27" t="s">
        <v>438</v>
      </c>
      <c r="C1189" s="27" t="s">
        <v>236</v>
      </c>
      <c r="D1189" s="25"/>
      <c r="E1189" s="25"/>
      <c r="F1189" s="25"/>
      <c r="G1189" s="25"/>
      <c r="H1189" s="25"/>
      <c r="I1189" s="25"/>
      <c r="J1189" s="27" t="s">
        <v>1545</v>
      </c>
      <c r="K1189" s="25" t="str">
        <f aca="false">IFERROR(__xludf.dummyfunction("SPLIT(J1189,"" "")"),"CIF")</f>
        <v>CIF</v>
      </c>
      <c r="L1189" s="28" t="str">
        <f aca="false">IFERROR(__xludf.dummyfunction("""COMPUTED_VALUE"""),"Malaysia")</f>
        <v>Malaysia</v>
      </c>
      <c r="M1189" s="27" t="str">
        <f aca="false">IFERROR(__xludf.dummyfunction("""COMPUTED_VALUE"""),"(Diff)")</f>
        <v>(Diff)</v>
      </c>
      <c r="N1189" s="25"/>
      <c r="O1189" s="25"/>
      <c r="P1189" s="25"/>
      <c r="Q1189" s="29" t="s">
        <v>247</v>
      </c>
      <c r="R1189" s="8" t="str">
        <f aca="false">B1189&amp;" "&amp;C1189&amp;" "&amp;D1189&amp;" "&amp;E1189&amp;" "&amp;G1189&amp;" "&amp;H1189&amp;" "&amp;J1189&amp;" "&amp;N1189</f>
        <v>Differentials Cathode     CIF Malaysia (Diff) </v>
      </c>
      <c r="S1189" s="25"/>
      <c r="T1189" s="8"/>
      <c r="U1189" s="8"/>
      <c r="V1189" s="25"/>
      <c r="W1189" s="25"/>
      <c r="X1189" s="25"/>
      <c r="Y1189" s="25"/>
      <c r="Z1189" s="25"/>
      <c r="AA1189" s="25"/>
      <c r="AB1189" s="25"/>
      <c r="AC1189" s="25"/>
      <c r="AD1189" s="25"/>
    </row>
    <row r="1190" customFormat="false" ht="15.75" hidden="false" customHeight="false" outlineLevel="0" collapsed="false">
      <c r="A1190" s="28" t="s">
        <v>1569</v>
      </c>
      <c r="B1190" s="27" t="s">
        <v>438</v>
      </c>
      <c r="C1190" s="27" t="s">
        <v>236</v>
      </c>
      <c r="D1190" s="25"/>
      <c r="E1190" s="25"/>
      <c r="F1190" s="25"/>
      <c r="G1190" s="25"/>
      <c r="H1190" s="25"/>
      <c r="I1190" s="25"/>
      <c r="J1190" s="27" t="s">
        <v>1545</v>
      </c>
      <c r="K1190" s="25" t="str">
        <f aca="false">IFERROR(__xludf.dummyfunction("SPLIT(J1190,"" "")"),"CIF")</f>
        <v>CIF</v>
      </c>
      <c r="L1190" s="28" t="str">
        <f aca="false">IFERROR(__xludf.dummyfunction("""COMPUTED_VALUE"""),"Malaysia")</f>
        <v>Malaysia</v>
      </c>
      <c r="M1190" s="27" t="str">
        <f aca="false">IFERROR(__xludf.dummyfunction("""COMPUTED_VALUE"""),"(Diff)")</f>
        <v>(Diff)</v>
      </c>
      <c r="N1190" s="25"/>
      <c r="O1190" s="25"/>
      <c r="P1190" s="25"/>
      <c r="Q1190" s="29" t="s">
        <v>243</v>
      </c>
      <c r="R1190" s="8" t="str">
        <f aca="false">B1190&amp;" "&amp;C1190&amp;" "&amp;D1190&amp;" "&amp;E1190&amp;" "&amp;G1190&amp;" "&amp;H1190&amp;" "&amp;J1190&amp;" "&amp;N1190</f>
        <v>Differentials Cathode     CIF Malaysia (Diff) </v>
      </c>
      <c r="S1190" s="25"/>
      <c r="T1190" s="8"/>
      <c r="U1190" s="8"/>
      <c r="V1190" s="25"/>
      <c r="W1190" s="25"/>
      <c r="X1190" s="25"/>
      <c r="Y1190" s="25"/>
      <c r="Z1190" s="25"/>
      <c r="AA1190" s="25"/>
      <c r="AB1190" s="25"/>
      <c r="AC1190" s="25"/>
      <c r="AD1190" s="25"/>
    </row>
    <row r="1191" customFormat="false" ht="15.75" hidden="false" customHeight="false" outlineLevel="0" collapsed="false">
      <c r="A1191" s="28" t="s">
        <v>1570</v>
      </c>
      <c r="B1191" s="27" t="s">
        <v>438</v>
      </c>
      <c r="C1191" s="27" t="s">
        <v>236</v>
      </c>
      <c r="D1191" s="25"/>
      <c r="E1191" s="25"/>
      <c r="F1191" s="25"/>
      <c r="G1191" s="25"/>
      <c r="H1191" s="25"/>
      <c r="I1191" s="25"/>
      <c r="J1191" s="27" t="s">
        <v>1545</v>
      </c>
      <c r="K1191" s="25" t="str">
        <f aca="false">IFERROR(__xludf.dummyfunction("SPLIT(J1191,"" "")"),"CIF")</f>
        <v>CIF</v>
      </c>
      <c r="L1191" s="28" t="str">
        <f aca="false">IFERROR(__xludf.dummyfunction("""COMPUTED_VALUE"""),"Malaysia")</f>
        <v>Malaysia</v>
      </c>
      <c r="M1191" s="27" t="str">
        <f aca="false">IFERROR(__xludf.dummyfunction("""COMPUTED_VALUE"""),"(Diff)")</f>
        <v>(Diff)</v>
      </c>
      <c r="N1191" s="25"/>
      <c r="O1191" s="25"/>
      <c r="P1191" s="25"/>
      <c r="Q1191" s="29" t="s">
        <v>239</v>
      </c>
      <c r="R1191" s="8" t="str">
        <f aca="false">B1191&amp;" "&amp;C1191&amp;" "&amp;D1191&amp;" "&amp;E1191&amp;" "&amp;G1191&amp;" "&amp;H1191&amp;" "&amp;J1191&amp;" "&amp;N1191</f>
        <v>Differentials Cathode     CIF Malaysia (Diff) </v>
      </c>
      <c r="S1191" s="25"/>
      <c r="T1191" s="8"/>
      <c r="U1191" s="8"/>
      <c r="V1191" s="25"/>
      <c r="W1191" s="25"/>
      <c r="X1191" s="25"/>
      <c r="Y1191" s="25"/>
      <c r="Z1191" s="25"/>
      <c r="AA1191" s="25"/>
      <c r="AB1191" s="25"/>
      <c r="AC1191" s="25"/>
      <c r="AD1191" s="25"/>
    </row>
    <row r="1192" customFormat="false" ht="15.75" hidden="false" customHeight="false" outlineLevel="0" collapsed="false">
      <c r="A1192" s="28" t="s">
        <v>1571</v>
      </c>
      <c r="B1192" s="27" t="s">
        <v>438</v>
      </c>
      <c r="C1192" s="27" t="s">
        <v>289</v>
      </c>
      <c r="D1192" s="25"/>
      <c r="E1192" s="25"/>
      <c r="F1192" s="25"/>
      <c r="G1192" s="25"/>
      <c r="H1192" s="25"/>
      <c r="I1192" s="25"/>
      <c r="J1192" s="27" t="s">
        <v>1545</v>
      </c>
      <c r="K1192" s="25" t="str">
        <f aca="false">IFERROR(__xludf.dummyfunction("SPLIT(J1192,"" "")"),"CIF")</f>
        <v>CIF</v>
      </c>
      <c r="L1192" s="28" t="str">
        <f aca="false">IFERROR(__xludf.dummyfunction("""COMPUTED_VALUE"""),"Malaysia")</f>
        <v>Malaysia</v>
      </c>
      <c r="M1192" s="27" t="str">
        <f aca="false">IFERROR(__xludf.dummyfunction("""COMPUTED_VALUE"""),"(Diff)")</f>
        <v>(Diff)</v>
      </c>
      <c r="N1192" s="25"/>
      <c r="O1192" s="25"/>
      <c r="P1192" s="25"/>
      <c r="Q1192" s="29" t="s">
        <v>306</v>
      </c>
      <c r="R1192" s="8" t="str">
        <f aca="false">B1192&amp;" "&amp;C1192&amp;" "&amp;D1192&amp;" "&amp;E1192&amp;" "&amp;G1192&amp;" "&amp;H1192&amp;" "&amp;J1192&amp;" "&amp;N1192</f>
        <v>Differentials Electrolyte     CIF Malaysia (Diff) </v>
      </c>
      <c r="S1192" s="25"/>
      <c r="T1192" s="8"/>
      <c r="U1192" s="8"/>
      <c r="V1192" s="25"/>
      <c r="W1192" s="25"/>
      <c r="X1192" s="25"/>
      <c r="Y1192" s="25"/>
      <c r="Z1192" s="25"/>
      <c r="AA1192" s="25"/>
      <c r="AB1192" s="25"/>
      <c r="AC1192" s="25"/>
      <c r="AD1192" s="25"/>
    </row>
    <row r="1193" customFormat="false" ht="15.75" hidden="false" customHeight="false" outlineLevel="0" collapsed="false">
      <c r="A1193" s="28" t="s">
        <v>1572</v>
      </c>
      <c r="B1193" s="27" t="s">
        <v>438</v>
      </c>
      <c r="C1193" s="27" t="s">
        <v>289</v>
      </c>
      <c r="D1193" s="25"/>
      <c r="E1193" s="25"/>
      <c r="F1193" s="25"/>
      <c r="G1193" s="25"/>
      <c r="H1193" s="25"/>
      <c r="I1193" s="25"/>
      <c r="J1193" s="27" t="s">
        <v>1545</v>
      </c>
      <c r="K1193" s="25" t="str">
        <f aca="false">IFERROR(__xludf.dummyfunction("SPLIT(J1193,"" "")"),"CIF")</f>
        <v>CIF</v>
      </c>
      <c r="L1193" s="28" t="str">
        <f aca="false">IFERROR(__xludf.dummyfunction("""COMPUTED_VALUE"""),"Malaysia")</f>
        <v>Malaysia</v>
      </c>
      <c r="M1193" s="27" t="str">
        <f aca="false">IFERROR(__xludf.dummyfunction("""COMPUTED_VALUE"""),"(Diff)")</f>
        <v>(Diff)</v>
      </c>
      <c r="N1193" s="25"/>
      <c r="O1193" s="25"/>
      <c r="P1193" s="25"/>
      <c r="Q1193" s="29" t="s">
        <v>304</v>
      </c>
      <c r="R1193" s="8" t="str">
        <f aca="false">B1193&amp;" "&amp;C1193&amp;" "&amp;D1193&amp;" "&amp;E1193&amp;" "&amp;G1193&amp;" "&amp;H1193&amp;" "&amp;J1193&amp;" "&amp;N1193</f>
        <v>Differentials Electrolyte     CIF Malaysia (Diff) </v>
      </c>
      <c r="S1193" s="25"/>
      <c r="T1193" s="8"/>
      <c r="U1193" s="8"/>
      <c r="V1193" s="25"/>
      <c r="W1193" s="25"/>
      <c r="X1193" s="25"/>
      <c r="Y1193" s="25"/>
      <c r="Z1193" s="25"/>
      <c r="AA1193" s="25"/>
      <c r="AB1193" s="25"/>
      <c r="AC1193" s="25"/>
      <c r="AD1193" s="25"/>
    </row>
    <row r="1194" customFormat="false" ht="15.75" hidden="false" customHeight="false" outlineLevel="0" collapsed="false">
      <c r="A1194" s="28" t="s">
        <v>1573</v>
      </c>
      <c r="B1194" s="27" t="s">
        <v>438</v>
      </c>
      <c r="C1194" s="27" t="s">
        <v>289</v>
      </c>
      <c r="D1194" s="25"/>
      <c r="E1194" s="25"/>
      <c r="F1194" s="25"/>
      <c r="G1194" s="25"/>
      <c r="H1194" s="25"/>
      <c r="I1194" s="25"/>
      <c r="J1194" s="27" t="s">
        <v>1545</v>
      </c>
      <c r="K1194" s="25" t="str">
        <f aca="false">IFERROR(__xludf.dummyfunction("SPLIT(J1194,"" "")"),"CIF")</f>
        <v>CIF</v>
      </c>
      <c r="L1194" s="28" t="str">
        <f aca="false">IFERROR(__xludf.dummyfunction("""COMPUTED_VALUE"""),"Malaysia")</f>
        <v>Malaysia</v>
      </c>
      <c r="M1194" s="27" t="str">
        <f aca="false">IFERROR(__xludf.dummyfunction("""COMPUTED_VALUE"""),"(Diff)")</f>
        <v>(Diff)</v>
      </c>
      <c r="N1194" s="25"/>
      <c r="O1194" s="25"/>
      <c r="P1194" s="25"/>
      <c r="Q1194" s="29" t="s">
        <v>302</v>
      </c>
      <c r="R1194" s="8" t="str">
        <f aca="false">B1194&amp;" "&amp;C1194&amp;" "&amp;D1194&amp;" "&amp;E1194&amp;" "&amp;G1194&amp;" "&amp;H1194&amp;" "&amp;J1194&amp;" "&amp;N1194</f>
        <v>Differentials Electrolyte     CIF Malaysia (Diff) </v>
      </c>
      <c r="S1194" s="25"/>
      <c r="T1194" s="8"/>
      <c r="U1194" s="8"/>
      <c r="V1194" s="25"/>
      <c r="W1194" s="25"/>
      <c r="X1194" s="25"/>
      <c r="Y1194" s="25"/>
      <c r="Z1194" s="25"/>
      <c r="AA1194" s="25"/>
      <c r="AB1194" s="25"/>
      <c r="AC1194" s="25"/>
      <c r="AD1194" s="25"/>
    </row>
    <row r="1195" customFormat="false" ht="15.75" hidden="false" customHeight="false" outlineLevel="0" collapsed="false">
      <c r="A1195" s="28" t="s">
        <v>1574</v>
      </c>
      <c r="B1195" s="27" t="s">
        <v>438</v>
      </c>
      <c r="C1195" s="27" t="s">
        <v>289</v>
      </c>
      <c r="D1195" s="25"/>
      <c r="E1195" s="25"/>
      <c r="F1195" s="25"/>
      <c r="G1195" s="25"/>
      <c r="H1195" s="25"/>
      <c r="I1195" s="25"/>
      <c r="J1195" s="27" t="s">
        <v>1545</v>
      </c>
      <c r="K1195" s="25" t="str">
        <f aca="false">IFERROR(__xludf.dummyfunction("SPLIT(J1195,"" "")"),"CIF")</f>
        <v>CIF</v>
      </c>
      <c r="L1195" s="28" t="str">
        <f aca="false">IFERROR(__xludf.dummyfunction("""COMPUTED_VALUE"""),"Malaysia")</f>
        <v>Malaysia</v>
      </c>
      <c r="M1195" s="27" t="str">
        <f aca="false">IFERROR(__xludf.dummyfunction("""COMPUTED_VALUE"""),"(Diff)")</f>
        <v>(Diff)</v>
      </c>
      <c r="N1195" s="25"/>
      <c r="O1195" s="25"/>
      <c r="P1195" s="25"/>
      <c r="Q1195" s="29" t="s">
        <v>300</v>
      </c>
      <c r="R1195" s="8" t="str">
        <f aca="false">B1195&amp;" "&amp;C1195&amp;" "&amp;D1195&amp;" "&amp;E1195&amp;" "&amp;G1195&amp;" "&amp;H1195&amp;" "&amp;J1195&amp;" "&amp;N1195</f>
        <v>Differentials Electrolyte     CIF Malaysia (Diff) </v>
      </c>
      <c r="S1195" s="25"/>
      <c r="T1195" s="8"/>
      <c r="U1195" s="8"/>
      <c r="V1195" s="25"/>
      <c r="W1195" s="25"/>
      <c r="X1195" s="25"/>
      <c r="Y1195" s="25"/>
      <c r="Z1195" s="25"/>
      <c r="AA1195" s="25"/>
      <c r="AB1195" s="25"/>
      <c r="AC1195" s="25"/>
      <c r="AD1195" s="25"/>
    </row>
    <row r="1196" customFormat="false" ht="15.75" hidden="false" customHeight="false" outlineLevel="0" collapsed="false">
      <c r="A1196" s="28" t="s">
        <v>1575</v>
      </c>
      <c r="B1196" s="27" t="s">
        <v>438</v>
      </c>
      <c r="C1196" s="27" t="s">
        <v>289</v>
      </c>
      <c r="D1196" s="25"/>
      <c r="E1196" s="25"/>
      <c r="F1196" s="25"/>
      <c r="G1196" s="25"/>
      <c r="H1196" s="25"/>
      <c r="I1196" s="25"/>
      <c r="J1196" s="27" t="s">
        <v>1545</v>
      </c>
      <c r="K1196" s="25" t="str">
        <f aca="false">IFERROR(__xludf.dummyfunction("SPLIT(J1196,"" "")"),"CIF")</f>
        <v>CIF</v>
      </c>
      <c r="L1196" s="28" t="str">
        <f aca="false">IFERROR(__xludf.dummyfunction("""COMPUTED_VALUE"""),"Malaysia")</f>
        <v>Malaysia</v>
      </c>
      <c r="M1196" s="27" t="str">
        <f aca="false">IFERROR(__xludf.dummyfunction("""COMPUTED_VALUE"""),"(Diff)")</f>
        <v>(Diff)</v>
      </c>
      <c r="N1196" s="25"/>
      <c r="O1196" s="25"/>
      <c r="P1196" s="25"/>
      <c r="Q1196" s="29" t="s">
        <v>298</v>
      </c>
      <c r="R1196" s="8" t="str">
        <f aca="false">B1196&amp;" "&amp;C1196&amp;" "&amp;D1196&amp;" "&amp;E1196&amp;" "&amp;G1196&amp;" "&amp;H1196&amp;" "&amp;J1196&amp;" "&amp;N1196</f>
        <v>Differentials Electrolyte     CIF Malaysia (Diff) </v>
      </c>
      <c r="S1196" s="25"/>
      <c r="T1196" s="8"/>
      <c r="U1196" s="8"/>
      <c r="V1196" s="25"/>
      <c r="W1196" s="25"/>
      <c r="X1196" s="25"/>
      <c r="Y1196" s="25"/>
      <c r="Z1196" s="25"/>
      <c r="AA1196" s="25"/>
      <c r="AB1196" s="25"/>
      <c r="AC1196" s="25"/>
      <c r="AD1196" s="25"/>
    </row>
    <row r="1197" customFormat="false" ht="15.75" hidden="false" customHeight="false" outlineLevel="0" collapsed="false">
      <c r="A1197" s="28" t="s">
        <v>1576</v>
      </c>
      <c r="B1197" s="27" t="s">
        <v>438</v>
      </c>
      <c r="C1197" s="27" t="s">
        <v>289</v>
      </c>
      <c r="D1197" s="25"/>
      <c r="E1197" s="25"/>
      <c r="F1197" s="25"/>
      <c r="G1197" s="25"/>
      <c r="H1197" s="25"/>
      <c r="I1197" s="25"/>
      <c r="J1197" s="27" t="s">
        <v>1545</v>
      </c>
      <c r="K1197" s="25" t="str">
        <f aca="false">IFERROR(__xludf.dummyfunction("SPLIT(J1197,"" "")"),"CIF")</f>
        <v>CIF</v>
      </c>
      <c r="L1197" s="28" t="str">
        <f aca="false">IFERROR(__xludf.dummyfunction("""COMPUTED_VALUE"""),"Malaysia")</f>
        <v>Malaysia</v>
      </c>
      <c r="M1197" s="27" t="str">
        <f aca="false">IFERROR(__xludf.dummyfunction("""COMPUTED_VALUE"""),"(Diff)")</f>
        <v>(Diff)</v>
      </c>
      <c r="N1197" s="25"/>
      <c r="O1197" s="25"/>
      <c r="P1197" s="25"/>
      <c r="Q1197" s="29" t="s">
        <v>296</v>
      </c>
      <c r="R1197" s="8" t="str">
        <f aca="false">B1197&amp;" "&amp;C1197&amp;" "&amp;D1197&amp;" "&amp;E1197&amp;" "&amp;G1197&amp;" "&amp;H1197&amp;" "&amp;J1197&amp;" "&amp;N1197</f>
        <v>Differentials Electrolyte     CIF Malaysia (Diff) </v>
      </c>
      <c r="S1197" s="25"/>
      <c r="T1197" s="8"/>
      <c r="U1197" s="8"/>
      <c r="V1197" s="25"/>
      <c r="W1197" s="25"/>
      <c r="X1197" s="25"/>
      <c r="Y1197" s="25"/>
      <c r="Z1197" s="25"/>
      <c r="AA1197" s="25"/>
      <c r="AB1197" s="25"/>
      <c r="AC1197" s="25"/>
      <c r="AD1197" s="25"/>
    </row>
    <row r="1198" customFormat="false" ht="15.75" hidden="false" customHeight="false" outlineLevel="0" collapsed="false">
      <c r="A1198" s="28" t="s">
        <v>1577</v>
      </c>
      <c r="B1198" s="27" t="s">
        <v>438</v>
      </c>
      <c r="C1198" s="27" t="s">
        <v>289</v>
      </c>
      <c r="D1198" s="25"/>
      <c r="E1198" s="25"/>
      <c r="F1198" s="25"/>
      <c r="G1198" s="25"/>
      <c r="H1198" s="25"/>
      <c r="I1198" s="25"/>
      <c r="J1198" s="27" t="s">
        <v>1545</v>
      </c>
      <c r="K1198" s="25" t="str">
        <f aca="false">IFERROR(__xludf.dummyfunction("SPLIT(J1198,"" "")"),"CIF")</f>
        <v>CIF</v>
      </c>
      <c r="L1198" s="28" t="str">
        <f aca="false">IFERROR(__xludf.dummyfunction("""COMPUTED_VALUE"""),"Malaysia")</f>
        <v>Malaysia</v>
      </c>
      <c r="M1198" s="27" t="str">
        <f aca="false">IFERROR(__xludf.dummyfunction("""COMPUTED_VALUE"""),"(Diff)")</f>
        <v>(Diff)</v>
      </c>
      <c r="N1198" s="25"/>
      <c r="O1198" s="25"/>
      <c r="P1198" s="25"/>
      <c r="Q1198" s="29" t="s">
        <v>294</v>
      </c>
      <c r="R1198" s="8" t="str">
        <f aca="false">B1198&amp;" "&amp;C1198&amp;" "&amp;D1198&amp;" "&amp;E1198&amp;" "&amp;G1198&amp;" "&amp;H1198&amp;" "&amp;J1198&amp;" "&amp;N1198</f>
        <v>Differentials Electrolyte     CIF Malaysia (Diff) </v>
      </c>
      <c r="S1198" s="25"/>
      <c r="T1198" s="8"/>
      <c r="U1198" s="8"/>
      <c r="V1198" s="25"/>
      <c r="W1198" s="25"/>
      <c r="X1198" s="25"/>
      <c r="Y1198" s="25"/>
      <c r="Z1198" s="25"/>
      <c r="AA1198" s="25"/>
      <c r="AB1198" s="25"/>
      <c r="AC1198" s="25"/>
      <c r="AD1198" s="25"/>
    </row>
    <row r="1199" customFormat="false" ht="15.75" hidden="false" customHeight="false" outlineLevel="0" collapsed="false">
      <c r="A1199" s="28" t="s">
        <v>1578</v>
      </c>
      <c r="B1199" s="27" t="s">
        <v>438</v>
      </c>
      <c r="C1199" s="27" t="s">
        <v>289</v>
      </c>
      <c r="D1199" s="25"/>
      <c r="E1199" s="25"/>
      <c r="F1199" s="25"/>
      <c r="G1199" s="25"/>
      <c r="H1199" s="25"/>
      <c r="I1199" s="25"/>
      <c r="J1199" s="27" t="s">
        <v>1545</v>
      </c>
      <c r="K1199" s="25" t="str">
        <f aca="false">IFERROR(__xludf.dummyfunction("SPLIT(J1199,"" "")"),"CIF")</f>
        <v>CIF</v>
      </c>
      <c r="L1199" s="28" t="str">
        <f aca="false">IFERROR(__xludf.dummyfunction("""COMPUTED_VALUE"""),"Malaysia")</f>
        <v>Malaysia</v>
      </c>
      <c r="M1199" s="27" t="str">
        <f aca="false">IFERROR(__xludf.dummyfunction("""COMPUTED_VALUE"""),"(Diff)")</f>
        <v>(Diff)</v>
      </c>
      <c r="N1199" s="25"/>
      <c r="O1199" s="25"/>
      <c r="P1199" s="25"/>
      <c r="Q1199" s="29" t="s">
        <v>291</v>
      </c>
      <c r="R1199" s="8" t="str">
        <f aca="false">B1199&amp;" "&amp;C1199&amp;" "&amp;D1199&amp;" "&amp;E1199&amp;" "&amp;G1199&amp;" "&amp;H1199&amp;" "&amp;J1199&amp;" "&amp;N1199</f>
        <v>Differentials Electrolyte     CIF Malaysia (Diff) </v>
      </c>
      <c r="S1199" s="25"/>
      <c r="T1199" s="8"/>
      <c r="U1199" s="8"/>
      <c r="V1199" s="25"/>
      <c r="W1199" s="25"/>
      <c r="X1199" s="25"/>
      <c r="Y1199" s="25"/>
      <c r="Z1199" s="25"/>
      <c r="AA1199" s="25"/>
      <c r="AB1199" s="25"/>
      <c r="AC1199" s="25"/>
      <c r="AD1199" s="25"/>
    </row>
    <row r="1200" customFormat="false" ht="15.75" hidden="false" customHeight="false" outlineLevel="0" collapsed="false">
      <c r="A1200" s="28" t="s">
        <v>1579</v>
      </c>
      <c r="B1200" s="27" t="s">
        <v>438</v>
      </c>
      <c r="C1200" s="27" t="s">
        <v>308</v>
      </c>
      <c r="D1200" s="25"/>
      <c r="E1200" s="25"/>
      <c r="F1200" s="25"/>
      <c r="G1200" s="25"/>
      <c r="H1200" s="25"/>
      <c r="I1200" s="25"/>
      <c r="J1200" s="27" t="s">
        <v>1545</v>
      </c>
      <c r="K1200" s="25" t="str">
        <f aca="false">IFERROR(__xludf.dummyfunction("SPLIT(J1200,"" "")"),"CIF")</f>
        <v>CIF</v>
      </c>
      <c r="L1200" s="28" t="str">
        <f aca="false">IFERROR(__xludf.dummyfunction("""COMPUTED_VALUE"""),"Malaysia")</f>
        <v>Malaysia</v>
      </c>
      <c r="M1200" s="27" t="str">
        <f aca="false">IFERROR(__xludf.dummyfunction("""COMPUTED_VALUE"""),"(Diff)")</f>
        <v>(Diff)</v>
      </c>
      <c r="N1200" s="25"/>
      <c r="O1200" s="25"/>
      <c r="P1200" s="25"/>
      <c r="Q1200" s="29" t="s">
        <v>358</v>
      </c>
      <c r="R1200" s="8" t="str">
        <f aca="false">B1200&amp;" "&amp;C1200&amp;" "&amp;D1200&amp;" "&amp;E1200&amp;" "&amp;G1200&amp;" "&amp;H1200&amp;" "&amp;J1200&amp;" "&amp;N1200</f>
        <v>Differentials Graphite     CIF Malaysia (Diff) </v>
      </c>
      <c r="S1200" s="25"/>
      <c r="T1200" s="8"/>
      <c r="U1200" s="8"/>
      <c r="V1200" s="25"/>
      <c r="W1200" s="25"/>
      <c r="X1200" s="25"/>
      <c r="Y1200" s="25"/>
      <c r="Z1200" s="25"/>
      <c r="AA1200" s="25"/>
      <c r="AB1200" s="25"/>
      <c r="AC1200" s="25"/>
      <c r="AD1200" s="25"/>
    </row>
    <row r="1201" customFormat="false" ht="15.75" hidden="false" customHeight="false" outlineLevel="0" collapsed="false">
      <c r="A1201" s="28" t="s">
        <v>1580</v>
      </c>
      <c r="B1201" s="27" t="s">
        <v>438</v>
      </c>
      <c r="C1201" s="27" t="s">
        <v>308</v>
      </c>
      <c r="D1201" s="25"/>
      <c r="E1201" s="25"/>
      <c r="F1201" s="25"/>
      <c r="G1201" s="25"/>
      <c r="H1201" s="25"/>
      <c r="I1201" s="25"/>
      <c r="J1201" s="27" t="s">
        <v>1545</v>
      </c>
      <c r="K1201" s="25" t="str">
        <f aca="false">IFERROR(__xludf.dummyfunction("SPLIT(J1201,"" "")"),"CIF")</f>
        <v>CIF</v>
      </c>
      <c r="L1201" s="28" t="str">
        <f aca="false">IFERROR(__xludf.dummyfunction("""COMPUTED_VALUE"""),"Malaysia")</f>
        <v>Malaysia</v>
      </c>
      <c r="M1201" s="27" t="str">
        <f aca="false">IFERROR(__xludf.dummyfunction("""COMPUTED_VALUE"""),"(Diff)")</f>
        <v>(Diff)</v>
      </c>
      <c r="N1201" s="25"/>
      <c r="O1201" s="25"/>
      <c r="P1201" s="25"/>
      <c r="Q1201" s="29" t="s">
        <v>356</v>
      </c>
      <c r="R1201" s="8" t="str">
        <f aca="false">B1201&amp;" "&amp;C1201&amp;" "&amp;D1201&amp;" "&amp;E1201&amp;" "&amp;G1201&amp;" "&amp;H1201&amp;" "&amp;J1201&amp;" "&amp;N1201</f>
        <v>Differentials Graphite     CIF Malaysia (Diff) </v>
      </c>
      <c r="S1201" s="25"/>
      <c r="T1201" s="8"/>
      <c r="U1201" s="8"/>
      <c r="V1201" s="25"/>
      <c r="W1201" s="25"/>
      <c r="X1201" s="25"/>
      <c r="Y1201" s="25"/>
      <c r="Z1201" s="25"/>
      <c r="AA1201" s="25"/>
      <c r="AB1201" s="25"/>
      <c r="AC1201" s="25"/>
      <c r="AD1201" s="25"/>
    </row>
    <row r="1202" customFormat="false" ht="15.75" hidden="false" customHeight="false" outlineLevel="0" collapsed="false">
      <c r="A1202" s="28" t="s">
        <v>1581</v>
      </c>
      <c r="B1202" s="27" t="s">
        <v>438</v>
      </c>
      <c r="C1202" s="27" t="s">
        <v>308</v>
      </c>
      <c r="D1202" s="25"/>
      <c r="E1202" s="25"/>
      <c r="F1202" s="25"/>
      <c r="G1202" s="25"/>
      <c r="H1202" s="25"/>
      <c r="I1202" s="25"/>
      <c r="J1202" s="27" t="s">
        <v>1545</v>
      </c>
      <c r="K1202" s="25" t="str">
        <f aca="false">IFERROR(__xludf.dummyfunction("SPLIT(J1202,"" "")"),"CIF")</f>
        <v>CIF</v>
      </c>
      <c r="L1202" s="28" t="str">
        <f aca="false">IFERROR(__xludf.dummyfunction("""COMPUTED_VALUE"""),"Malaysia")</f>
        <v>Malaysia</v>
      </c>
      <c r="M1202" s="27" t="str">
        <f aca="false">IFERROR(__xludf.dummyfunction("""COMPUTED_VALUE"""),"(Diff)")</f>
        <v>(Diff)</v>
      </c>
      <c r="N1202" s="25"/>
      <c r="O1202" s="25"/>
      <c r="P1202" s="25"/>
      <c r="Q1202" s="29" t="s">
        <v>354</v>
      </c>
      <c r="R1202" s="8" t="str">
        <f aca="false">B1202&amp;" "&amp;C1202&amp;" "&amp;D1202&amp;" "&amp;E1202&amp;" "&amp;G1202&amp;" "&amp;H1202&amp;" "&amp;J1202&amp;" "&amp;N1202</f>
        <v>Differentials Graphite     CIF Malaysia (Diff) </v>
      </c>
      <c r="S1202" s="25"/>
      <c r="T1202" s="8"/>
      <c r="U1202" s="8"/>
      <c r="V1202" s="25"/>
      <c r="W1202" s="25"/>
      <c r="X1202" s="25"/>
      <c r="Y1202" s="25"/>
      <c r="Z1202" s="25"/>
      <c r="AA1202" s="25"/>
      <c r="AB1202" s="25"/>
      <c r="AC1202" s="25"/>
      <c r="AD1202" s="25"/>
    </row>
    <row r="1203" customFormat="false" ht="15.75" hidden="false" customHeight="false" outlineLevel="0" collapsed="false">
      <c r="A1203" s="28" t="s">
        <v>1582</v>
      </c>
      <c r="B1203" s="27" t="s">
        <v>438</v>
      </c>
      <c r="C1203" s="27" t="s">
        <v>308</v>
      </c>
      <c r="D1203" s="25"/>
      <c r="E1203" s="25"/>
      <c r="F1203" s="25"/>
      <c r="G1203" s="25"/>
      <c r="H1203" s="25"/>
      <c r="I1203" s="25"/>
      <c r="J1203" s="27" t="s">
        <v>1545</v>
      </c>
      <c r="K1203" s="25" t="str">
        <f aca="false">IFERROR(__xludf.dummyfunction("SPLIT(J1203,"" "")"),"CIF")</f>
        <v>CIF</v>
      </c>
      <c r="L1203" s="28" t="str">
        <f aca="false">IFERROR(__xludf.dummyfunction("""COMPUTED_VALUE"""),"Malaysia")</f>
        <v>Malaysia</v>
      </c>
      <c r="M1203" s="27" t="str">
        <f aca="false">IFERROR(__xludf.dummyfunction("""COMPUTED_VALUE"""),"(Diff)")</f>
        <v>(Diff)</v>
      </c>
      <c r="N1203" s="25"/>
      <c r="O1203" s="25"/>
      <c r="P1203" s="25"/>
      <c r="Q1203" s="29" t="s">
        <v>352</v>
      </c>
      <c r="R1203" s="8" t="str">
        <f aca="false">B1203&amp;" "&amp;C1203&amp;" "&amp;D1203&amp;" "&amp;E1203&amp;" "&amp;G1203&amp;" "&amp;H1203&amp;" "&amp;J1203&amp;" "&amp;N1203</f>
        <v>Differentials Graphite     CIF Malaysia (Diff) </v>
      </c>
      <c r="S1203" s="25"/>
      <c r="T1203" s="8"/>
      <c r="U1203" s="8"/>
      <c r="V1203" s="25"/>
      <c r="W1203" s="25"/>
      <c r="X1203" s="25"/>
      <c r="Y1203" s="25"/>
      <c r="Z1203" s="25"/>
      <c r="AA1203" s="25"/>
      <c r="AB1203" s="25"/>
      <c r="AC1203" s="25"/>
      <c r="AD1203" s="25"/>
    </row>
    <row r="1204" customFormat="false" ht="15.75" hidden="false" customHeight="false" outlineLevel="0" collapsed="false">
      <c r="A1204" s="28" t="s">
        <v>1583</v>
      </c>
      <c r="B1204" s="27" t="s">
        <v>438</v>
      </c>
      <c r="C1204" s="27" t="s">
        <v>308</v>
      </c>
      <c r="D1204" s="25"/>
      <c r="E1204" s="25"/>
      <c r="F1204" s="25"/>
      <c r="G1204" s="25"/>
      <c r="H1204" s="25"/>
      <c r="I1204" s="25"/>
      <c r="J1204" s="27" t="s">
        <v>1545</v>
      </c>
      <c r="K1204" s="25" t="str">
        <f aca="false">IFERROR(__xludf.dummyfunction("SPLIT(J1204,"" "")"),"CIF")</f>
        <v>CIF</v>
      </c>
      <c r="L1204" s="28" t="str">
        <f aca="false">IFERROR(__xludf.dummyfunction("""COMPUTED_VALUE"""),"Malaysia")</f>
        <v>Malaysia</v>
      </c>
      <c r="M1204" s="27" t="str">
        <f aca="false">IFERROR(__xludf.dummyfunction("""COMPUTED_VALUE"""),"(Diff)")</f>
        <v>(Diff)</v>
      </c>
      <c r="N1204" s="25"/>
      <c r="O1204" s="25"/>
      <c r="P1204" s="25"/>
      <c r="Q1204" s="29" t="s">
        <v>350</v>
      </c>
      <c r="R1204" s="8" t="str">
        <f aca="false">B1204&amp;" "&amp;C1204&amp;" "&amp;D1204&amp;" "&amp;E1204&amp;" "&amp;G1204&amp;" "&amp;H1204&amp;" "&amp;J1204&amp;" "&amp;N1204</f>
        <v>Differentials Graphite     CIF Malaysia (Diff) </v>
      </c>
      <c r="S1204" s="25"/>
      <c r="T1204" s="8"/>
      <c r="U1204" s="8"/>
      <c r="V1204" s="25"/>
      <c r="W1204" s="25"/>
      <c r="X1204" s="25"/>
      <c r="Y1204" s="25"/>
      <c r="Z1204" s="25"/>
      <c r="AA1204" s="25"/>
      <c r="AB1204" s="25"/>
      <c r="AC1204" s="25"/>
      <c r="AD1204" s="25"/>
    </row>
    <row r="1205" customFormat="false" ht="15.75" hidden="false" customHeight="false" outlineLevel="0" collapsed="false">
      <c r="A1205" s="28" t="s">
        <v>1584</v>
      </c>
      <c r="B1205" s="27" t="s">
        <v>438</v>
      </c>
      <c r="C1205" s="27" t="s">
        <v>308</v>
      </c>
      <c r="D1205" s="25"/>
      <c r="E1205" s="25"/>
      <c r="F1205" s="25"/>
      <c r="G1205" s="25"/>
      <c r="H1205" s="25"/>
      <c r="I1205" s="25"/>
      <c r="J1205" s="27" t="s">
        <v>1545</v>
      </c>
      <c r="K1205" s="25" t="str">
        <f aca="false">IFERROR(__xludf.dummyfunction("SPLIT(J1205,"" "")"),"CIF")</f>
        <v>CIF</v>
      </c>
      <c r="L1205" s="28" t="str">
        <f aca="false">IFERROR(__xludf.dummyfunction("""COMPUTED_VALUE"""),"Malaysia")</f>
        <v>Malaysia</v>
      </c>
      <c r="M1205" s="27" t="str">
        <f aca="false">IFERROR(__xludf.dummyfunction("""COMPUTED_VALUE"""),"(Diff)")</f>
        <v>(Diff)</v>
      </c>
      <c r="N1205" s="25"/>
      <c r="O1205" s="25"/>
      <c r="P1205" s="25"/>
      <c r="Q1205" s="29" t="s">
        <v>347</v>
      </c>
      <c r="R1205" s="8" t="str">
        <f aca="false">B1205&amp;" "&amp;C1205&amp;" "&amp;D1205&amp;" "&amp;E1205&amp;" "&amp;G1205&amp;" "&amp;H1205&amp;" "&amp;J1205&amp;" "&amp;N1205</f>
        <v>Differentials Graphite     CIF Malaysia (Diff) </v>
      </c>
      <c r="S1205" s="25"/>
      <c r="T1205" s="8"/>
      <c r="U1205" s="8"/>
      <c r="V1205" s="25"/>
      <c r="W1205" s="25"/>
      <c r="X1205" s="25"/>
      <c r="Y1205" s="25"/>
      <c r="Z1205" s="25"/>
      <c r="AA1205" s="25"/>
      <c r="AB1205" s="25"/>
      <c r="AC1205" s="25"/>
      <c r="AD1205" s="25"/>
    </row>
    <row r="1206" customFormat="false" ht="15.75" hidden="false" customHeight="false" outlineLevel="0" collapsed="false">
      <c r="A1206" s="28" t="s">
        <v>1585</v>
      </c>
      <c r="B1206" s="27" t="s">
        <v>438</v>
      </c>
      <c r="C1206" s="27" t="s">
        <v>308</v>
      </c>
      <c r="D1206" s="25"/>
      <c r="E1206" s="25"/>
      <c r="F1206" s="25"/>
      <c r="G1206" s="25"/>
      <c r="H1206" s="25"/>
      <c r="I1206" s="25"/>
      <c r="J1206" s="27" t="s">
        <v>1545</v>
      </c>
      <c r="K1206" s="25" t="str">
        <f aca="false">IFERROR(__xludf.dummyfunction("SPLIT(J1206,"" "")"),"CIF")</f>
        <v>CIF</v>
      </c>
      <c r="L1206" s="28" t="str">
        <f aca="false">IFERROR(__xludf.dummyfunction("""COMPUTED_VALUE"""),"Malaysia")</f>
        <v>Malaysia</v>
      </c>
      <c r="M1206" s="27" t="str">
        <f aca="false">IFERROR(__xludf.dummyfunction("""COMPUTED_VALUE"""),"(Diff)")</f>
        <v>(Diff)</v>
      </c>
      <c r="N1206" s="25"/>
      <c r="O1206" s="25"/>
      <c r="P1206" s="25"/>
      <c r="Q1206" s="29" t="s">
        <v>344</v>
      </c>
      <c r="R1206" s="8" t="str">
        <f aca="false">B1206&amp;" "&amp;C1206&amp;" "&amp;D1206&amp;" "&amp;E1206&amp;" "&amp;G1206&amp;" "&amp;H1206&amp;" "&amp;J1206&amp;" "&amp;N1206</f>
        <v>Differentials Graphite     CIF Malaysia (Diff) </v>
      </c>
      <c r="S1206" s="25"/>
      <c r="T1206" s="8"/>
      <c r="U1206" s="8"/>
      <c r="V1206" s="25"/>
      <c r="W1206" s="25"/>
      <c r="X1206" s="25"/>
      <c r="Y1206" s="25"/>
      <c r="Z1206" s="25"/>
      <c r="AA1206" s="25"/>
      <c r="AB1206" s="25"/>
      <c r="AC1206" s="25"/>
      <c r="AD1206" s="25"/>
    </row>
    <row r="1207" customFormat="false" ht="15.75" hidden="false" customHeight="false" outlineLevel="0" collapsed="false">
      <c r="A1207" s="28" t="s">
        <v>1586</v>
      </c>
      <c r="B1207" s="27" t="s">
        <v>438</v>
      </c>
      <c r="C1207" s="27" t="s">
        <v>308</v>
      </c>
      <c r="D1207" s="25"/>
      <c r="E1207" s="25"/>
      <c r="F1207" s="25"/>
      <c r="G1207" s="25"/>
      <c r="H1207" s="25"/>
      <c r="I1207" s="25"/>
      <c r="J1207" s="27" t="s">
        <v>1545</v>
      </c>
      <c r="K1207" s="25" t="str">
        <f aca="false">IFERROR(__xludf.dummyfunction("SPLIT(J1207,"" "")"),"CIF")</f>
        <v>CIF</v>
      </c>
      <c r="L1207" s="28" t="str">
        <f aca="false">IFERROR(__xludf.dummyfunction("""COMPUTED_VALUE"""),"Malaysia")</f>
        <v>Malaysia</v>
      </c>
      <c r="M1207" s="27" t="str">
        <f aca="false">IFERROR(__xludf.dummyfunction("""COMPUTED_VALUE"""),"(Diff)")</f>
        <v>(Diff)</v>
      </c>
      <c r="N1207" s="25"/>
      <c r="O1207" s="25"/>
      <c r="P1207" s="25"/>
      <c r="Q1207" s="29" t="s">
        <v>340</v>
      </c>
      <c r="R1207" s="8" t="str">
        <f aca="false">B1207&amp;" "&amp;C1207&amp;" "&amp;D1207&amp;" "&amp;E1207&amp;" "&amp;G1207&amp;" "&amp;H1207&amp;" "&amp;J1207&amp;" "&amp;N1207</f>
        <v>Differentials Graphite     CIF Malaysia (Diff) </v>
      </c>
      <c r="S1207" s="25"/>
      <c r="T1207" s="8"/>
      <c r="U1207" s="8"/>
      <c r="V1207" s="25"/>
      <c r="W1207" s="25"/>
      <c r="X1207" s="25"/>
      <c r="Y1207" s="25"/>
      <c r="Z1207" s="25"/>
      <c r="AA1207" s="25"/>
      <c r="AB1207" s="25"/>
      <c r="AC1207" s="25"/>
      <c r="AD1207" s="25"/>
    </row>
    <row r="1208" customFormat="false" ht="15.75" hidden="false" customHeight="false" outlineLevel="0" collapsed="false">
      <c r="A1208" s="28" t="s">
        <v>1587</v>
      </c>
      <c r="B1208" s="27" t="s">
        <v>438</v>
      </c>
      <c r="C1208" s="27" t="s">
        <v>308</v>
      </c>
      <c r="D1208" s="25"/>
      <c r="E1208" s="25"/>
      <c r="F1208" s="25"/>
      <c r="G1208" s="25"/>
      <c r="H1208" s="25"/>
      <c r="I1208" s="25"/>
      <c r="J1208" s="27" t="s">
        <v>1545</v>
      </c>
      <c r="K1208" s="25" t="str">
        <f aca="false">IFERROR(__xludf.dummyfunction("SPLIT(J1208,"" "")"),"CIF")</f>
        <v>CIF</v>
      </c>
      <c r="L1208" s="28" t="str">
        <f aca="false">IFERROR(__xludf.dummyfunction("""COMPUTED_VALUE"""),"Malaysia")</f>
        <v>Malaysia</v>
      </c>
      <c r="M1208" s="27" t="str">
        <f aca="false">IFERROR(__xludf.dummyfunction("""COMPUTED_VALUE"""),"(Diff)")</f>
        <v>(Diff)</v>
      </c>
      <c r="N1208" s="25"/>
      <c r="O1208" s="25"/>
      <c r="P1208" s="25"/>
      <c r="Q1208" s="29" t="s">
        <v>338</v>
      </c>
      <c r="R1208" s="8" t="str">
        <f aca="false">B1208&amp;" "&amp;C1208&amp;" "&amp;D1208&amp;" "&amp;E1208&amp;" "&amp;G1208&amp;" "&amp;H1208&amp;" "&amp;J1208&amp;" "&amp;N1208</f>
        <v>Differentials Graphite     CIF Malaysia (Diff) </v>
      </c>
      <c r="S1208" s="25"/>
      <c r="T1208" s="8"/>
      <c r="U1208" s="8"/>
      <c r="V1208" s="25"/>
      <c r="W1208" s="25"/>
      <c r="X1208" s="25"/>
      <c r="Y1208" s="25"/>
      <c r="Z1208" s="25"/>
      <c r="AA1208" s="25"/>
      <c r="AB1208" s="25"/>
      <c r="AC1208" s="25"/>
      <c r="AD1208" s="25"/>
    </row>
    <row r="1209" customFormat="false" ht="15.75" hidden="false" customHeight="false" outlineLevel="0" collapsed="false">
      <c r="A1209" s="28" t="s">
        <v>1588</v>
      </c>
      <c r="B1209" s="27" t="s">
        <v>438</v>
      </c>
      <c r="C1209" s="27" t="s">
        <v>308</v>
      </c>
      <c r="D1209" s="25"/>
      <c r="E1209" s="25"/>
      <c r="F1209" s="25"/>
      <c r="G1209" s="25"/>
      <c r="H1209" s="25"/>
      <c r="I1209" s="25"/>
      <c r="J1209" s="27" t="s">
        <v>1545</v>
      </c>
      <c r="K1209" s="25" t="str">
        <f aca="false">IFERROR(__xludf.dummyfunction("SPLIT(J1209,"" "")"),"CIF")</f>
        <v>CIF</v>
      </c>
      <c r="L1209" s="28" t="str">
        <f aca="false">IFERROR(__xludf.dummyfunction("""COMPUTED_VALUE"""),"Malaysia")</f>
        <v>Malaysia</v>
      </c>
      <c r="M1209" s="27" t="str">
        <f aca="false">IFERROR(__xludf.dummyfunction("""COMPUTED_VALUE"""),"(Diff)")</f>
        <v>(Diff)</v>
      </c>
      <c r="N1209" s="25"/>
      <c r="O1209" s="25"/>
      <c r="P1209" s="25"/>
      <c r="Q1209" s="29" t="s">
        <v>335</v>
      </c>
      <c r="R1209" s="8" t="str">
        <f aca="false">B1209&amp;" "&amp;C1209&amp;" "&amp;D1209&amp;" "&amp;E1209&amp;" "&amp;G1209&amp;" "&amp;H1209&amp;" "&amp;J1209&amp;" "&amp;N1209</f>
        <v>Differentials Graphite     CIF Malaysia (Diff) </v>
      </c>
      <c r="S1209" s="25"/>
      <c r="T1209" s="8"/>
      <c r="U1209" s="8"/>
      <c r="V1209" s="25"/>
      <c r="W1209" s="25"/>
      <c r="X1209" s="25"/>
      <c r="Y1209" s="25"/>
      <c r="Z1209" s="25"/>
      <c r="AA1209" s="25"/>
      <c r="AB1209" s="25"/>
      <c r="AC1209" s="25"/>
      <c r="AD1209" s="25"/>
    </row>
    <row r="1210" customFormat="false" ht="15.75" hidden="false" customHeight="false" outlineLevel="0" collapsed="false">
      <c r="A1210" s="28" t="s">
        <v>1589</v>
      </c>
      <c r="B1210" s="27" t="s">
        <v>438</v>
      </c>
      <c r="C1210" s="27" t="s">
        <v>308</v>
      </c>
      <c r="D1210" s="25"/>
      <c r="E1210" s="25"/>
      <c r="F1210" s="25"/>
      <c r="G1210" s="25"/>
      <c r="H1210" s="25"/>
      <c r="I1210" s="25"/>
      <c r="J1210" s="27" t="s">
        <v>1545</v>
      </c>
      <c r="K1210" s="25" t="str">
        <f aca="false">IFERROR(__xludf.dummyfunction("SPLIT(J1210,"" "")"),"CIF")</f>
        <v>CIF</v>
      </c>
      <c r="L1210" s="28" t="str">
        <f aca="false">IFERROR(__xludf.dummyfunction("""COMPUTED_VALUE"""),"Malaysia")</f>
        <v>Malaysia</v>
      </c>
      <c r="M1210" s="27" t="str">
        <f aca="false">IFERROR(__xludf.dummyfunction("""COMPUTED_VALUE"""),"(Diff)")</f>
        <v>(Diff)</v>
      </c>
      <c r="N1210" s="25"/>
      <c r="O1210" s="25"/>
      <c r="P1210" s="25"/>
      <c r="Q1210" s="29" t="s">
        <v>332</v>
      </c>
      <c r="R1210" s="8" t="str">
        <f aca="false">B1210&amp;" "&amp;C1210&amp;" "&amp;D1210&amp;" "&amp;E1210&amp;" "&amp;G1210&amp;" "&amp;H1210&amp;" "&amp;J1210&amp;" "&amp;N1210</f>
        <v>Differentials Graphite     CIF Malaysia (Diff) </v>
      </c>
      <c r="S1210" s="25"/>
      <c r="T1210" s="8"/>
      <c r="U1210" s="8"/>
      <c r="V1210" s="25"/>
      <c r="W1210" s="25"/>
      <c r="X1210" s="25"/>
      <c r="Y1210" s="25"/>
      <c r="Z1210" s="25"/>
      <c r="AA1210" s="25"/>
      <c r="AB1210" s="25"/>
      <c r="AC1210" s="25"/>
      <c r="AD1210" s="25"/>
    </row>
    <row r="1211" customFormat="false" ht="15.75" hidden="false" customHeight="false" outlineLevel="0" collapsed="false">
      <c r="A1211" s="28" t="s">
        <v>1590</v>
      </c>
      <c r="B1211" s="27" t="s">
        <v>438</v>
      </c>
      <c r="C1211" s="27" t="s">
        <v>308</v>
      </c>
      <c r="D1211" s="25"/>
      <c r="E1211" s="25"/>
      <c r="F1211" s="25"/>
      <c r="G1211" s="25"/>
      <c r="H1211" s="25"/>
      <c r="I1211" s="25"/>
      <c r="J1211" s="27" t="s">
        <v>1545</v>
      </c>
      <c r="K1211" s="25" t="str">
        <f aca="false">IFERROR(__xludf.dummyfunction("SPLIT(J1211,"" "")"),"CIF")</f>
        <v>CIF</v>
      </c>
      <c r="L1211" s="28" t="str">
        <f aca="false">IFERROR(__xludf.dummyfunction("""COMPUTED_VALUE"""),"Malaysia")</f>
        <v>Malaysia</v>
      </c>
      <c r="M1211" s="27" t="str">
        <f aca="false">IFERROR(__xludf.dummyfunction("""COMPUTED_VALUE"""),"(Diff)")</f>
        <v>(Diff)</v>
      </c>
      <c r="N1211" s="25"/>
      <c r="O1211" s="25"/>
      <c r="P1211" s="25"/>
      <c r="Q1211" s="29" t="s">
        <v>329</v>
      </c>
      <c r="R1211" s="8" t="str">
        <f aca="false">B1211&amp;" "&amp;C1211&amp;" "&amp;D1211&amp;" "&amp;E1211&amp;" "&amp;G1211&amp;" "&amp;H1211&amp;" "&amp;J1211&amp;" "&amp;N1211</f>
        <v>Differentials Graphite     CIF Malaysia (Diff) </v>
      </c>
      <c r="S1211" s="25"/>
      <c r="T1211" s="8"/>
      <c r="U1211" s="8"/>
      <c r="V1211" s="25"/>
      <c r="W1211" s="25"/>
      <c r="X1211" s="25"/>
      <c r="Y1211" s="25"/>
      <c r="Z1211" s="25"/>
      <c r="AA1211" s="25"/>
      <c r="AB1211" s="25"/>
      <c r="AC1211" s="25"/>
      <c r="AD1211" s="25"/>
    </row>
    <row r="1212" customFormat="false" ht="15.75" hidden="false" customHeight="false" outlineLevel="0" collapsed="false">
      <c r="A1212" s="28" t="s">
        <v>1591</v>
      </c>
      <c r="B1212" s="27" t="s">
        <v>438</v>
      </c>
      <c r="C1212" s="27" t="s">
        <v>308</v>
      </c>
      <c r="D1212" s="25"/>
      <c r="E1212" s="25"/>
      <c r="F1212" s="25"/>
      <c r="G1212" s="25"/>
      <c r="H1212" s="25"/>
      <c r="I1212" s="25"/>
      <c r="J1212" s="27" t="s">
        <v>1545</v>
      </c>
      <c r="K1212" s="25" t="str">
        <f aca="false">IFERROR(__xludf.dummyfunction("SPLIT(J1212,"" "")"),"CIF")</f>
        <v>CIF</v>
      </c>
      <c r="L1212" s="28" t="str">
        <f aca="false">IFERROR(__xludf.dummyfunction("""COMPUTED_VALUE"""),"Malaysia")</f>
        <v>Malaysia</v>
      </c>
      <c r="M1212" s="27" t="str">
        <f aca="false">IFERROR(__xludf.dummyfunction("""COMPUTED_VALUE"""),"(Diff)")</f>
        <v>(Diff)</v>
      </c>
      <c r="N1212" s="25"/>
      <c r="O1212" s="25"/>
      <c r="P1212" s="25"/>
      <c r="Q1212" s="29" t="s">
        <v>326</v>
      </c>
      <c r="R1212" s="8" t="str">
        <f aca="false">B1212&amp;" "&amp;C1212&amp;" "&amp;D1212&amp;" "&amp;E1212&amp;" "&amp;G1212&amp;" "&amp;H1212&amp;" "&amp;J1212&amp;" "&amp;N1212</f>
        <v>Differentials Graphite     CIF Malaysia (Diff) </v>
      </c>
      <c r="S1212" s="25"/>
      <c r="T1212" s="8"/>
      <c r="U1212" s="8"/>
      <c r="V1212" s="25"/>
      <c r="W1212" s="25"/>
      <c r="X1212" s="25"/>
      <c r="Y1212" s="25"/>
      <c r="Z1212" s="25"/>
      <c r="AA1212" s="25"/>
      <c r="AB1212" s="25"/>
      <c r="AC1212" s="25"/>
      <c r="AD1212" s="25"/>
    </row>
    <row r="1213" customFormat="false" ht="15.75" hidden="false" customHeight="false" outlineLevel="0" collapsed="false">
      <c r="A1213" s="28" t="s">
        <v>1592</v>
      </c>
      <c r="B1213" s="27" t="s">
        <v>438</v>
      </c>
      <c r="C1213" s="27" t="s">
        <v>308</v>
      </c>
      <c r="D1213" s="25"/>
      <c r="E1213" s="25"/>
      <c r="F1213" s="25"/>
      <c r="G1213" s="25"/>
      <c r="H1213" s="25"/>
      <c r="I1213" s="25"/>
      <c r="J1213" s="27" t="s">
        <v>1545</v>
      </c>
      <c r="K1213" s="25" t="str">
        <f aca="false">IFERROR(__xludf.dummyfunction("SPLIT(J1213,"" "")"),"CIF")</f>
        <v>CIF</v>
      </c>
      <c r="L1213" s="28" t="str">
        <f aca="false">IFERROR(__xludf.dummyfunction("""COMPUTED_VALUE"""),"Malaysia")</f>
        <v>Malaysia</v>
      </c>
      <c r="M1213" s="27" t="str">
        <f aca="false">IFERROR(__xludf.dummyfunction("""COMPUTED_VALUE"""),"(Diff)")</f>
        <v>(Diff)</v>
      </c>
      <c r="N1213" s="25"/>
      <c r="O1213" s="25"/>
      <c r="P1213" s="25"/>
      <c r="Q1213" s="29" t="s">
        <v>323</v>
      </c>
      <c r="R1213" s="8" t="str">
        <f aca="false">B1213&amp;" "&amp;C1213&amp;" "&amp;D1213&amp;" "&amp;E1213&amp;" "&amp;G1213&amp;" "&amp;H1213&amp;" "&amp;J1213&amp;" "&amp;N1213</f>
        <v>Differentials Graphite     CIF Malaysia (Diff) </v>
      </c>
      <c r="S1213" s="25"/>
      <c r="T1213" s="8"/>
      <c r="U1213" s="8"/>
      <c r="V1213" s="25"/>
      <c r="W1213" s="25"/>
      <c r="X1213" s="25"/>
      <c r="Y1213" s="25"/>
      <c r="Z1213" s="25"/>
      <c r="AA1213" s="25"/>
      <c r="AB1213" s="25"/>
      <c r="AC1213" s="25"/>
      <c r="AD1213" s="25"/>
    </row>
    <row r="1214" customFormat="false" ht="15.75" hidden="false" customHeight="false" outlineLevel="0" collapsed="false">
      <c r="A1214" s="28" t="s">
        <v>1593</v>
      </c>
      <c r="B1214" s="27" t="s">
        <v>438</v>
      </c>
      <c r="C1214" s="27" t="s">
        <v>308</v>
      </c>
      <c r="D1214" s="25"/>
      <c r="E1214" s="25"/>
      <c r="F1214" s="25"/>
      <c r="G1214" s="25"/>
      <c r="H1214" s="25"/>
      <c r="I1214" s="25"/>
      <c r="J1214" s="27" t="s">
        <v>1545</v>
      </c>
      <c r="K1214" s="25" t="str">
        <f aca="false">IFERROR(__xludf.dummyfunction("SPLIT(J1214,"" "")"),"CIF")</f>
        <v>CIF</v>
      </c>
      <c r="L1214" s="28" t="str">
        <f aca="false">IFERROR(__xludf.dummyfunction("""COMPUTED_VALUE"""),"Malaysia")</f>
        <v>Malaysia</v>
      </c>
      <c r="M1214" s="27" t="str">
        <f aca="false">IFERROR(__xludf.dummyfunction("""COMPUTED_VALUE"""),"(Diff)")</f>
        <v>(Diff)</v>
      </c>
      <c r="N1214" s="25"/>
      <c r="O1214" s="25"/>
      <c r="P1214" s="25"/>
      <c r="Q1214" s="29" t="s">
        <v>319</v>
      </c>
      <c r="R1214" s="8" t="str">
        <f aca="false">B1214&amp;" "&amp;C1214&amp;" "&amp;D1214&amp;" "&amp;E1214&amp;" "&amp;G1214&amp;" "&amp;H1214&amp;" "&amp;J1214&amp;" "&amp;N1214</f>
        <v>Differentials Graphite     CIF Malaysia (Diff) </v>
      </c>
      <c r="S1214" s="25"/>
      <c r="T1214" s="8"/>
      <c r="U1214" s="8"/>
      <c r="V1214" s="25"/>
      <c r="W1214" s="25"/>
      <c r="X1214" s="25"/>
      <c r="Y1214" s="25"/>
      <c r="Z1214" s="25"/>
      <c r="AA1214" s="25"/>
      <c r="AB1214" s="25"/>
      <c r="AC1214" s="25"/>
      <c r="AD1214" s="25"/>
    </row>
    <row r="1215" customFormat="false" ht="15.75" hidden="false" customHeight="false" outlineLevel="0" collapsed="false">
      <c r="A1215" s="28" t="s">
        <v>1594</v>
      </c>
      <c r="B1215" s="27" t="s">
        <v>438</v>
      </c>
      <c r="C1215" s="27" t="s">
        <v>308</v>
      </c>
      <c r="D1215" s="25"/>
      <c r="E1215" s="25"/>
      <c r="F1215" s="25"/>
      <c r="G1215" s="25"/>
      <c r="H1215" s="25"/>
      <c r="I1215" s="25"/>
      <c r="J1215" s="27" t="s">
        <v>1545</v>
      </c>
      <c r="K1215" s="25" t="str">
        <f aca="false">IFERROR(__xludf.dummyfunction("SPLIT(J1215,"" "")"),"CIF")</f>
        <v>CIF</v>
      </c>
      <c r="L1215" s="28" t="str">
        <f aca="false">IFERROR(__xludf.dummyfunction("""COMPUTED_VALUE"""),"Malaysia")</f>
        <v>Malaysia</v>
      </c>
      <c r="M1215" s="27" t="str">
        <f aca="false">IFERROR(__xludf.dummyfunction("""COMPUTED_VALUE"""),"(Diff)")</f>
        <v>(Diff)</v>
      </c>
      <c r="N1215" s="25"/>
      <c r="O1215" s="25"/>
      <c r="P1215" s="25"/>
      <c r="Q1215" s="29" t="s">
        <v>315</v>
      </c>
      <c r="R1215" s="8" t="str">
        <f aca="false">B1215&amp;" "&amp;C1215&amp;" "&amp;D1215&amp;" "&amp;E1215&amp;" "&amp;G1215&amp;" "&amp;H1215&amp;" "&amp;J1215&amp;" "&amp;N1215</f>
        <v>Differentials Graphite     CIF Malaysia (Diff) </v>
      </c>
      <c r="S1215" s="25"/>
      <c r="T1215" s="8"/>
      <c r="U1215" s="8"/>
      <c r="V1215" s="25"/>
      <c r="W1215" s="25"/>
      <c r="X1215" s="25"/>
      <c r="Y1215" s="25"/>
      <c r="Z1215" s="25"/>
      <c r="AA1215" s="25"/>
      <c r="AB1215" s="25"/>
      <c r="AC1215" s="25"/>
      <c r="AD1215" s="25"/>
    </row>
    <row r="1216" customFormat="false" ht="15.75" hidden="false" customHeight="false" outlineLevel="0" collapsed="false">
      <c r="A1216" s="28" t="s">
        <v>1595</v>
      </c>
      <c r="B1216" s="27" t="s">
        <v>438</v>
      </c>
      <c r="C1216" s="27" t="s">
        <v>308</v>
      </c>
      <c r="D1216" s="25"/>
      <c r="E1216" s="25"/>
      <c r="F1216" s="25"/>
      <c r="G1216" s="25"/>
      <c r="H1216" s="25"/>
      <c r="I1216" s="25"/>
      <c r="J1216" s="27" t="s">
        <v>1545</v>
      </c>
      <c r="K1216" s="25" t="str">
        <f aca="false">IFERROR(__xludf.dummyfunction("SPLIT(J1216,"" "")"),"CIF")</f>
        <v>CIF</v>
      </c>
      <c r="L1216" s="28" t="str">
        <f aca="false">IFERROR(__xludf.dummyfunction("""COMPUTED_VALUE"""),"Malaysia")</f>
        <v>Malaysia</v>
      </c>
      <c r="M1216" s="27" t="str">
        <f aca="false">IFERROR(__xludf.dummyfunction("""COMPUTED_VALUE"""),"(Diff)")</f>
        <v>(Diff)</v>
      </c>
      <c r="N1216" s="25"/>
      <c r="O1216" s="25"/>
      <c r="P1216" s="25"/>
      <c r="Q1216" s="29" t="s">
        <v>311</v>
      </c>
      <c r="R1216" s="8" t="str">
        <f aca="false">B1216&amp;" "&amp;C1216&amp;" "&amp;D1216&amp;" "&amp;E1216&amp;" "&amp;G1216&amp;" "&amp;H1216&amp;" "&amp;J1216&amp;" "&amp;N1216</f>
        <v>Differentials Graphite     CIF Malaysia (Diff) </v>
      </c>
      <c r="S1216" s="25"/>
      <c r="T1216" s="8"/>
      <c r="U1216" s="8"/>
      <c r="V1216" s="25"/>
      <c r="W1216" s="25"/>
      <c r="X1216" s="25"/>
      <c r="Y1216" s="25"/>
      <c r="Z1216" s="25"/>
      <c r="AA1216" s="25"/>
      <c r="AB1216" s="25"/>
      <c r="AC1216" s="25"/>
      <c r="AD1216" s="25"/>
    </row>
    <row r="1217" customFormat="false" ht="15.75" hidden="false" customHeight="false" outlineLevel="0" collapsed="false">
      <c r="A1217" s="28" t="s">
        <v>1596</v>
      </c>
      <c r="B1217" s="27" t="s">
        <v>438</v>
      </c>
      <c r="C1217" s="27" t="s">
        <v>417</v>
      </c>
      <c r="D1217" s="25"/>
      <c r="E1217" s="25"/>
      <c r="F1217" s="25"/>
      <c r="G1217" s="25"/>
      <c r="H1217" s="25"/>
      <c r="I1217" s="25"/>
      <c r="J1217" s="27" t="s">
        <v>1545</v>
      </c>
      <c r="K1217" s="25" t="str">
        <f aca="false">IFERROR(__xludf.dummyfunction("SPLIT(J1217,"" "")"),"CIF")</f>
        <v>CIF</v>
      </c>
      <c r="L1217" s="28" t="str">
        <f aca="false">IFERROR(__xludf.dummyfunction("""COMPUTED_VALUE"""),"Malaysia")</f>
        <v>Malaysia</v>
      </c>
      <c r="M1217" s="27" t="str">
        <f aca="false">IFERROR(__xludf.dummyfunction("""COMPUTED_VALUE"""),"(Diff)")</f>
        <v>(Diff)</v>
      </c>
      <c r="N1217" s="25"/>
      <c r="O1217" s="25"/>
      <c r="P1217" s="25"/>
      <c r="Q1217" s="29" t="s">
        <v>436</v>
      </c>
      <c r="R1217" s="8" t="str">
        <f aca="false">B1217&amp;" "&amp;C1217&amp;" "&amp;D1217&amp;" "&amp;E1217&amp;" "&amp;G1217&amp;" "&amp;H1217&amp;" "&amp;J1217&amp;" "&amp;N1217</f>
        <v>Differentials Solvent     CIF Malaysia (Diff) </v>
      </c>
      <c r="S1217" s="25"/>
      <c r="T1217" s="8"/>
      <c r="U1217" s="8"/>
      <c r="V1217" s="25"/>
      <c r="W1217" s="25"/>
      <c r="X1217" s="25"/>
      <c r="Y1217" s="25"/>
      <c r="Z1217" s="25"/>
      <c r="AA1217" s="25"/>
      <c r="AB1217" s="25"/>
      <c r="AC1217" s="25"/>
      <c r="AD1217" s="25"/>
    </row>
    <row r="1218" customFormat="false" ht="15.75" hidden="false" customHeight="false" outlineLevel="0" collapsed="false">
      <c r="A1218" s="28" t="s">
        <v>1597</v>
      </c>
      <c r="B1218" s="27" t="s">
        <v>438</v>
      </c>
      <c r="C1218" s="27" t="s">
        <v>417</v>
      </c>
      <c r="D1218" s="25"/>
      <c r="E1218" s="25"/>
      <c r="F1218" s="25"/>
      <c r="G1218" s="25"/>
      <c r="H1218" s="25"/>
      <c r="I1218" s="25"/>
      <c r="J1218" s="27" t="s">
        <v>1545</v>
      </c>
      <c r="K1218" s="25" t="str">
        <f aca="false">IFERROR(__xludf.dummyfunction("SPLIT(J1218,"" "")"),"CIF")</f>
        <v>CIF</v>
      </c>
      <c r="L1218" s="28" t="str">
        <f aca="false">IFERROR(__xludf.dummyfunction("""COMPUTED_VALUE"""),"Malaysia")</f>
        <v>Malaysia</v>
      </c>
      <c r="M1218" s="27" t="str">
        <f aca="false">IFERROR(__xludf.dummyfunction("""COMPUTED_VALUE"""),"(Diff)")</f>
        <v>(Diff)</v>
      </c>
      <c r="N1218" s="25"/>
      <c r="O1218" s="25"/>
      <c r="P1218" s="25"/>
      <c r="Q1218" s="29" t="s">
        <v>434</v>
      </c>
      <c r="R1218" s="8" t="str">
        <f aca="false">B1218&amp;" "&amp;C1218&amp;" "&amp;D1218&amp;" "&amp;E1218&amp;" "&amp;G1218&amp;" "&amp;H1218&amp;" "&amp;J1218&amp;" "&amp;N1218</f>
        <v>Differentials Solvent     CIF Malaysia (Diff) </v>
      </c>
      <c r="S1218" s="25"/>
      <c r="T1218" s="8"/>
      <c r="U1218" s="8"/>
      <c r="V1218" s="25"/>
      <c r="W1218" s="25"/>
      <c r="X1218" s="25"/>
      <c r="Y1218" s="25"/>
      <c r="Z1218" s="25"/>
      <c r="AA1218" s="25"/>
      <c r="AB1218" s="25"/>
      <c r="AC1218" s="25"/>
      <c r="AD1218" s="25"/>
    </row>
    <row r="1219" customFormat="false" ht="15.75" hidden="false" customHeight="false" outlineLevel="0" collapsed="false">
      <c r="A1219" s="28" t="s">
        <v>1598</v>
      </c>
      <c r="B1219" s="27" t="s">
        <v>438</v>
      </c>
      <c r="C1219" s="27" t="s">
        <v>417</v>
      </c>
      <c r="D1219" s="25"/>
      <c r="E1219" s="25"/>
      <c r="F1219" s="25"/>
      <c r="G1219" s="25"/>
      <c r="H1219" s="25"/>
      <c r="I1219" s="25"/>
      <c r="J1219" s="27" t="s">
        <v>1545</v>
      </c>
      <c r="K1219" s="25" t="str">
        <f aca="false">IFERROR(__xludf.dummyfunction("SPLIT(J1219,"" "")"),"CIF")</f>
        <v>CIF</v>
      </c>
      <c r="L1219" s="28" t="str">
        <f aca="false">IFERROR(__xludf.dummyfunction("""COMPUTED_VALUE"""),"Malaysia")</f>
        <v>Malaysia</v>
      </c>
      <c r="M1219" s="27" t="str">
        <f aca="false">IFERROR(__xludf.dummyfunction("""COMPUTED_VALUE"""),"(Diff)")</f>
        <v>(Diff)</v>
      </c>
      <c r="N1219" s="25"/>
      <c r="O1219" s="25"/>
      <c r="P1219" s="25"/>
      <c r="Q1219" s="29" t="s">
        <v>432</v>
      </c>
      <c r="R1219" s="8" t="str">
        <f aca="false">B1219&amp;" "&amp;C1219&amp;" "&amp;D1219&amp;" "&amp;E1219&amp;" "&amp;G1219&amp;" "&amp;H1219&amp;" "&amp;J1219&amp;" "&amp;N1219</f>
        <v>Differentials Solvent     CIF Malaysia (Diff) </v>
      </c>
      <c r="S1219" s="25"/>
      <c r="T1219" s="8"/>
      <c r="U1219" s="8"/>
      <c r="V1219" s="25"/>
      <c r="W1219" s="25"/>
      <c r="X1219" s="25"/>
      <c r="Y1219" s="25"/>
      <c r="Z1219" s="25"/>
      <c r="AA1219" s="25"/>
      <c r="AB1219" s="25"/>
      <c r="AC1219" s="25"/>
      <c r="AD1219" s="25"/>
    </row>
    <row r="1220" customFormat="false" ht="15.75" hidden="false" customHeight="false" outlineLevel="0" collapsed="false">
      <c r="A1220" s="28" t="s">
        <v>1599</v>
      </c>
      <c r="B1220" s="27" t="s">
        <v>438</v>
      </c>
      <c r="C1220" s="27" t="s">
        <v>417</v>
      </c>
      <c r="D1220" s="25"/>
      <c r="E1220" s="25"/>
      <c r="F1220" s="25"/>
      <c r="G1220" s="25"/>
      <c r="H1220" s="25"/>
      <c r="I1220" s="25"/>
      <c r="J1220" s="27" t="s">
        <v>1545</v>
      </c>
      <c r="K1220" s="25" t="str">
        <f aca="false">IFERROR(__xludf.dummyfunction("SPLIT(J1220,"" "")"),"CIF")</f>
        <v>CIF</v>
      </c>
      <c r="L1220" s="28" t="str">
        <f aca="false">IFERROR(__xludf.dummyfunction("""COMPUTED_VALUE"""),"Malaysia")</f>
        <v>Malaysia</v>
      </c>
      <c r="M1220" s="27" t="str">
        <f aca="false">IFERROR(__xludf.dummyfunction("""COMPUTED_VALUE"""),"(Diff)")</f>
        <v>(Diff)</v>
      </c>
      <c r="N1220" s="25"/>
      <c r="O1220" s="25"/>
      <c r="P1220" s="25"/>
      <c r="Q1220" s="29" t="s">
        <v>430</v>
      </c>
      <c r="R1220" s="8" t="str">
        <f aca="false">B1220&amp;" "&amp;C1220&amp;" "&amp;D1220&amp;" "&amp;E1220&amp;" "&amp;G1220&amp;" "&amp;H1220&amp;" "&amp;J1220&amp;" "&amp;N1220</f>
        <v>Differentials Solvent     CIF Malaysia (Diff) </v>
      </c>
      <c r="S1220" s="25"/>
      <c r="T1220" s="8"/>
      <c r="U1220" s="8"/>
      <c r="V1220" s="25"/>
      <c r="W1220" s="25"/>
      <c r="X1220" s="25"/>
      <c r="Y1220" s="25"/>
      <c r="Z1220" s="25"/>
      <c r="AA1220" s="25"/>
      <c r="AB1220" s="25"/>
      <c r="AC1220" s="25"/>
      <c r="AD1220" s="25"/>
    </row>
    <row r="1221" customFormat="false" ht="15.75" hidden="false" customHeight="false" outlineLevel="0" collapsed="false">
      <c r="A1221" s="28" t="s">
        <v>1600</v>
      </c>
      <c r="B1221" s="27" t="s">
        <v>438</v>
      </c>
      <c r="C1221" s="27" t="s">
        <v>417</v>
      </c>
      <c r="D1221" s="25"/>
      <c r="E1221" s="25"/>
      <c r="F1221" s="25"/>
      <c r="G1221" s="25"/>
      <c r="H1221" s="25"/>
      <c r="I1221" s="25"/>
      <c r="J1221" s="27" t="s">
        <v>1545</v>
      </c>
      <c r="K1221" s="25" t="str">
        <f aca="false">IFERROR(__xludf.dummyfunction("SPLIT(J1221,"" "")"),"CIF")</f>
        <v>CIF</v>
      </c>
      <c r="L1221" s="28" t="str">
        <f aca="false">IFERROR(__xludf.dummyfunction("""COMPUTED_VALUE"""),"Malaysia")</f>
        <v>Malaysia</v>
      </c>
      <c r="M1221" s="27" t="str">
        <f aca="false">IFERROR(__xludf.dummyfunction("""COMPUTED_VALUE"""),"(Diff)")</f>
        <v>(Diff)</v>
      </c>
      <c r="N1221" s="25"/>
      <c r="O1221" s="25"/>
      <c r="P1221" s="25"/>
      <c r="Q1221" s="29" t="s">
        <v>428</v>
      </c>
      <c r="R1221" s="8" t="str">
        <f aca="false">B1221&amp;" "&amp;C1221&amp;" "&amp;D1221&amp;" "&amp;E1221&amp;" "&amp;G1221&amp;" "&amp;H1221&amp;" "&amp;J1221&amp;" "&amp;N1221</f>
        <v>Differentials Solvent     CIF Malaysia (Diff) </v>
      </c>
      <c r="S1221" s="25"/>
      <c r="T1221" s="8"/>
      <c r="U1221" s="8"/>
      <c r="V1221" s="25"/>
      <c r="W1221" s="25"/>
      <c r="X1221" s="25"/>
      <c r="Y1221" s="25"/>
      <c r="Z1221" s="25"/>
      <c r="AA1221" s="25"/>
      <c r="AB1221" s="25"/>
      <c r="AC1221" s="25"/>
      <c r="AD1221" s="25"/>
    </row>
    <row r="1222" customFormat="false" ht="15.75" hidden="false" customHeight="false" outlineLevel="0" collapsed="false">
      <c r="A1222" s="28" t="s">
        <v>1601</v>
      </c>
      <c r="B1222" s="27" t="s">
        <v>438</v>
      </c>
      <c r="C1222" s="27" t="s">
        <v>417</v>
      </c>
      <c r="D1222" s="25"/>
      <c r="E1222" s="25"/>
      <c r="F1222" s="25"/>
      <c r="G1222" s="25"/>
      <c r="H1222" s="25"/>
      <c r="I1222" s="25"/>
      <c r="J1222" s="27" t="s">
        <v>1545</v>
      </c>
      <c r="K1222" s="25" t="str">
        <f aca="false">IFERROR(__xludf.dummyfunction("SPLIT(J1222,"" "")"),"CIF")</f>
        <v>CIF</v>
      </c>
      <c r="L1222" s="28" t="str">
        <f aca="false">IFERROR(__xludf.dummyfunction("""COMPUTED_VALUE"""),"Malaysia")</f>
        <v>Malaysia</v>
      </c>
      <c r="M1222" s="27" t="str">
        <f aca="false">IFERROR(__xludf.dummyfunction("""COMPUTED_VALUE"""),"(Diff)")</f>
        <v>(Diff)</v>
      </c>
      <c r="N1222" s="25"/>
      <c r="O1222" s="25"/>
      <c r="P1222" s="25"/>
      <c r="Q1222" s="29" t="s">
        <v>426</v>
      </c>
      <c r="R1222" s="8" t="str">
        <f aca="false">B1222&amp;" "&amp;C1222&amp;" "&amp;D1222&amp;" "&amp;E1222&amp;" "&amp;G1222&amp;" "&amp;H1222&amp;" "&amp;J1222&amp;" "&amp;N1222</f>
        <v>Differentials Solvent     CIF Malaysia (Diff) </v>
      </c>
      <c r="S1222" s="25"/>
      <c r="T1222" s="8"/>
      <c r="U1222" s="8"/>
      <c r="V1222" s="25"/>
      <c r="W1222" s="25"/>
      <c r="X1222" s="25"/>
      <c r="Y1222" s="25"/>
      <c r="Z1222" s="25"/>
      <c r="AA1222" s="25"/>
      <c r="AB1222" s="25"/>
      <c r="AC1222" s="25"/>
      <c r="AD1222" s="25"/>
    </row>
    <row r="1223" customFormat="false" ht="15.75" hidden="false" customHeight="false" outlineLevel="0" collapsed="false">
      <c r="A1223" s="28" t="s">
        <v>1602</v>
      </c>
      <c r="B1223" s="27" t="s">
        <v>438</v>
      </c>
      <c r="C1223" s="27" t="s">
        <v>417</v>
      </c>
      <c r="D1223" s="25"/>
      <c r="E1223" s="25"/>
      <c r="F1223" s="25"/>
      <c r="G1223" s="25"/>
      <c r="H1223" s="25"/>
      <c r="I1223" s="25"/>
      <c r="J1223" s="27" t="s">
        <v>1545</v>
      </c>
      <c r="K1223" s="25" t="str">
        <f aca="false">IFERROR(__xludf.dummyfunction("SPLIT(J1223,"" "")"),"CIF")</f>
        <v>CIF</v>
      </c>
      <c r="L1223" s="28" t="str">
        <f aca="false">IFERROR(__xludf.dummyfunction("""COMPUTED_VALUE"""),"Malaysia")</f>
        <v>Malaysia</v>
      </c>
      <c r="M1223" s="27" t="str">
        <f aca="false">IFERROR(__xludf.dummyfunction("""COMPUTED_VALUE"""),"(Diff)")</f>
        <v>(Diff)</v>
      </c>
      <c r="N1223" s="25"/>
      <c r="O1223" s="25"/>
      <c r="P1223" s="25"/>
      <c r="Q1223" s="29" t="s">
        <v>424</v>
      </c>
      <c r="R1223" s="8" t="str">
        <f aca="false">B1223&amp;" "&amp;C1223&amp;" "&amp;D1223&amp;" "&amp;E1223&amp;" "&amp;G1223&amp;" "&amp;H1223&amp;" "&amp;J1223&amp;" "&amp;N1223</f>
        <v>Differentials Solvent     CIF Malaysia (Diff) </v>
      </c>
      <c r="S1223" s="25"/>
      <c r="T1223" s="8"/>
      <c r="U1223" s="8"/>
      <c r="V1223" s="25"/>
      <c r="W1223" s="25"/>
      <c r="X1223" s="25"/>
      <c r="Y1223" s="25"/>
      <c r="Z1223" s="25"/>
      <c r="AA1223" s="25"/>
      <c r="AB1223" s="25"/>
      <c r="AC1223" s="25"/>
      <c r="AD1223" s="25"/>
    </row>
    <row r="1224" customFormat="false" ht="15.75" hidden="false" customHeight="false" outlineLevel="0" collapsed="false">
      <c r="A1224" s="28" t="s">
        <v>1603</v>
      </c>
      <c r="B1224" s="27" t="s">
        <v>438</v>
      </c>
      <c r="C1224" s="27" t="s">
        <v>417</v>
      </c>
      <c r="D1224" s="25"/>
      <c r="E1224" s="25"/>
      <c r="F1224" s="25"/>
      <c r="G1224" s="25"/>
      <c r="H1224" s="25"/>
      <c r="I1224" s="25"/>
      <c r="J1224" s="27" t="s">
        <v>1545</v>
      </c>
      <c r="K1224" s="25" t="str">
        <f aca="false">IFERROR(__xludf.dummyfunction("SPLIT(J1224,"" "")"),"CIF")</f>
        <v>CIF</v>
      </c>
      <c r="L1224" s="28" t="str">
        <f aca="false">IFERROR(__xludf.dummyfunction("""COMPUTED_VALUE"""),"Malaysia")</f>
        <v>Malaysia</v>
      </c>
      <c r="M1224" s="27" t="str">
        <f aca="false">IFERROR(__xludf.dummyfunction("""COMPUTED_VALUE"""),"(Diff)")</f>
        <v>(Diff)</v>
      </c>
      <c r="N1224" s="25"/>
      <c r="O1224" s="25"/>
      <c r="P1224" s="25"/>
      <c r="Q1224" s="29" t="s">
        <v>422</v>
      </c>
      <c r="R1224" s="8" t="str">
        <f aca="false">B1224&amp;" "&amp;C1224&amp;" "&amp;D1224&amp;" "&amp;E1224&amp;" "&amp;G1224&amp;" "&amp;H1224&amp;" "&amp;J1224&amp;" "&amp;N1224</f>
        <v>Differentials Solvent     CIF Malaysia (Diff) </v>
      </c>
      <c r="S1224" s="25"/>
      <c r="T1224" s="8"/>
      <c r="U1224" s="8"/>
      <c r="V1224" s="25"/>
      <c r="W1224" s="25"/>
      <c r="X1224" s="25"/>
      <c r="Y1224" s="25"/>
      <c r="Z1224" s="25"/>
      <c r="AA1224" s="25"/>
      <c r="AB1224" s="25"/>
      <c r="AC1224" s="25"/>
      <c r="AD1224" s="25"/>
    </row>
    <row r="1225" customFormat="false" ht="15.75" hidden="false" customHeight="false" outlineLevel="0" collapsed="false">
      <c r="A1225" s="28" t="s">
        <v>1604</v>
      </c>
      <c r="B1225" s="27" t="s">
        <v>438</v>
      </c>
      <c r="C1225" s="27" t="s">
        <v>417</v>
      </c>
      <c r="D1225" s="25"/>
      <c r="E1225" s="25"/>
      <c r="F1225" s="25"/>
      <c r="G1225" s="25"/>
      <c r="H1225" s="25"/>
      <c r="I1225" s="25"/>
      <c r="J1225" s="27" t="s">
        <v>1545</v>
      </c>
      <c r="K1225" s="25" t="str">
        <f aca="false">IFERROR(__xludf.dummyfunction("SPLIT(J1225,"" "")"),"CIF")</f>
        <v>CIF</v>
      </c>
      <c r="L1225" s="28" t="str">
        <f aca="false">IFERROR(__xludf.dummyfunction("""COMPUTED_VALUE"""),"Malaysia")</f>
        <v>Malaysia</v>
      </c>
      <c r="M1225" s="27" t="str">
        <f aca="false">IFERROR(__xludf.dummyfunction("""COMPUTED_VALUE"""),"(Diff)")</f>
        <v>(Diff)</v>
      </c>
      <c r="N1225" s="25"/>
      <c r="O1225" s="25"/>
      <c r="P1225" s="25"/>
      <c r="Q1225" s="29" t="s">
        <v>420</v>
      </c>
      <c r="R1225" s="8" t="str">
        <f aca="false">B1225&amp;" "&amp;C1225&amp;" "&amp;D1225&amp;" "&amp;E1225&amp;" "&amp;G1225&amp;" "&amp;H1225&amp;" "&amp;J1225&amp;" "&amp;N1225</f>
        <v>Differentials Solvent     CIF Malaysia (Diff) </v>
      </c>
      <c r="S1225" s="25"/>
      <c r="T1225" s="8"/>
      <c r="U1225" s="8"/>
      <c r="V1225" s="25"/>
      <c r="W1225" s="25"/>
      <c r="X1225" s="25"/>
      <c r="Y1225" s="25"/>
      <c r="Z1225" s="25"/>
      <c r="AA1225" s="25"/>
      <c r="AB1225" s="25"/>
      <c r="AC1225" s="25"/>
      <c r="AD1225" s="25"/>
    </row>
    <row r="1226" customFormat="false" ht="15.75" hidden="false" customHeight="false" outlineLevel="0" collapsed="false">
      <c r="A1226" s="28" t="s">
        <v>1605</v>
      </c>
      <c r="B1226" s="27" t="s">
        <v>438</v>
      </c>
      <c r="C1226" s="27" t="s">
        <v>417</v>
      </c>
      <c r="D1226" s="25"/>
      <c r="E1226" s="25"/>
      <c r="F1226" s="25"/>
      <c r="G1226" s="25"/>
      <c r="H1226" s="25"/>
      <c r="I1226" s="25"/>
      <c r="J1226" s="27" t="s">
        <v>1545</v>
      </c>
      <c r="K1226" s="25" t="str">
        <f aca="false">IFERROR(__xludf.dummyfunction("SPLIT(J1226,"" "")"),"CIF")</f>
        <v>CIF</v>
      </c>
      <c r="L1226" s="28" t="str">
        <f aca="false">IFERROR(__xludf.dummyfunction("""COMPUTED_VALUE"""),"Malaysia")</f>
        <v>Malaysia</v>
      </c>
      <c r="M1226" s="27" t="str">
        <f aca="false">IFERROR(__xludf.dummyfunction("""COMPUTED_VALUE"""),"(Diff)")</f>
        <v>(Diff)</v>
      </c>
      <c r="N1226" s="25"/>
      <c r="O1226" s="25"/>
      <c r="P1226" s="25"/>
      <c r="Q1226" s="29" t="s">
        <v>418</v>
      </c>
      <c r="R1226" s="8" t="str">
        <f aca="false">B1226&amp;" "&amp;C1226&amp;" "&amp;D1226&amp;" "&amp;E1226&amp;" "&amp;G1226&amp;" "&amp;H1226&amp;" "&amp;J1226&amp;" "&amp;N1226</f>
        <v>Differentials Solvent     CIF Malaysia (Diff) </v>
      </c>
      <c r="S1226" s="25"/>
      <c r="T1226" s="8"/>
      <c r="U1226" s="8"/>
      <c r="V1226" s="25"/>
      <c r="W1226" s="25"/>
      <c r="X1226" s="25"/>
      <c r="Y1226" s="25"/>
      <c r="Z1226" s="25"/>
      <c r="AA1226" s="25"/>
      <c r="AB1226" s="25"/>
      <c r="AC1226" s="25"/>
      <c r="AD1226" s="25"/>
    </row>
    <row r="1227" customFormat="false" ht="15.75" hidden="false" customHeight="false" outlineLevel="0" collapsed="false">
      <c r="A1227" s="28" t="s">
        <v>1606</v>
      </c>
      <c r="B1227" s="27" t="s">
        <v>438</v>
      </c>
      <c r="C1227" s="27" t="s">
        <v>168</v>
      </c>
      <c r="D1227" s="25"/>
      <c r="E1227" s="25"/>
      <c r="F1227" s="25"/>
      <c r="G1227" s="25"/>
      <c r="H1227" s="25"/>
      <c r="I1227" s="25"/>
      <c r="J1227" s="27" t="s">
        <v>1607</v>
      </c>
      <c r="K1227" s="25" t="str">
        <f aca="false">IFERROR(__xludf.dummyfunction("SPLIT(J1227,"" "")"),"CIF")</f>
        <v>CIF</v>
      </c>
      <c r="L1227" s="28" t="str">
        <f aca="false">IFERROR(__xludf.dummyfunction("""COMPUTED_VALUE"""),"Morocco")</f>
        <v>Morocco</v>
      </c>
      <c r="M1227" s="27" t="str">
        <f aca="false">IFERROR(__xludf.dummyfunction("""COMPUTED_VALUE"""),"(Diff)")</f>
        <v>(Diff)</v>
      </c>
      <c r="N1227" s="25"/>
      <c r="O1227" s="25"/>
      <c r="P1227" s="25"/>
      <c r="Q1227" s="29" t="s">
        <v>175</v>
      </c>
      <c r="R1227" s="8" t="str">
        <f aca="false">B1227&amp;" "&amp;C1227&amp;" "&amp;D1227&amp;" "&amp;E1227&amp;" "&amp;G1227&amp;" "&amp;H1227&amp;" "&amp;J1227&amp;" "&amp;N1227</f>
        <v>Differentials Aluminium (Battery Grade)     CIF Morocco (Diff) </v>
      </c>
      <c r="S1227" s="25"/>
      <c r="T1227" s="8"/>
      <c r="U1227" s="8"/>
      <c r="V1227" s="25"/>
      <c r="W1227" s="25"/>
      <c r="X1227" s="25"/>
      <c r="Y1227" s="25"/>
      <c r="Z1227" s="25"/>
      <c r="AA1227" s="25"/>
      <c r="AB1227" s="25"/>
      <c r="AC1227" s="25"/>
      <c r="AD1227" s="25"/>
    </row>
    <row r="1228" customFormat="false" ht="15.75" hidden="false" customHeight="false" outlineLevel="0" collapsed="false">
      <c r="A1228" s="28" t="s">
        <v>1608</v>
      </c>
      <c r="B1228" s="27" t="s">
        <v>438</v>
      </c>
      <c r="C1228" s="27" t="s">
        <v>168</v>
      </c>
      <c r="D1228" s="25"/>
      <c r="E1228" s="25"/>
      <c r="F1228" s="25"/>
      <c r="G1228" s="25"/>
      <c r="H1228" s="25"/>
      <c r="I1228" s="25"/>
      <c r="J1228" s="27" t="s">
        <v>1607</v>
      </c>
      <c r="K1228" s="25" t="str">
        <f aca="false">IFERROR(__xludf.dummyfunction("SPLIT(J1228,"" "")"),"CIF")</f>
        <v>CIF</v>
      </c>
      <c r="L1228" s="28" t="str">
        <f aca="false">IFERROR(__xludf.dummyfunction("""COMPUTED_VALUE"""),"Morocco")</f>
        <v>Morocco</v>
      </c>
      <c r="M1228" s="27" t="str">
        <f aca="false">IFERROR(__xludf.dummyfunction("""COMPUTED_VALUE"""),"(Diff)")</f>
        <v>(Diff)</v>
      </c>
      <c r="N1228" s="25"/>
      <c r="O1228" s="25"/>
      <c r="P1228" s="25"/>
      <c r="Q1228" s="29" t="s">
        <v>173</v>
      </c>
      <c r="R1228" s="8" t="str">
        <f aca="false">B1228&amp;" "&amp;C1228&amp;" "&amp;D1228&amp;" "&amp;E1228&amp;" "&amp;G1228&amp;" "&amp;H1228&amp;" "&amp;J1228&amp;" "&amp;N1228</f>
        <v>Differentials Aluminium (Battery Grade)     CIF Morocco (Diff) </v>
      </c>
      <c r="S1228" s="25"/>
      <c r="T1228" s="8"/>
      <c r="U1228" s="8"/>
      <c r="V1228" s="25"/>
      <c r="W1228" s="25"/>
      <c r="X1228" s="25"/>
      <c r="Y1228" s="25"/>
      <c r="Z1228" s="25"/>
      <c r="AA1228" s="25"/>
      <c r="AB1228" s="25"/>
      <c r="AC1228" s="25"/>
      <c r="AD1228" s="25"/>
    </row>
    <row r="1229" customFormat="false" ht="15.75" hidden="false" customHeight="false" outlineLevel="0" collapsed="false">
      <c r="A1229" s="28" t="s">
        <v>1609</v>
      </c>
      <c r="B1229" s="27" t="s">
        <v>438</v>
      </c>
      <c r="C1229" s="27" t="s">
        <v>168</v>
      </c>
      <c r="D1229" s="25"/>
      <c r="E1229" s="25"/>
      <c r="F1229" s="25"/>
      <c r="G1229" s="25"/>
      <c r="H1229" s="25"/>
      <c r="I1229" s="25"/>
      <c r="J1229" s="27" t="s">
        <v>1607</v>
      </c>
      <c r="K1229" s="25" t="str">
        <f aca="false">IFERROR(__xludf.dummyfunction("SPLIT(J1229,"" "")"),"CIF")</f>
        <v>CIF</v>
      </c>
      <c r="L1229" s="28" t="str">
        <f aca="false">IFERROR(__xludf.dummyfunction("""COMPUTED_VALUE"""),"Morocco")</f>
        <v>Morocco</v>
      </c>
      <c r="M1229" s="27" t="str">
        <f aca="false">IFERROR(__xludf.dummyfunction("""COMPUTED_VALUE"""),"(Diff)")</f>
        <v>(Diff)</v>
      </c>
      <c r="N1229" s="25"/>
      <c r="O1229" s="25"/>
      <c r="P1229" s="25"/>
      <c r="Q1229" s="29" t="s">
        <v>169</v>
      </c>
      <c r="R1229" s="8" t="str">
        <f aca="false">B1229&amp;" "&amp;C1229&amp;" "&amp;D1229&amp;" "&amp;E1229&amp;" "&amp;G1229&amp;" "&amp;H1229&amp;" "&amp;J1229&amp;" "&amp;N1229</f>
        <v>Differentials Aluminium (Battery Grade)     CIF Morocco (Diff) </v>
      </c>
      <c r="S1229" s="25"/>
      <c r="T1229" s="8"/>
      <c r="U1229" s="8"/>
      <c r="V1229" s="25"/>
      <c r="W1229" s="25"/>
      <c r="X1229" s="25"/>
      <c r="Y1229" s="25"/>
      <c r="Z1229" s="25"/>
      <c r="AA1229" s="25"/>
      <c r="AB1229" s="25"/>
      <c r="AC1229" s="25"/>
      <c r="AD1229" s="25"/>
    </row>
    <row r="1230" customFormat="false" ht="15.75" hidden="false" customHeight="false" outlineLevel="0" collapsed="false">
      <c r="A1230" s="28" t="s">
        <v>1610</v>
      </c>
      <c r="B1230" s="27" t="s">
        <v>438</v>
      </c>
      <c r="C1230" s="27" t="s">
        <v>177</v>
      </c>
      <c r="D1230" s="25"/>
      <c r="E1230" s="25"/>
      <c r="F1230" s="25"/>
      <c r="G1230" s="25"/>
      <c r="H1230" s="25"/>
      <c r="I1230" s="25"/>
      <c r="J1230" s="27" t="s">
        <v>1607</v>
      </c>
      <c r="K1230" s="25" t="str">
        <f aca="false">IFERROR(__xludf.dummyfunction("SPLIT(J1230,"" "")"),"CIF")</f>
        <v>CIF</v>
      </c>
      <c r="L1230" s="28" t="str">
        <f aca="false">IFERROR(__xludf.dummyfunction("""COMPUTED_VALUE"""),"Morocco")</f>
        <v>Morocco</v>
      </c>
      <c r="M1230" s="27" t="str">
        <f aca="false">IFERROR(__xludf.dummyfunction("""COMPUTED_VALUE"""),"(Diff)")</f>
        <v>(Diff)</v>
      </c>
      <c r="N1230" s="25"/>
      <c r="O1230" s="25"/>
      <c r="P1230" s="25"/>
      <c r="Q1230" s="29" t="s">
        <v>209</v>
      </c>
      <c r="R1230" s="8" t="str">
        <f aca="false">B1230&amp;" "&amp;C1230&amp;" "&amp;D1230&amp;" "&amp;E1230&amp;" "&amp;G1230&amp;" "&amp;H1230&amp;" "&amp;J1230&amp;" "&amp;N1230</f>
        <v>Differentials Anode     CIF Morocco (Diff) </v>
      </c>
      <c r="S1230" s="25"/>
      <c r="T1230" s="8"/>
      <c r="U1230" s="8"/>
      <c r="V1230" s="25"/>
      <c r="W1230" s="25"/>
      <c r="X1230" s="25"/>
      <c r="Y1230" s="25"/>
      <c r="Z1230" s="25"/>
      <c r="AA1230" s="25"/>
      <c r="AB1230" s="25"/>
      <c r="AC1230" s="25"/>
      <c r="AD1230" s="25"/>
    </row>
    <row r="1231" customFormat="false" ht="15.75" hidden="false" customHeight="false" outlineLevel="0" collapsed="false">
      <c r="A1231" s="28" t="s">
        <v>1611</v>
      </c>
      <c r="B1231" s="27" t="s">
        <v>438</v>
      </c>
      <c r="C1231" s="27" t="s">
        <v>177</v>
      </c>
      <c r="D1231" s="25"/>
      <c r="E1231" s="25"/>
      <c r="F1231" s="25"/>
      <c r="G1231" s="25"/>
      <c r="H1231" s="25"/>
      <c r="I1231" s="25"/>
      <c r="J1231" s="27" t="s">
        <v>1607</v>
      </c>
      <c r="K1231" s="25" t="str">
        <f aca="false">IFERROR(__xludf.dummyfunction("SPLIT(J1231,"" "")"),"CIF")</f>
        <v>CIF</v>
      </c>
      <c r="L1231" s="28" t="str">
        <f aca="false">IFERROR(__xludf.dummyfunction("""COMPUTED_VALUE"""),"Morocco")</f>
        <v>Morocco</v>
      </c>
      <c r="M1231" s="27" t="str">
        <f aca="false">IFERROR(__xludf.dummyfunction("""COMPUTED_VALUE"""),"(Diff)")</f>
        <v>(Diff)</v>
      </c>
      <c r="N1231" s="25"/>
      <c r="O1231" s="25"/>
      <c r="P1231" s="25"/>
      <c r="Q1231" s="29" t="s">
        <v>205</v>
      </c>
      <c r="R1231" s="8" t="str">
        <f aca="false">B1231&amp;" "&amp;C1231&amp;" "&amp;D1231&amp;" "&amp;E1231&amp;" "&amp;G1231&amp;" "&amp;H1231&amp;" "&amp;J1231&amp;" "&amp;N1231</f>
        <v>Differentials Anode     CIF Morocco (Diff) </v>
      </c>
      <c r="S1231" s="25"/>
      <c r="T1231" s="8"/>
      <c r="U1231" s="8"/>
      <c r="V1231" s="25"/>
      <c r="W1231" s="25"/>
      <c r="X1231" s="25"/>
      <c r="Y1231" s="25"/>
      <c r="Z1231" s="25"/>
      <c r="AA1231" s="25"/>
      <c r="AB1231" s="25"/>
      <c r="AC1231" s="25"/>
      <c r="AD1231" s="25"/>
    </row>
    <row r="1232" customFormat="false" ht="15.75" hidden="false" customHeight="false" outlineLevel="0" collapsed="false">
      <c r="A1232" s="28" t="s">
        <v>1612</v>
      </c>
      <c r="B1232" s="27" t="s">
        <v>438</v>
      </c>
      <c r="C1232" s="27" t="s">
        <v>177</v>
      </c>
      <c r="D1232" s="25"/>
      <c r="E1232" s="25"/>
      <c r="F1232" s="25"/>
      <c r="G1232" s="25"/>
      <c r="H1232" s="25"/>
      <c r="I1232" s="25"/>
      <c r="J1232" s="27" t="s">
        <v>1607</v>
      </c>
      <c r="K1232" s="25" t="str">
        <f aca="false">IFERROR(__xludf.dummyfunction("SPLIT(J1232,"" "")"),"CIF")</f>
        <v>CIF</v>
      </c>
      <c r="L1232" s="28" t="str">
        <f aca="false">IFERROR(__xludf.dummyfunction("""COMPUTED_VALUE"""),"Morocco")</f>
        <v>Morocco</v>
      </c>
      <c r="M1232" s="27" t="str">
        <f aca="false">IFERROR(__xludf.dummyfunction("""COMPUTED_VALUE"""),"(Diff)")</f>
        <v>(Diff)</v>
      </c>
      <c r="N1232" s="25"/>
      <c r="O1232" s="25"/>
      <c r="P1232" s="25"/>
      <c r="Q1232" s="29" t="s">
        <v>202</v>
      </c>
      <c r="R1232" s="8" t="str">
        <f aca="false">B1232&amp;" "&amp;C1232&amp;" "&amp;D1232&amp;" "&amp;E1232&amp;" "&amp;G1232&amp;" "&amp;H1232&amp;" "&amp;J1232&amp;" "&amp;N1232</f>
        <v>Differentials Anode     CIF Morocco (Diff) </v>
      </c>
      <c r="S1232" s="25"/>
      <c r="T1232" s="8"/>
      <c r="U1232" s="8"/>
      <c r="V1232" s="25"/>
      <c r="W1232" s="25"/>
      <c r="X1232" s="25"/>
      <c r="Y1232" s="25"/>
      <c r="Z1232" s="25"/>
      <c r="AA1232" s="25"/>
      <c r="AB1232" s="25"/>
      <c r="AC1232" s="25"/>
      <c r="AD1232" s="25"/>
    </row>
    <row r="1233" customFormat="false" ht="15.75" hidden="false" customHeight="false" outlineLevel="0" collapsed="false">
      <c r="A1233" s="28" t="s">
        <v>1613</v>
      </c>
      <c r="B1233" s="27" t="s">
        <v>438</v>
      </c>
      <c r="C1233" s="27" t="s">
        <v>177</v>
      </c>
      <c r="D1233" s="25"/>
      <c r="E1233" s="25"/>
      <c r="F1233" s="25"/>
      <c r="G1233" s="25"/>
      <c r="H1233" s="25"/>
      <c r="I1233" s="25"/>
      <c r="J1233" s="27" t="s">
        <v>1607</v>
      </c>
      <c r="K1233" s="25" t="str">
        <f aca="false">IFERROR(__xludf.dummyfunction("SPLIT(J1233,"" "")"),"CIF")</f>
        <v>CIF</v>
      </c>
      <c r="L1233" s="28" t="str">
        <f aca="false">IFERROR(__xludf.dummyfunction("""COMPUTED_VALUE"""),"Morocco")</f>
        <v>Morocco</v>
      </c>
      <c r="M1233" s="27" t="str">
        <f aca="false">IFERROR(__xludf.dummyfunction("""COMPUTED_VALUE"""),"(Diff)")</f>
        <v>(Diff)</v>
      </c>
      <c r="N1233" s="25"/>
      <c r="O1233" s="25"/>
      <c r="P1233" s="25"/>
      <c r="Q1233" s="29" t="s">
        <v>197</v>
      </c>
      <c r="R1233" s="8" t="str">
        <f aca="false">B1233&amp;" "&amp;C1233&amp;" "&amp;D1233&amp;" "&amp;E1233&amp;" "&amp;G1233&amp;" "&amp;H1233&amp;" "&amp;J1233&amp;" "&amp;N1233</f>
        <v>Differentials Anode     CIF Morocco (Diff) </v>
      </c>
      <c r="S1233" s="25"/>
      <c r="T1233" s="8"/>
      <c r="U1233" s="8"/>
      <c r="V1233" s="25"/>
      <c r="W1233" s="25"/>
      <c r="X1233" s="25"/>
      <c r="Y1233" s="25"/>
      <c r="Z1233" s="25"/>
      <c r="AA1233" s="25"/>
      <c r="AB1233" s="25"/>
      <c r="AC1233" s="25"/>
      <c r="AD1233" s="25"/>
    </row>
    <row r="1234" customFormat="false" ht="15.75" hidden="false" customHeight="false" outlineLevel="0" collapsed="false">
      <c r="A1234" s="28" t="s">
        <v>1614</v>
      </c>
      <c r="B1234" s="27" t="s">
        <v>438</v>
      </c>
      <c r="C1234" s="27" t="s">
        <v>177</v>
      </c>
      <c r="D1234" s="25"/>
      <c r="E1234" s="25"/>
      <c r="F1234" s="25"/>
      <c r="G1234" s="25"/>
      <c r="H1234" s="25"/>
      <c r="I1234" s="25"/>
      <c r="J1234" s="27" t="s">
        <v>1607</v>
      </c>
      <c r="K1234" s="25" t="str">
        <f aca="false">IFERROR(__xludf.dummyfunction("SPLIT(J1234,"" "")"),"CIF")</f>
        <v>CIF</v>
      </c>
      <c r="L1234" s="28" t="str">
        <f aca="false">IFERROR(__xludf.dummyfunction("""COMPUTED_VALUE"""),"Morocco")</f>
        <v>Morocco</v>
      </c>
      <c r="M1234" s="27" t="str">
        <f aca="false">IFERROR(__xludf.dummyfunction("""COMPUTED_VALUE"""),"(Diff)")</f>
        <v>(Diff)</v>
      </c>
      <c r="N1234" s="25"/>
      <c r="O1234" s="25"/>
      <c r="P1234" s="25"/>
      <c r="Q1234" s="29" t="s">
        <v>193</v>
      </c>
      <c r="R1234" s="8" t="str">
        <f aca="false">B1234&amp;" "&amp;C1234&amp;" "&amp;D1234&amp;" "&amp;E1234&amp;" "&amp;G1234&amp;" "&amp;H1234&amp;" "&amp;J1234&amp;" "&amp;N1234</f>
        <v>Differentials Anode     CIF Morocco (Diff) </v>
      </c>
      <c r="S1234" s="25"/>
      <c r="T1234" s="8"/>
      <c r="U1234" s="8"/>
      <c r="V1234" s="25"/>
      <c r="W1234" s="25"/>
      <c r="X1234" s="25"/>
      <c r="Y1234" s="25"/>
      <c r="Z1234" s="25"/>
      <c r="AA1234" s="25"/>
      <c r="AB1234" s="25"/>
      <c r="AC1234" s="25"/>
      <c r="AD1234" s="25"/>
    </row>
    <row r="1235" customFormat="false" ht="15.75" hidden="false" customHeight="false" outlineLevel="0" collapsed="false">
      <c r="A1235" s="28" t="s">
        <v>1615</v>
      </c>
      <c r="B1235" s="27" t="s">
        <v>438</v>
      </c>
      <c r="C1235" s="27" t="s">
        <v>177</v>
      </c>
      <c r="D1235" s="25"/>
      <c r="E1235" s="25"/>
      <c r="F1235" s="25"/>
      <c r="G1235" s="25"/>
      <c r="H1235" s="25"/>
      <c r="I1235" s="25"/>
      <c r="J1235" s="27" t="s">
        <v>1607</v>
      </c>
      <c r="K1235" s="25" t="str">
        <f aca="false">IFERROR(__xludf.dummyfunction("SPLIT(J1235,"" "")"),"CIF")</f>
        <v>CIF</v>
      </c>
      <c r="L1235" s="28" t="str">
        <f aca="false">IFERROR(__xludf.dummyfunction("""COMPUTED_VALUE"""),"Morocco")</f>
        <v>Morocco</v>
      </c>
      <c r="M1235" s="27" t="str">
        <f aca="false">IFERROR(__xludf.dummyfunction("""COMPUTED_VALUE"""),"(Diff)")</f>
        <v>(Diff)</v>
      </c>
      <c r="N1235" s="25"/>
      <c r="O1235" s="25"/>
      <c r="P1235" s="25"/>
      <c r="Q1235" s="29" t="s">
        <v>188</v>
      </c>
      <c r="R1235" s="8" t="str">
        <f aca="false">B1235&amp;" "&amp;C1235&amp;" "&amp;D1235&amp;" "&amp;E1235&amp;" "&amp;G1235&amp;" "&amp;H1235&amp;" "&amp;J1235&amp;" "&amp;N1235</f>
        <v>Differentials Anode     CIF Morocco (Diff) </v>
      </c>
      <c r="S1235" s="25"/>
      <c r="T1235" s="8"/>
      <c r="U1235" s="8"/>
      <c r="V1235" s="25"/>
      <c r="W1235" s="25"/>
      <c r="X1235" s="25"/>
      <c r="Y1235" s="25"/>
      <c r="Z1235" s="25"/>
      <c r="AA1235" s="25"/>
      <c r="AB1235" s="25"/>
      <c r="AC1235" s="25"/>
      <c r="AD1235" s="25"/>
    </row>
    <row r="1236" customFormat="false" ht="15.75" hidden="false" customHeight="false" outlineLevel="0" collapsed="false">
      <c r="A1236" s="28" t="s">
        <v>1616</v>
      </c>
      <c r="B1236" s="27" t="s">
        <v>438</v>
      </c>
      <c r="C1236" s="27" t="s">
        <v>177</v>
      </c>
      <c r="D1236" s="25"/>
      <c r="E1236" s="25"/>
      <c r="F1236" s="25"/>
      <c r="G1236" s="25"/>
      <c r="H1236" s="25"/>
      <c r="I1236" s="25"/>
      <c r="J1236" s="27" t="s">
        <v>1607</v>
      </c>
      <c r="K1236" s="25" t="str">
        <f aca="false">IFERROR(__xludf.dummyfunction("SPLIT(J1236,"" "")"),"CIF")</f>
        <v>CIF</v>
      </c>
      <c r="L1236" s="28" t="str">
        <f aca="false">IFERROR(__xludf.dummyfunction("""COMPUTED_VALUE"""),"Morocco")</f>
        <v>Morocco</v>
      </c>
      <c r="M1236" s="27" t="str">
        <f aca="false">IFERROR(__xludf.dummyfunction("""COMPUTED_VALUE"""),"(Diff)")</f>
        <v>(Diff)</v>
      </c>
      <c r="N1236" s="25"/>
      <c r="O1236" s="25"/>
      <c r="P1236" s="25"/>
      <c r="Q1236" s="29" t="s">
        <v>180</v>
      </c>
      <c r="R1236" s="8" t="str">
        <f aca="false">B1236&amp;" "&amp;C1236&amp;" "&amp;D1236&amp;" "&amp;E1236&amp;" "&amp;G1236&amp;" "&amp;H1236&amp;" "&amp;J1236&amp;" "&amp;N1236</f>
        <v>Differentials Anode     CIF Morocco (Diff) </v>
      </c>
      <c r="S1236" s="25"/>
      <c r="T1236" s="8"/>
      <c r="U1236" s="8"/>
      <c r="V1236" s="25"/>
      <c r="W1236" s="25"/>
      <c r="X1236" s="25"/>
      <c r="Y1236" s="25"/>
      <c r="Z1236" s="25"/>
      <c r="AA1236" s="25"/>
      <c r="AB1236" s="25"/>
      <c r="AC1236" s="25"/>
      <c r="AD1236" s="25"/>
    </row>
    <row r="1237" customFormat="false" ht="15.75" hidden="false" customHeight="false" outlineLevel="0" collapsed="false">
      <c r="A1237" s="28" t="s">
        <v>1617</v>
      </c>
      <c r="B1237" s="27" t="s">
        <v>438</v>
      </c>
      <c r="C1237" s="27" t="s">
        <v>211</v>
      </c>
      <c r="D1237" s="25"/>
      <c r="E1237" s="25"/>
      <c r="F1237" s="25"/>
      <c r="G1237" s="25"/>
      <c r="H1237" s="25"/>
      <c r="I1237" s="25"/>
      <c r="J1237" s="27" t="s">
        <v>1607</v>
      </c>
      <c r="K1237" s="25" t="str">
        <f aca="false">IFERROR(__xludf.dummyfunction("SPLIT(J1237,"" "")"),"CIF")</f>
        <v>CIF</v>
      </c>
      <c r="L1237" s="28" t="str">
        <f aca="false">IFERROR(__xludf.dummyfunction("""COMPUTED_VALUE"""),"Morocco")</f>
        <v>Morocco</v>
      </c>
      <c r="M1237" s="27" t="str">
        <f aca="false">IFERROR(__xludf.dummyfunction("""COMPUTED_VALUE"""),"(Diff)")</f>
        <v>(Diff)</v>
      </c>
      <c r="N1237" s="25"/>
      <c r="O1237" s="25"/>
      <c r="P1237" s="25"/>
      <c r="Q1237" s="29" t="s">
        <v>234</v>
      </c>
      <c r="R1237" s="8" t="str">
        <f aca="false">B1237&amp;" "&amp;C1237&amp;" "&amp;D1237&amp;" "&amp;E1237&amp;" "&amp;G1237&amp;" "&amp;H1237&amp;" "&amp;J1237&amp;" "&amp;N1237</f>
        <v>Differentials Binders &amp; Additives     CIF Morocco (Diff) </v>
      </c>
      <c r="S1237" s="25"/>
      <c r="T1237" s="8"/>
      <c r="U1237" s="8"/>
      <c r="V1237" s="25"/>
      <c r="W1237" s="25"/>
      <c r="X1237" s="25"/>
      <c r="Y1237" s="25"/>
      <c r="Z1237" s="25"/>
      <c r="AA1237" s="25"/>
      <c r="AB1237" s="25"/>
      <c r="AC1237" s="25"/>
      <c r="AD1237" s="25"/>
    </row>
    <row r="1238" customFormat="false" ht="15.75" hidden="false" customHeight="false" outlineLevel="0" collapsed="false">
      <c r="A1238" s="28" t="s">
        <v>1618</v>
      </c>
      <c r="B1238" s="27" t="s">
        <v>438</v>
      </c>
      <c r="C1238" s="27" t="s">
        <v>211</v>
      </c>
      <c r="D1238" s="25"/>
      <c r="E1238" s="25"/>
      <c r="F1238" s="25"/>
      <c r="G1238" s="25"/>
      <c r="H1238" s="25"/>
      <c r="I1238" s="25"/>
      <c r="J1238" s="27" t="s">
        <v>1607</v>
      </c>
      <c r="K1238" s="25" t="str">
        <f aca="false">IFERROR(__xludf.dummyfunction("SPLIT(J1238,"" "")"),"CIF")</f>
        <v>CIF</v>
      </c>
      <c r="L1238" s="28" t="str">
        <f aca="false">IFERROR(__xludf.dummyfunction("""COMPUTED_VALUE"""),"Morocco")</f>
        <v>Morocco</v>
      </c>
      <c r="M1238" s="27" t="str">
        <f aca="false">IFERROR(__xludf.dummyfunction("""COMPUTED_VALUE"""),"(Diff)")</f>
        <v>(Diff)</v>
      </c>
      <c r="N1238" s="25"/>
      <c r="O1238" s="25"/>
      <c r="P1238" s="25"/>
      <c r="Q1238" s="29" t="s">
        <v>232</v>
      </c>
      <c r="R1238" s="8" t="str">
        <f aca="false">B1238&amp;" "&amp;C1238&amp;" "&amp;D1238&amp;" "&amp;E1238&amp;" "&amp;G1238&amp;" "&amp;H1238&amp;" "&amp;J1238&amp;" "&amp;N1238</f>
        <v>Differentials Binders &amp; Additives     CIF Morocco (Diff) </v>
      </c>
      <c r="S1238" s="25"/>
      <c r="T1238" s="8"/>
      <c r="U1238" s="8"/>
      <c r="V1238" s="25"/>
      <c r="W1238" s="25"/>
      <c r="X1238" s="25"/>
      <c r="Y1238" s="25"/>
      <c r="Z1238" s="25"/>
      <c r="AA1238" s="25"/>
      <c r="AB1238" s="25"/>
      <c r="AC1238" s="25"/>
      <c r="AD1238" s="25"/>
    </row>
    <row r="1239" customFormat="false" ht="15.75" hidden="false" customHeight="false" outlineLevel="0" collapsed="false">
      <c r="A1239" s="28" t="s">
        <v>1619</v>
      </c>
      <c r="B1239" s="27" t="s">
        <v>438</v>
      </c>
      <c r="C1239" s="27" t="s">
        <v>211</v>
      </c>
      <c r="D1239" s="25"/>
      <c r="E1239" s="25"/>
      <c r="F1239" s="25"/>
      <c r="G1239" s="25"/>
      <c r="H1239" s="25"/>
      <c r="I1239" s="25"/>
      <c r="J1239" s="27" t="s">
        <v>1607</v>
      </c>
      <c r="K1239" s="25" t="str">
        <f aca="false">IFERROR(__xludf.dummyfunction("SPLIT(J1239,"" "")"),"CIF")</f>
        <v>CIF</v>
      </c>
      <c r="L1239" s="28" t="str">
        <f aca="false">IFERROR(__xludf.dummyfunction("""COMPUTED_VALUE"""),"Morocco")</f>
        <v>Morocco</v>
      </c>
      <c r="M1239" s="27" t="str">
        <f aca="false">IFERROR(__xludf.dummyfunction("""COMPUTED_VALUE"""),"(Diff)")</f>
        <v>(Diff)</v>
      </c>
      <c r="N1239" s="25"/>
      <c r="O1239" s="25"/>
      <c r="P1239" s="25"/>
      <c r="Q1239" s="29" t="s">
        <v>230</v>
      </c>
      <c r="R1239" s="8" t="str">
        <f aca="false">B1239&amp;" "&amp;C1239&amp;" "&amp;D1239&amp;" "&amp;E1239&amp;" "&amp;G1239&amp;" "&amp;H1239&amp;" "&amp;J1239&amp;" "&amp;N1239</f>
        <v>Differentials Binders &amp; Additives     CIF Morocco (Diff) </v>
      </c>
      <c r="S1239" s="25"/>
      <c r="T1239" s="8"/>
      <c r="U1239" s="8"/>
      <c r="V1239" s="25"/>
      <c r="W1239" s="25"/>
      <c r="X1239" s="25"/>
      <c r="Y1239" s="25"/>
      <c r="Z1239" s="25"/>
      <c r="AA1239" s="25"/>
      <c r="AB1239" s="25"/>
      <c r="AC1239" s="25"/>
      <c r="AD1239" s="25"/>
    </row>
    <row r="1240" customFormat="false" ht="15.75" hidden="false" customHeight="false" outlineLevel="0" collapsed="false">
      <c r="A1240" s="28" t="s">
        <v>1620</v>
      </c>
      <c r="B1240" s="27" t="s">
        <v>438</v>
      </c>
      <c r="C1240" s="27" t="s">
        <v>211</v>
      </c>
      <c r="D1240" s="25"/>
      <c r="E1240" s="25"/>
      <c r="F1240" s="25"/>
      <c r="G1240" s="25"/>
      <c r="H1240" s="25"/>
      <c r="I1240" s="25"/>
      <c r="J1240" s="27" t="s">
        <v>1607</v>
      </c>
      <c r="K1240" s="25" t="str">
        <f aca="false">IFERROR(__xludf.dummyfunction("SPLIT(J1240,"" "")"),"CIF")</f>
        <v>CIF</v>
      </c>
      <c r="L1240" s="28" t="str">
        <f aca="false">IFERROR(__xludf.dummyfunction("""COMPUTED_VALUE"""),"Morocco")</f>
        <v>Morocco</v>
      </c>
      <c r="M1240" s="27" t="str">
        <f aca="false">IFERROR(__xludf.dummyfunction("""COMPUTED_VALUE"""),"(Diff)")</f>
        <v>(Diff)</v>
      </c>
      <c r="N1240" s="25"/>
      <c r="O1240" s="25"/>
      <c r="P1240" s="25"/>
      <c r="Q1240" s="29" t="s">
        <v>228</v>
      </c>
      <c r="R1240" s="8" t="str">
        <f aca="false">B1240&amp;" "&amp;C1240&amp;" "&amp;D1240&amp;" "&amp;E1240&amp;" "&amp;G1240&amp;" "&amp;H1240&amp;" "&amp;J1240&amp;" "&amp;N1240</f>
        <v>Differentials Binders &amp; Additives     CIF Morocco (Diff) </v>
      </c>
      <c r="S1240" s="25"/>
      <c r="T1240" s="8"/>
      <c r="U1240" s="8"/>
      <c r="V1240" s="25"/>
      <c r="W1240" s="25"/>
      <c r="X1240" s="25"/>
      <c r="Y1240" s="25"/>
      <c r="Z1240" s="25"/>
      <c r="AA1240" s="25"/>
      <c r="AB1240" s="25"/>
      <c r="AC1240" s="25"/>
      <c r="AD1240" s="25"/>
    </row>
    <row r="1241" customFormat="false" ht="15.75" hidden="false" customHeight="false" outlineLevel="0" collapsed="false">
      <c r="A1241" s="28" t="s">
        <v>1621</v>
      </c>
      <c r="B1241" s="27" t="s">
        <v>438</v>
      </c>
      <c r="C1241" s="27" t="s">
        <v>211</v>
      </c>
      <c r="D1241" s="25"/>
      <c r="E1241" s="25"/>
      <c r="F1241" s="25"/>
      <c r="G1241" s="25"/>
      <c r="H1241" s="25"/>
      <c r="I1241" s="25"/>
      <c r="J1241" s="27" t="s">
        <v>1607</v>
      </c>
      <c r="K1241" s="25" t="str">
        <f aca="false">IFERROR(__xludf.dummyfunction("SPLIT(J1241,"" "")"),"CIF")</f>
        <v>CIF</v>
      </c>
      <c r="L1241" s="28" t="str">
        <f aca="false">IFERROR(__xludf.dummyfunction("""COMPUTED_VALUE"""),"Morocco")</f>
        <v>Morocco</v>
      </c>
      <c r="M1241" s="27" t="str">
        <f aca="false">IFERROR(__xludf.dummyfunction("""COMPUTED_VALUE"""),"(Diff)")</f>
        <v>(Diff)</v>
      </c>
      <c r="N1241" s="25"/>
      <c r="O1241" s="25"/>
      <c r="P1241" s="25"/>
      <c r="Q1241" s="29" t="s">
        <v>226</v>
      </c>
      <c r="R1241" s="8" t="str">
        <f aca="false">B1241&amp;" "&amp;C1241&amp;" "&amp;D1241&amp;" "&amp;E1241&amp;" "&amp;G1241&amp;" "&amp;H1241&amp;" "&amp;J1241&amp;" "&amp;N1241</f>
        <v>Differentials Binders &amp; Additives     CIF Morocco (Diff) </v>
      </c>
      <c r="S1241" s="25"/>
      <c r="T1241" s="8"/>
      <c r="U1241" s="8"/>
      <c r="V1241" s="25"/>
      <c r="W1241" s="25"/>
      <c r="X1241" s="25"/>
      <c r="Y1241" s="25"/>
      <c r="Z1241" s="25"/>
      <c r="AA1241" s="25"/>
      <c r="AB1241" s="25"/>
      <c r="AC1241" s="25"/>
      <c r="AD1241" s="25"/>
    </row>
    <row r="1242" customFormat="false" ht="15.75" hidden="false" customHeight="false" outlineLevel="0" collapsed="false">
      <c r="A1242" s="28" t="s">
        <v>1622</v>
      </c>
      <c r="B1242" s="27" t="s">
        <v>438</v>
      </c>
      <c r="C1242" s="27" t="s">
        <v>211</v>
      </c>
      <c r="D1242" s="25"/>
      <c r="E1242" s="25"/>
      <c r="F1242" s="25"/>
      <c r="G1242" s="25"/>
      <c r="H1242" s="25"/>
      <c r="I1242" s="25"/>
      <c r="J1242" s="27" t="s">
        <v>1607</v>
      </c>
      <c r="K1242" s="25" t="str">
        <f aca="false">IFERROR(__xludf.dummyfunction("SPLIT(J1242,"" "")"),"CIF")</f>
        <v>CIF</v>
      </c>
      <c r="L1242" s="28" t="str">
        <f aca="false">IFERROR(__xludf.dummyfunction("""COMPUTED_VALUE"""),"Morocco")</f>
        <v>Morocco</v>
      </c>
      <c r="M1242" s="27" t="str">
        <f aca="false">IFERROR(__xludf.dummyfunction("""COMPUTED_VALUE"""),"(Diff)")</f>
        <v>(Diff)</v>
      </c>
      <c r="N1242" s="25"/>
      <c r="O1242" s="25"/>
      <c r="P1242" s="25"/>
      <c r="Q1242" s="29" t="s">
        <v>224</v>
      </c>
      <c r="R1242" s="8" t="str">
        <f aca="false">B1242&amp;" "&amp;C1242&amp;" "&amp;D1242&amp;" "&amp;E1242&amp;" "&amp;G1242&amp;" "&amp;H1242&amp;" "&amp;J1242&amp;" "&amp;N1242</f>
        <v>Differentials Binders &amp; Additives     CIF Morocco (Diff) </v>
      </c>
      <c r="S1242" s="25"/>
      <c r="T1242" s="8"/>
      <c r="U1242" s="8"/>
      <c r="V1242" s="25"/>
      <c r="W1242" s="25"/>
      <c r="X1242" s="25"/>
      <c r="Y1242" s="25"/>
      <c r="Z1242" s="25"/>
      <c r="AA1242" s="25"/>
      <c r="AB1242" s="25"/>
      <c r="AC1242" s="25"/>
      <c r="AD1242" s="25"/>
    </row>
    <row r="1243" customFormat="false" ht="15.75" hidden="false" customHeight="false" outlineLevel="0" collapsed="false">
      <c r="A1243" s="28" t="s">
        <v>1623</v>
      </c>
      <c r="B1243" s="27" t="s">
        <v>438</v>
      </c>
      <c r="C1243" s="27" t="s">
        <v>211</v>
      </c>
      <c r="D1243" s="25"/>
      <c r="E1243" s="25"/>
      <c r="F1243" s="25"/>
      <c r="G1243" s="25"/>
      <c r="H1243" s="25"/>
      <c r="I1243" s="25"/>
      <c r="J1243" s="27" t="s">
        <v>1607</v>
      </c>
      <c r="K1243" s="25" t="str">
        <f aca="false">IFERROR(__xludf.dummyfunction("SPLIT(J1243,"" "")"),"CIF")</f>
        <v>CIF</v>
      </c>
      <c r="L1243" s="28" t="str">
        <f aca="false">IFERROR(__xludf.dummyfunction("""COMPUTED_VALUE"""),"Morocco")</f>
        <v>Morocco</v>
      </c>
      <c r="M1243" s="27" t="str">
        <f aca="false">IFERROR(__xludf.dummyfunction("""COMPUTED_VALUE"""),"(Diff)")</f>
        <v>(Diff)</v>
      </c>
      <c r="N1243" s="25"/>
      <c r="O1243" s="25"/>
      <c r="P1243" s="25"/>
      <c r="Q1243" s="29" t="s">
        <v>222</v>
      </c>
      <c r="R1243" s="8" t="str">
        <f aca="false">B1243&amp;" "&amp;C1243&amp;" "&amp;D1243&amp;" "&amp;E1243&amp;" "&amp;G1243&amp;" "&amp;H1243&amp;" "&amp;J1243&amp;" "&amp;N1243</f>
        <v>Differentials Binders &amp; Additives     CIF Morocco (Diff) </v>
      </c>
      <c r="S1243" s="25"/>
      <c r="T1243" s="8"/>
      <c r="U1243" s="8"/>
      <c r="V1243" s="25"/>
      <c r="W1243" s="25"/>
      <c r="X1243" s="25"/>
      <c r="Y1243" s="25"/>
      <c r="Z1243" s="25"/>
      <c r="AA1243" s="25"/>
      <c r="AB1243" s="25"/>
      <c r="AC1243" s="25"/>
      <c r="AD1243" s="25"/>
    </row>
    <row r="1244" customFormat="false" ht="15.75" hidden="false" customHeight="false" outlineLevel="0" collapsed="false">
      <c r="A1244" s="28" t="s">
        <v>1624</v>
      </c>
      <c r="B1244" s="27" t="s">
        <v>438</v>
      </c>
      <c r="C1244" s="27" t="s">
        <v>211</v>
      </c>
      <c r="D1244" s="25"/>
      <c r="E1244" s="25"/>
      <c r="F1244" s="25"/>
      <c r="G1244" s="25"/>
      <c r="H1244" s="25"/>
      <c r="I1244" s="25"/>
      <c r="J1244" s="27" t="s">
        <v>1607</v>
      </c>
      <c r="K1244" s="25" t="str">
        <f aca="false">IFERROR(__xludf.dummyfunction("SPLIT(J1244,"" "")"),"CIF")</f>
        <v>CIF</v>
      </c>
      <c r="L1244" s="28" t="str">
        <f aca="false">IFERROR(__xludf.dummyfunction("""COMPUTED_VALUE"""),"Morocco")</f>
        <v>Morocco</v>
      </c>
      <c r="M1244" s="27" t="str">
        <f aca="false">IFERROR(__xludf.dummyfunction("""COMPUTED_VALUE"""),"(Diff)")</f>
        <v>(Diff)</v>
      </c>
      <c r="N1244" s="25"/>
      <c r="O1244" s="25"/>
      <c r="P1244" s="25"/>
      <c r="Q1244" s="29" t="s">
        <v>220</v>
      </c>
      <c r="R1244" s="8" t="str">
        <f aca="false">B1244&amp;" "&amp;C1244&amp;" "&amp;D1244&amp;" "&amp;E1244&amp;" "&amp;G1244&amp;" "&amp;H1244&amp;" "&amp;J1244&amp;" "&amp;N1244</f>
        <v>Differentials Binders &amp; Additives     CIF Morocco (Diff) </v>
      </c>
      <c r="S1244" s="25"/>
      <c r="T1244" s="8"/>
      <c r="U1244" s="8"/>
      <c r="V1244" s="25"/>
      <c r="W1244" s="25"/>
      <c r="X1244" s="25"/>
      <c r="Y1244" s="25"/>
      <c r="Z1244" s="25"/>
      <c r="AA1244" s="25"/>
      <c r="AB1244" s="25"/>
      <c r="AC1244" s="25"/>
      <c r="AD1244" s="25"/>
    </row>
    <row r="1245" customFormat="false" ht="15.75" hidden="false" customHeight="false" outlineLevel="0" collapsed="false">
      <c r="A1245" s="28" t="s">
        <v>1625</v>
      </c>
      <c r="B1245" s="27" t="s">
        <v>438</v>
      </c>
      <c r="C1245" s="27" t="s">
        <v>211</v>
      </c>
      <c r="D1245" s="25"/>
      <c r="E1245" s="25"/>
      <c r="F1245" s="25"/>
      <c r="G1245" s="25"/>
      <c r="H1245" s="25"/>
      <c r="I1245" s="25"/>
      <c r="J1245" s="27" t="s">
        <v>1607</v>
      </c>
      <c r="K1245" s="25" t="str">
        <f aca="false">IFERROR(__xludf.dummyfunction("SPLIT(J1245,"" "")"),"CIF")</f>
        <v>CIF</v>
      </c>
      <c r="L1245" s="28" t="str">
        <f aca="false">IFERROR(__xludf.dummyfunction("""COMPUTED_VALUE"""),"Morocco")</f>
        <v>Morocco</v>
      </c>
      <c r="M1245" s="27" t="str">
        <f aca="false">IFERROR(__xludf.dummyfunction("""COMPUTED_VALUE"""),"(Diff)")</f>
        <v>(Diff)</v>
      </c>
      <c r="N1245" s="25"/>
      <c r="O1245" s="25"/>
      <c r="P1245" s="25"/>
      <c r="Q1245" s="29" t="s">
        <v>218</v>
      </c>
      <c r="R1245" s="8" t="str">
        <f aca="false">B1245&amp;" "&amp;C1245&amp;" "&amp;D1245&amp;" "&amp;E1245&amp;" "&amp;G1245&amp;" "&amp;H1245&amp;" "&amp;J1245&amp;" "&amp;N1245</f>
        <v>Differentials Binders &amp; Additives     CIF Morocco (Diff) </v>
      </c>
      <c r="S1245" s="25"/>
      <c r="T1245" s="8"/>
      <c r="U1245" s="8"/>
      <c r="V1245" s="25"/>
      <c r="W1245" s="25"/>
      <c r="X1245" s="25"/>
      <c r="Y1245" s="25"/>
      <c r="Z1245" s="25"/>
      <c r="AA1245" s="25"/>
      <c r="AB1245" s="25"/>
      <c r="AC1245" s="25"/>
      <c r="AD1245" s="25"/>
    </row>
    <row r="1246" customFormat="false" ht="15.75" hidden="false" customHeight="false" outlineLevel="0" collapsed="false">
      <c r="A1246" s="28" t="s">
        <v>1626</v>
      </c>
      <c r="B1246" s="27" t="s">
        <v>438</v>
      </c>
      <c r="C1246" s="27" t="s">
        <v>211</v>
      </c>
      <c r="D1246" s="25"/>
      <c r="E1246" s="25"/>
      <c r="F1246" s="25"/>
      <c r="G1246" s="25"/>
      <c r="H1246" s="25"/>
      <c r="I1246" s="25"/>
      <c r="J1246" s="27" t="s">
        <v>1607</v>
      </c>
      <c r="K1246" s="25" t="str">
        <f aca="false">IFERROR(__xludf.dummyfunction("SPLIT(J1246,"" "")"),"CIF")</f>
        <v>CIF</v>
      </c>
      <c r="L1246" s="28" t="str">
        <f aca="false">IFERROR(__xludf.dummyfunction("""COMPUTED_VALUE"""),"Morocco")</f>
        <v>Morocco</v>
      </c>
      <c r="M1246" s="27" t="str">
        <f aca="false">IFERROR(__xludf.dummyfunction("""COMPUTED_VALUE"""),"(Diff)")</f>
        <v>(Diff)</v>
      </c>
      <c r="N1246" s="25"/>
      <c r="O1246" s="25"/>
      <c r="P1246" s="25"/>
      <c r="Q1246" s="29" t="s">
        <v>215</v>
      </c>
      <c r="R1246" s="8" t="str">
        <f aca="false">B1246&amp;" "&amp;C1246&amp;" "&amp;D1246&amp;" "&amp;E1246&amp;" "&amp;G1246&amp;" "&amp;H1246&amp;" "&amp;J1246&amp;" "&amp;N1246</f>
        <v>Differentials Binders &amp; Additives     CIF Morocco (Diff) </v>
      </c>
      <c r="S1246" s="25"/>
      <c r="T1246" s="8"/>
      <c r="U1246" s="8"/>
      <c r="V1246" s="25"/>
      <c r="W1246" s="25"/>
      <c r="X1246" s="25"/>
      <c r="Y1246" s="25"/>
      <c r="Z1246" s="25"/>
      <c r="AA1246" s="25"/>
      <c r="AB1246" s="25"/>
      <c r="AC1246" s="25"/>
      <c r="AD1246" s="25"/>
    </row>
    <row r="1247" customFormat="false" ht="15.75" hidden="false" customHeight="false" outlineLevel="0" collapsed="false">
      <c r="A1247" s="28" t="s">
        <v>1627</v>
      </c>
      <c r="B1247" s="27" t="s">
        <v>438</v>
      </c>
      <c r="C1247" s="27" t="s">
        <v>211</v>
      </c>
      <c r="D1247" s="25"/>
      <c r="E1247" s="25"/>
      <c r="F1247" s="25"/>
      <c r="G1247" s="25"/>
      <c r="H1247" s="25"/>
      <c r="I1247" s="25"/>
      <c r="J1247" s="27" t="s">
        <v>1607</v>
      </c>
      <c r="K1247" s="25" t="str">
        <f aca="false">IFERROR(__xludf.dummyfunction("SPLIT(J1247,"" "")"),"CIF")</f>
        <v>CIF</v>
      </c>
      <c r="L1247" s="28" t="str">
        <f aca="false">IFERROR(__xludf.dummyfunction("""COMPUTED_VALUE"""),"Morocco")</f>
        <v>Morocco</v>
      </c>
      <c r="M1247" s="27" t="str">
        <f aca="false">IFERROR(__xludf.dummyfunction("""COMPUTED_VALUE"""),"(Diff)")</f>
        <v>(Diff)</v>
      </c>
      <c r="N1247" s="25"/>
      <c r="O1247" s="25"/>
      <c r="P1247" s="25"/>
      <c r="Q1247" s="29" t="s">
        <v>213</v>
      </c>
      <c r="R1247" s="8" t="str">
        <f aca="false">B1247&amp;" "&amp;C1247&amp;" "&amp;D1247&amp;" "&amp;E1247&amp;" "&amp;G1247&amp;" "&amp;H1247&amp;" "&amp;J1247&amp;" "&amp;N1247</f>
        <v>Differentials Binders &amp; Additives     CIF Morocco (Diff) </v>
      </c>
      <c r="S1247" s="25"/>
      <c r="T1247" s="8"/>
      <c r="U1247" s="8"/>
      <c r="V1247" s="25"/>
      <c r="W1247" s="25"/>
      <c r="X1247" s="25"/>
      <c r="Y1247" s="25"/>
      <c r="Z1247" s="25"/>
      <c r="AA1247" s="25"/>
      <c r="AB1247" s="25"/>
      <c r="AC1247" s="25"/>
      <c r="AD1247" s="25"/>
    </row>
    <row r="1248" customFormat="false" ht="15.75" hidden="false" customHeight="false" outlineLevel="0" collapsed="false">
      <c r="A1248" s="28" t="s">
        <v>1628</v>
      </c>
      <c r="B1248" s="27" t="s">
        <v>438</v>
      </c>
      <c r="C1248" s="27" t="s">
        <v>236</v>
      </c>
      <c r="D1248" s="25"/>
      <c r="E1248" s="25"/>
      <c r="F1248" s="25"/>
      <c r="G1248" s="25"/>
      <c r="H1248" s="25"/>
      <c r="I1248" s="25"/>
      <c r="J1248" s="27" t="s">
        <v>1607</v>
      </c>
      <c r="K1248" s="25" t="str">
        <f aca="false">IFERROR(__xludf.dummyfunction("SPLIT(J1248,"" "")"),"CIF")</f>
        <v>CIF</v>
      </c>
      <c r="L1248" s="28" t="str">
        <f aca="false">IFERROR(__xludf.dummyfunction("""COMPUTED_VALUE"""),"Morocco")</f>
        <v>Morocco</v>
      </c>
      <c r="M1248" s="27" t="str">
        <f aca="false">IFERROR(__xludf.dummyfunction("""COMPUTED_VALUE"""),"(Diff)")</f>
        <v>(Diff)</v>
      </c>
      <c r="N1248" s="25"/>
      <c r="O1248" s="25"/>
      <c r="P1248" s="25"/>
      <c r="Q1248" s="29" t="s">
        <v>271</v>
      </c>
      <c r="R1248" s="8" t="str">
        <f aca="false">B1248&amp;" "&amp;C1248&amp;" "&amp;D1248&amp;" "&amp;E1248&amp;" "&amp;G1248&amp;" "&amp;H1248&amp;" "&amp;J1248&amp;" "&amp;N1248</f>
        <v>Differentials Cathode     CIF Morocco (Diff) </v>
      </c>
      <c r="S1248" s="25"/>
      <c r="T1248" s="8"/>
      <c r="U1248" s="8"/>
      <c r="V1248" s="25"/>
      <c r="W1248" s="25"/>
      <c r="X1248" s="25"/>
      <c r="Y1248" s="25"/>
      <c r="Z1248" s="25"/>
      <c r="AA1248" s="25"/>
      <c r="AB1248" s="25"/>
      <c r="AC1248" s="25"/>
      <c r="AD1248" s="25"/>
    </row>
    <row r="1249" customFormat="false" ht="15.75" hidden="false" customHeight="false" outlineLevel="0" collapsed="false">
      <c r="A1249" s="28" t="s">
        <v>1629</v>
      </c>
      <c r="B1249" s="27" t="s">
        <v>438</v>
      </c>
      <c r="C1249" s="27" t="s">
        <v>236</v>
      </c>
      <c r="D1249" s="25"/>
      <c r="E1249" s="25"/>
      <c r="F1249" s="25"/>
      <c r="G1249" s="25"/>
      <c r="H1249" s="25"/>
      <c r="I1249" s="25"/>
      <c r="J1249" s="27" t="s">
        <v>1607</v>
      </c>
      <c r="K1249" s="25" t="str">
        <f aca="false">IFERROR(__xludf.dummyfunction("SPLIT(J1249,"" "")"),"CIF")</f>
        <v>CIF</v>
      </c>
      <c r="L1249" s="28" t="str">
        <f aca="false">IFERROR(__xludf.dummyfunction("""COMPUTED_VALUE"""),"Morocco")</f>
        <v>Morocco</v>
      </c>
      <c r="M1249" s="27" t="str">
        <f aca="false">IFERROR(__xludf.dummyfunction("""COMPUTED_VALUE"""),"(Diff)")</f>
        <v>(Diff)</v>
      </c>
      <c r="N1249" s="25"/>
      <c r="O1249" s="25"/>
      <c r="P1249" s="25"/>
      <c r="Q1249" s="29" t="s">
        <v>266</v>
      </c>
      <c r="R1249" s="8" t="str">
        <f aca="false">B1249&amp;" "&amp;C1249&amp;" "&amp;D1249&amp;" "&amp;E1249&amp;" "&amp;G1249&amp;" "&amp;H1249&amp;" "&amp;J1249&amp;" "&amp;N1249</f>
        <v>Differentials Cathode     CIF Morocco (Diff) </v>
      </c>
      <c r="S1249" s="25"/>
      <c r="T1249" s="8"/>
      <c r="U1249" s="8"/>
      <c r="V1249" s="25"/>
      <c r="W1249" s="25"/>
      <c r="X1249" s="25"/>
      <c r="Y1249" s="25"/>
      <c r="Z1249" s="25"/>
      <c r="AA1249" s="25"/>
      <c r="AB1249" s="25"/>
      <c r="AC1249" s="25"/>
      <c r="AD1249" s="25"/>
    </row>
    <row r="1250" customFormat="false" ht="15.75" hidden="false" customHeight="false" outlineLevel="0" collapsed="false">
      <c r="A1250" s="28" t="s">
        <v>1630</v>
      </c>
      <c r="B1250" s="27" t="s">
        <v>438</v>
      </c>
      <c r="C1250" s="27" t="s">
        <v>236</v>
      </c>
      <c r="D1250" s="25"/>
      <c r="E1250" s="25"/>
      <c r="F1250" s="25"/>
      <c r="G1250" s="25"/>
      <c r="H1250" s="25"/>
      <c r="I1250" s="25"/>
      <c r="J1250" s="27" t="s">
        <v>1607</v>
      </c>
      <c r="K1250" s="25" t="str">
        <f aca="false">IFERROR(__xludf.dummyfunction("SPLIT(J1250,"" "")"),"CIF")</f>
        <v>CIF</v>
      </c>
      <c r="L1250" s="28" t="str">
        <f aca="false">IFERROR(__xludf.dummyfunction("""COMPUTED_VALUE"""),"Morocco")</f>
        <v>Morocco</v>
      </c>
      <c r="M1250" s="27" t="str">
        <f aca="false">IFERROR(__xludf.dummyfunction("""COMPUTED_VALUE"""),"(Diff)")</f>
        <v>(Diff)</v>
      </c>
      <c r="N1250" s="25"/>
      <c r="O1250" s="25"/>
      <c r="P1250" s="25"/>
      <c r="Q1250" s="29" t="s">
        <v>261</v>
      </c>
      <c r="R1250" s="8" t="str">
        <f aca="false">B1250&amp;" "&amp;C1250&amp;" "&amp;D1250&amp;" "&amp;E1250&amp;" "&amp;G1250&amp;" "&amp;H1250&amp;" "&amp;J1250&amp;" "&amp;N1250</f>
        <v>Differentials Cathode     CIF Morocco (Diff) </v>
      </c>
      <c r="S1250" s="25"/>
      <c r="T1250" s="8"/>
      <c r="U1250" s="8"/>
      <c r="V1250" s="25"/>
      <c r="W1250" s="25"/>
      <c r="X1250" s="25"/>
      <c r="Y1250" s="25"/>
      <c r="Z1250" s="25"/>
      <c r="AA1250" s="25"/>
      <c r="AB1250" s="25"/>
      <c r="AC1250" s="25"/>
      <c r="AD1250" s="25"/>
    </row>
    <row r="1251" customFormat="false" ht="15.75" hidden="false" customHeight="false" outlineLevel="0" collapsed="false">
      <c r="A1251" s="28" t="s">
        <v>1631</v>
      </c>
      <c r="B1251" s="27" t="s">
        <v>438</v>
      </c>
      <c r="C1251" s="27" t="s">
        <v>236</v>
      </c>
      <c r="D1251" s="25"/>
      <c r="E1251" s="25"/>
      <c r="F1251" s="25"/>
      <c r="G1251" s="25"/>
      <c r="H1251" s="25"/>
      <c r="I1251" s="25"/>
      <c r="J1251" s="27" t="s">
        <v>1607</v>
      </c>
      <c r="K1251" s="25" t="str">
        <f aca="false">IFERROR(__xludf.dummyfunction("SPLIT(J1251,"" "")"),"CIF")</f>
        <v>CIF</v>
      </c>
      <c r="L1251" s="28" t="str">
        <f aca="false">IFERROR(__xludf.dummyfunction("""COMPUTED_VALUE"""),"Morocco")</f>
        <v>Morocco</v>
      </c>
      <c r="M1251" s="27" t="str">
        <f aca="false">IFERROR(__xludf.dummyfunction("""COMPUTED_VALUE"""),"(Diff)")</f>
        <v>(Diff)</v>
      </c>
      <c r="N1251" s="25"/>
      <c r="O1251" s="25"/>
      <c r="P1251" s="25"/>
      <c r="Q1251" s="29" t="s">
        <v>256</v>
      </c>
      <c r="R1251" s="8" t="str">
        <f aca="false">B1251&amp;" "&amp;C1251&amp;" "&amp;D1251&amp;" "&amp;E1251&amp;" "&amp;G1251&amp;" "&amp;H1251&amp;" "&amp;J1251&amp;" "&amp;N1251</f>
        <v>Differentials Cathode     CIF Morocco (Diff) </v>
      </c>
      <c r="S1251" s="25"/>
      <c r="T1251" s="8"/>
      <c r="U1251" s="8"/>
      <c r="V1251" s="25"/>
      <c r="W1251" s="25"/>
      <c r="X1251" s="25"/>
      <c r="Y1251" s="25"/>
      <c r="Z1251" s="25"/>
      <c r="AA1251" s="25"/>
      <c r="AB1251" s="25"/>
      <c r="AC1251" s="25"/>
      <c r="AD1251" s="25"/>
    </row>
    <row r="1252" customFormat="false" ht="15.75" hidden="false" customHeight="false" outlineLevel="0" collapsed="false">
      <c r="A1252" s="28" t="s">
        <v>1632</v>
      </c>
      <c r="B1252" s="27" t="s">
        <v>438</v>
      </c>
      <c r="C1252" s="27" t="s">
        <v>236</v>
      </c>
      <c r="D1252" s="25"/>
      <c r="E1252" s="25"/>
      <c r="F1252" s="25"/>
      <c r="G1252" s="25"/>
      <c r="H1252" s="25"/>
      <c r="I1252" s="25"/>
      <c r="J1252" s="27" t="s">
        <v>1607</v>
      </c>
      <c r="K1252" s="25" t="str">
        <f aca="false">IFERROR(__xludf.dummyfunction("SPLIT(J1252,"" "")"),"CIF")</f>
        <v>CIF</v>
      </c>
      <c r="L1252" s="28" t="str">
        <f aca="false">IFERROR(__xludf.dummyfunction("""COMPUTED_VALUE"""),"Morocco")</f>
        <v>Morocco</v>
      </c>
      <c r="M1252" s="27" t="str">
        <f aca="false">IFERROR(__xludf.dummyfunction("""COMPUTED_VALUE"""),"(Diff)")</f>
        <v>(Diff)</v>
      </c>
      <c r="N1252" s="25"/>
      <c r="O1252" s="25"/>
      <c r="P1252" s="25"/>
      <c r="Q1252" s="29" t="s">
        <v>251</v>
      </c>
      <c r="R1252" s="8" t="str">
        <f aca="false">B1252&amp;" "&amp;C1252&amp;" "&amp;D1252&amp;" "&amp;E1252&amp;" "&amp;G1252&amp;" "&amp;H1252&amp;" "&amp;J1252&amp;" "&amp;N1252</f>
        <v>Differentials Cathode     CIF Morocco (Diff) </v>
      </c>
      <c r="S1252" s="25"/>
      <c r="T1252" s="8"/>
      <c r="U1252" s="8"/>
      <c r="V1252" s="25"/>
      <c r="W1252" s="25"/>
      <c r="X1252" s="25"/>
      <c r="Y1252" s="25"/>
      <c r="Z1252" s="25"/>
      <c r="AA1252" s="25"/>
      <c r="AB1252" s="25"/>
      <c r="AC1252" s="25"/>
      <c r="AD1252" s="25"/>
    </row>
    <row r="1253" customFormat="false" ht="15.75" hidden="false" customHeight="false" outlineLevel="0" collapsed="false">
      <c r="A1253" s="28" t="s">
        <v>1633</v>
      </c>
      <c r="B1253" s="27" t="s">
        <v>438</v>
      </c>
      <c r="C1253" s="27" t="s">
        <v>236</v>
      </c>
      <c r="D1253" s="25"/>
      <c r="E1253" s="25"/>
      <c r="F1253" s="25"/>
      <c r="G1253" s="25"/>
      <c r="H1253" s="25"/>
      <c r="I1253" s="25"/>
      <c r="J1253" s="27" t="s">
        <v>1607</v>
      </c>
      <c r="K1253" s="25" t="str">
        <f aca="false">IFERROR(__xludf.dummyfunction("SPLIT(J1253,"" "")"),"CIF")</f>
        <v>CIF</v>
      </c>
      <c r="L1253" s="28" t="str">
        <f aca="false">IFERROR(__xludf.dummyfunction("""COMPUTED_VALUE"""),"Morocco")</f>
        <v>Morocco</v>
      </c>
      <c r="M1253" s="27" t="str">
        <f aca="false">IFERROR(__xludf.dummyfunction("""COMPUTED_VALUE"""),"(Diff)")</f>
        <v>(Diff)</v>
      </c>
      <c r="N1253" s="25"/>
      <c r="O1253" s="25"/>
      <c r="P1253" s="25"/>
      <c r="Q1253" s="29" t="s">
        <v>247</v>
      </c>
      <c r="R1253" s="8" t="str">
        <f aca="false">B1253&amp;" "&amp;C1253&amp;" "&amp;D1253&amp;" "&amp;E1253&amp;" "&amp;G1253&amp;" "&amp;H1253&amp;" "&amp;J1253&amp;" "&amp;N1253</f>
        <v>Differentials Cathode     CIF Morocco (Diff) </v>
      </c>
      <c r="S1253" s="25"/>
      <c r="T1253" s="8"/>
      <c r="U1253" s="8"/>
      <c r="V1253" s="25"/>
      <c r="W1253" s="25"/>
      <c r="X1253" s="25"/>
      <c r="Y1253" s="25"/>
      <c r="Z1253" s="25"/>
      <c r="AA1253" s="25"/>
      <c r="AB1253" s="25"/>
      <c r="AC1253" s="25"/>
      <c r="AD1253" s="25"/>
    </row>
    <row r="1254" customFormat="false" ht="15.75" hidden="false" customHeight="false" outlineLevel="0" collapsed="false">
      <c r="A1254" s="28" t="s">
        <v>1634</v>
      </c>
      <c r="B1254" s="27" t="s">
        <v>438</v>
      </c>
      <c r="C1254" s="27" t="s">
        <v>236</v>
      </c>
      <c r="D1254" s="25"/>
      <c r="E1254" s="25"/>
      <c r="F1254" s="25"/>
      <c r="G1254" s="25"/>
      <c r="H1254" s="25"/>
      <c r="I1254" s="25"/>
      <c r="J1254" s="27" t="s">
        <v>1607</v>
      </c>
      <c r="K1254" s="25" t="str">
        <f aca="false">IFERROR(__xludf.dummyfunction("SPLIT(J1254,"" "")"),"CIF")</f>
        <v>CIF</v>
      </c>
      <c r="L1254" s="28" t="str">
        <f aca="false">IFERROR(__xludf.dummyfunction("""COMPUTED_VALUE"""),"Morocco")</f>
        <v>Morocco</v>
      </c>
      <c r="M1254" s="27" t="str">
        <f aca="false">IFERROR(__xludf.dummyfunction("""COMPUTED_VALUE"""),"(Diff)")</f>
        <v>(Diff)</v>
      </c>
      <c r="N1254" s="25"/>
      <c r="O1254" s="25"/>
      <c r="P1254" s="25"/>
      <c r="Q1254" s="29" t="s">
        <v>243</v>
      </c>
      <c r="R1254" s="8" t="str">
        <f aca="false">B1254&amp;" "&amp;C1254&amp;" "&amp;D1254&amp;" "&amp;E1254&amp;" "&amp;G1254&amp;" "&amp;H1254&amp;" "&amp;J1254&amp;" "&amp;N1254</f>
        <v>Differentials Cathode     CIF Morocco (Diff) </v>
      </c>
      <c r="S1254" s="25"/>
      <c r="T1254" s="8"/>
      <c r="U1254" s="8"/>
      <c r="V1254" s="25"/>
      <c r="W1254" s="25"/>
      <c r="X1254" s="25"/>
      <c r="Y1254" s="25"/>
      <c r="Z1254" s="25"/>
      <c r="AA1254" s="25"/>
      <c r="AB1254" s="25"/>
      <c r="AC1254" s="25"/>
      <c r="AD1254" s="25"/>
    </row>
    <row r="1255" customFormat="false" ht="15.75" hidden="false" customHeight="false" outlineLevel="0" collapsed="false">
      <c r="A1255" s="28" t="s">
        <v>1635</v>
      </c>
      <c r="B1255" s="27" t="s">
        <v>438</v>
      </c>
      <c r="C1255" s="27" t="s">
        <v>236</v>
      </c>
      <c r="D1255" s="25"/>
      <c r="E1255" s="25"/>
      <c r="F1255" s="25"/>
      <c r="G1255" s="25"/>
      <c r="H1255" s="25"/>
      <c r="I1255" s="25"/>
      <c r="J1255" s="27" t="s">
        <v>1607</v>
      </c>
      <c r="K1255" s="25" t="str">
        <f aca="false">IFERROR(__xludf.dummyfunction("SPLIT(J1255,"" "")"),"CIF")</f>
        <v>CIF</v>
      </c>
      <c r="L1255" s="28" t="str">
        <f aca="false">IFERROR(__xludf.dummyfunction("""COMPUTED_VALUE"""),"Morocco")</f>
        <v>Morocco</v>
      </c>
      <c r="M1255" s="27" t="str">
        <f aca="false">IFERROR(__xludf.dummyfunction("""COMPUTED_VALUE"""),"(Diff)")</f>
        <v>(Diff)</v>
      </c>
      <c r="N1255" s="25"/>
      <c r="O1255" s="25"/>
      <c r="P1255" s="25"/>
      <c r="Q1255" s="29" t="s">
        <v>239</v>
      </c>
      <c r="R1255" s="8" t="str">
        <f aca="false">B1255&amp;" "&amp;C1255&amp;" "&amp;D1255&amp;" "&amp;E1255&amp;" "&amp;G1255&amp;" "&amp;H1255&amp;" "&amp;J1255&amp;" "&amp;N1255</f>
        <v>Differentials Cathode     CIF Morocco (Diff) </v>
      </c>
      <c r="S1255" s="25"/>
      <c r="T1255" s="8"/>
      <c r="U1255" s="8"/>
      <c r="V1255" s="25"/>
      <c r="W1255" s="25"/>
      <c r="X1255" s="25"/>
      <c r="Y1255" s="25"/>
      <c r="Z1255" s="25"/>
      <c r="AA1255" s="25"/>
      <c r="AB1255" s="25"/>
      <c r="AC1255" s="25"/>
      <c r="AD1255" s="25"/>
    </row>
    <row r="1256" customFormat="false" ht="15.75" hidden="false" customHeight="false" outlineLevel="0" collapsed="false">
      <c r="A1256" s="28" t="s">
        <v>1636</v>
      </c>
      <c r="B1256" s="27" t="s">
        <v>438</v>
      </c>
      <c r="C1256" s="27" t="s">
        <v>273</v>
      </c>
      <c r="D1256" s="25"/>
      <c r="E1256" s="25"/>
      <c r="F1256" s="25"/>
      <c r="G1256" s="25"/>
      <c r="H1256" s="25"/>
      <c r="I1256" s="25"/>
      <c r="J1256" s="27" t="s">
        <v>1607</v>
      </c>
      <c r="K1256" s="25" t="str">
        <f aca="false">IFERROR(__xludf.dummyfunction("SPLIT(J1256,"" "")"),"CIF")</f>
        <v>CIF</v>
      </c>
      <c r="L1256" s="28" t="str">
        <f aca="false">IFERROR(__xludf.dummyfunction("""COMPUTED_VALUE"""),"Morocco")</f>
        <v>Morocco</v>
      </c>
      <c r="M1256" s="27" t="str">
        <f aca="false">IFERROR(__xludf.dummyfunction("""COMPUTED_VALUE"""),"(Diff)")</f>
        <v>(Diff)</v>
      </c>
      <c r="N1256" s="25"/>
      <c r="O1256" s="25"/>
      <c r="P1256" s="25"/>
      <c r="Q1256" s="29" t="s">
        <v>274</v>
      </c>
      <c r="R1256" s="8" t="str">
        <f aca="false">B1256&amp;" "&amp;C1256&amp;" "&amp;D1256&amp;" "&amp;E1256&amp;" "&amp;G1256&amp;" "&amp;H1256&amp;" "&amp;J1256&amp;" "&amp;N1256</f>
        <v>Differentials Cobalt     CIF Morocco (Diff) </v>
      </c>
      <c r="S1256" s="25"/>
      <c r="T1256" s="8"/>
      <c r="U1256" s="8"/>
      <c r="V1256" s="25"/>
      <c r="W1256" s="25"/>
      <c r="X1256" s="25"/>
      <c r="Y1256" s="25"/>
      <c r="Z1256" s="25"/>
      <c r="AA1256" s="25"/>
      <c r="AB1256" s="25"/>
      <c r="AC1256" s="25"/>
      <c r="AD1256" s="25"/>
    </row>
    <row r="1257" customFormat="false" ht="15.75" hidden="false" customHeight="false" outlineLevel="0" collapsed="false">
      <c r="A1257" s="28" t="s">
        <v>1637</v>
      </c>
      <c r="B1257" s="27" t="s">
        <v>438</v>
      </c>
      <c r="C1257" s="27" t="s">
        <v>273</v>
      </c>
      <c r="D1257" s="25"/>
      <c r="E1257" s="25"/>
      <c r="F1257" s="25"/>
      <c r="G1257" s="25"/>
      <c r="H1257" s="25"/>
      <c r="I1257" s="25"/>
      <c r="J1257" s="27" t="s">
        <v>1607</v>
      </c>
      <c r="K1257" s="25" t="str">
        <f aca="false">IFERROR(__xludf.dummyfunction("SPLIT(J1257,"" "")"),"CIF")</f>
        <v>CIF</v>
      </c>
      <c r="L1257" s="28" t="str">
        <f aca="false">IFERROR(__xludf.dummyfunction("""COMPUTED_VALUE"""),"Morocco")</f>
        <v>Morocco</v>
      </c>
      <c r="M1257" s="27" t="str">
        <f aca="false">IFERROR(__xludf.dummyfunction("""COMPUTED_VALUE"""),"(Diff)")</f>
        <v>(Diff)</v>
      </c>
      <c r="N1257" s="25"/>
      <c r="O1257" s="25"/>
      <c r="P1257" s="25"/>
      <c r="Q1257" s="29" t="s">
        <v>282</v>
      </c>
      <c r="R1257" s="8" t="str">
        <f aca="false">B1257&amp;" "&amp;C1257&amp;" "&amp;D1257&amp;" "&amp;E1257&amp;" "&amp;G1257&amp;" "&amp;H1257&amp;" "&amp;J1257&amp;" "&amp;N1257</f>
        <v>Differentials Cobalt     CIF Morocco (Diff) </v>
      </c>
      <c r="S1257" s="25"/>
      <c r="T1257" s="8"/>
      <c r="U1257" s="8"/>
      <c r="V1257" s="25"/>
      <c r="W1257" s="25"/>
      <c r="X1257" s="25"/>
      <c r="Y1257" s="25"/>
      <c r="Z1257" s="25"/>
      <c r="AA1257" s="25"/>
      <c r="AB1257" s="25"/>
      <c r="AC1257" s="25"/>
      <c r="AD1257" s="25"/>
    </row>
    <row r="1258" customFormat="false" ht="15.75" hidden="false" customHeight="false" outlineLevel="0" collapsed="false">
      <c r="A1258" s="28" t="s">
        <v>1638</v>
      </c>
      <c r="B1258" s="27" t="s">
        <v>438</v>
      </c>
      <c r="C1258" s="27" t="s">
        <v>273</v>
      </c>
      <c r="D1258" s="25"/>
      <c r="E1258" s="25"/>
      <c r="F1258" s="25"/>
      <c r="G1258" s="25"/>
      <c r="H1258" s="25"/>
      <c r="I1258" s="25"/>
      <c r="J1258" s="27" t="s">
        <v>1607</v>
      </c>
      <c r="K1258" s="25" t="str">
        <f aca="false">IFERROR(__xludf.dummyfunction("SPLIT(J1258,"" "")"),"CIF")</f>
        <v>CIF</v>
      </c>
      <c r="L1258" s="28" t="str">
        <f aca="false">IFERROR(__xludf.dummyfunction("""COMPUTED_VALUE"""),"Morocco")</f>
        <v>Morocco</v>
      </c>
      <c r="M1258" s="27" t="str">
        <f aca="false">IFERROR(__xludf.dummyfunction("""COMPUTED_VALUE"""),"(Diff)")</f>
        <v>(Diff)</v>
      </c>
      <c r="N1258" s="25"/>
      <c r="O1258" s="25"/>
      <c r="P1258" s="25"/>
      <c r="Q1258" s="29" t="s">
        <v>280</v>
      </c>
      <c r="R1258" s="8" t="str">
        <f aca="false">B1258&amp;" "&amp;C1258&amp;" "&amp;D1258&amp;" "&amp;E1258&amp;" "&amp;G1258&amp;" "&amp;H1258&amp;" "&amp;J1258&amp;" "&amp;N1258</f>
        <v>Differentials Cobalt     CIF Morocco (Diff) </v>
      </c>
      <c r="S1258" s="25"/>
      <c r="T1258" s="8"/>
      <c r="U1258" s="8"/>
      <c r="V1258" s="25"/>
      <c r="W1258" s="25"/>
      <c r="X1258" s="25"/>
      <c r="Y1258" s="25"/>
      <c r="Z1258" s="25"/>
      <c r="AA1258" s="25"/>
      <c r="AB1258" s="25"/>
      <c r="AC1258" s="25"/>
      <c r="AD1258" s="25"/>
    </row>
    <row r="1259" customFormat="false" ht="15.75" hidden="false" customHeight="false" outlineLevel="0" collapsed="false">
      <c r="A1259" s="28" t="s">
        <v>1639</v>
      </c>
      <c r="B1259" s="27" t="s">
        <v>438</v>
      </c>
      <c r="C1259" s="27" t="s">
        <v>273</v>
      </c>
      <c r="D1259" s="25"/>
      <c r="E1259" s="25"/>
      <c r="F1259" s="25"/>
      <c r="G1259" s="25"/>
      <c r="H1259" s="25"/>
      <c r="I1259" s="25"/>
      <c r="J1259" s="27" t="s">
        <v>1607</v>
      </c>
      <c r="K1259" s="25" t="str">
        <f aca="false">IFERROR(__xludf.dummyfunction("SPLIT(J1259,"" "")"),"CIF")</f>
        <v>CIF</v>
      </c>
      <c r="L1259" s="28" t="str">
        <f aca="false">IFERROR(__xludf.dummyfunction("""COMPUTED_VALUE"""),"Morocco")</f>
        <v>Morocco</v>
      </c>
      <c r="M1259" s="27" t="str">
        <f aca="false">IFERROR(__xludf.dummyfunction("""COMPUTED_VALUE"""),"(Diff)")</f>
        <v>(Diff)</v>
      </c>
      <c r="N1259" s="25"/>
      <c r="O1259" s="25"/>
      <c r="P1259" s="25"/>
      <c r="Q1259" s="29" t="s">
        <v>278</v>
      </c>
      <c r="R1259" s="8" t="str">
        <f aca="false">B1259&amp;" "&amp;C1259&amp;" "&amp;D1259&amp;" "&amp;E1259&amp;" "&amp;G1259&amp;" "&amp;H1259&amp;" "&amp;J1259&amp;" "&amp;N1259</f>
        <v>Differentials Cobalt     CIF Morocco (Diff) </v>
      </c>
      <c r="S1259" s="25"/>
      <c r="T1259" s="8"/>
      <c r="U1259" s="8"/>
      <c r="V1259" s="25"/>
      <c r="W1259" s="25"/>
      <c r="X1259" s="25"/>
      <c r="Y1259" s="25"/>
      <c r="Z1259" s="25"/>
      <c r="AA1259" s="25"/>
      <c r="AB1259" s="25"/>
      <c r="AC1259" s="25"/>
      <c r="AD1259" s="25"/>
    </row>
    <row r="1260" customFormat="false" ht="15.75" hidden="false" customHeight="false" outlineLevel="0" collapsed="false">
      <c r="A1260" s="28" t="s">
        <v>1640</v>
      </c>
      <c r="B1260" s="27" t="s">
        <v>438</v>
      </c>
      <c r="C1260" s="27" t="s">
        <v>273</v>
      </c>
      <c r="D1260" s="25"/>
      <c r="E1260" s="25"/>
      <c r="F1260" s="25"/>
      <c r="G1260" s="25"/>
      <c r="H1260" s="25"/>
      <c r="I1260" s="25"/>
      <c r="J1260" s="27" t="s">
        <v>1607</v>
      </c>
      <c r="K1260" s="25" t="str">
        <f aca="false">IFERROR(__xludf.dummyfunction("SPLIT(J1260,"" "")"),"CIF")</f>
        <v>CIF</v>
      </c>
      <c r="L1260" s="28" t="str">
        <f aca="false">IFERROR(__xludf.dummyfunction("""COMPUTED_VALUE"""),"Morocco")</f>
        <v>Morocco</v>
      </c>
      <c r="M1260" s="27" t="str">
        <f aca="false">IFERROR(__xludf.dummyfunction("""COMPUTED_VALUE"""),"(Diff)")</f>
        <v>(Diff)</v>
      </c>
      <c r="N1260" s="25"/>
      <c r="O1260" s="25"/>
      <c r="P1260" s="25"/>
      <c r="Q1260" s="29" t="s">
        <v>276</v>
      </c>
      <c r="R1260" s="8" t="str">
        <f aca="false">B1260&amp;" "&amp;C1260&amp;" "&amp;D1260&amp;" "&amp;E1260&amp;" "&amp;G1260&amp;" "&amp;H1260&amp;" "&amp;J1260&amp;" "&amp;N1260</f>
        <v>Differentials Cobalt     CIF Morocco (Diff) </v>
      </c>
      <c r="S1260" s="25"/>
      <c r="T1260" s="8"/>
      <c r="U1260" s="8"/>
      <c r="V1260" s="25"/>
      <c r="W1260" s="25"/>
      <c r="X1260" s="25"/>
      <c r="Y1260" s="25"/>
      <c r="Z1260" s="25"/>
      <c r="AA1260" s="25"/>
      <c r="AB1260" s="25"/>
      <c r="AC1260" s="25"/>
      <c r="AD1260" s="25"/>
    </row>
    <row r="1261" customFormat="false" ht="15.75" hidden="false" customHeight="false" outlineLevel="0" collapsed="false">
      <c r="A1261" s="28" t="s">
        <v>1641</v>
      </c>
      <c r="B1261" s="27" t="s">
        <v>438</v>
      </c>
      <c r="C1261" s="27" t="s">
        <v>284</v>
      </c>
      <c r="D1261" s="25"/>
      <c r="E1261" s="25"/>
      <c r="F1261" s="25"/>
      <c r="G1261" s="25"/>
      <c r="H1261" s="25"/>
      <c r="I1261" s="25"/>
      <c r="J1261" s="27" t="s">
        <v>1607</v>
      </c>
      <c r="K1261" s="25" t="str">
        <f aca="false">IFERROR(__xludf.dummyfunction("SPLIT(J1261,"" "")"),"CIF")</f>
        <v>CIF</v>
      </c>
      <c r="L1261" s="28" t="str">
        <f aca="false">IFERROR(__xludf.dummyfunction("""COMPUTED_VALUE"""),"Morocco")</f>
        <v>Morocco</v>
      </c>
      <c r="M1261" s="27" t="str">
        <f aca="false">IFERROR(__xludf.dummyfunction("""COMPUTED_VALUE"""),"(Diff)")</f>
        <v>(Diff)</v>
      </c>
      <c r="N1261" s="25"/>
      <c r="O1261" s="25"/>
      <c r="P1261" s="25"/>
      <c r="Q1261" s="29" t="s">
        <v>287</v>
      </c>
      <c r="R1261" s="8" t="str">
        <f aca="false">B1261&amp;" "&amp;C1261&amp;" "&amp;D1261&amp;" "&amp;E1261&amp;" "&amp;G1261&amp;" "&amp;H1261&amp;" "&amp;J1261&amp;" "&amp;N1261</f>
        <v>Differentials Copper (Battery Grade)     CIF Morocco (Diff) </v>
      </c>
      <c r="S1261" s="25"/>
      <c r="T1261" s="8"/>
      <c r="U1261" s="37" t="s">
        <v>1642</v>
      </c>
      <c r="V1261" s="37"/>
      <c r="W1261" s="25"/>
      <c r="X1261" s="25"/>
      <c r="Y1261" s="25"/>
      <c r="Z1261" s="25"/>
      <c r="AA1261" s="25"/>
      <c r="AB1261" s="25"/>
      <c r="AC1261" s="25"/>
      <c r="AD1261" s="25"/>
    </row>
    <row r="1262" customFormat="false" ht="15.75" hidden="false" customHeight="false" outlineLevel="0" collapsed="false">
      <c r="A1262" s="28" t="s">
        <v>1643</v>
      </c>
      <c r="B1262" s="27" t="s">
        <v>438</v>
      </c>
      <c r="C1262" s="27" t="s">
        <v>284</v>
      </c>
      <c r="D1262" s="25"/>
      <c r="E1262" s="25"/>
      <c r="F1262" s="25"/>
      <c r="G1262" s="25"/>
      <c r="H1262" s="25"/>
      <c r="I1262" s="25"/>
      <c r="J1262" s="27" t="s">
        <v>1607</v>
      </c>
      <c r="K1262" s="25" t="str">
        <f aca="false">IFERROR(__xludf.dummyfunction("SPLIT(J1262,"" "")"),"CIF")</f>
        <v>CIF</v>
      </c>
      <c r="L1262" s="28" t="str">
        <f aca="false">IFERROR(__xludf.dummyfunction("""COMPUTED_VALUE"""),"Morocco")</f>
        <v>Morocco</v>
      </c>
      <c r="M1262" s="27" t="str">
        <f aca="false">IFERROR(__xludf.dummyfunction("""COMPUTED_VALUE"""),"(Diff)")</f>
        <v>(Diff)</v>
      </c>
      <c r="N1262" s="25"/>
      <c r="O1262" s="25"/>
      <c r="P1262" s="25"/>
      <c r="Q1262" s="29" t="s">
        <v>285</v>
      </c>
      <c r="R1262" s="8" t="str">
        <f aca="false">B1262&amp;" "&amp;C1262&amp;" "&amp;D1262&amp;" "&amp;E1262&amp;" "&amp;G1262&amp;" "&amp;H1262&amp;" "&amp;J1262&amp;" "&amp;N1262</f>
        <v>Differentials Copper (Battery Grade)     CIF Morocco (Diff) </v>
      </c>
      <c r="S1262" s="25"/>
      <c r="T1262" s="8"/>
      <c r="U1262" s="8"/>
      <c r="V1262" s="25"/>
      <c r="W1262" s="25"/>
      <c r="X1262" s="25"/>
      <c r="Y1262" s="25"/>
      <c r="Z1262" s="25"/>
      <c r="AA1262" s="25"/>
      <c r="AB1262" s="25"/>
      <c r="AC1262" s="25"/>
      <c r="AD1262" s="25"/>
    </row>
    <row r="1263" customFormat="false" ht="15.75" hidden="false" customHeight="false" outlineLevel="0" collapsed="false">
      <c r="A1263" s="28" t="s">
        <v>1644</v>
      </c>
      <c r="B1263" s="27" t="s">
        <v>438</v>
      </c>
      <c r="C1263" s="27" t="s">
        <v>289</v>
      </c>
      <c r="D1263" s="25"/>
      <c r="E1263" s="25"/>
      <c r="F1263" s="25"/>
      <c r="G1263" s="25"/>
      <c r="H1263" s="25"/>
      <c r="I1263" s="25"/>
      <c r="J1263" s="27" t="s">
        <v>1607</v>
      </c>
      <c r="K1263" s="25" t="str">
        <f aca="false">IFERROR(__xludf.dummyfunction("SPLIT(J1263,"" "")"),"CIF")</f>
        <v>CIF</v>
      </c>
      <c r="L1263" s="28" t="str">
        <f aca="false">IFERROR(__xludf.dummyfunction("""COMPUTED_VALUE"""),"Morocco")</f>
        <v>Morocco</v>
      </c>
      <c r="M1263" s="27" t="str">
        <f aca="false">IFERROR(__xludf.dummyfunction("""COMPUTED_VALUE"""),"(Diff)")</f>
        <v>(Diff)</v>
      </c>
      <c r="N1263" s="25"/>
      <c r="O1263" s="25"/>
      <c r="P1263" s="25"/>
      <c r="Q1263" s="29" t="s">
        <v>306</v>
      </c>
      <c r="R1263" s="8" t="str">
        <f aca="false">B1263&amp;" "&amp;C1263&amp;" "&amp;D1263&amp;" "&amp;E1263&amp;" "&amp;G1263&amp;" "&amp;H1263&amp;" "&amp;J1263&amp;" "&amp;N1263</f>
        <v>Differentials Electrolyte     CIF Morocco (Diff) </v>
      </c>
      <c r="S1263" s="25"/>
      <c r="T1263" s="8"/>
      <c r="U1263" s="8"/>
      <c r="V1263" s="25"/>
      <c r="W1263" s="25"/>
      <c r="X1263" s="25"/>
      <c r="Y1263" s="25"/>
      <c r="Z1263" s="25"/>
      <c r="AA1263" s="25"/>
      <c r="AB1263" s="25"/>
      <c r="AC1263" s="25"/>
      <c r="AD1263" s="25"/>
    </row>
    <row r="1264" customFormat="false" ht="15.75" hidden="false" customHeight="false" outlineLevel="0" collapsed="false">
      <c r="A1264" s="28" t="s">
        <v>1645</v>
      </c>
      <c r="B1264" s="27" t="s">
        <v>438</v>
      </c>
      <c r="C1264" s="27" t="s">
        <v>289</v>
      </c>
      <c r="D1264" s="25"/>
      <c r="E1264" s="25"/>
      <c r="F1264" s="25"/>
      <c r="G1264" s="25"/>
      <c r="H1264" s="25"/>
      <c r="I1264" s="25"/>
      <c r="J1264" s="27" t="s">
        <v>1607</v>
      </c>
      <c r="K1264" s="25" t="str">
        <f aca="false">IFERROR(__xludf.dummyfunction("SPLIT(J1264,"" "")"),"CIF")</f>
        <v>CIF</v>
      </c>
      <c r="L1264" s="28" t="str">
        <f aca="false">IFERROR(__xludf.dummyfunction("""COMPUTED_VALUE"""),"Morocco")</f>
        <v>Morocco</v>
      </c>
      <c r="M1264" s="27" t="str">
        <f aca="false">IFERROR(__xludf.dummyfunction("""COMPUTED_VALUE"""),"(Diff)")</f>
        <v>(Diff)</v>
      </c>
      <c r="N1264" s="25"/>
      <c r="O1264" s="25"/>
      <c r="P1264" s="25"/>
      <c r="Q1264" s="29" t="s">
        <v>304</v>
      </c>
      <c r="R1264" s="8" t="str">
        <f aca="false">B1264&amp;" "&amp;C1264&amp;" "&amp;D1264&amp;" "&amp;E1264&amp;" "&amp;G1264&amp;" "&amp;H1264&amp;" "&amp;J1264&amp;" "&amp;N1264</f>
        <v>Differentials Electrolyte     CIF Morocco (Diff) </v>
      </c>
      <c r="S1264" s="25"/>
      <c r="T1264" s="8"/>
      <c r="U1264" s="8"/>
      <c r="V1264" s="25"/>
      <c r="W1264" s="25"/>
      <c r="X1264" s="25"/>
      <c r="Y1264" s="25"/>
      <c r="Z1264" s="25"/>
      <c r="AA1264" s="25"/>
      <c r="AB1264" s="25"/>
      <c r="AC1264" s="25"/>
      <c r="AD1264" s="25"/>
    </row>
    <row r="1265" customFormat="false" ht="15.75" hidden="false" customHeight="false" outlineLevel="0" collapsed="false">
      <c r="A1265" s="28" t="s">
        <v>1646</v>
      </c>
      <c r="B1265" s="27" t="s">
        <v>438</v>
      </c>
      <c r="C1265" s="27" t="s">
        <v>289</v>
      </c>
      <c r="D1265" s="25"/>
      <c r="E1265" s="25"/>
      <c r="F1265" s="25"/>
      <c r="G1265" s="25"/>
      <c r="H1265" s="25"/>
      <c r="I1265" s="25"/>
      <c r="J1265" s="27" t="s">
        <v>1607</v>
      </c>
      <c r="K1265" s="25" t="str">
        <f aca="false">IFERROR(__xludf.dummyfunction("SPLIT(J1265,"" "")"),"CIF")</f>
        <v>CIF</v>
      </c>
      <c r="L1265" s="28" t="str">
        <f aca="false">IFERROR(__xludf.dummyfunction("""COMPUTED_VALUE"""),"Morocco")</f>
        <v>Morocco</v>
      </c>
      <c r="M1265" s="27" t="str">
        <f aca="false">IFERROR(__xludf.dummyfunction("""COMPUTED_VALUE"""),"(Diff)")</f>
        <v>(Diff)</v>
      </c>
      <c r="N1265" s="25"/>
      <c r="O1265" s="25"/>
      <c r="P1265" s="25"/>
      <c r="Q1265" s="29" t="s">
        <v>302</v>
      </c>
      <c r="R1265" s="8" t="str">
        <f aca="false">B1265&amp;" "&amp;C1265&amp;" "&amp;D1265&amp;" "&amp;E1265&amp;" "&amp;G1265&amp;" "&amp;H1265&amp;" "&amp;J1265&amp;" "&amp;N1265</f>
        <v>Differentials Electrolyte     CIF Morocco (Diff) </v>
      </c>
      <c r="S1265" s="25"/>
      <c r="T1265" s="8"/>
      <c r="U1265" s="8"/>
      <c r="V1265" s="25"/>
      <c r="W1265" s="25"/>
      <c r="X1265" s="25"/>
      <c r="Y1265" s="25"/>
      <c r="Z1265" s="25"/>
      <c r="AA1265" s="25"/>
      <c r="AB1265" s="25"/>
      <c r="AC1265" s="25"/>
      <c r="AD1265" s="25"/>
    </row>
    <row r="1266" customFormat="false" ht="15.75" hidden="false" customHeight="false" outlineLevel="0" collapsed="false">
      <c r="A1266" s="28" t="s">
        <v>1647</v>
      </c>
      <c r="B1266" s="27" t="s">
        <v>438</v>
      </c>
      <c r="C1266" s="27" t="s">
        <v>289</v>
      </c>
      <c r="D1266" s="25"/>
      <c r="E1266" s="25"/>
      <c r="F1266" s="25"/>
      <c r="G1266" s="25"/>
      <c r="H1266" s="25"/>
      <c r="I1266" s="25"/>
      <c r="J1266" s="27" t="s">
        <v>1607</v>
      </c>
      <c r="K1266" s="25" t="str">
        <f aca="false">IFERROR(__xludf.dummyfunction("SPLIT(J1266,"" "")"),"CIF")</f>
        <v>CIF</v>
      </c>
      <c r="L1266" s="28" t="str">
        <f aca="false">IFERROR(__xludf.dummyfunction("""COMPUTED_VALUE"""),"Morocco")</f>
        <v>Morocco</v>
      </c>
      <c r="M1266" s="27" t="str">
        <f aca="false">IFERROR(__xludf.dummyfunction("""COMPUTED_VALUE"""),"(Diff)")</f>
        <v>(Diff)</v>
      </c>
      <c r="N1266" s="25"/>
      <c r="O1266" s="25"/>
      <c r="P1266" s="25"/>
      <c r="Q1266" s="29" t="s">
        <v>300</v>
      </c>
      <c r="R1266" s="8" t="str">
        <f aca="false">B1266&amp;" "&amp;C1266&amp;" "&amp;D1266&amp;" "&amp;E1266&amp;" "&amp;G1266&amp;" "&amp;H1266&amp;" "&amp;J1266&amp;" "&amp;N1266</f>
        <v>Differentials Electrolyte     CIF Morocco (Diff) </v>
      </c>
      <c r="S1266" s="25"/>
      <c r="T1266" s="8"/>
      <c r="U1266" s="8"/>
      <c r="V1266" s="25"/>
      <c r="W1266" s="25"/>
      <c r="X1266" s="25"/>
      <c r="Y1266" s="25"/>
      <c r="Z1266" s="25"/>
      <c r="AA1266" s="25"/>
      <c r="AB1266" s="25"/>
      <c r="AC1266" s="25"/>
      <c r="AD1266" s="25"/>
    </row>
    <row r="1267" customFormat="false" ht="15.75" hidden="false" customHeight="false" outlineLevel="0" collapsed="false">
      <c r="A1267" s="28" t="s">
        <v>1648</v>
      </c>
      <c r="B1267" s="27" t="s">
        <v>438</v>
      </c>
      <c r="C1267" s="27" t="s">
        <v>289</v>
      </c>
      <c r="D1267" s="25"/>
      <c r="E1267" s="25"/>
      <c r="F1267" s="25"/>
      <c r="G1267" s="25"/>
      <c r="H1267" s="25"/>
      <c r="I1267" s="25"/>
      <c r="J1267" s="27" t="s">
        <v>1607</v>
      </c>
      <c r="K1267" s="25" t="str">
        <f aca="false">IFERROR(__xludf.dummyfunction("SPLIT(J1267,"" "")"),"CIF")</f>
        <v>CIF</v>
      </c>
      <c r="L1267" s="28" t="str">
        <f aca="false">IFERROR(__xludf.dummyfunction("""COMPUTED_VALUE"""),"Morocco")</f>
        <v>Morocco</v>
      </c>
      <c r="M1267" s="27" t="str">
        <f aca="false">IFERROR(__xludf.dummyfunction("""COMPUTED_VALUE"""),"(Diff)")</f>
        <v>(Diff)</v>
      </c>
      <c r="N1267" s="25"/>
      <c r="O1267" s="25"/>
      <c r="P1267" s="25"/>
      <c r="Q1267" s="29" t="s">
        <v>298</v>
      </c>
      <c r="R1267" s="8" t="str">
        <f aca="false">B1267&amp;" "&amp;C1267&amp;" "&amp;D1267&amp;" "&amp;E1267&amp;" "&amp;G1267&amp;" "&amp;H1267&amp;" "&amp;J1267&amp;" "&amp;N1267</f>
        <v>Differentials Electrolyte     CIF Morocco (Diff) </v>
      </c>
      <c r="S1267" s="25"/>
      <c r="T1267" s="8"/>
      <c r="U1267" s="8"/>
      <c r="V1267" s="25"/>
      <c r="W1267" s="25"/>
      <c r="X1267" s="25"/>
      <c r="Y1267" s="25"/>
      <c r="Z1267" s="25"/>
      <c r="AA1267" s="25"/>
      <c r="AB1267" s="25"/>
      <c r="AC1267" s="25"/>
      <c r="AD1267" s="25"/>
    </row>
    <row r="1268" customFormat="false" ht="15.75" hidden="false" customHeight="false" outlineLevel="0" collapsed="false">
      <c r="A1268" s="28" t="s">
        <v>1649</v>
      </c>
      <c r="B1268" s="27" t="s">
        <v>438</v>
      </c>
      <c r="C1268" s="27" t="s">
        <v>289</v>
      </c>
      <c r="D1268" s="25"/>
      <c r="E1268" s="25"/>
      <c r="F1268" s="25"/>
      <c r="G1268" s="25"/>
      <c r="H1268" s="25"/>
      <c r="I1268" s="25"/>
      <c r="J1268" s="27" t="s">
        <v>1607</v>
      </c>
      <c r="K1268" s="25" t="str">
        <f aca="false">IFERROR(__xludf.dummyfunction("SPLIT(J1268,"" "")"),"CIF")</f>
        <v>CIF</v>
      </c>
      <c r="L1268" s="28" t="str">
        <f aca="false">IFERROR(__xludf.dummyfunction("""COMPUTED_VALUE"""),"Morocco")</f>
        <v>Morocco</v>
      </c>
      <c r="M1268" s="27" t="str">
        <f aca="false">IFERROR(__xludf.dummyfunction("""COMPUTED_VALUE"""),"(Diff)")</f>
        <v>(Diff)</v>
      </c>
      <c r="N1268" s="25"/>
      <c r="O1268" s="25"/>
      <c r="P1268" s="25"/>
      <c r="Q1268" s="29" t="s">
        <v>296</v>
      </c>
      <c r="R1268" s="8" t="str">
        <f aca="false">B1268&amp;" "&amp;C1268&amp;" "&amp;D1268&amp;" "&amp;E1268&amp;" "&amp;G1268&amp;" "&amp;H1268&amp;" "&amp;J1268&amp;" "&amp;N1268</f>
        <v>Differentials Electrolyte     CIF Morocco (Diff) </v>
      </c>
      <c r="S1268" s="25"/>
      <c r="T1268" s="8"/>
      <c r="U1268" s="8"/>
      <c r="V1268" s="25"/>
      <c r="W1268" s="25"/>
      <c r="X1268" s="25"/>
      <c r="Y1268" s="25"/>
      <c r="Z1268" s="25"/>
      <c r="AA1268" s="25"/>
      <c r="AB1268" s="25"/>
      <c r="AC1268" s="25"/>
      <c r="AD1268" s="25"/>
    </row>
    <row r="1269" customFormat="false" ht="15.75" hidden="false" customHeight="false" outlineLevel="0" collapsed="false">
      <c r="A1269" s="28" t="s">
        <v>1650</v>
      </c>
      <c r="B1269" s="27" t="s">
        <v>438</v>
      </c>
      <c r="C1269" s="27" t="s">
        <v>289</v>
      </c>
      <c r="D1269" s="25"/>
      <c r="E1269" s="25"/>
      <c r="F1269" s="25"/>
      <c r="G1269" s="25"/>
      <c r="H1269" s="25"/>
      <c r="I1269" s="25"/>
      <c r="J1269" s="27" t="s">
        <v>1607</v>
      </c>
      <c r="K1269" s="25" t="str">
        <f aca="false">IFERROR(__xludf.dummyfunction("SPLIT(J1269,"" "")"),"CIF")</f>
        <v>CIF</v>
      </c>
      <c r="L1269" s="28" t="str">
        <f aca="false">IFERROR(__xludf.dummyfunction("""COMPUTED_VALUE"""),"Morocco")</f>
        <v>Morocco</v>
      </c>
      <c r="M1269" s="27" t="str">
        <f aca="false">IFERROR(__xludf.dummyfunction("""COMPUTED_VALUE"""),"(Diff)")</f>
        <v>(Diff)</v>
      </c>
      <c r="N1269" s="25"/>
      <c r="O1269" s="25"/>
      <c r="P1269" s="25"/>
      <c r="Q1269" s="29" t="s">
        <v>294</v>
      </c>
      <c r="R1269" s="8" t="str">
        <f aca="false">B1269&amp;" "&amp;C1269&amp;" "&amp;D1269&amp;" "&amp;E1269&amp;" "&amp;G1269&amp;" "&amp;H1269&amp;" "&amp;J1269&amp;" "&amp;N1269</f>
        <v>Differentials Electrolyte     CIF Morocco (Diff) </v>
      </c>
      <c r="S1269" s="25"/>
      <c r="T1269" s="8"/>
      <c r="U1269" s="8"/>
      <c r="V1269" s="25"/>
      <c r="W1269" s="25"/>
      <c r="X1269" s="25"/>
      <c r="Y1269" s="25"/>
      <c r="Z1269" s="25"/>
      <c r="AA1269" s="25"/>
      <c r="AB1269" s="25"/>
      <c r="AC1269" s="25"/>
      <c r="AD1269" s="25"/>
    </row>
    <row r="1270" customFormat="false" ht="15.75" hidden="false" customHeight="false" outlineLevel="0" collapsed="false">
      <c r="A1270" s="28" t="s">
        <v>1651</v>
      </c>
      <c r="B1270" s="27" t="s">
        <v>438</v>
      </c>
      <c r="C1270" s="27" t="s">
        <v>289</v>
      </c>
      <c r="D1270" s="25"/>
      <c r="E1270" s="25"/>
      <c r="F1270" s="25"/>
      <c r="G1270" s="25"/>
      <c r="H1270" s="25"/>
      <c r="I1270" s="25"/>
      <c r="J1270" s="27" t="s">
        <v>1607</v>
      </c>
      <c r="K1270" s="25" t="str">
        <f aca="false">IFERROR(__xludf.dummyfunction("SPLIT(J1270,"" "")"),"CIF")</f>
        <v>CIF</v>
      </c>
      <c r="L1270" s="28" t="str">
        <f aca="false">IFERROR(__xludf.dummyfunction("""COMPUTED_VALUE"""),"Morocco")</f>
        <v>Morocco</v>
      </c>
      <c r="M1270" s="27" t="str">
        <f aca="false">IFERROR(__xludf.dummyfunction("""COMPUTED_VALUE"""),"(Diff)")</f>
        <v>(Diff)</v>
      </c>
      <c r="N1270" s="25"/>
      <c r="O1270" s="25"/>
      <c r="P1270" s="25"/>
      <c r="Q1270" s="29" t="s">
        <v>291</v>
      </c>
      <c r="R1270" s="8" t="str">
        <f aca="false">B1270&amp;" "&amp;C1270&amp;" "&amp;D1270&amp;" "&amp;E1270&amp;" "&amp;G1270&amp;" "&amp;H1270&amp;" "&amp;J1270&amp;" "&amp;N1270</f>
        <v>Differentials Electrolyte     CIF Morocco (Diff) </v>
      </c>
      <c r="S1270" s="25"/>
      <c r="T1270" s="8"/>
      <c r="U1270" s="8"/>
      <c r="V1270" s="25"/>
      <c r="W1270" s="25"/>
      <c r="X1270" s="25"/>
      <c r="Y1270" s="25"/>
      <c r="Z1270" s="25"/>
      <c r="AA1270" s="25"/>
      <c r="AB1270" s="25"/>
      <c r="AC1270" s="25"/>
      <c r="AD1270" s="25"/>
    </row>
    <row r="1271" customFormat="false" ht="15.75" hidden="false" customHeight="false" outlineLevel="0" collapsed="false">
      <c r="A1271" s="28" t="s">
        <v>1652</v>
      </c>
      <c r="B1271" s="27" t="s">
        <v>438</v>
      </c>
      <c r="C1271" s="27" t="s">
        <v>308</v>
      </c>
      <c r="D1271" s="25"/>
      <c r="E1271" s="25"/>
      <c r="F1271" s="25"/>
      <c r="G1271" s="25"/>
      <c r="H1271" s="25"/>
      <c r="I1271" s="25"/>
      <c r="J1271" s="27" t="s">
        <v>1607</v>
      </c>
      <c r="K1271" s="25" t="str">
        <f aca="false">IFERROR(__xludf.dummyfunction("SPLIT(J1271,"" "")"),"CIF")</f>
        <v>CIF</v>
      </c>
      <c r="L1271" s="28" t="str">
        <f aca="false">IFERROR(__xludf.dummyfunction("""COMPUTED_VALUE"""),"Morocco")</f>
        <v>Morocco</v>
      </c>
      <c r="M1271" s="27" t="str">
        <f aca="false">IFERROR(__xludf.dummyfunction("""COMPUTED_VALUE"""),"(Diff)")</f>
        <v>(Diff)</v>
      </c>
      <c r="N1271" s="25"/>
      <c r="O1271" s="25"/>
      <c r="P1271" s="25"/>
      <c r="Q1271" s="29" t="s">
        <v>358</v>
      </c>
      <c r="R1271" s="8" t="str">
        <f aca="false">B1271&amp;" "&amp;C1271&amp;" "&amp;D1271&amp;" "&amp;E1271&amp;" "&amp;G1271&amp;" "&amp;H1271&amp;" "&amp;J1271&amp;" "&amp;N1271</f>
        <v>Differentials Graphite     CIF Morocco (Diff) </v>
      </c>
      <c r="S1271" s="25"/>
      <c r="T1271" s="8"/>
      <c r="U1271" s="8"/>
      <c r="V1271" s="25"/>
      <c r="W1271" s="25"/>
      <c r="X1271" s="25"/>
      <c r="Y1271" s="25"/>
      <c r="Z1271" s="25"/>
      <c r="AA1271" s="25"/>
      <c r="AB1271" s="25"/>
      <c r="AC1271" s="25"/>
      <c r="AD1271" s="25"/>
    </row>
    <row r="1272" customFormat="false" ht="15.75" hidden="false" customHeight="false" outlineLevel="0" collapsed="false">
      <c r="A1272" s="28" t="s">
        <v>1653</v>
      </c>
      <c r="B1272" s="27" t="s">
        <v>438</v>
      </c>
      <c r="C1272" s="27" t="s">
        <v>308</v>
      </c>
      <c r="D1272" s="25"/>
      <c r="E1272" s="25"/>
      <c r="F1272" s="25"/>
      <c r="G1272" s="25"/>
      <c r="H1272" s="25"/>
      <c r="I1272" s="25"/>
      <c r="J1272" s="27" t="s">
        <v>1607</v>
      </c>
      <c r="K1272" s="25" t="str">
        <f aca="false">IFERROR(__xludf.dummyfunction("SPLIT(J1272,"" "")"),"CIF")</f>
        <v>CIF</v>
      </c>
      <c r="L1272" s="28" t="str">
        <f aca="false">IFERROR(__xludf.dummyfunction("""COMPUTED_VALUE"""),"Morocco")</f>
        <v>Morocco</v>
      </c>
      <c r="M1272" s="27" t="str">
        <f aca="false">IFERROR(__xludf.dummyfunction("""COMPUTED_VALUE"""),"(Diff)")</f>
        <v>(Diff)</v>
      </c>
      <c r="N1272" s="25"/>
      <c r="O1272" s="25"/>
      <c r="P1272" s="25"/>
      <c r="Q1272" s="29" t="s">
        <v>356</v>
      </c>
      <c r="R1272" s="8" t="str">
        <f aca="false">B1272&amp;" "&amp;C1272&amp;" "&amp;D1272&amp;" "&amp;E1272&amp;" "&amp;G1272&amp;" "&amp;H1272&amp;" "&amp;J1272&amp;" "&amp;N1272</f>
        <v>Differentials Graphite     CIF Morocco (Diff) </v>
      </c>
      <c r="S1272" s="25"/>
      <c r="T1272" s="8"/>
      <c r="U1272" s="8"/>
      <c r="V1272" s="25"/>
      <c r="W1272" s="25"/>
      <c r="X1272" s="25"/>
      <c r="Y1272" s="25"/>
      <c r="Z1272" s="25"/>
      <c r="AA1272" s="25"/>
      <c r="AB1272" s="25"/>
      <c r="AC1272" s="25"/>
      <c r="AD1272" s="25"/>
    </row>
    <row r="1273" customFormat="false" ht="15.75" hidden="false" customHeight="false" outlineLevel="0" collapsed="false">
      <c r="A1273" s="28" t="s">
        <v>1654</v>
      </c>
      <c r="B1273" s="27" t="s">
        <v>438</v>
      </c>
      <c r="C1273" s="27" t="s">
        <v>308</v>
      </c>
      <c r="D1273" s="25"/>
      <c r="E1273" s="25"/>
      <c r="F1273" s="25"/>
      <c r="G1273" s="25"/>
      <c r="H1273" s="25"/>
      <c r="I1273" s="25"/>
      <c r="J1273" s="27" t="s">
        <v>1607</v>
      </c>
      <c r="K1273" s="25" t="str">
        <f aca="false">IFERROR(__xludf.dummyfunction("SPLIT(J1273,"" "")"),"CIF")</f>
        <v>CIF</v>
      </c>
      <c r="L1273" s="28" t="str">
        <f aca="false">IFERROR(__xludf.dummyfunction("""COMPUTED_VALUE"""),"Morocco")</f>
        <v>Morocco</v>
      </c>
      <c r="M1273" s="27" t="str">
        <f aca="false">IFERROR(__xludf.dummyfunction("""COMPUTED_VALUE"""),"(Diff)")</f>
        <v>(Diff)</v>
      </c>
      <c r="N1273" s="25"/>
      <c r="O1273" s="25"/>
      <c r="P1273" s="25"/>
      <c r="Q1273" s="29" t="s">
        <v>354</v>
      </c>
      <c r="R1273" s="8" t="str">
        <f aca="false">B1273&amp;" "&amp;C1273&amp;" "&amp;D1273&amp;" "&amp;E1273&amp;" "&amp;G1273&amp;" "&amp;H1273&amp;" "&amp;J1273&amp;" "&amp;N1273</f>
        <v>Differentials Graphite     CIF Morocco (Diff) </v>
      </c>
      <c r="S1273" s="25"/>
      <c r="T1273" s="8"/>
      <c r="U1273" s="8"/>
      <c r="V1273" s="25"/>
      <c r="W1273" s="25"/>
      <c r="X1273" s="25"/>
      <c r="Y1273" s="25"/>
      <c r="Z1273" s="25"/>
      <c r="AA1273" s="25"/>
      <c r="AB1273" s="25"/>
      <c r="AC1273" s="25"/>
      <c r="AD1273" s="25"/>
    </row>
    <row r="1274" customFormat="false" ht="15.75" hidden="false" customHeight="false" outlineLevel="0" collapsed="false">
      <c r="A1274" s="28" t="s">
        <v>1655</v>
      </c>
      <c r="B1274" s="27" t="s">
        <v>438</v>
      </c>
      <c r="C1274" s="27" t="s">
        <v>308</v>
      </c>
      <c r="D1274" s="25"/>
      <c r="E1274" s="25"/>
      <c r="F1274" s="25"/>
      <c r="G1274" s="25"/>
      <c r="H1274" s="25"/>
      <c r="I1274" s="25"/>
      <c r="J1274" s="27" t="s">
        <v>1607</v>
      </c>
      <c r="K1274" s="25" t="str">
        <f aca="false">IFERROR(__xludf.dummyfunction("SPLIT(J1274,"" "")"),"CIF")</f>
        <v>CIF</v>
      </c>
      <c r="L1274" s="28" t="str">
        <f aca="false">IFERROR(__xludf.dummyfunction("""COMPUTED_VALUE"""),"Morocco")</f>
        <v>Morocco</v>
      </c>
      <c r="M1274" s="27" t="str">
        <f aca="false">IFERROR(__xludf.dummyfunction("""COMPUTED_VALUE"""),"(Diff)")</f>
        <v>(Diff)</v>
      </c>
      <c r="N1274" s="25"/>
      <c r="O1274" s="25"/>
      <c r="P1274" s="25"/>
      <c r="Q1274" s="29" t="s">
        <v>352</v>
      </c>
      <c r="R1274" s="8" t="str">
        <f aca="false">B1274&amp;" "&amp;C1274&amp;" "&amp;D1274&amp;" "&amp;E1274&amp;" "&amp;G1274&amp;" "&amp;H1274&amp;" "&amp;J1274&amp;" "&amp;N1274</f>
        <v>Differentials Graphite     CIF Morocco (Diff) </v>
      </c>
      <c r="S1274" s="25"/>
      <c r="T1274" s="8"/>
      <c r="U1274" s="8"/>
      <c r="V1274" s="25"/>
      <c r="W1274" s="25"/>
      <c r="X1274" s="25"/>
      <c r="Y1274" s="25"/>
      <c r="Z1274" s="25"/>
      <c r="AA1274" s="25"/>
      <c r="AB1274" s="25"/>
      <c r="AC1274" s="25"/>
      <c r="AD1274" s="25"/>
    </row>
    <row r="1275" customFormat="false" ht="15.75" hidden="false" customHeight="false" outlineLevel="0" collapsed="false">
      <c r="A1275" s="28" t="s">
        <v>1656</v>
      </c>
      <c r="B1275" s="27" t="s">
        <v>438</v>
      </c>
      <c r="C1275" s="27" t="s">
        <v>308</v>
      </c>
      <c r="D1275" s="25"/>
      <c r="E1275" s="25"/>
      <c r="F1275" s="25"/>
      <c r="G1275" s="25"/>
      <c r="H1275" s="25"/>
      <c r="I1275" s="25"/>
      <c r="J1275" s="27" t="s">
        <v>1607</v>
      </c>
      <c r="K1275" s="25" t="str">
        <f aca="false">IFERROR(__xludf.dummyfunction("SPLIT(J1275,"" "")"),"CIF")</f>
        <v>CIF</v>
      </c>
      <c r="L1275" s="28" t="str">
        <f aca="false">IFERROR(__xludf.dummyfunction("""COMPUTED_VALUE"""),"Morocco")</f>
        <v>Morocco</v>
      </c>
      <c r="M1275" s="27" t="str">
        <f aca="false">IFERROR(__xludf.dummyfunction("""COMPUTED_VALUE"""),"(Diff)")</f>
        <v>(Diff)</v>
      </c>
      <c r="N1275" s="25"/>
      <c r="O1275" s="25"/>
      <c r="P1275" s="25"/>
      <c r="Q1275" s="29" t="s">
        <v>350</v>
      </c>
      <c r="R1275" s="8" t="str">
        <f aca="false">B1275&amp;" "&amp;C1275&amp;" "&amp;D1275&amp;" "&amp;E1275&amp;" "&amp;G1275&amp;" "&amp;H1275&amp;" "&amp;J1275&amp;" "&amp;N1275</f>
        <v>Differentials Graphite     CIF Morocco (Diff) </v>
      </c>
      <c r="S1275" s="25"/>
      <c r="T1275" s="8"/>
      <c r="U1275" s="8"/>
      <c r="V1275" s="25"/>
      <c r="W1275" s="25"/>
      <c r="X1275" s="25"/>
      <c r="Y1275" s="25"/>
      <c r="Z1275" s="25"/>
      <c r="AA1275" s="25"/>
      <c r="AB1275" s="25"/>
      <c r="AC1275" s="25"/>
      <c r="AD1275" s="25"/>
    </row>
    <row r="1276" customFormat="false" ht="15.75" hidden="false" customHeight="false" outlineLevel="0" collapsed="false">
      <c r="A1276" s="28" t="s">
        <v>1657</v>
      </c>
      <c r="B1276" s="27" t="s">
        <v>438</v>
      </c>
      <c r="C1276" s="27" t="s">
        <v>308</v>
      </c>
      <c r="D1276" s="25"/>
      <c r="E1276" s="25"/>
      <c r="F1276" s="25"/>
      <c r="G1276" s="25"/>
      <c r="H1276" s="25"/>
      <c r="I1276" s="25"/>
      <c r="J1276" s="27" t="s">
        <v>1607</v>
      </c>
      <c r="K1276" s="25" t="str">
        <f aca="false">IFERROR(__xludf.dummyfunction("SPLIT(J1276,"" "")"),"CIF")</f>
        <v>CIF</v>
      </c>
      <c r="L1276" s="28" t="str">
        <f aca="false">IFERROR(__xludf.dummyfunction("""COMPUTED_VALUE"""),"Morocco")</f>
        <v>Morocco</v>
      </c>
      <c r="M1276" s="27" t="str">
        <f aca="false">IFERROR(__xludf.dummyfunction("""COMPUTED_VALUE"""),"(Diff)")</f>
        <v>(Diff)</v>
      </c>
      <c r="N1276" s="25"/>
      <c r="O1276" s="25"/>
      <c r="P1276" s="25"/>
      <c r="Q1276" s="29" t="s">
        <v>347</v>
      </c>
      <c r="R1276" s="8" t="str">
        <f aca="false">B1276&amp;" "&amp;C1276&amp;" "&amp;D1276&amp;" "&amp;E1276&amp;" "&amp;G1276&amp;" "&amp;H1276&amp;" "&amp;J1276&amp;" "&amp;N1276</f>
        <v>Differentials Graphite     CIF Morocco (Diff) </v>
      </c>
      <c r="S1276" s="25"/>
      <c r="T1276" s="8"/>
      <c r="U1276" s="8"/>
      <c r="V1276" s="25"/>
      <c r="W1276" s="25"/>
      <c r="X1276" s="25"/>
      <c r="Y1276" s="25"/>
      <c r="Z1276" s="25"/>
      <c r="AA1276" s="25"/>
      <c r="AB1276" s="25"/>
      <c r="AC1276" s="25"/>
      <c r="AD1276" s="25"/>
    </row>
    <row r="1277" customFormat="false" ht="15.75" hidden="false" customHeight="false" outlineLevel="0" collapsed="false">
      <c r="A1277" s="28" t="s">
        <v>1658</v>
      </c>
      <c r="B1277" s="27" t="s">
        <v>438</v>
      </c>
      <c r="C1277" s="27" t="s">
        <v>308</v>
      </c>
      <c r="D1277" s="25"/>
      <c r="E1277" s="25"/>
      <c r="F1277" s="25"/>
      <c r="G1277" s="25"/>
      <c r="H1277" s="25"/>
      <c r="I1277" s="25"/>
      <c r="J1277" s="27" t="s">
        <v>1607</v>
      </c>
      <c r="K1277" s="25" t="str">
        <f aca="false">IFERROR(__xludf.dummyfunction("SPLIT(J1277,"" "")"),"CIF")</f>
        <v>CIF</v>
      </c>
      <c r="L1277" s="28" t="str">
        <f aca="false">IFERROR(__xludf.dummyfunction("""COMPUTED_VALUE"""),"Morocco")</f>
        <v>Morocco</v>
      </c>
      <c r="M1277" s="27" t="str">
        <f aca="false">IFERROR(__xludf.dummyfunction("""COMPUTED_VALUE"""),"(Diff)")</f>
        <v>(Diff)</v>
      </c>
      <c r="N1277" s="25"/>
      <c r="O1277" s="25"/>
      <c r="P1277" s="25"/>
      <c r="Q1277" s="29" t="s">
        <v>344</v>
      </c>
      <c r="R1277" s="8" t="str">
        <f aca="false">B1277&amp;" "&amp;C1277&amp;" "&amp;D1277&amp;" "&amp;E1277&amp;" "&amp;G1277&amp;" "&amp;H1277&amp;" "&amp;J1277&amp;" "&amp;N1277</f>
        <v>Differentials Graphite     CIF Morocco (Diff) </v>
      </c>
      <c r="S1277" s="25"/>
      <c r="T1277" s="8"/>
      <c r="U1277" s="8"/>
      <c r="V1277" s="25"/>
      <c r="W1277" s="25"/>
      <c r="X1277" s="25"/>
      <c r="Y1277" s="25"/>
      <c r="Z1277" s="25"/>
      <c r="AA1277" s="25"/>
      <c r="AB1277" s="25"/>
      <c r="AC1277" s="25"/>
      <c r="AD1277" s="25"/>
    </row>
    <row r="1278" customFormat="false" ht="15.75" hidden="false" customHeight="false" outlineLevel="0" collapsed="false">
      <c r="A1278" s="28" t="s">
        <v>1659</v>
      </c>
      <c r="B1278" s="27" t="s">
        <v>438</v>
      </c>
      <c r="C1278" s="27" t="s">
        <v>308</v>
      </c>
      <c r="D1278" s="25"/>
      <c r="E1278" s="25"/>
      <c r="F1278" s="25"/>
      <c r="G1278" s="25"/>
      <c r="H1278" s="25"/>
      <c r="I1278" s="25"/>
      <c r="J1278" s="27" t="s">
        <v>1607</v>
      </c>
      <c r="K1278" s="25" t="str">
        <f aca="false">IFERROR(__xludf.dummyfunction("SPLIT(J1278,"" "")"),"CIF")</f>
        <v>CIF</v>
      </c>
      <c r="L1278" s="28" t="str">
        <f aca="false">IFERROR(__xludf.dummyfunction("""COMPUTED_VALUE"""),"Morocco")</f>
        <v>Morocco</v>
      </c>
      <c r="M1278" s="27" t="str">
        <f aca="false">IFERROR(__xludf.dummyfunction("""COMPUTED_VALUE"""),"(Diff)")</f>
        <v>(Diff)</v>
      </c>
      <c r="N1278" s="25"/>
      <c r="O1278" s="25"/>
      <c r="P1278" s="25"/>
      <c r="Q1278" s="29" t="s">
        <v>340</v>
      </c>
      <c r="R1278" s="8" t="str">
        <f aca="false">B1278&amp;" "&amp;C1278&amp;" "&amp;D1278&amp;" "&amp;E1278&amp;" "&amp;G1278&amp;" "&amp;H1278&amp;" "&amp;J1278&amp;" "&amp;N1278</f>
        <v>Differentials Graphite     CIF Morocco (Diff) </v>
      </c>
      <c r="S1278" s="25"/>
      <c r="T1278" s="8"/>
      <c r="U1278" s="8"/>
      <c r="V1278" s="25"/>
      <c r="W1278" s="25"/>
      <c r="X1278" s="25"/>
      <c r="Y1278" s="25"/>
      <c r="Z1278" s="25"/>
      <c r="AA1278" s="25"/>
      <c r="AB1278" s="25"/>
      <c r="AC1278" s="25"/>
      <c r="AD1278" s="25"/>
    </row>
    <row r="1279" customFormat="false" ht="15.75" hidden="false" customHeight="false" outlineLevel="0" collapsed="false">
      <c r="A1279" s="28" t="s">
        <v>1660</v>
      </c>
      <c r="B1279" s="27" t="s">
        <v>438</v>
      </c>
      <c r="C1279" s="27" t="s">
        <v>308</v>
      </c>
      <c r="D1279" s="25"/>
      <c r="E1279" s="25"/>
      <c r="F1279" s="25"/>
      <c r="G1279" s="25"/>
      <c r="H1279" s="25"/>
      <c r="I1279" s="25"/>
      <c r="J1279" s="27" t="s">
        <v>1607</v>
      </c>
      <c r="K1279" s="25" t="str">
        <f aca="false">IFERROR(__xludf.dummyfunction("SPLIT(J1279,"" "")"),"CIF")</f>
        <v>CIF</v>
      </c>
      <c r="L1279" s="28" t="str">
        <f aca="false">IFERROR(__xludf.dummyfunction("""COMPUTED_VALUE"""),"Morocco")</f>
        <v>Morocco</v>
      </c>
      <c r="M1279" s="27" t="str">
        <f aca="false">IFERROR(__xludf.dummyfunction("""COMPUTED_VALUE"""),"(Diff)")</f>
        <v>(Diff)</v>
      </c>
      <c r="N1279" s="25"/>
      <c r="O1279" s="25"/>
      <c r="P1279" s="25"/>
      <c r="Q1279" s="29" t="s">
        <v>338</v>
      </c>
      <c r="R1279" s="8" t="str">
        <f aca="false">B1279&amp;" "&amp;C1279&amp;" "&amp;D1279&amp;" "&amp;E1279&amp;" "&amp;G1279&amp;" "&amp;H1279&amp;" "&amp;J1279&amp;" "&amp;N1279</f>
        <v>Differentials Graphite     CIF Morocco (Diff) </v>
      </c>
      <c r="S1279" s="25"/>
      <c r="T1279" s="8"/>
      <c r="U1279" s="8"/>
      <c r="V1279" s="25"/>
      <c r="W1279" s="25"/>
      <c r="X1279" s="25"/>
      <c r="Y1279" s="25"/>
      <c r="Z1279" s="25"/>
      <c r="AA1279" s="25"/>
      <c r="AB1279" s="25"/>
      <c r="AC1279" s="25"/>
      <c r="AD1279" s="25"/>
    </row>
    <row r="1280" customFormat="false" ht="15.75" hidden="false" customHeight="false" outlineLevel="0" collapsed="false">
      <c r="A1280" s="28" t="s">
        <v>1661</v>
      </c>
      <c r="B1280" s="27" t="s">
        <v>438</v>
      </c>
      <c r="C1280" s="27" t="s">
        <v>308</v>
      </c>
      <c r="D1280" s="25"/>
      <c r="E1280" s="25"/>
      <c r="F1280" s="25"/>
      <c r="G1280" s="25"/>
      <c r="H1280" s="25"/>
      <c r="I1280" s="25"/>
      <c r="J1280" s="27" t="s">
        <v>1607</v>
      </c>
      <c r="K1280" s="25" t="str">
        <f aca="false">IFERROR(__xludf.dummyfunction("SPLIT(J1280,"" "")"),"CIF")</f>
        <v>CIF</v>
      </c>
      <c r="L1280" s="28" t="str">
        <f aca="false">IFERROR(__xludf.dummyfunction("""COMPUTED_VALUE"""),"Morocco")</f>
        <v>Morocco</v>
      </c>
      <c r="M1280" s="27" t="str">
        <f aca="false">IFERROR(__xludf.dummyfunction("""COMPUTED_VALUE"""),"(Diff)")</f>
        <v>(Diff)</v>
      </c>
      <c r="N1280" s="25"/>
      <c r="O1280" s="25"/>
      <c r="P1280" s="25"/>
      <c r="Q1280" s="29" t="s">
        <v>335</v>
      </c>
      <c r="R1280" s="8" t="str">
        <f aca="false">B1280&amp;" "&amp;C1280&amp;" "&amp;D1280&amp;" "&amp;E1280&amp;" "&amp;G1280&amp;" "&amp;H1280&amp;" "&amp;J1280&amp;" "&amp;N1280</f>
        <v>Differentials Graphite     CIF Morocco (Diff) </v>
      </c>
      <c r="S1280" s="25"/>
      <c r="T1280" s="8"/>
      <c r="U1280" s="8"/>
      <c r="V1280" s="25"/>
      <c r="W1280" s="25"/>
      <c r="X1280" s="25"/>
      <c r="Y1280" s="25"/>
      <c r="Z1280" s="25"/>
      <c r="AA1280" s="25"/>
      <c r="AB1280" s="25"/>
      <c r="AC1280" s="25"/>
      <c r="AD1280" s="25"/>
    </row>
    <row r="1281" customFormat="false" ht="15.75" hidden="false" customHeight="false" outlineLevel="0" collapsed="false">
      <c r="A1281" s="28" t="s">
        <v>1662</v>
      </c>
      <c r="B1281" s="27" t="s">
        <v>438</v>
      </c>
      <c r="C1281" s="27" t="s">
        <v>308</v>
      </c>
      <c r="D1281" s="25"/>
      <c r="E1281" s="25"/>
      <c r="F1281" s="25"/>
      <c r="G1281" s="25"/>
      <c r="H1281" s="25"/>
      <c r="I1281" s="25"/>
      <c r="J1281" s="27" t="s">
        <v>1607</v>
      </c>
      <c r="K1281" s="25" t="str">
        <f aca="false">IFERROR(__xludf.dummyfunction("SPLIT(J1281,"" "")"),"CIF")</f>
        <v>CIF</v>
      </c>
      <c r="L1281" s="28" t="str">
        <f aca="false">IFERROR(__xludf.dummyfunction("""COMPUTED_VALUE"""),"Morocco")</f>
        <v>Morocco</v>
      </c>
      <c r="M1281" s="27" t="str">
        <f aca="false">IFERROR(__xludf.dummyfunction("""COMPUTED_VALUE"""),"(Diff)")</f>
        <v>(Diff)</v>
      </c>
      <c r="N1281" s="25"/>
      <c r="O1281" s="25"/>
      <c r="P1281" s="25"/>
      <c r="Q1281" s="29" t="s">
        <v>332</v>
      </c>
      <c r="R1281" s="8" t="str">
        <f aca="false">B1281&amp;" "&amp;C1281&amp;" "&amp;D1281&amp;" "&amp;E1281&amp;" "&amp;G1281&amp;" "&amp;H1281&amp;" "&amp;J1281&amp;" "&amp;N1281</f>
        <v>Differentials Graphite     CIF Morocco (Diff) </v>
      </c>
      <c r="S1281" s="25"/>
      <c r="T1281" s="8"/>
      <c r="U1281" s="8"/>
      <c r="V1281" s="25"/>
      <c r="W1281" s="25"/>
      <c r="X1281" s="25"/>
      <c r="Y1281" s="25"/>
      <c r="Z1281" s="25"/>
      <c r="AA1281" s="25"/>
      <c r="AB1281" s="25"/>
      <c r="AC1281" s="25"/>
      <c r="AD1281" s="25"/>
    </row>
    <row r="1282" customFormat="false" ht="15.75" hidden="false" customHeight="false" outlineLevel="0" collapsed="false">
      <c r="A1282" s="28" t="s">
        <v>1663</v>
      </c>
      <c r="B1282" s="27" t="s">
        <v>438</v>
      </c>
      <c r="C1282" s="27" t="s">
        <v>308</v>
      </c>
      <c r="D1282" s="25"/>
      <c r="E1282" s="25"/>
      <c r="F1282" s="25"/>
      <c r="G1282" s="25"/>
      <c r="H1282" s="25"/>
      <c r="I1282" s="25"/>
      <c r="J1282" s="27" t="s">
        <v>1607</v>
      </c>
      <c r="K1282" s="25" t="str">
        <f aca="false">IFERROR(__xludf.dummyfunction("SPLIT(J1282,"" "")"),"CIF")</f>
        <v>CIF</v>
      </c>
      <c r="L1282" s="28" t="str">
        <f aca="false">IFERROR(__xludf.dummyfunction("""COMPUTED_VALUE"""),"Morocco")</f>
        <v>Morocco</v>
      </c>
      <c r="M1282" s="27" t="str">
        <f aca="false">IFERROR(__xludf.dummyfunction("""COMPUTED_VALUE"""),"(Diff)")</f>
        <v>(Diff)</v>
      </c>
      <c r="N1282" s="25"/>
      <c r="O1282" s="25"/>
      <c r="P1282" s="25"/>
      <c r="Q1282" s="29" t="s">
        <v>329</v>
      </c>
      <c r="R1282" s="8" t="str">
        <f aca="false">B1282&amp;" "&amp;C1282&amp;" "&amp;D1282&amp;" "&amp;E1282&amp;" "&amp;G1282&amp;" "&amp;H1282&amp;" "&amp;J1282&amp;" "&amp;N1282</f>
        <v>Differentials Graphite     CIF Morocco (Diff) </v>
      </c>
      <c r="S1282" s="25"/>
      <c r="T1282" s="8"/>
      <c r="U1282" s="8"/>
      <c r="V1282" s="25"/>
      <c r="W1282" s="25"/>
      <c r="X1282" s="25"/>
      <c r="Y1282" s="25"/>
      <c r="Z1282" s="25"/>
      <c r="AA1282" s="25"/>
      <c r="AB1282" s="25"/>
      <c r="AC1282" s="25"/>
      <c r="AD1282" s="25"/>
    </row>
    <row r="1283" customFormat="false" ht="15.75" hidden="false" customHeight="false" outlineLevel="0" collapsed="false">
      <c r="A1283" s="28" t="s">
        <v>1664</v>
      </c>
      <c r="B1283" s="27" t="s">
        <v>438</v>
      </c>
      <c r="C1283" s="27" t="s">
        <v>308</v>
      </c>
      <c r="D1283" s="25"/>
      <c r="E1283" s="25"/>
      <c r="F1283" s="25"/>
      <c r="G1283" s="25"/>
      <c r="H1283" s="25"/>
      <c r="I1283" s="25"/>
      <c r="J1283" s="27" t="s">
        <v>1607</v>
      </c>
      <c r="K1283" s="25" t="str">
        <f aca="false">IFERROR(__xludf.dummyfunction("SPLIT(J1283,"" "")"),"CIF")</f>
        <v>CIF</v>
      </c>
      <c r="L1283" s="28" t="str">
        <f aca="false">IFERROR(__xludf.dummyfunction("""COMPUTED_VALUE"""),"Morocco")</f>
        <v>Morocco</v>
      </c>
      <c r="M1283" s="27" t="str">
        <f aca="false">IFERROR(__xludf.dummyfunction("""COMPUTED_VALUE"""),"(Diff)")</f>
        <v>(Diff)</v>
      </c>
      <c r="N1283" s="25"/>
      <c r="O1283" s="25"/>
      <c r="P1283" s="25"/>
      <c r="Q1283" s="29" t="s">
        <v>326</v>
      </c>
      <c r="R1283" s="8" t="str">
        <f aca="false">B1283&amp;" "&amp;C1283&amp;" "&amp;D1283&amp;" "&amp;E1283&amp;" "&amp;G1283&amp;" "&amp;H1283&amp;" "&amp;J1283&amp;" "&amp;N1283</f>
        <v>Differentials Graphite     CIF Morocco (Diff) </v>
      </c>
      <c r="S1283" s="25"/>
      <c r="T1283" s="8"/>
      <c r="U1283" s="8"/>
      <c r="V1283" s="25"/>
      <c r="W1283" s="25"/>
      <c r="X1283" s="25"/>
      <c r="Y1283" s="25"/>
      <c r="Z1283" s="25"/>
      <c r="AA1283" s="25"/>
      <c r="AB1283" s="25"/>
      <c r="AC1283" s="25"/>
      <c r="AD1283" s="25"/>
    </row>
    <row r="1284" customFormat="false" ht="15.75" hidden="false" customHeight="false" outlineLevel="0" collapsed="false">
      <c r="A1284" s="28" t="s">
        <v>1665</v>
      </c>
      <c r="B1284" s="27" t="s">
        <v>438</v>
      </c>
      <c r="C1284" s="27" t="s">
        <v>308</v>
      </c>
      <c r="D1284" s="25"/>
      <c r="E1284" s="25"/>
      <c r="F1284" s="25"/>
      <c r="G1284" s="25"/>
      <c r="H1284" s="25"/>
      <c r="I1284" s="25"/>
      <c r="J1284" s="27" t="s">
        <v>1607</v>
      </c>
      <c r="K1284" s="25" t="str">
        <f aca="false">IFERROR(__xludf.dummyfunction("SPLIT(J1284,"" "")"),"CIF")</f>
        <v>CIF</v>
      </c>
      <c r="L1284" s="28" t="str">
        <f aca="false">IFERROR(__xludf.dummyfunction("""COMPUTED_VALUE"""),"Morocco")</f>
        <v>Morocco</v>
      </c>
      <c r="M1284" s="27" t="str">
        <f aca="false">IFERROR(__xludf.dummyfunction("""COMPUTED_VALUE"""),"(Diff)")</f>
        <v>(Diff)</v>
      </c>
      <c r="N1284" s="25"/>
      <c r="O1284" s="25"/>
      <c r="P1284" s="25"/>
      <c r="Q1284" s="29" t="s">
        <v>323</v>
      </c>
      <c r="R1284" s="8" t="str">
        <f aca="false">B1284&amp;" "&amp;C1284&amp;" "&amp;D1284&amp;" "&amp;E1284&amp;" "&amp;G1284&amp;" "&amp;H1284&amp;" "&amp;J1284&amp;" "&amp;N1284</f>
        <v>Differentials Graphite     CIF Morocco (Diff) </v>
      </c>
      <c r="S1284" s="25"/>
      <c r="T1284" s="8"/>
      <c r="U1284" s="8"/>
      <c r="V1284" s="25"/>
      <c r="W1284" s="25"/>
      <c r="X1284" s="25"/>
      <c r="Y1284" s="25"/>
      <c r="Z1284" s="25"/>
      <c r="AA1284" s="25"/>
      <c r="AB1284" s="25"/>
      <c r="AC1284" s="25"/>
      <c r="AD1284" s="25"/>
    </row>
    <row r="1285" customFormat="false" ht="15.75" hidden="false" customHeight="false" outlineLevel="0" collapsed="false">
      <c r="A1285" s="28" t="s">
        <v>1666</v>
      </c>
      <c r="B1285" s="27" t="s">
        <v>438</v>
      </c>
      <c r="C1285" s="27" t="s">
        <v>308</v>
      </c>
      <c r="D1285" s="25"/>
      <c r="E1285" s="25"/>
      <c r="F1285" s="25"/>
      <c r="G1285" s="25"/>
      <c r="H1285" s="25"/>
      <c r="I1285" s="25"/>
      <c r="J1285" s="27" t="s">
        <v>1607</v>
      </c>
      <c r="K1285" s="25" t="str">
        <f aca="false">IFERROR(__xludf.dummyfunction("SPLIT(J1285,"" "")"),"CIF")</f>
        <v>CIF</v>
      </c>
      <c r="L1285" s="28" t="str">
        <f aca="false">IFERROR(__xludf.dummyfunction("""COMPUTED_VALUE"""),"Morocco")</f>
        <v>Morocco</v>
      </c>
      <c r="M1285" s="27" t="str">
        <f aca="false">IFERROR(__xludf.dummyfunction("""COMPUTED_VALUE"""),"(Diff)")</f>
        <v>(Diff)</v>
      </c>
      <c r="N1285" s="25"/>
      <c r="O1285" s="25"/>
      <c r="P1285" s="25"/>
      <c r="Q1285" s="29" t="s">
        <v>319</v>
      </c>
      <c r="R1285" s="8" t="str">
        <f aca="false">B1285&amp;" "&amp;C1285&amp;" "&amp;D1285&amp;" "&amp;E1285&amp;" "&amp;G1285&amp;" "&amp;H1285&amp;" "&amp;J1285&amp;" "&amp;N1285</f>
        <v>Differentials Graphite     CIF Morocco (Diff) </v>
      </c>
      <c r="S1285" s="25"/>
      <c r="T1285" s="8"/>
      <c r="U1285" s="8"/>
      <c r="V1285" s="25"/>
      <c r="W1285" s="25"/>
      <c r="X1285" s="25"/>
      <c r="Y1285" s="25"/>
      <c r="Z1285" s="25"/>
      <c r="AA1285" s="25"/>
      <c r="AB1285" s="25"/>
      <c r="AC1285" s="25"/>
      <c r="AD1285" s="25"/>
    </row>
    <row r="1286" customFormat="false" ht="15.75" hidden="false" customHeight="false" outlineLevel="0" collapsed="false">
      <c r="A1286" s="28" t="s">
        <v>1667</v>
      </c>
      <c r="B1286" s="27" t="s">
        <v>438</v>
      </c>
      <c r="C1286" s="27" t="s">
        <v>308</v>
      </c>
      <c r="D1286" s="25"/>
      <c r="E1286" s="25"/>
      <c r="F1286" s="25"/>
      <c r="G1286" s="25"/>
      <c r="H1286" s="25"/>
      <c r="I1286" s="25"/>
      <c r="J1286" s="27" t="s">
        <v>1607</v>
      </c>
      <c r="K1286" s="25" t="str">
        <f aca="false">IFERROR(__xludf.dummyfunction("SPLIT(J1286,"" "")"),"CIF")</f>
        <v>CIF</v>
      </c>
      <c r="L1286" s="28" t="str">
        <f aca="false">IFERROR(__xludf.dummyfunction("""COMPUTED_VALUE"""),"Morocco")</f>
        <v>Morocco</v>
      </c>
      <c r="M1286" s="27" t="str">
        <f aca="false">IFERROR(__xludf.dummyfunction("""COMPUTED_VALUE"""),"(Diff)")</f>
        <v>(Diff)</v>
      </c>
      <c r="N1286" s="25"/>
      <c r="O1286" s="25"/>
      <c r="P1286" s="25"/>
      <c r="Q1286" s="29" t="s">
        <v>315</v>
      </c>
      <c r="R1286" s="8" t="str">
        <f aca="false">B1286&amp;" "&amp;C1286&amp;" "&amp;D1286&amp;" "&amp;E1286&amp;" "&amp;G1286&amp;" "&amp;H1286&amp;" "&amp;J1286&amp;" "&amp;N1286</f>
        <v>Differentials Graphite     CIF Morocco (Diff) </v>
      </c>
      <c r="S1286" s="25"/>
      <c r="T1286" s="8"/>
      <c r="U1286" s="8"/>
      <c r="V1286" s="25"/>
      <c r="W1286" s="25"/>
      <c r="X1286" s="25"/>
      <c r="Y1286" s="25"/>
      <c r="Z1286" s="25"/>
      <c r="AA1286" s="25"/>
      <c r="AB1286" s="25"/>
      <c r="AC1286" s="25"/>
      <c r="AD1286" s="25"/>
    </row>
    <row r="1287" customFormat="false" ht="15.75" hidden="false" customHeight="false" outlineLevel="0" collapsed="false">
      <c r="A1287" s="28" t="s">
        <v>1668</v>
      </c>
      <c r="B1287" s="27" t="s">
        <v>438</v>
      </c>
      <c r="C1287" s="27" t="s">
        <v>308</v>
      </c>
      <c r="D1287" s="25"/>
      <c r="E1287" s="25"/>
      <c r="F1287" s="25"/>
      <c r="G1287" s="25"/>
      <c r="H1287" s="25"/>
      <c r="I1287" s="25"/>
      <c r="J1287" s="27" t="s">
        <v>1607</v>
      </c>
      <c r="K1287" s="25" t="str">
        <f aca="false">IFERROR(__xludf.dummyfunction("SPLIT(J1287,"" "")"),"CIF")</f>
        <v>CIF</v>
      </c>
      <c r="L1287" s="28" t="str">
        <f aca="false">IFERROR(__xludf.dummyfunction("""COMPUTED_VALUE"""),"Morocco")</f>
        <v>Morocco</v>
      </c>
      <c r="M1287" s="27" t="str">
        <f aca="false">IFERROR(__xludf.dummyfunction("""COMPUTED_VALUE"""),"(Diff)")</f>
        <v>(Diff)</v>
      </c>
      <c r="N1287" s="25"/>
      <c r="O1287" s="25"/>
      <c r="P1287" s="25"/>
      <c r="Q1287" s="29" t="s">
        <v>311</v>
      </c>
      <c r="R1287" s="8" t="str">
        <f aca="false">B1287&amp;" "&amp;C1287&amp;" "&amp;D1287&amp;" "&amp;E1287&amp;" "&amp;G1287&amp;" "&amp;H1287&amp;" "&amp;J1287&amp;" "&amp;N1287</f>
        <v>Differentials Graphite     CIF Morocco (Diff) </v>
      </c>
      <c r="S1287" s="25"/>
      <c r="T1287" s="8"/>
      <c r="U1287" s="8"/>
      <c r="V1287" s="25"/>
      <c r="W1287" s="25"/>
      <c r="X1287" s="25"/>
      <c r="Y1287" s="25"/>
      <c r="Z1287" s="25"/>
      <c r="AA1287" s="25"/>
      <c r="AB1287" s="25"/>
      <c r="AC1287" s="25"/>
      <c r="AD1287" s="25"/>
    </row>
    <row r="1288" customFormat="false" ht="15.75" hidden="false" customHeight="false" outlineLevel="0" collapsed="false">
      <c r="A1288" s="28" t="s">
        <v>1669</v>
      </c>
      <c r="B1288" s="27" t="s">
        <v>438</v>
      </c>
      <c r="C1288" s="27" t="s">
        <v>360</v>
      </c>
      <c r="D1288" s="25"/>
      <c r="E1288" s="25"/>
      <c r="F1288" s="25"/>
      <c r="G1288" s="25"/>
      <c r="H1288" s="25"/>
      <c r="I1288" s="25"/>
      <c r="J1288" s="27" t="s">
        <v>1607</v>
      </c>
      <c r="K1288" s="25" t="str">
        <f aca="false">IFERROR(__xludf.dummyfunction("SPLIT(J1288,"" "")"),"CIF")</f>
        <v>CIF</v>
      </c>
      <c r="L1288" s="28" t="str">
        <f aca="false">IFERROR(__xludf.dummyfunction("""COMPUTED_VALUE"""),"Morocco")</f>
        <v>Morocco</v>
      </c>
      <c r="M1288" s="27" t="str">
        <f aca="false">IFERROR(__xludf.dummyfunction("""COMPUTED_VALUE"""),"(Diff)")</f>
        <v>(Diff)</v>
      </c>
      <c r="N1288" s="25"/>
      <c r="O1288" s="25"/>
      <c r="P1288" s="25"/>
      <c r="Q1288" s="29" t="s">
        <v>368</v>
      </c>
      <c r="R1288" s="8" t="str">
        <f aca="false">B1288&amp;" "&amp;C1288&amp;" "&amp;D1288&amp;" "&amp;E1288&amp;" "&amp;G1288&amp;" "&amp;H1288&amp;" "&amp;J1288&amp;" "&amp;N1288</f>
        <v>Differentials Lithium     CIF Morocco (Diff) </v>
      </c>
      <c r="S1288" s="25"/>
      <c r="T1288" s="8"/>
      <c r="U1288" s="8"/>
      <c r="V1288" s="25"/>
      <c r="W1288" s="25"/>
      <c r="X1288" s="25"/>
      <c r="Y1288" s="25"/>
      <c r="Z1288" s="25"/>
      <c r="AA1288" s="25"/>
      <c r="AB1288" s="25"/>
      <c r="AC1288" s="25"/>
      <c r="AD1288" s="25"/>
    </row>
    <row r="1289" customFormat="false" ht="15.75" hidden="false" customHeight="false" outlineLevel="0" collapsed="false">
      <c r="A1289" s="28" t="s">
        <v>1670</v>
      </c>
      <c r="B1289" s="27" t="s">
        <v>438</v>
      </c>
      <c r="C1289" s="27" t="s">
        <v>360</v>
      </c>
      <c r="D1289" s="25"/>
      <c r="E1289" s="25"/>
      <c r="F1289" s="25"/>
      <c r="G1289" s="25"/>
      <c r="H1289" s="25"/>
      <c r="I1289" s="25"/>
      <c r="J1289" s="27" t="s">
        <v>1607</v>
      </c>
      <c r="K1289" s="25" t="str">
        <f aca="false">IFERROR(__xludf.dummyfunction("SPLIT(J1289,"" "")"),"CIF")</f>
        <v>CIF</v>
      </c>
      <c r="L1289" s="28" t="str">
        <f aca="false">IFERROR(__xludf.dummyfunction("""COMPUTED_VALUE"""),"Morocco")</f>
        <v>Morocco</v>
      </c>
      <c r="M1289" s="27" t="str">
        <f aca="false">IFERROR(__xludf.dummyfunction("""COMPUTED_VALUE"""),"(Diff)")</f>
        <v>(Diff)</v>
      </c>
      <c r="N1289" s="25"/>
      <c r="O1289" s="25"/>
      <c r="P1289" s="25"/>
      <c r="Q1289" s="29" t="s">
        <v>366</v>
      </c>
      <c r="R1289" s="8" t="str">
        <f aca="false">B1289&amp;" "&amp;C1289&amp;" "&amp;D1289&amp;" "&amp;E1289&amp;" "&amp;G1289&amp;" "&amp;H1289&amp;" "&amp;J1289&amp;" "&amp;N1289</f>
        <v>Differentials Lithium     CIF Morocco (Diff) </v>
      </c>
      <c r="S1289" s="25"/>
      <c r="T1289" s="8"/>
      <c r="U1289" s="8"/>
      <c r="V1289" s="25"/>
      <c r="W1289" s="25"/>
      <c r="X1289" s="25"/>
      <c r="Y1289" s="25"/>
      <c r="Z1289" s="25"/>
      <c r="AA1289" s="25"/>
      <c r="AB1289" s="25"/>
      <c r="AC1289" s="25"/>
      <c r="AD1289" s="25"/>
    </row>
    <row r="1290" customFormat="false" ht="15.75" hidden="false" customHeight="false" outlineLevel="0" collapsed="false">
      <c r="A1290" s="28" t="s">
        <v>1671</v>
      </c>
      <c r="B1290" s="27" t="s">
        <v>438</v>
      </c>
      <c r="C1290" s="27" t="s">
        <v>360</v>
      </c>
      <c r="D1290" s="25"/>
      <c r="E1290" s="25"/>
      <c r="F1290" s="25"/>
      <c r="G1290" s="25"/>
      <c r="H1290" s="25"/>
      <c r="I1290" s="25"/>
      <c r="J1290" s="27" t="s">
        <v>1607</v>
      </c>
      <c r="K1290" s="25" t="str">
        <f aca="false">IFERROR(__xludf.dummyfunction("SPLIT(J1290,"" "")"),"CIF")</f>
        <v>CIF</v>
      </c>
      <c r="L1290" s="28" t="str">
        <f aca="false">IFERROR(__xludf.dummyfunction("""COMPUTED_VALUE"""),"Morocco")</f>
        <v>Morocco</v>
      </c>
      <c r="M1290" s="27" t="str">
        <f aca="false">IFERROR(__xludf.dummyfunction("""COMPUTED_VALUE"""),"(Diff)")</f>
        <v>(Diff)</v>
      </c>
      <c r="N1290" s="25"/>
      <c r="O1290" s="25"/>
      <c r="P1290" s="25"/>
      <c r="Q1290" s="29" t="s">
        <v>361</v>
      </c>
      <c r="R1290" s="8" t="str">
        <f aca="false">B1290&amp;" "&amp;C1290&amp;" "&amp;D1290&amp;" "&amp;E1290&amp;" "&amp;G1290&amp;" "&amp;H1290&amp;" "&amp;J1290&amp;" "&amp;N1290</f>
        <v>Differentials Lithium     CIF Morocco (Diff) </v>
      </c>
      <c r="S1290" s="25"/>
      <c r="T1290" s="8"/>
      <c r="U1290" s="37" t="s">
        <v>1672</v>
      </c>
      <c r="V1290" s="37"/>
      <c r="W1290" s="25"/>
      <c r="X1290" s="25"/>
      <c r="Y1290" s="25"/>
      <c r="Z1290" s="25"/>
      <c r="AA1290" s="25"/>
      <c r="AB1290" s="25"/>
      <c r="AC1290" s="25"/>
      <c r="AD1290" s="25"/>
    </row>
    <row r="1291" customFormat="false" ht="15.75" hidden="false" customHeight="false" outlineLevel="0" collapsed="false">
      <c r="A1291" s="28" t="s">
        <v>1673</v>
      </c>
      <c r="B1291" s="27" t="s">
        <v>438</v>
      </c>
      <c r="C1291" s="27" t="s">
        <v>360</v>
      </c>
      <c r="D1291" s="25"/>
      <c r="E1291" s="25"/>
      <c r="F1291" s="25"/>
      <c r="G1291" s="25"/>
      <c r="H1291" s="25"/>
      <c r="I1291" s="25"/>
      <c r="J1291" s="27" t="s">
        <v>1607</v>
      </c>
      <c r="K1291" s="25" t="str">
        <f aca="false">IFERROR(__xludf.dummyfunction("SPLIT(J1291,"" "")"),"CIF")</f>
        <v>CIF</v>
      </c>
      <c r="L1291" s="28" t="str">
        <f aca="false">IFERROR(__xludf.dummyfunction("""COMPUTED_VALUE"""),"Morocco")</f>
        <v>Morocco</v>
      </c>
      <c r="M1291" s="27" t="str">
        <f aca="false">IFERROR(__xludf.dummyfunction("""COMPUTED_VALUE"""),"(Diff)")</f>
        <v>(Diff)</v>
      </c>
      <c r="N1291" s="25"/>
      <c r="O1291" s="25"/>
      <c r="P1291" s="25"/>
      <c r="Q1291" s="29" t="s">
        <v>363</v>
      </c>
      <c r="R1291" s="8" t="str">
        <f aca="false">B1291&amp;" "&amp;C1291&amp;" "&amp;D1291&amp;" "&amp;E1291&amp;" "&amp;G1291&amp;" "&amp;H1291&amp;" "&amp;J1291&amp;" "&amp;N1291</f>
        <v>Differentials Lithium     CIF Morocco (Diff) </v>
      </c>
      <c r="S1291" s="25"/>
      <c r="T1291" s="8"/>
      <c r="U1291" s="37" t="s">
        <v>1674</v>
      </c>
      <c r="V1291" s="37"/>
      <c r="W1291" s="25"/>
      <c r="X1291" s="25"/>
      <c r="Y1291" s="25"/>
      <c r="Z1291" s="25"/>
      <c r="AA1291" s="25"/>
      <c r="AB1291" s="25"/>
      <c r="AC1291" s="25"/>
      <c r="AD1291" s="25"/>
    </row>
    <row r="1292" customFormat="false" ht="15.75" hidden="false" customHeight="false" outlineLevel="0" collapsed="false">
      <c r="A1292" s="28" t="s">
        <v>1675</v>
      </c>
      <c r="B1292" s="27" t="s">
        <v>438</v>
      </c>
      <c r="C1292" s="27" t="s">
        <v>360</v>
      </c>
      <c r="D1292" s="25"/>
      <c r="E1292" s="25"/>
      <c r="F1292" s="25"/>
      <c r="G1292" s="25"/>
      <c r="H1292" s="25"/>
      <c r="I1292" s="25"/>
      <c r="J1292" s="27" t="s">
        <v>1607</v>
      </c>
      <c r="K1292" s="25" t="str">
        <f aca="false">IFERROR(__xludf.dummyfunction("SPLIT(J1292,"" "")"),"CIF")</f>
        <v>CIF</v>
      </c>
      <c r="L1292" s="28" t="str">
        <f aca="false">IFERROR(__xludf.dummyfunction("""COMPUTED_VALUE"""),"Morocco")</f>
        <v>Morocco</v>
      </c>
      <c r="M1292" s="27" t="str">
        <f aca="false">IFERROR(__xludf.dummyfunction("""COMPUTED_VALUE"""),"(Diff)")</f>
        <v>(Diff)</v>
      </c>
      <c r="N1292" s="25"/>
      <c r="O1292" s="25"/>
      <c r="P1292" s="25"/>
      <c r="Q1292" s="29" t="s">
        <v>361</v>
      </c>
      <c r="R1292" s="8" t="str">
        <f aca="false">B1292&amp;" "&amp;C1292&amp;" "&amp;D1292&amp;" "&amp;E1292&amp;" "&amp;G1292&amp;" "&amp;H1292&amp;" "&amp;J1292&amp;" "&amp;N1292</f>
        <v>Differentials Lithium     CIF Morocco (Diff) </v>
      </c>
      <c r="S1292" s="25"/>
      <c r="T1292" s="8"/>
      <c r="U1292" s="37" t="s">
        <v>1672</v>
      </c>
      <c r="V1292" s="37"/>
      <c r="W1292" s="25"/>
      <c r="X1292" s="25"/>
      <c r="Y1292" s="25"/>
      <c r="Z1292" s="25"/>
      <c r="AA1292" s="25"/>
      <c r="AB1292" s="25"/>
      <c r="AC1292" s="25"/>
      <c r="AD1292" s="25"/>
    </row>
    <row r="1293" customFormat="false" ht="15.75" hidden="false" customHeight="false" outlineLevel="0" collapsed="false">
      <c r="A1293" s="28" t="s">
        <v>1676</v>
      </c>
      <c r="B1293" s="27" t="s">
        <v>438</v>
      </c>
      <c r="C1293" s="27" t="s">
        <v>370</v>
      </c>
      <c r="D1293" s="25"/>
      <c r="E1293" s="25"/>
      <c r="F1293" s="25"/>
      <c r="G1293" s="25"/>
      <c r="H1293" s="25"/>
      <c r="I1293" s="25"/>
      <c r="J1293" s="27" t="s">
        <v>1607</v>
      </c>
      <c r="K1293" s="25" t="str">
        <f aca="false">IFERROR(__xludf.dummyfunction("SPLIT(J1293,"" "")"),"CIF")</f>
        <v>CIF</v>
      </c>
      <c r="L1293" s="28" t="str">
        <f aca="false">IFERROR(__xludf.dummyfunction("""COMPUTED_VALUE"""),"Morocco")</f>
        <v>Morocco</v>
      </c>
      <c r="M1293" s="27" t="str">
        <f aca="false">IFERROR(__xludf.dummyfunction("""COMPUTED_VALUE"""),"(Diff)")</f>
        <v>(Diff)</v>
      </c>
      <c r="N1293" s="25"/>
      <c r="O1293" s="25"/>
      <c r="P1293" s="25"/>
      <c r="Q1293" s="29" t="s">
        <v>374</v>
      </c>
      <c r="R1293" s="8" t="str">
        <f aca="false">B1293&amp;" "&amp;C1293&amp;" "&amp;D1293&amp;" "&amp;E1293&amp;" "&amp;G1293&amp;" "&amp;H1293&amp;" "&amp;J1293&amp;" "&amp;N1293</f>
        <v>Differentials Manganese     CIF Morocco (Diff) </v>
      </c>
      <c r="S1293" s="25"/>
      <c r="T1293" s="8"/>
      <c r="U1293" s="8"/>
      <c r="V1293" s="25"/>
      <c r="W1293" s="25"/>
      <c r="X1293" s="25"/>
      <c r="Y1293" s="25"/>
      <c r="Z1293" s="25"/>
      <c r="AA1293" s="25"/>
      <c r="AB1293" s="25"/>
      <c r="AC1293" s="25"/>
      <c r="AD1293" s="25"/>
    </row>
    <row r="1294" customFormat="false" ht="15.75" hidden="false" customHeight="false" outlineLevel="0" collapsed="false">
      <c r="A1294" s="28" t="s">
        <v>1677</v>
      </c>
      <c r="B1294" s="27" t="s">
        <v>438</v>
      </c>
      <c r="C1294" s="27" t="s">
        <v>370</v>
      </c>
      <c r="D1294" s="25"/>
      <c r="E1294" s="25"/>
      <c r="F1294" s="25"/>
      <c r="G1294" s="25"/>
      <c r="H1294" s="25"/>
      <c r="I1294" s="25"/>
      <c r="J1294" s="27" t="s">
        <v>1607</v>
      </c>
      <c r="K1294" s="25" t="str">
        <f aca="false">IFERROR(__xludf.dummyfunction("SPLIT(J1294,"" "")"),"CIF")</f>
        <v>CIF</v>
      </c>
      <c r="L1294" s="28" t="str">
        <f aca="false">IFERROR(__xludf.dummyfunction("""COMPUTED_VALUE"""),"Morocco")</f>
        <v>Morocco</v>
      </c>
      <c r="M1294" s="27" t="str">
        <f aca="false">IFERROR(__xludf.dummyfunction("""COMPUTED_VALUE"""),"(Diff)")</f>
        <v>(Diff)</v>
      </c>
      <c r="N1294" s="25"/>
      <c r="O1294" s="25"/>
      <c r="P1294" s="25"/>
      <c r="Q1294" s="29" t="s">
        <v>371</v>
      </c>
      <c r="R1294" s="8" t="str">
        <f aca="false">B1294&amp;" "&amp;C1294&amp;" "&amp;D1294&amp;" "&amp;E1294&amp;" "&amp;G1294&amp;" "&amp;H1294&amp;" "&amp;J1294&amp;" "&amp;N1294</f>
        <v>Differentials Manganese     CIF Morocco (Diff) </v>
      </c>
      <c r="S1294" s="25"/>
      <c r="T1294" s="8"/>
      <c r="U1294" s="8"/>
      <c r="V1294" s="25"/>
      <c r="W1294" s="25"/>
      <c r="X1294" s="25"/>
      <c r="Y1294" s="25"/>
      <c r="Z1294" s="25"/>
      <c r="AA1294" s="25"/>
      <c r="AB1294" s="25"/>
      <c r="AC1294" s="25"/>
      <c r="AD1294" s="25"/>
    </row>
    <row r="1295" customFormat="false" ht="15.75" hidden="false" customHeight="false" outlineLevel="0" collapsed="false">
      <c r="A1295" s="28" t="s">
        <v>1678</v>
      </c>
      <c r="B1295" s="27" t="s">
        <v>438</v>
      </c>
      <c r="C1295" s="27" t="s">
        <v>376</v>
      </c>
      <c r="D1295" s="25"/>
      <c r="E1295" s="25"/>
      <c r="F1295" s="25"/>
      <c r="G1295" s="25"/>
      <c r="H1295" s="25"/>
      <c r="I1295" s="25"/>
      <c r="J1295" s="27" t="s">
        <v>1607</v>
      </c>
      <c r="K1295" s="25" t="str">
        <f aca="false">IFERROR(__xludf.dummyfunction("SPLIT(J1295,"" "")"),"CIF")</f>
        <v>CIF</v>
      </c>
      <c r="L1295" s="28" t="str">
        <f aca="false">IFERROR(__xludf.dummyfunction("""COMPUTED_VALUE"""),"Morocco")</f>
        <v>Morocco</v>
      </c>
      <c r="M1295" s="27" t="str">
        <f aca="false">IFERROR(__xludf.dummyfunction("""COMPUTED_VALUE"""),"(Diff)")</f>
        <v>(Diff)</v>
      </c>
      <c r="N1295" s="25"/>
      <c r="O1295" s="25"/>
      <c r="P1295" s="25"/>
      <c r="Q1295" s="29" t="s">
        <v>381</v>
      </c>
      <c r="R1295" s="8" t="str">
        <f aca="false">B1295&amp;" "&amp;C1295&amp;" "&amp;D1295&amp;" "&amp;E1295&amp;" "&amp;G1295&amp;" "&amp;H1295&amp;" "&amp;J1295&amp;" "&amp;N1295</f>
        <v>Differentials Nickel     CIF Morocco (Diff) </v>
      </c>
      <c r="S1295" s="25"/>
      <c r="T1295" s="8"/>
      <c r="U1295" s="8"/>
      <c r="V1295" s="25"/>
      <c r="W1295" s="25"/>
      <c r="X1295" s="25"/>
      <c r="Y1295" s="25"/>
      <c r="Z1295" s="25"/>
      <c r="AA1295" s="25"/>
      <c r="AB1295" s="25"/>
      <c r="AC1295" s="25"/>
      <c r="AD1295" s="25"/>
    </row>
    <row r="1296" customFormat="false" ht="15.75" hidden="false" customHeight="false" outlineLevel="0" collapsed="false">
      <c r="A1296" s="28" t="s">
        <v>1679</v>
      </c>
      <c r="B1296" s="27" t="s">
        <v>438</v>
      </c>
      <c r="C1296" s="27" t="s">
        <v>376</v>
      </c>
      <c r="D1296" s="25"/>
      <c r="E1296" s="25"/>
      <c r="F1296" s="25"/>
      <c r="G1296" s="25"/>
      <c r="H1296" s="25"/>
      <c r="I1296" s="25"/>
      <c r="J1296" s="27" t="s">
        <v>1607</v>
      </c>
      <c r="K1296" s="25" t="str">
        <f aca="false">IFERROR(__xludf.dummyfunction("SPLIT(J1296,"" "")"),"CIF")</f>
        <v>CIF</v>
      </c>
      <c r="L1296" s="28" t="str">
        <f aca="false">IFERROR(__xludf.dummyfunction("""COMPUTED_VALUE"""),"Morocco")</f>
        <v>Morocco</v>
      </c>
      <c r="M1296" s="27" t="str">
        <f aca="false">IFERROR(__xludf.dummyfunction("""COMPUTED_VALUE"""),"(Diff)")</f>
        <v>(Diff)</v>
      </c>
      <c r="N1296" s="25"/>
      <c r="O1296" s="25"/>
      <c r="P1296" s="25"/>
      <c r="Q1296" s="29" t="s">
        <v>379</v>
      </c>
      <c r="R1296" s="8" t="str">
        <f aca="false">B1296&amp;" "&amp;C1296&amp;" "&amp;D1296&amp;" "&amp;E1296&amp;" "&amp;G1296&amp;" "&amp;H1296&amp;" "&amp;J1296&amp;" "&amp;N1296</f>
        <v>Differentials Nickel     CIF Morocco (Diff) </v>
      </c>
      <c r="S1296" s="25"/>
      <c r="T1296" s="8"/>
      <c r="U1296" s="8"/>
      <c r="V1296" s="25"/>
      <c r="W1296" s="25"/>
      <c r="X1296" s="25"/>
      <c r="Y1296" s="25"/>
      <c r="Z1296" s="25"/>
      <c r="AA1296" s="25"/>
      <c r="AB1296" s="25"/>
      <c r="AC1296" s="25"/>
      <c r="AD1296" s="25"/>
    </row>
    <row r="1297" customFormat="false" ht="15.75" hidden="false" customHeight="false" outlineLevel="0" collapsed="false">
      <c r="A1297" s="28" t="s">
        <v>1680</v>
      </c>
      <c r="B1297" s="27" t="s">
        <v>438</v>
      </c>
      <c r="C1297" s="27" t="s">
        <v>376</v>
      </c>
      <c r="D1297" s="25"/>
      <c r="E1297" s="25"/>
      <c r="F1297" s="25"/>
      <c r="G1297" s="25"/>
      <c r="H1297" s="25"/>
      <c r="I1297" s="25"/>
      <c r="J1297" s="27" t="s">
        <v>1607</v>
      </c>
      <c r="K1297" s="25" t="str">
        <f aca="false">IFERROR(__xludf.dummyfunction("SPLIT(J1297,"" "")"),"CIF")</f>
        <v>CIF</v>
      </c>
      <c r="L1297" s="28" t="str">
        <f aca="false">IFERROR(__xludf.dummyfunction("""COMPUTED_VALUE"""),"Morocco")</f>
        <v>Morocco</v>
      </c>
      <c r="M1297" s="27" t="str">
        <f aca="false">IFERROR(__xludf.dummyfunction("""COMPUTED_VALUE"""),"(Diff)")</f>
        <v>(Diff)</v>
      </c>
      <c r="N1297" s="25"/>
      <c r="O1297" s="25"/>
      <c r="P1297" s="25"/>
      <c r="Q1297" s="29" t="s">
        <v>377</v>
      </c>
      <c r="R1297" s="8" t="str">
        <f aca="false">B1297&amp;" "&amp;C1297&amp;" "&amp;D1297&amp;" "&amp;E1297&amp;" "&amp;G1297&amp;" "&amp;H1297&amp;" "&amp;J1297&amp;" "&amp;N1297</f>
        <v>Differentials Nickel     CIF Morocco (Diff) </v>
      </c>
      <c r="S1297" s="25"/>
      <c r="T1297" s="8"/>
      <c r="U1297" s="8"/>
      <c r="V1297" s="25"/>
      <c r="W1297" s="25"/>
      <c r="X1297" s="25"/>
      <c r="Y1297" s="25"/>
      <c r="Z1297" s="25"/>
      <c r="AA1297" s="25"/>
      <c r="AB1297" s="25"/>
      <c r="AC1297" s="25"/>
      <c r="AD1297" s="25"/>
    </row>
    <row r="1298" customFormat="false" ht="15.75" hidden="false" customHeight="false" outlineLevel="0" collapsed="false">
      <c r="A1298" s="28" t="s">
        <v>1681</v>
      </c>
      <c r="B1298" s="27" t="s">
        <v>438</v>
      </c>
      <c r="C1298" s="27" t="s">
        <v>383</v>
      </c>
      <c r="D1298" s="25"/>
      <c r="E1298" s="25"/>
      <c r="F1298" s="25"/>
      <c r="G1298" s="25"/>
      <c r="H1298" s="25"/>
      <c r="I1298" s="25"/>
      <c r="J1298" s="27" t="s">
        <v>1607</v>
      </c>
      <c r="K1298" s="25" t="str">
        <f aca="false">IFERROR(__xludf.dummyfunction("SPLIT(J1298,"" "")"),"CIF")</f>
        <v>CIF</v>
      </c>
      <c r="L1298" s="28" t="str">
        <f aca="false">IFERROR(__xludf.dummyfunction("""COMPUTED_VALUE"""),"Morocco")</f>
        <v>Morocco</v>
      </c>
      <c r="M1298" s="27" t="str">
        <f aca="false">IFERROR(__xludf.dummyfunction("""COMPUTED_VALUE"""),"(Diff)")</f>
        <v>(Diff)</v>
      </c>
      <c r="N1298" s="25"/>
      <c r="O1298" s="25"/>
      <c r="P1298" s="25"/>
      <c r="Q1298" s="29" t="s">
        <v>406</v>
      </c>
      <c r="R1298" s="8" t="str">
        <f aca="false">B1298&amp;" "&amp;C1298&amp;" "&amp;D1298&amp;" "&amp;E1298&amp;" "&amp;G1298&amp;" "&amp;H1298&amp;" "&amp;J1298&amp;" "&amp;N1298</f>
        <v>Differentials Precursor     CIF Morocco (Diff) </v>
      </c>
      <c r="S1298" s="25"/>
      <c r="T1298" s="8"/>
      <c r="U1298" s="37" t="s">
        <v>1682</v>
      </c>
      <c r="V1298" s="37"/>
      <c r="W1298" s="25"/>
      <c r="X1298" s="25"/>
      <c r="Y1298" s="25"/>
      <c r="Z1298" s="25"/>
      <c r="AA1298" s="25"/>
      <c r="AB1298" s="25"/>
      <c r="AC1298" s="25"/>
      <c r="AD1298" s="25"/>
    </row>
    <row r="1299" customFormat="false" ht="15.75" hidden="false" customHeight="false" outlineLevel="0" collapsed="false">
      <c r="A1299" s="28" t="s">
        <v>1683</v>
      </c>
      <c r="B1299" s="27" t="s">
        <v>438</v>
      </c>
      <c r="C1299" s="27" t="s">
        <v>383</v>
      </c>
      <c r="D1299" s="25"/>
      <c r="E1299" s="25"/>
      <c r="F1299" s="25"/>
      <c r="G1299" s="25"/>
      <c r="H1299" s="25"/>
      <c r="I1299" s="25"/>
      <c r="J1299" s="27" t="s">
        <v>1607</v>
      </c>
      <c r="K1299" s="25" t="str">
        <f aca="false">IFERROR(__xludf.dummyfunction("SPLIT(J1299,"" "")"),"CIF")</f>
        <v>CIF</v>
      </c>
      <c r="L1299" s="28" t="str">
        <f aca="false">IFERROR(__xludf.dummyfunction("""COMPUTED_VALUE"""),"Morocco")</f>
        <v>Morocco</v>
      </c>
      <c r="M1299" s="27" t="str">
        <f aca="false">IFERROR(__xludf.dummyfunction("""COMPUTED_VALUE"""),"(Diff)")</f>
        <v>(Diff)</v>
      </c>
      <c r="N1299" s="25"/>
      <c r="O1299" s="25"/>
      <c r="P1299" s="25"/>
      <c r="Q1299" s="29" t="s">
        <v>404</v>
      </c>
      <c r="R1299" s="8" t="str">
        <f aca="false">B1299&amp;" "&amp;C1299&amp;" "&amp;D1299&amp;" "&amp;E1299&amp;" "&amp;G1299&amp;" "&amp;H1299&amp;" "&amp;J1299&amp;" "&amp;N1299</f>
        <v>Differentials Precursor     CIF Morocco (Diff) </v>
      </c>
      <c r="S1299" s="25"/>
      <c r="T1299" s="8"/>
      <c r="U1299" s="37" t="s">
        <v>1684</v>
      </c>
      <c r="V1299" s="37"/>
      <c r="W1299" s="25"/>
      <c r="X1299" s="25"/>
      <c r="Y1299" s="25"/>
      <c r="Z1299" s="25"/>
      <c r="AA1299" s="25"/>
      <c r="AB1299" s="25"/>
      <c r="AC1299" s="25"/>
      <c r="AD1299" s="25"/>
    </row>
    <row r="1300" customFormat="false" ht="15.75" hidden="false" customHeight="false" outlineLevel="0" collapsed="false">
      <c r="A1300" s="28" t="s">
        <v>1685</v>
      </c>
      <c r="B1300" s="27" t="s">
        <v>438</v>
      </c>
      <c r="C1300" s="27" t="s">
        <v>383</v>
      </c>
      <c r="D1300" s="25"/>
      <c r="E1300" s="25"/>
      <c r="F1300" s="25"/>
      <c r="G1300" s="25"/>
      <c r="H1300" s="25"/>
      <c r="I1300" s="25"/>
      <c r="J1300" s="27" t="s">
        <v>1607</v>
      </c>
      <c r="K1300" s="25" t="str">
        <f aca="false">IFERROR(__xludf.dummyfunction("SPLIT(J1300,"" "")"),"CIF")</f>
        <v>CIF</v>
      </c>
      <c r="L1300" s="28" t="str">
        <f aca="false">IFERROR(__xludf.dummyfunction("""COMPUTED_VALUE"""),"Morocco")</f>
        <v>Morocco</v>
      </c>
      <c r="M1300" s="27" t="str">
        <f aca="false">IFERROR(__xludf.dummyfunction("""COMPUTED_VALUE"""),"(Diff)")</f>
        <v>(Diff)</v>
      </c>
      <c r="N1300" s="25"/>
      <c r="O1300" s="25"/>
      <c r="P1300" s="25"/>
      <c r="Q1300" s="29" t="s">
        <v>402</v>
      </c>
      <c r="R1300" s="8" t="str">
        <f aca="false">B1300&amp;" "&amp;C1300&amp;" "&amp;D1300&amp;" "&amp;E1300&amp;" "&amp;G1300&amp;" "&amp;H1300&amp;" "&amp;J1300&amp;" "&amp;N1300</f>
        <v>Differentials Precursor     CIF Morocco (Diff) </v>
      </c>
      <c r="S1300" s="25"/>
      <c r="T1300" s="8"/>
      <c r="U1300" s="37" t="s">
        <v>1686</v>
      </c>
      <c r="V1300" s="37"/>
      <c r="W1300" s="25"/>
      <c r="X1300" s="25"/>
      <c r="Y1300" s="25"/>
      <c r="Z1300" s="25"/>
      <c r="AA1300" s="25"/>
      <c r="AB1300" s="25"/>
      <c r="AC1300" s="25"/>
      <c r="AD1300" s="25"/>
    </row>
    <row r="1301" customFormat="false" ht="15.75" hidden="false" customHeight="false" outlineLevel="0" collapsed="false">
      <c r="A1301" s="28" t="s">
        <v>1687</v>
      </c>
      <c r="B1301" s="27" t="s">
        <v>438</v>
      </c>
      <c r="C1301" s="27" t="s">
        <v>383</v>
      </c>
      <c r="D1301" s="25"/>
      <c r="E1301" s="25"/>
      <c r="F1301" s="25"/>
      <c r="G1301" s="25"/>
      <c r="H1301" s="25"/>
      <c r="I1301" s="25"/>
      <c r="J1301" s="27" t="s">
        <v>1607</v>
      </c>
      <c r="K1301" s="25" t="str">
        <f aca="false">IFERROR(__xludf.dummyfunction("SPLIT(J1301,"" "")"),"CIF")</f>
        <v>CIF</v>
      </c>
      <c r="L1301" s="28" t="str">
        <f aca="false">IFERROR(__xludf.dummyfunction("""COMPUTED_VALUE"""),"Morocco")</f>
        <v>Morocco</v>
      </c>
      <c r="M1301" s="27" t="str">
        <f aca="false">IFERROR(__xludf.dummyfunction("""COMPUTED_VALUE"""),"(Diff)")</f>
        <v>(Diff)</v>
      </c>
      <c r="N1301" s="25"/>
      <c r="O1301" s="25"/>
      <c r="P1301" s="25"/>
      <c r="Q1301" s="29" t="s">
        <v>400</v>
      </c>
      <c r="R1301" s="8" t="str">
        <f aca="false">B1301&amp;" "&amp;C1301&amp;" "&amp;D1301&amp;" "&amp;E1301&amp;" "&amp;G1301&amp;" "&amp;H1301&amp;" "&amp;J1301&amp;" "&amp;N1301</f>
        <v>Differentials Precursor     CIF Morocco (Diff) </v>
      </c>
      <c r="S1301" s="25"/>
      <c r="T1301" s="8"/>
      <c r="U1301" s="37" t="s">
        <v>1688</v>
      </c>
      <c r="V1301" s="37"/>
      <c r="W1301" s="25"/>
      <c r="X1301" s="25"/>
      <c r="Y1301" s="25"/>
      <c r="Z1301" s="25"/>
      <c r="AA1301" s="25"/>
      <c r="AB1301" s="25"/>
      <c r="AC1301" s="25"/>
      <c r="AD1301" s="25"/>
    </row>
    <row r="1302" customFormat="false" ht="15.75" hidden="false" customHeight="false" outlineLevel="0" collapsed="false">
      <c r="A1302" s="28" t="s">
        <v>1689</v>
      </c>
      <c r="B1302" s="27" t="s">
        <v>438</v>
      </c>
      <c r="C1302" s="27" t="s">
        <v>383</v>
      </c>
      <c r="D1302" s="25"/>
      <c r="E1302" s="25"/>
      <c r="F1302" s="25"/>
      <c r="G1302" s="25"/>
      <c r="H1302" s="25"/>
      <c r="I1302" s="25"/>
      <c r="J1302" s="27" t="s">
        <v>1607</v>
      </c>
      <c r="K1302" s="25" t="str">
        <f aca="false">IFERROR(__xludf.dummyfunction("SPLIT(J1302,"" "")"),"CIF")</f>
        <v>CIF</v>
      </c>
      <c r="L1302" s="28" t="str">
        <f aca="false">IFERROR(__xludf.dummyfunction("""COMPUTED_VALUE"""),"Morocco")</f>
        <v>Morocco</v>
      </c>
      <c r="M1302" s="27" t="str">
        <f aca="false">IFERROR(__xludf.dummyfunction("""COMPUTED_VALUE"""),"(Diff)")</f>
        <v>(Diff)</v>
      </c>
      <c r="N1302" s="25"/>
      <c r="O1302" s="25"/>
      <c r="P1302" s="25"/>
      <c r="Q1302" s="29" t="s">
        <v>398</v>
      </c>
      <c r="R1302" s="8" t="str">
        <f aca="false">B1302&amp;" "&amp;C1302&amp;" "&amp;D1302&amp;" "&amp;E1302&amp;" "&amp;G1302&amp;" "&amp;H1302&amp;" "&amp;J1302&amp;" "&amp;N1302</f>
        <v>Differentials Precursor     CIF Morocco (Diff) </v>
      </c>
      <c r="S1302" s="25"/>
      <c r="T1302" s="8"/>
      <c r="U1302" s="37" t="s">
        <v>1690</v>
      </c>
      <c r="V1302" s="37"/>
      <c r="W1302" s="25"/>
      <c r="X1302" s="25"/>
      <c r="Y1302" s="25"/>
      <c r="Z1302" s="25"/>
      <c r="AA1302" s="25"/>
      <c r="AB1302" s="25"/>
      <c r="AC1302" s="25"/>
      <c r="AD1302" s="25"/>
    </row>
    <row r="1303" customFormat="false" ht="15.75" hidden="false" customHeight="false" outlineLevel="0" collapsed="false">
      <c r="A1303" s="28" t="s">
        <v>1691</v>
      </c>
      <c r="B1303" s="27" t="s">
        <v>438</v>
      </c>
      <c r="C1303" s="27" t="s">
        <v>383</v>
      </c>
      <c r="D1303" s="25"/>
      <c r="E1303" s="25"/>
      <c r="F1303" s="25"/>
      <c r="G1303" s="25"/>
      <c r="H1303" s="25"/>
      <c r="I1303" s="25"/>
      <c r="J1303" s="27" t="s">
        <v>1607</v>
      </c>
      <c r="K1303" s="25" t="str">
        <f aca="false">IFERROR(__xludf.dummyfunction("SPLIT(J1303,"" "")"),"CIF")</f>
        <v>CIF</v>
      </c>
      <c r="L1303" s="28" t="str">
        <f aca="false">IFERROR(__xludf.dummyfunction("""COMPUTED_VALUE"""),"Morocco")</f>
        <v>Morocco</v>
      </c>
      <c r="M1303" s="27" t="str">
        <f aca="false">IFERROR(__xludf.dummyfunction("""COMPUTED_VALUE"""),"(Diff)")</f>
        <v>(Diff)</v>
      </c>
      <c r="N1303" s="25"/>
      <c r="O1303" s="25"/>
      <c r="P1303" s="25"/>
      <c r="Q1303" s="29" t="s">
        <v>259</v>
      </c>
      <c r="R1303" s="8" t="str">
        <f aca="false">B1303&amp;" "&amp;C1303&amp;" "&amp;D1303&amp;" "&amp;E1303&amp;" "&amp;G1303&amp;" "&amp;H1303&amp;" "&amp;J1303&amp;" "&amp;N1303</f>
        <v>Differentials Precursor     CIF Morocco (Diff) </v>
      </c>
      <c r="S1303" s="25"/>
      <c r="T1303" s="8"/>
      <c r="U1303" s="37" t="s">
        <v>1692</v>
      </c>
      <c r="V1303" s="37"/>
      <c r="W1303" s="25"/>
      <c r="X1303" s="25"/>
      <c r="Y1303" s="25"/>
      <c r="Z1303" s="25"/>
      <c r="AA1303" s="25"/>
      <c r="AB1303" s="25"/>
      <c r="AC1303" s="25"/>
      <c r="AD1303" s="25"/>
    </row>
    <row r="1304" customFormat="false" ht="15.75" hidden="false" customHeight="false" outlineLevel="0" collapsed="false">
      <c r="A1304" s="28" t="s">
        <v>1693</v>
      </c>
      <c r="B1304" s="27" t="s">
        <v>438</v>
      </c>
      <c r="C1304" s="27" t="s">
        <v>383</v>
      </c>
      <c r="D1304" s="25"/>
      <c r="E1304" s="25"/>
      <c r="F1304" s="25"/>
      <c r="G1304" s="25"/>
      <c r="H1304" s="25"/>
      <c r="I1304" s="25"/>
      <c r="J1304" s="27" t="s">
        <v>1607</v>
      </c>
      <c r="K1304" s="25" t="str">
        <f aca="false">IFERROR(__xludf.dummyfunction("SPLIT(J1304,"" "")"),"CIF")</f>
        <v>CIF</v>
      </c>
      <c r="L1304" s="28" t="str">
        <f aca="false">IFERROR(__xludf.dummyfunction("""COMPUTED_VALUE"""),"Morocco")</f>
        <v>Morocco</v>
      </c>
      <c r="M1304" s="27" t="str">
        <f aca="false">IFERROR(__xludf.dummyfunction("""COMPUTED_VALUE"""),"(Diff)")</f>
        <v>(Diff)</v>
      </c>
      <c r="N1304" s="25"/>
      <c r="O1304" s="25"/>
      <c r="P1304" s="25"/>
      <c r="Q1304" s="29" t="s">
        <v>395</v>
      </c>
      <c r="R1304" s="8" t="str">
        <f aca="false">B1304&amp;" "&amp;C1304&amp;" "&amp;D1304&amp;" "&amp;E1304&amp;" "&amp;G1304&amp;" "&amp;H1304&amp;" "&amp;J1304&amp;" "&amp;N1304</f>
        <v>Differentials Precursor     CIF Morocco (Diff) </v>
      </c>
      <c r="S1304" s="25"/>
      <c r="T1304" s="8"/>
      <c r="U1304" s="37" t="s">
        <v>1694</v>
      </c>
      <c r="V1304" s="37"/>
      <c r="W1304" s="25"/>
      <c r="X1304" s="25"/>
      <c r="Y1304" s="25"/>
      <c r="Z1304" s="25"/>
      <c r="AA1304" s="25"/>
      <c r="AB1304" s="25"/>
      <c r="AC1304" s="25"/>
      <c r="AD1304" s="25"/>
    </row>
    <row r="1305" customFormat="false" ht="15.75" hidden="false" customHeight="false" outlineLevel="0" collapsed="false">
      <c r="A1305" s="28" t="s">
        <v>1695</v>
      </c>
      <c r="B1305" s="27" t="s">
        <v>438</v>
      </c>
      <c r="C1305" s="27" t="s">
        <v>383</v>
      </c>
      <c r="D1305" s="25"/>
      <c r="E1305" s="25"/>
      <c r="F1305" s="25"/>
      <c r="G1305" s="25"/>
      <c r="H1305" s="25"/>
      <c r="I1305" s="25"/>
      <c r="J1305" s="27" t="s">
        <v>1607</v>
      </c>
      <c r="K1305" s="25" t="str">
        <f aca="false">IFERROR(__xludf.dummyfunction("SPLIT(J1305,"" "")"),"CIF")</f>
        <v>CIF</v>
      </c>
      <c r="L1305" s="28" t="str">
        <f aca="false">IFERROR(__xludf.dummyfunction("""COMPUTED_VALUE"""),"Morocco")</f>
        <v>Morocco</v>
      </c>
      <c r="M1305" s="27" t="str">
        <f aca="false">IFERROR(__xludf.dummyfunction("""COMPUTED_VALUE"""),"(Diff)")</f>
        <v>(Diff)</v>
      </c>
      <c r="N1305" s="25"/>
      <c r="O1305" s="25"/>
      <c r="P1305" s="25"/>
      <c r="Q1305" s="29" t="s">
        <v>393</v>
      </c>
      <c r="R1305" s="8" t="str">
        <f aca="false">B1305&amp;" "&amp;C1305&amp;" "&amp;D1305&amp;" "&amp;E1305&amp;" "&amp;G1305&amp;" "&amp;H1305&amp;" "&amp;J1305&amp;" "&amp;N1305</f>
        <v>Differentials Precursor     CIF Morocco (Diff) </v>
      </c>
      <c r="S1305" s="25"/>
      <c r="T1305" s="8"/>
      <c r="U1305" s="37" t="s">
        <v>1696</v>
      </c>
      <c r="V1305" s="37"/>
      <c r="W1305" s="25"/>
      <c r="X1305" s="25"/>
      <c r="Y1305" s="25"/>
      <c r="Z1305" s="25"/>
      <c r="AA1305" s="25"/>
      <c r="AB1305" s="25"/>
      <c r="AC1305" s="25"/>
      <c r="AD1305" s="25"/>
    </row>
    <row r="1306" customFormat="false" ht="15.75" hidden="false" customHeight="false" outlineLevel="0" collapsed="false">
      <c r="A1306" s="28" t="s">
        <v>1697</v>
      </c>
      <c r="B1306" s="27" t="s">
        <v>438</v>
      </c>
      <c r="C1306" s="27" t="s">
        <v>383</v>
      </c>
      <c r="D1306" s="25"/>
      <c r="E1306" s="25"/>
      <c r="F1306" s="25"/>
      <c r="G1306" s="25"/>
      <c r="H1306" s="25"/>
      <c r="I1306" s="25"/>
      <c r="J1306" s="27" t="s">
        <v>1607</v>
      </c>
      <c r="K1306" s="25" t="str">
        <f aca="false">IFERROR(__xludf.dummyfunction("SPLIT(J1306,"" "")"),"CIF")</f>
        <v>CIF</v>
      </c>
      <c r="L1306" s="28" t="str">
        <f aca="false">IFERROR(__xludf.dummyfunction("""COMPUTED_VALUE"""),"Morocco")</f>
        <v>Morocco</v>
      </c>
      <c r="M1306" s="27" t="str">
        <f aca="false">IFERROR(__xludf.dummyfunction("""COMPUTED_VALUE"""),"(Diff)")</f>
        <v>(Diff)</v>
      </c>
      <c r="N1306" s="25"/>
      <c r="O1306" s="25"/>
      <c r="P1306" s="25"/>
      <c r="Q1306" s="29" t="s">
        <v>391</v>
      </c>
      <c r="R1306" s="8" t="str">
        <f aca="false">B1306&amp;" "&amp;C1306&amp;" "&amp;D1306&amp;" "&amp;E1306&amp;" "&amp;G1306&amp;" "&amp;H1306&amp;" "&amp;J1306&amp;" "&amp;N1306</f>
        <v>Differentials Precursor     CIF Morocco (Diff) </v>
      </c>
      <c r="S1306" s="25"/>
      <c r="T1306" s="8"/>
      <c r="U1306" s="37" t="s">
        <v>1698</v>
      </c>
      <c r="V1306" s="37"/>
      <c r="W1306" s="25"/>
      <c r="X1306" s="25"/>
      <c r="Y1306" s="25"/>
      <c r="Z1306" s="25"/>
      <c r="AA1306" s="25"/>
      <c r="AB1306" s="25"/>
      <c r="AC1306" s="25"/>
      <c r="AD1306" s="25"/>
    </row>
    <row r="1307" customFormat="false" ht="15.75" hidden="false" customHeight="false" outlineLevel="0" collapsed="false">
      <c r="A1307" s="28" t="s">
        <v>1699</v>
      </c>
      <c r="B1307" s="27" t="s">
        <v>438</v>
      </c>
      <c r="C1307" s="27" t="s">
        <v>383</v>
      </c>
      <c r="D1307" s="25"/>
      <c r="E1307" s="25"/>
      <c r="F1307" s="25"/>
      <c r="G1307" s="25"/>
      <c r="H1307" s="25"/>
      <c r="I1307" s="25"/>
      <c r="J1307" s="27" t="s">
        <v>1607</v>
      </c>
      <c r="K1307" s="25" t="str">
        <f aca="false">IFERROR(__xludf.dummyfunction("SPLIT(J1307,"" "")"),"CIF")</f>
        <v>CIF</v>
      </c>
      <c r="L1307" s="28" t="str">
        <f aca="false">IFERROR(__xludf.dummyfunction("""COMPUTED_VALUE"""),"Morocco")</f>
        <v>Morocco</v>
      </c>
      <c r="M1307" s="27" t="str">
        <f aca="false">IFERROR(__xludf.dummyfunction("""COMPUTED_VALUE"""),"(Diff)")</f>
        <v>(Diff)</v>
      </c>
      <c r="N1307" s="25"/>
      <c r="O1307" s="25"/>
      <c r="P1307" s="25"/>
      <c r="Q1307" s="29" t="s">
        <v>389</v>
      </c>
      <c r="R1307" s="8" t="str">
        <f aca="false">B1307&amp;" "&amp;C1307&amp;" "&amp;D1307&amp;" "&amp;E1307&amp;" "&amp;G1307&amp;" "&amp;H1307&amp;" "&amp;J1307&amp;" "&amp;N1307</f>
        <v>Differentials Precursor     CIF Morocco (Diff) </v>
      </c>
      <c r="S1307" s="25"/>
      <c r="T1307" s="8"/>
      <c r="U1307" s="37" t="s">
        <v>1700</v>
      </c>
      <c r="V1307" s="37"/>
      <c r="W1307" s="25"/>
      <c r="X1307" s="25"/>
      <c r="Y1307" s="25"/>
      <c r="Z1307" s="25"/>
      <c r="AA1307" s="25"/>
      <c r="AB1307" s="25"/>
      <c r="AC1307" s="25"/>
      <c r="AD1307" s="25"/>
    </row>
    <row r="1308" customFormat="false" ht="15.75" hidden="false" customHeight="false" outlineLevel="0" collapsed="false">
      <c r="A1308" s="28" t="s">
        <v>1701</v>
      </c>
      <c r="B1308" s="27" t="s">
        <v>438</v>
      </c>
      <c r="C1308" s="27" t="s">
        <v>383</v>
      </c>
      <c r="D1308" s="25"/>
      <c r="E1308" s="25"/>
      <c r="F1308" s="25"/>
      <c r="G1308" s="25"/>
      <c r="H1308" s="25"/>
      <c r="I1308" s="25"/>
      <c r="J1308" s="27" t="s">
        <v>1607</v>
      </c>
      <c r="K1308" s="25" t="str">
        <f aca="false">IFERROR(__xludf.dummyfunction("SPLIT(J1308,"" "")"),"CIF")</f>
        <v>CIF</v>
      </c>
      <c r="L1308" s="28" t="str">
        <f aca="false">IFERROR(__xludf.dummyfunction("""COMPUTED_VALUE"""),"Morocco")</f>
        <v>Morocco</v>
      </c>
      <c r="M1308" s="27" t="str">
        <f aca="false">IFERROR(__xludf.dummyfunction("""COMPUTED_VALUE"""),"(Diff)")</f>
        <v>(Diff)</v>
      </c>
      <c r="N1308" s="25"/>
      <c r="O1308" s="25"/>
      <c r="P1308" s="25"/>
      <c r="Q1308" s="29" t="s">
        <v>387</v>
      </c>
      <c r="R1308" s="8" t="str">
        <f aca="false">B1308&amp;" "&amp;C1308&amp;" "&amp;D1308&amp;" "&amp;E1308&amp;" "&amp;G1308&amp;" "&amp;H1308&amp;" "&amp;J1308&amp;" "&amp;N1308</f>
        <v>Differentials Precursor     CIF Morocco (Diff) </v>
      </c>
      <c r="S1308" s="25"/>
      <c r="T1308" s="8"/>
      <c r="U1308" s="37" t="s">
        <v>1702</v>
      </c>
      <c r="V1308" s="37"/>
      <c r="W1308" s="25"/>
      <c r="X1308" s="25"/>
      <c r="Y1308" s="25"/>
      <c r="Z1308" s="25"/>
      <c r="AA1308" s="25"/>
      <c r="AB1308" s="25"/>
      <c r="AC1308" s="25"/>
      <c r="AD1308" s="25"/>
    </row>
    <row r="1309" customFormat="false" ht="15.75" hidden="false" customHeight="false" outlineLevel="0" collapsed="false">
      <c r="A1309" s="28" t="s">
        <v>1703</v>
      </c>
      <c r="B1309" s="27" t="s">
        <v>438</v>
      </c>
      <c r="C1309" s="27" t="s">
        <v>383</v>
      </c>
      <c r="D1309" s="25"/>
      <c r="E1309" s="25"/>
      <c r="F1309" s="25"/>
      <c r="G1309" s="25"/>
      <c r="H1309" s="25"/>
      <c r="I1309" s="25"/>
      <c r="J1309" s="27" t="s">
        <v>1607</v>
      </c>
      <c r="K1309" s="25" t="str">
        <f aca="false">IFERROR(__xludf.dummyfunction("SPLIT(J1309,"" "")"),"CIF")</f>
        <v>CIF</v>
      </c>
      <c r="L1309" s="28" t="str">
        <f aca="false">IFERROR(__xludf.dummyfunction("""COMPUTED_VALUE"""),"Morocco")</f>
        <v>Morocco</v>
      </c>
      <c r="M1309" s="27" t="str">
        <f aca="false">IFERROR(__xludf.dummyfunction("""COMPUTED_VALUE"""),"(Diff)")</f>
        <v>(Diff)</v>
      </c>
      <c r="N1309" s="25"/>
      <c r="O1309" s="25"/>
      <c r="P1309" s="25"/>
      <c r="Q1309" s="29" t="s">
        <v>385</v>
      </c>
      <c r="R1309" s="8" t="str">
        <f aca="false">B1309&amp;" "&amp;C1309&amp;" "&amp;D1309&amp;" "&amp;E1309&amp;" "&amp;G1309&amp;" "&amp;H1309&amp;" "&amp;J1309&amp;" "&amp;N1309</f>
        <v>Differentials Precursor     CIF Morocco (Diff) </v>
      </c>
      <c r="S1309" s="25"/>
      <c r="T1309" s="8"/>
      <c r="U1309" s="37" t="s">
        <v>1704</v>
      </c>
      <c r="V1309" s="37"/>
      <c r="W1309" s="25"/>
      <c r="X1309" s="25"/>
      <c r="Y1309" s="25"/>
      <c r="Z1309" s="25"/>
      <c r="AA1309" s="25"/>
      <c r="AB1309" s="25"/>
      <c r="AC1309" s="25"/>
      <c r="AD1309" s="25"/>
    </row>
    <row r="1310" customFormat="false" ht="15.75" hidden="false" customHeight="false" outlineLevel="0" collapsed="false">
      <c r="A1310" s="28" t="s">
        <v>1705</v>
      </c>
      <c r="B1310" s="27" t="s">
        <v>438</v>
      </c>
      <c r="C1310" s="27" t="s">
        <v>417</v>
      </c>
      <c r="D1310" s="25"/>
      <c r="E1310" s="25"/>
      <c r="F1310" s="25"/>
      <c r="G1310" s="25"/>
      <c r="H1310" s="25"/>
      <c r="I1310" s="25"/>
      <c r="J1310" s="27" t="s">
        <v>1607</v>
      </c>
      <c r="K1310" s="25" t="str">
        <f aca="false">IFERROR(__xludf.dummyfunction("SPLIT(J1310,"" "")"),"CIF")</f>
        <v>CIF</v>
      </c>
      <c r="L1310" s="28" t="str">
        <f aca="false">IFERROR(__xludf.dummyfunction("""COMPUTED_VALUE"""),"Morocco")</f>
        <v>Morocco</v>
      </c>
      <c r="M1310" s="27" t="str">
        <f aca="false">IFERROR(__xludf.dummyfunction("""COMPUTED_VALUE"""),"(Diff)")</f>
        <v>(Diff)</v>
      </c>
      <c r="N1310" s="25"/>
      <c r="O1310" s="25"/>
      <c r="P1310" s="25"/>
      <c r="Q1310" s="29" t="s">
        <v>436</v>
      </c>
      <c r="R1310" s="8" t="str">
        <f aca="false">B1310&amp;" "&amp;C1310&amp;" "&amp;D1310&amp;" "&amp;E1310&amp;" "&amp;G1310&amp;" "&amp;H1310&amp;" "&amp;J1310&amp;" "&amp;N1310</f>
        <v>Differentials Solvent     CIF Morocco (Diff) </v>
      </c>
      <c r="S1310" s="25"/>
      <c r="T1310" s="8"/>
      <c r="U1310" s="8"/>
      <c r="V1310" s="25"/>
      <c r="W1310" s="25"/>
      <c r="X1310" s="25"/>
      <c r="Y1310" s="25"/>
      <c r="Z1310" s="25"/>
      <c r="AA1310" s="25"/>
      <c r="AB1310" s="25"/>
      <c r="AC1310" s="25"/>
      <c r="AD1310" s="25"/>
    </row>
    <row r="1311" customFormat="false" ht="15.75" hidden="false" customHeight="false" outlineLevel="0" collapsed="false">
      <c r="A1311" s="28" t="s">
        <v>1706</v>
      </c>
      <c r="B1311" s="27" t="s">
        <v>438</v>
      </c>
      <c r="C1311" s="27" t="s">
        <v>417</v>
      </c>
      <c r="D1311" s="25"/>
      <c r="E1311" s="25"/>
      <c r="F1311" s="25"/>
      <c r="G1311" s="25"/>
      <c r="H1311" s="25"/>
      <c r="I1311" s="25"/>
      <c r="J1311" s="27" t="s">
        <v>1607</v>
      </c>
      <c r="K1311" s="25" t="str">
        <f aca="false">IFERROR(__xludf.dummyfunction("SPLIT(J1311,"" "")"),"CIF")</f>
        <v>CIF</v>
      </c>
      <c r="L1311" s="28" t="str">
        <f aca="false">IFERROR(__xludf.dummyfunction("""COMPUTED_VALUE"""),"Morocco")</f>
        <v>Morocco</v>
      </c>
      <c r="M1311" s="27" t="str">
        <f aca="false">IFERROR(__xludf.dummyfunction("""COMPUTED_VALUE"""),"(Diff)")</f>
        <v>(Diff)</v>
      </c>
      <c r="N1311" s="25"/>
      <c r="O1311" s="25"/>
      <c r="P1311" s="25"/>
      <c r="Q1311" s="29" t="s">
        <v>434</v>
      </c>
      <c r="R1311" s="8" t="str">
        <f aca="false">B1311&amp;" "&amp;C1311&amp;" "&amp;D1311&amp;" "&amp;E1311&amp;" "&amp;G1311&amp;" "&amp;H1311&amp;" "&amp;J1311&amp;" "&amp;N1311</f>
        <v>Differentials Solvent     CIF Morocco (Diff) </v>
      </c>
      <c r="S1311" s="25"/>
      <c r="T1311" s="8"/>
      <c r="U1311" s="8"/>
      <c r="V1311" s="25"/>
      <c r="W1311" s="25"/>
      <c r="X1311" s="25"/>
      <c r="Y1311" s="25"/>
      <c r="Z1311" s="25"/>
      <c r="AA1311" s="25"/>
      <c r="AB1311" s="25"/>
      <c r="AC1311" s="25"/>
      <c r="AD1311" s="25"/>
    </row>
    <row r="1312" customFormat="false" ht="15.75" hidden="false" customHeight="false" outlineLevel="0" collapsed="false">
      <c r="A1312" s="28" t="s">
        <v>1707</v>
      </c>
      <c r="B1312" s="27" t="s">
        <v>438</v>
      </c>
      <c r="C1312" s="27" t="s">
        <v>417</v>
      </c>
      <c r="D1312" s="25"/>
      <c r="E1312" s="25"/>
      <c r="F1312" s="25"/>
      <c r="G1312" s="25"/>
      <c r="H1312" s="25"/>
      <c r="I1312" s="25"/>
      <c r="J1312" s="27" t="s">
        <v>1607</v>
      </c>
      <c r="K1312" s="25" t="str">
        <f aca="false">IFERROR(__xludf.dummyfunction("SPLIT(J1312,"" "")"),"CIF")</f>
        <v>CIF</v>
      </c>
      <c r="L1312" s="28" t="str">
        <f aca="false">IFERROR(__xludf.dummyfunction("""COMPUTED_VALUE"""),"Morocco")</f>
        <v>Morocco</v>
      </c>
      <c r="M1312" s="27" t="str">
        <f aca="false">IFERROR(__xludf.dummyfunction("""COMPUTED_VALUE"""),"(Diff)")</f>
        <v>(Diff)</v>
      </c>
      <c r="N1312" s="25"/>
      <c r="O1312" s="25"/>
      <c r="P1312" s="25"/>
      <c r="Q1312" s="29" t="s">
        <v>432</v>
      </c>
      <c r="R1312" s="8" t="str">
        <f aca="false">B1312&amp;" "&amp;C1312&amp;" "&amp;D1312&amp;" "&amp;E1312&amp;" "&amp;G1312&amp;" "&amp;H1312&amp;" "&amp;J1312&amp;" "&amp;N1312</f>
        <v>Differentials Solvent     CIF Morocco (Diff) </v>
      </c>
      <c r="S1312" s="25"/>
      <c r="T1312" s="8"/>
      <c r="U1312" s="8"/>
      <c r="V1312" s="25"/>
      <c r="W1312" s="25"/>
      <c r="X1312" s="25"/>
      <c r="Y1312" s="25"/>
      <c r="Z1312" s="25"/>
      <c r="AA1312" s="25"/>
      <c r="AB1312" s="25"/>
      <c r="AC1312" s="25"/>
      <c r="AD1312" s="25"/>
    </row>
    <row r="1313" customFormat="false" ht="15.75" hidden="false" customHeight="false" outlineLevel="0" collapsed="false">
      <c r="A1313" s="28" t="s">
        <v>1708</v>
      </c>
      <c r="B1313" s="27" t="s">
        <v>438</v>
      </c>
      <c r="C1313" s="27" t="s">
        <v>417</v>
      </c>
      <c r="D1313" s="25"/>
      <c r="E1313" s="25"/>
      <c r="F1313" s="25"/>
      <c r="G1313" s="25"/>
      <c r="H1313" s="25"/>
      <c r="I1313" s="25"/>
      <c r="J1313" s="27" t="s">
        <v>1607</v>
      </c>
      <c r="K1313" s="25" t="str">
        <f aca="false">IFERROR(__xludf.dummyfunction("SPLIT(J1313,"" "")"),"CIF")</f>
        <v>CIF</v>
      </c>
      <c r="L1313" s="28" t="str">
        <f aca="false">IFERROR(__xludf.dummyfunction("""COMPUTED_VALUE"""),"Morocco")</f>
        <v>Morocco</v>
      </c>
      <c r="M1313" s="27" t="str">
        <f aca="false">IFERROR(__xludf.dummyfunction("""COMPUTED_VALUE"""),"(Diff)")</f>
        <v>(Diff)</v>
      </c>
      <c r="N1313" s="25"/>
      <c r="O1313" s="25"/>
      <c r="P1313" s="25"/>
      <c r="Q1313" s="29" t="s">
        <v>430</v>
      </c>
      <c r="R1313" s="8" t="str">
        <f aca="false">B1313&amp;" "&amp;C1313&amp;" "&amp;D1313&amp;" "&amp;E1313&amp;" "&amp;G1313&amp;" "&amp;H1313&amp;" "&amp;J1313&amp;" "&amp;N1313</f>
        <v>Differentials Solvent     CIF Morocco (Diff) </v>
      </c>
      <c r="S1313" s="25"/>
      <c r="T1313" s="8"/>
      <c r="U1313" s="8"/>
      <c r="V1313" s="25"/>
      <c r="W1313" s="25"/>
      <c r="X1313" s="25"/>
      <c r="Y1313" s="25"/>
      <c r="Z1313" s="25"/>
      <c r="AA1313" s="25"/>
      <c r="AB1313" s="25"/>
      <c r="AC1313" s="25"/>
      <c r="AD1313" s="25"/>
    </row>
    <row r="1314" customFormat="false" ht="15.75" hidden="false" customHeight="false" outlineLevel="0" collapsed="false">
      <c r="A1314" s="28" t="s">
        <v>1709</v>
      </c>
      <c r="B1314" s="27" t="s">
        <v>438</v>
      </c>
      <c r="C1314" s="27" t="s">
        <v>417</v>
      </c>
      <c r="D1314" s="25"/>
      <c r="E1314" s="25"/>
      <c r="F1314" s="25"/>
      <c r="G1314" s="25"/>
      <c r="H1314" s="25"/>
      <c r="I1314" s="25"/>
      <c r="J1314" s="27" t="s">
        <v>1607</v>
      </c>
      <c r="K1314" s="25" t="str">
        <f aca="false">IFERROR(__xludf.dummyfunction("SPLIT(J1314,"" "")"),"CIF")</f>
        <v>CIF</v>
      </c>
      <c r="L1314" s="28" t="str">
        <f aca="false">IFERROR(__xludf.dummyfunction("""COMPUTED_VALUE"""),"Morocco")</f>
        <v>Morocco</v>
      </c>
      <c r="M1314" s="27" t="str">
        <f aca="false">IFERROR(__xludf.dummyfunction("""COMPUTED_VALUE"""),"(Diff)")</f>
        <v>(Diff)</v>
      </c>
      <c r="N1314" s="25"/>
      <c r="O1314" s="25"/>
      <c r="P1314" s="25"/>
      <c r="Q1314" s="29" t="s">
        <v>428</v>
      </c>
      <c r="R1314" s="8" t="str">
        <f aca="false">B1314&amp;" "&amp;C1314&amp;" "&amp;D1314&amp;" "&amp;E1314&amp;" "&amp;G1314&amp;" "&amp;H1314&amp;" "&amp;J1314&amp;" "&amp;N1314</f>
        <v>Differentials Solvent     CIF Morocco (Diff) </v>
      </c>
      <c r="S1314" s="25"/>
      <c r="T1314" s="8"/>
      <c r="U1314" s="8"/>
      <c r="V1314" s="25"/>
      <c r="W1314" s="25"/>
      <c r="X1314" s="25"/>
      <c r="Y1314" s="25"/>
      <c r="Z1314" s="25"/>
      <c r="AA1314" s="25"/>
      <c r="AB1314" s="25"/>
      <c r="AC1314" s="25"/>
      <c r="AD1314" s="25"/>
    </row>
    <row r="1315" customFormat="false" ht="15.75" hidden="false" customHeight="false" outlineLevel="0" collapsed="false">
      <c r="A1315" s="28" t="s">
        <v>1710</v>
      </c>
      <c r="B1315" s="27" t="s">
        <v>438</v>
      </c>
      <c r="C1315" s="27" t="s">
        <v>417</v>
      </c>
      <c r="D1315" s="25"/>
      <c r="E1315" s="25"/>
      <c r="F1315" s="25"/>
      <c r="G1315" s="25"/>
      <c r="H1315" s="25"/>
      <c r="I1315" s="25"/>
      <c r="J1315" s="27" t="s">
        <v>1607</v>
      </c>
      <c r="K1315" s="25" t="str">
        <f aca="false">IFERROR(__xludf.dummyfunction("SPLIT(J1315,"" "")"),"CIF")</f>
        <v>CIF</v>
      </c>
      <c r="L1315" s="28" t="str">
        <f aca="false">IFERROR(__xludf.dummyfunction("""COMPUTED_VALUE"""),"Morocco")</f>
        <v>Morocco</v>
      </c>
      <c r="M1315" s="27" t="str">
        <f aca="false">IFERROR(__xludf.dummyfunction("""COMPUTED_VALUE"""),"(Diff)")</f>
        <v>(Diff)</v>
      </c>
      <c r="N1315" s="25"/>
      <c r="O1315" s="25"/>
      <c r="P1315" s="25"/>
      <c r="Q1315" s="29" t="s">
        <v>426</v>
      </c>
      <c r="R1315" s="8" t="str">
        <f aca="false">B1315&amp;" "&amp;C1315&amp;" "&amp;D1315&amp;" "&amp;E1315&amp;" "&amp;G1315&amp;" "&amp;H1315&amp;" "&amp;J1315&amp;" "&amp;N1315</f>
        <v>Differentials Solvent     CIF Morocco (Diff) </v>
      </c>
      <c r="S1315" s="25"/>
      <c r="T1315" s="8"/>
      <c r="U1315" s="8"/>
      <c r="V1315" s="25"/>
      <c r="W1315" s="25"/>
      <c r="X1315" s="25"/>
      <c r="Y1315" s="25"/>
      <c r="Z1315" s="25"/>
      <c r="AA1315" s="25"/>
      <c r="AB1315" s="25"/>
      <c r="AC1315" s="25"/>
      <c r="AD1315" s="25"/>
    </row>
    <row r="1316" customFormat="false" ht="15.75" hidden="false" customHeight="false" outlineLevel="0" collapsed="false">
      <c r="A1316" s="28" t="s">
        <v>1711</v>
      </c>
      <c r="B1316" s="27" t="s">
        <v>438</v>
      </c>
      <c r="C1316" s="27" t="s">
        <v>417</v>
      </c>
      <c r="D1316" s="25"/>
      <c r="E1316" s="25"/>
      <c r="F1316" s="25"/>
      <c r="G1316" s="25"/>
      <c r="H1316" s="25"/>
      <c r="I1316" s="25"/>
      <c r="J1316" s="27" t="s">
        <v>1607</v>
      </c>
      <c r="K1316" s="25" t="str">
        <f aca="false">IFERROR(__xludf.dummyfunction("SPLIT(J1316,"" "")"),"CIF")</f>
        <v>CIF</v>
      </c>
      <c r="L1316" s="28" t="str">
        <f aca="false">IFERROR(__xludf.dummyfunction("""COMPUTED_VALUE"""),"Morocco")</f>
        <v>Morocco</v>
      </c>
      <c r="M1316" s="27" t="str">
        <f aca="false">IFERROR(__xludf.dummyfunction("""COMPUTED_VALUE"""),"(Diff)")</f>
        <v>(Diff)</v>
      </c>
      <c r="N1316" s="25"/>
      <c r="O1316" s="25"/>
      <c r="P1316" s="25"/>
      <c r="Q1316" s="29" t="s">
        <v>424</v>
      </c>
      <c r="R1316" s="8" t="str">
        <f aca="false">B1316&amp;" "&amp;C1316&amp;" "&amp;D1316&amp;" "&amp;E1316&amp;" "&amp;G1316&amp;" "&amp;H1316&amp;" "&amp;J1316&amp;" "&amp;N1316</f>
        <v>Differentials Solvent     CIF Morocco (Diff) </v>
      </c>
      <c r="S1316" s="25"/>
      <c r="T1316" s="8"/>
      <c r="U1316" s="8"/>
      <c r="V1316" s="25"/>
      <c r="W1316" s="25"/>
      <c r="X1316" s="25"/>
      <c r="Y1316" s="25"/>
      <c r="Z1316" s="25"/>
      <c r="AA1316" s="25"/>
      <c r="AB1316" s="25"/>
      <c r="AC1316" s="25"/>
      <c r="AD1316" s="25"/>
    </row>
    <row r="1317" customFormat="false" ht="15.75" hidden="false" customHeight="false" outlineLevel="0" collapsed="false">
      <c r="A1317" s="28" t="s">
        <v>1712</v>
      </c>
      <c r="B1317" s="27" t="s">
        <v>438</v>
      </c>
      <c r="C1317" s="27" t="s">
        <v>417</v>
      </c>
      <c r="D1317" s="25"/>
      <c r="E1317" s="25"/>
      <c r="F1317" s="25"/>
      <c r="G1317" s="25"/>
      <c r="H1317" s="25"/>
      <c r="I1317" s="25"/>
      <c r="J1317" s="27" t="s">
        <v>1607</v>
      </c>
      <c r="K1317" s="25" t="str">
        <f aca="false">IFERROR(__xludf.dummyfunction("SPLIT(J1317,"" "")"),"CIF")</f>
        <v>CIF</v>
      </c>
      <c r="L1317" s="28" t="str">
        <f aca="false">IFERROR(__xludf.dummyfunction("""COMPUTED_VALUE"""),"Morocco")</f>
        <v>Morocco</v>
      </c>
      <c r="M1317" s="27" t="str">
        <f aca="false">IFERROR(__xludf.dummyfunction("""COMPUTED_VALUE"""),"(Diff)")</f>
        <v>(Diff)</v>
      </c>
      <c r="N1317" s="25"/>
      <c r="O1317" s="25"/>
      <c r="P1317" s="25"/>
      <c r="Q1317" s="29" t="s">
        <v>422</v>
      </c>
      <c r="R1317" s="8" t="str">
        <f aca="false">B1317&amp;" "&amp;C1317&amp;" "&amp;D1317&amp;" "&amp;E1317&amp;" "&amp;G1317&amp;" "&amp;H1317&amp;" "&amp;J1317&amp;" "&amp;N1317</f>
        <v>Differentials Solvent     CIF Morocco (Diff) </v>
      </c>
      <c r="S1317" s="25"/>
      <c r="T1317" s="8"/>
      <c r="U1317" s="8"/>
      <c r="V1317" s="25"/>
      <c r="W1317" s="25"/>
      <c r="X1317" s="25"/>
      <c r="Y1317" s="25"/>
      <c r="Z1317" s="25"/>
      <c r="AA1317" s="25"/>
      <c r="AB1317" s="25"/>
      <c r="AC1317" s="25"/>
      <c r="AD1317" s="25"/>
    </row>
    <row r="1318" customFormat="false" ht="15.75" hidden="false" customHeight="false" outlineLevel="0" collapsed="false">
      <c r="A1318" s="28" t="s">
        <v>1713</v>
      </c>
      <c r="B1318" s="27" t="s">
        <v>438</v>
      </c>
      <c r="C1318" s="27" t="s">
        <v>417</v>
      </c>
      <c r="D1318" s="25"/>
      <c r="E1318" s="25"/>
      <c r="F1318" s="25"/>
      <c r="G1318" s="25"/>
      <c r="H1318" s="25"/>
      <c r="I1318" s="25"/>
      <c r="J1318" s="27" t="s">
        <v>1607</v>
      </c>
      <c r="K1318" s="25" t="str">
        <f aca="false">IFERROR(__xludf.dummyfunction("SPLIT(J1318,"" "")"),"CIF")</f>
        <v>CIF</v>
      </c>
      <c r="L1318" s="28" t="str">
        <f aca="false">IFERROR(__xludf.dummyfunction("""COMPUTED_VALUE"""),"Morocco")</f>
        <v>Morocco</v>
      </c>
      <c r="M1318" s="27" t="str">
        <f aca="false">IFERROR(__xludf.dummyfunction("""COMPUTED_VALUE"""),"(Diff)")</f>
        <v>(Diff)</v>
      </c>
      <c r="N1318" s="25"/>
      <c r="O1318" s="25"/>
      <c r="P1318" s="25"/>
      <c r="Q1318" s="29" t="s">
        <v>420</v>
      </c>
      <c r="R1318" s="8" t="str">
        <f aca="false">B1318&amp;" "&amp;C1318&amp;" "&amp;D1318&amp;" "&amp;E1318&amp;" "&amp;G1318&amp;" "&amp;H1318&amp;" "&amp;J1318&amp;" "&amp;N1318</f>
        <v>Differentials Solvent     CIF Morocco (Diff) </v>
      </c>
      <c r="S1318" s="25"/>
      <c r="T1318" s="8"/>
      <c r="U1318" s="8"/>
      <c r="V1318" s="25"/>
      <c r="W1318" s="25"/>
      <c r="X1318" s="25"/>
      <c r="Y1318" s="25"/>
      <c r="Z1318" s="25"/>
      <c r="AA1318" s="25"/>
      <c r="AB1318" s="25"/>
      <c r="AC1318" s="25"/>
      <c r="AD1318" s="25"/>
    </row>
    <row r="1319" customFormat="false" ht="15.75" hidden="false" customHeight="false" outlineLevel="0" collapsed="false">
      <c r="A1319" s="28" t="s">
        <v>1714</v>
      </c>
      <c r="B1319" s="27" t="s">
        <v>438</v>
      </c>
      <c r="C1319" s="27" t="s">
        <v>417</v>
      </c>
      <c r="D1319" s="25"/>
      <c r="E1319" s="25"/>
      <c r="F1319" s="25"/>
      <c r="G1319" s="25"/>
      <c r="H1319" s="25"/>
      <c r="I1319" s="25"/>
      <c r="J1319" s="27" t="s">
        <v>1607</v>
      </c>
      <c r="K1319" s="25" t="str">
        <f aca="false">IFERROR(__xludf.dummyfunction("SPLIT(J1319,"" "")"),"CIF")</f>
        <v>CIF</v>
      </c>
      <c r="L1319" s="28" t="str">
        <f aca="false">IFERROR(__xludf.dummyfunction("""COMPUTED_VALUE"""),"Morocco")</f>
        <v>Morocco</v>
      </c>
      <c r="M1319" s="27" t="str">
        <f aca="false">IFERROR(__xludf.dummyfunction("""COMPUTED_VALUE"""),"(Diff)")</f>
        <v>(Diff)</v>
      </c>
      <c r="N1319" s="25"/>
      <c r="O1319" s="25"/>
      <c r="P1319" s="25"/>
      <c r="Q1319" s="29" t="s">
        <v>418</v>
      </c>
      <c r="R1319" s="8" t="str">
        <f aca="false">B1319&amp;" "&amp;C1319&amp;" "&amp;D1319&amp;" "&amp;E1319&amp;" "&amp;G1319&amp;" "&amp;H1319&amp;" "&amp;J1319&amp;" "&amp;N1319</f>
        <v>Differentials Solvent     CIF Morocco (Diff) </v>
      </c>
      <c r="S1319" s="25"/>
      <c r="T1319" s="8"/>
      <c r="U1319" s="8"/>
      <c r="V1319" s="25"/>
      <c r="W1319" s="25"/>
      <c r="X1319" s="25"/>
      <c r="Y1319" s="25"/>
      <c r="Z1319" s="25"/>
      <c r="AA1319" s="25"/>
      <c r="AB1319" s="25"/>
      <c r="AC1319" s="25"/>
      <c r="AD1319" s="25"/>
    </row>
    <row r="1320" customFormat="false" ht="15.75" hidden="false" customHeight="false" outlineLevel="0" collapsed="false">
      <c r="A1320" s="28" t="s">
        <v>1715</v>
      </c>
      <c r="B1320" s="27" t="s">
        <v>438</v>
      </c>
      <c r="C1320" s="27" t="s">
        <v>408</v>
      </c>
      <c r="D1320" s="25"/>
      <c r="E1320" s="25"/>
      <c r="F1320" s="25"/>
      <c r="G1320" s="25"/>
      <c r="H1320" s="25"/>
      <c r="I1320" s="25"/>
      <c r="J1320" s="27" t="s">
        <v>1716</v>
      </c>
      <c r="K1320" s="25" t="str">
        <f aca="false">IFERROR(__xludf.dummyfunction("SPLIT(J1320,"" "")"),"CIF")</f>
        <v>CIF</v>
      </c>
      <c r="L1320" s="28" t="str">
        <f aca="false">IFERROR(__xludf.dummyfunction("""COMPUTED_VALUE"""),"North")</f>
        <v>North</v>
      </c>
      <c r="M1320" s="27" t="str">
        <f aca="false">IFERROR(__xludf.dummyfunction("""COMPUTED_VALUE"""),"America")</f>
        <v>America</v>
      </c>
      <c r="N1320" s="25"/>
      <c r="O1320" s="25"/>
      <c r="P1320" s="25"/>
      <c r="Q1320" s="29" t="s">
        <v>409</v>
      </c>
      <c r="R1320" s="8" t="str">
        <f aca="false">B1320&amp;" "&amp;C1320&amp;" "&amp;D1320&amp;" "&amp;E1320&amp;" "&amp;G1320&amp;" "&amp;H1320&amp;" "&amp;J1320&amp;" "&amp;N1320</f>
        <v>Differentials Rare Earths     CIF North America </v>
      </c>
      <c r="S1320" s="25"/>
      <c r="T1320" s="8"/>
      <c r="U1320" s="8"/>
      <c r="V1320" s="25"/>
      <c r="W1320" s="25"/>
      <c r="X1320" s="25"/>
      <c r="Y1320" s="25"/>
      <c r="Z1320" s="25"/>
      <c r="AA1320" s="25"/>
      <c r="AB1320" s="25"/>
      <c r="AC1320" s="25"/>
      <c r="AD1320" s="25"/>
    </row>
    <row r="1321" customFormat="false" ht="15.75" hidden="false" customHeight="false" outlineLevel="0" collapsed="false">
      <c r="A1321" s="28" t="s">
        <v>1717</v>
      </c>
      <c r="B1321" s="27" t="s">
        <v>438</v>
      </c>
      <c r="C1321" s="27" t="s">
        <v>177</v>
      </c>
      <c r="D1321" s="25"/>
      <c r="E1321" s="25"/>
      <c r="F1321" s="25"/>
      <c r="G1321" s="25"/>
      <c r="H1321" s="25"/>
      <c r="I1321" s="25"/>
      <c r="J1321" s="27" t="s">
        <v>1718</v>
      </c>
      <c r="K1321" s="25" t="str">
        <f aca="false">IFERROR(__xludf.dummyfunction("SPLIT(J1321,"" "")"),"CIF")</f>
        <v>CIF</v>
      </c>
      <c r="L1321" s="28" t="str">
        <f aca="false">IFERROR(__xludf.dummyfunction("""COMPUTED_VALUE"""),"Norway")</f>
        <v>Norway</v>
      </c>
      <c r="M1321" s="27" t="str">
        <f aca="false">IFERROR(__xludf.dummyfunction("""COMPUTED_VALUE"""),"(Diff)")</f>
        <v>(Diff)</v>
      </c>
      <c r="N1321" s="25"/>
      <c r="O1321" s="25"/>
      <c r="P1321" s="25"/>
      <c r="Q1321" s="29" t="s">
        <v>209</v>
      </c>
      <c r="R1321" s="8" t="str">
        <f aca="false">B1321&amp;" "&amp;C1321&amp;" "&amp;D1321&amp;" "&amp;E1321&amp;" "&amp;G1321&amp;" "&amp;H1321&amp;" "&amp;J1321&amp;" "&amp;N1321</f>
        <v>Differentials Anode     CIF Norway (Diff) </v>
      </c>
      <c r="S1321" s="25"/>
      <c r="T1321" s="8"/>
      <c r="U1321" s="8"/>
      <c r="V1321" s="25"/>
      <c r="W1321" s="25"/>
      <c r="X1321" s="25"/>
      <c r="Y1321" s="25"/>
      <c r="Z1321" s="25"/>
      <c r="AA1321" s="25"/>
      <c r="AB1321" s="25"/>
      <c r="AC1321" s="25"/>
      <c r="AD1321" s="25"/>
    </row>
    <row r="1322" customFormat="false" ht="15.75" hidden="false" customHeight="false" outlineLevel="0" collapsed="false">
      <c r="A1322" s="28" t="s">
        <v>1719</v>
      </c>
      <c r="B1322" s="27" t="s">
        <v>438</v>
      </c>
      <c r="C1322" s="27" t="s">
        <v>177</v>
      </c>
      <c r="D1322" s="25"/>
      <c r="E1322" s="25"/>
      <c r="F1322" s="25"/>
      <c r="G1322" s="25"/>
      <c r="H1322" s="25"/>
      <c r="I1322" s="25"/>
      <c r="J1322" s="27" t="s">
        <v>1718</v>
      </c>
      <c r="K1322" s="25" t="str">
        <f aca="false">IFERROR(__xludf.dummyfunction("SPLIT(J1322,"" "")"),"CIF")</f>
        <v>CIF</v>
      </c>
      <c r="L1322" s="28" t="str">
        <f aca="false">IFERROR(__xludf.dummyfunction("""COMPUTED_VALUE"""),"Norway")</f>
        <v>Norway</v>
      </c>
      <c r="M1322" s="27" t="str">
        <f aca="false">IFERROR(__xludf.dummyfunction("""COMPUTED_VALUE"""),"(Diff)")</f>
        <v>(Diff)</v>
      </c>
      <c r="N1322" s="25"/>
      <c r="O1322" s="25"/>
      <c r="P1322" s="25"/>
      <c r="Q1322" s="29" t="s">
        <v>205</v>
      </c>
      <c r="R1322" s="8" t="str">
        <f aca="false">B1322&amp;" "&amp;C1322&amp;" "&amp;D1322&amp;" "&amp;E1322&amp;" "&amp;G1322&amp;" "&amp;H1322&amp;" "&amp;J1322&amp;" "&amp;N1322</f>
        <v>Differentials Anode     CIF Norway (Diff) </v>
      </c>
      <c r="S1322" s="25"/>
      <c r="T1322" s="8"/>
      <c r="U1322" s="8"/>
      <c r="V1322" s="25"/>
      <c r="W1322" s="25"/>
      <c r="X1322" s="25"/>
      <c r="Y1322" s="25"/>
      <c r="Z1322" s="25"/>
      <c r="AA1322" s="25"/>
      <c r="AB1322" s="25"/>
      <c r="AC1322" s="25"/>
      <c r="AD1322" s="25"/>
    </row>
    <row r="1323" customFormat="false" ht="15.75" hidden="false" customHeight="false" outlineLevel="0" collapsed="false">
      <c r="A1323" s="28" t="s">
        <v>1720</v>
      </c>
      <c r="B1323" s="27" t="s">
        <v>438</v>
      </c>
      <c r="C1323" s="27" t="s">
        <v>177</v>
      </c>
      <c r="D1323" s="25"/>
      <c r="E1323" s="25"/>
      <c r="F1323" s="25"/>
      <c r="G1323" s="25"/>
      <c r="H1323" s="25"/>
      <c r="I1323" s="25"/>
      <c r="J1323" s="27" t="s">
        <v>1718</v>
      </c>
      <c r="K1323" s="25" t="str">
        <f aca="false">IFERROR(__xludf.dummyfunction("SPLIT(J1323,"" "")"),"CIF")</f>
        <v>CIF</v>
      </c>
      <c r="L1323" s="28" t="str">
        <f aca="false">IFERROR(__xludf.dummyfunction("""COMPUTED_VALUE"""),"Norway")</f>
        <v>Norway</v>
      </c>
      <c r="M1323" s="27" t="str">
        <f aca="false">IFERROR(__xludf.dummyfunction("""COMPUTED_VALUE"""),"(Diff)")</f>
        <v>(Diff)</v>
      </c>
      <c r="N1323" s="25"/>
      <c r="O1323" s="25"/>
      <c r="P1323" s="25"/>
      <c r="Q1323" s="29" t="s">
        <v>202</v>
      </c>
      <c r="R1323" s="8" t="str">
        <f aca="false">B1323&amp;" "&amp;C1323&amp;" "&amp;D1323&amp;" "&amp;E1323&amp;" "&amp;G1323&amp;" "&amp;H1323&amp;" "&amp;J1323&amp;" "&amp;N1323</f>
        <v>Differentials Anode     CIF Norway (Diff) </v>
      </c>
      <c r="S1323" s="25"/>
      <c r="T1323" s="8"/>
      <c r="U1323" s="8"/>
      <c r="V1323" s="25"/>
      <c r="W1323" s="25"/>
      <c r="X1323" s="25"/>
      <c r="Y1323" s="25"/>
      <c r="Z1323" s="25"/>
      <c r="AA1323" s="25"/>
      <c r="AB1323" s="25"/>
      <c r="AC1323" s="25"/>
      <c r="AD1323" s="25"/>
    </row>
    <row r="1324" customFormat="false" ht="15.75" hidden="false" customHeight="false" outlineLevel="0" collapsed="false">
      <c r="A1324" s="28" t="s">
        <v>1721</v>
      </c>
      <c r="B1324" s="27" t="s">
        <v>438</v>
      </c>
      <c r="C1324" s="27" t="s">
        <v>177</v>
      </c>
      <c r="D1324" s="25"/>
      <c r="E1324" s="25"/>
      <c r="F1324" s="25"/>
      <c r="G1324" s="25"/>
      <c r="H1324" s="25"/>
      <c r="I1324" s="25"/>
      <c r="J1324" s="27" t="s">
        <v>1718</v>
      </c>
      <c r="K1324" s="25" t="str">
        <f aca="false">IFERROR(__xludf.dummyfunction("SPLIT(J1324,"" "")"),"CIF")</f>
        <v>CIF</v>
      </c>
      <c r="L1324" s="28" t="str">
        <f aca="false">IFERROR(__xludf.dummyfunction("""COMPUTED_VALUE"""),"Norway")</f>
        <v>Norway</v>
      </c>
      <c r="M1324" s="27" t="str">
        <f aca="false">IFERROR(__xludf.dummyfunction("""COMPUTED_VALUE"""),"(Diff)")</f>
        <v>(Diff)</v>
      </c>
      <c r="N1324" s="25"/>
      <c r="O1324" s="25"/>
      <c r="P1324" s="25"/>
      <c r="Q1324" s="29" t="s">
        <v>197</v>
      </c>
      <c r="R1324" s="8" t="str">
        <f aca="false">B1324&amp;" "&amp;C1324&amp;" "&amp;D1324&amp;" "&amp;E1324&amp;" "&amp;G1324&amp;" "&amp;H1324&amp;" "&amp;J1324&amp;" "&amp;N1324</f>
        <v>Differentials Anode     CIF Norway (Diff) </v>
      </c>
      <c r="S1324" s="25"/>
      <c r="T1324" s="8"/>
      <c r="U1324" s="8"/>
      <c r="V1324" s="25"/>
      <c r="W1324" s="25"/>
      <c r="X1324" s="25"/>
      <c r="Y1324" s="25"/>
      <c r="Z1324" s="25"/>
      <c r="AA1324" s="25"/>
      <c r="AB1324" s="25"/>
      <c r="AC1324" s="25"/>
      <c r="AD1324" s="25"/>
    </row>
    <row r="1325" customFormat="false" ht="15.75" hidden="false" customHeight="false" outlineLevel="0" collapsed="false">
      <c r="A1325" s="28" t="s">
        <v>1722</v>
      </c>
      <c r="B1325" s="27" t="s">
        <v>438</v>
      </c>
      <c r="C1325" s="27" t="s">
        <v>177</v>
      </c>
      <c r="D1325" s="25"/>
      <c r="E1325" s="25"/>
      <c r="F1325" s="25"/>
      <c r="G1325" s="25"/>
      <c r="H1325" s="25"/>
      <c r="I1325" s="25"/>
      <c r="J1325" s="27" t="s">
        <v>1718</v>
      </c>
      <c r="K1325" s="25" t="str">
        <f aca="false">IFERROR(__xludf.dummyfunction("SPLIT(J1325,"" "")"),"CIF")</f>
        <v>CIF</v>
      </c>
      <c r="L1325" s="28" t="str">
        <f aca="false">IFERROR(__xludf.dummyfunction("""COMPUTED_VALUE"""),"Norway")</f>
        <v>Norway</v>
      </c>
      <c r="M1325" s="27" t="str">
        <f aca="false">IFERROR(__xludf.dummyfunction("""COMPUTED_VALUE"""),"(Diff)")</f>
        <v>(Diff)</v>
      </c>
      <c r="N1325" s="25"/>
      <c r="O1325" s="25"/>
      <c r="P1325" s="25"/>
      <c r="Q1325" s="29" t="s">
        <v>193</v>
      </c>
      <c r="R1325" s="8" t="str">
        <f aca="false">B1325&amp;" "&amp;C1325&amp;" "&amp;D1325&amp;" "&amp;E1325&amp;" "&amp;G1325&amp;" "&amp;H1325&amp;" "&amp;J1325&amp;" "&amp;N1325</f>
        <v>Differentials Anode     CIF Norway (Diff) </v>
      </c>
      <c r="S1325" s="25"/>
      <c r="T1325" s="8"/>
      <c r="U1325" s="8"/>
      <c r="V1325" s="25"/>
      <c r="W1325" s="25"/>
      <c r="X1325" s="25"/>
      <c r="Y1325" s="25"/>
      <c r="Z1325" s="25"/>
      <c r="AA1325" s="25"/>
      <c r="AB1325" s="25"/>
      <c r="AC1325" s="25"/>
      <c r="AD1325" s="25"/>
    </row>
    <row r="1326" customFormat="false" ht="15.75" hidden="false" customHeight="false" outlineLevel="0" collapsed="false">
      <c r="A1326" s="28" t="s">
        <v>1723</v>
      </c>
      <c r="B1326" s="27" t="s">
        <v>438</v>
      </c>
      <c r="C1326" s="27" t="s">
        <v>177</v>
      </c>
      <c r="D1326" s="25"/>
      <c r="E1326" s="25"/>
      <c r="F1326" s="25"/>
      <c r="G1326" s="25"/>
      <c r="H1326" s="25"/>
      <c r="I1326" s="25"/>
      <c r="J1326" s="27" t="s">
        <v>1718</v>
      </c>
      <c r="K1326" s="25" t="str">
        <f aca="false">IFERROR(__xludf.dummyfunction("SPLIT(J1326,"" "")"),"CIF")</f>
        <v>CIF</v>
      </c>
      <c r="L1326" s="28" t="str">
        <f aca="false">IFERROR(__xludf.dummyfunction("""COMPUTED_VALUE"""),"Norway")</f>
        <v>Norway</v>
      </c>
      <c r="M1326" s="27" t="str">
        <f aca="false">IFERROR(__xludf.dummyfunction("""COMPUTED_VALUE"""),"(Diff)")</f>
        <v>(Diff)</v>
      </c>
      <c r="N1326" s="25"/>
      <c r="O1326" s="25"/>
      <c r="P1326" s="25"/>
      <c r="Q1326" s="29" t="s">
        <v>188</v>
      </c>
      <c r="R1326" s="8" t="str">
        <f aca="false">B1326&amp;" "&amp;C1326&amp;" "&amp;D1326&amp;" "&amp;E1326&amp;" "&amp;G1326&amp;" "&amp;H1326&amp;" "&amp;J1326&amp;" "&amp;N1326</f>
        <v>Differentials Anode     CIF Norway (Diff) </v>
      </c>
      <c r="S1326" s="25"/>
      <c r="T1326" s="8"/>
      <c r="U1326" s="8"/>
      <c r="V1326" s="25"/>
      <c r="W1326" s="25"/>
      <c r="X1326" s="25"/>
      <c r="Y1326" s="25"/>
      <c r="Z1326" s="25"/>
      <c r="AA1326" s="25"/>
      <c r="AB1326" s="25"/>
      <c r="AC1326" s="25"/>
      <c r="AD1326" s="25"/>
    </row>
    <row r="1327" customFormat="false" ht="15.75" hidden="false" customHeight="false" outlineLevel="0" collapsed="false">
      <c r="A1327" s="28" t="s">
        <v>1724</v>
      </c>
      <c r="B1327" s="27" t="s">
        <v>438</v>
      </c>
      <c r="C1327" s="27" t="s">
        <v>177</v>
      </c>
      <c r="D1327" s="25"/>
      <c r="E1327" s="25"/>
      <c r="F1327" s="25"/>
      <c r="G1327" s="25"/>
      <c r="H1327" s="25"/>
      <c r="I1327" s="25"/>
      <c r="J1327" s="27" t="s">
        <v>1718</v>
      </c>
      <c r="K1327" s="25" t="str">
        <f aca="false">IFERROR(__xludf.dummyfunction("SPLIT(J1327,"" "")"),"CIF")</f>
        <v>CIF</v>
      </c>
      <c r="L1327" s="28" t="str">
        <f aca="false">IFERROR(__xludf.dummyfunction("""COMPUTED_VALUE"""),"Norway")</f>
        <v>Norway</v>
      </c>
      <c r="M1327" s="27" t="str">
        <f aca="false">IFERROR(__xludf.dummyfunction("""COMPUTED_VALUE"""),"(Diff)")</f>
        <v>(Diff)</v>
      </c>
      <c r="N1327" s="25"/>
      <c r="O1327" s="25"/>
      <c r="P1327" s="25"/>
      <c r="Q1327" s="29" t="s">
        <v>180</v>
      </c>
      <c r="R1327" s="8" t="str">
        <f aca="false">B1327&amp;" "&amp;C1327&amp;" "&amp;D1327&amp;" "&amp;E1327&amp;" "&amp;G1327&amp;" "&amp;H1327&amp;" "&amp;J1327&amp;" "&amp;N1327</f>
        <v>Differentials Anode     CIF Norway (Diff) </v>
      </c>
      <c r="S1327" s="25"/>
      <c r="T1327" s="8"/>
      <c r="U1327" s="8"/>
      <c r="V1327" s="25"/>
      <c r="W1327" s="25"/>
      <c r="X1327" s="25"/>
      <c r="Y1327" s="25"/>
      <c r="Z1327" s="25"/>
      <c r="AA1327" s="25"/>
      <c r="AB1327" s="25"/>
      <c r="AC1327" s="25"/>
      <c r="AD1327" s="25"/>
    </row>
    <row r="1328" customFormat="false" ht="15.75" hidden="false" customHeight="false" outlineLevel="0" collapsed="false">
      <c r="A1328" s="28" t="s">
        <v>1725</v>
      </c>
      <c r="B1328" s="27" t="s">
        <v>438</v>
      </c>
      <c r="C1328" s="27" t="s">
        <v>211</v>
      </c>
      <c r="D1328" s="25"/>
      <c r="E1328" s="25"/>
      <c r="F1328" s="25"/>
      <c r="G1328" s="25"/>
      <c r="H1328" s="25"/>
      <c r="I1328" s="25"/>
      <c r="J1328" s="27" t="s">
        <v>1718</v>
      </c>
      <c r="K1328" s="25" t="str">
        <f aca="false">IFERROR(__xludf.dummyfunction("SPLIT(J1328,"" "")"),"CIF")</f>
        <v>CIF</v>
      </c>
      <c r="L1328" s="28" t="str">
        <f aca="false">IFERROR(__xludf.dummyfunction("""COMPUTED_VALUE"""),"Norway")</f>
        <v>Norway</v>
      </c>
      <c r="M1328" s="27" t="str">
        <f aca="false">IFERROR(__xludf.dummyfunction("""COMPUTED_VALUE"""),"(Diff)")</f>
        <v>(Diff)</v>
      </c>
      <c r="N1328" s="25"/>
      <c r="O1328" s="25"/>
      <c r="P1328" s="25"/>
      <c r="Q1328" s="29" t="s">
        <v>234</v>
      </c>
      <c r="R1328" s="8" t="str">
        <f aca="false">B1328&amp;" "&amp;C1328&amp;" "&amp;D1328&amp;" "&amp;E1328&amp;" "&amp;G1328&amp;" "&amp;H1328&amp;" "&amp;J1328&amp;" "&amp;N1328</f>
        <v>Differentials Binders &amp; Additives     CIF Norway (Diff) </v>
      </c>
      <c r="S1328" s="25"/>
      <c r="T1328" s="8"/>
      <c r="U1328" s="8"/>
      <c r="V1328" s="25"/>
      <c r="W1328" s="25"/>
      <c r="X1328" s="25"/>
      <c r="Y1328" s="25"/>
      <c r="Z1328" s="25"/>
      <c r="AA1328" s="25"/>
      <c r="AB1328" s="25"/>
      <c r="AC1328" s="25"/>
      <c r="AD1328" s="25"/>
    </row>
    <row r="1329" customFormat="false" ht="15.75" hidden="false" customHeight="false" outlineLevel="0" collapsed="false">
      <c r="A1329" s="28" t="s">
        <v>1726</v>
      </c>
      <c r="B1329" s="27" t="s">
        <v>438</v>
      </c>
      <c r="C1329" s="27" t="s">
        <v>211</v>
      </c>
      <c r="D1329" s="25"/>
      <c r="E1329" s="25"/>
      <c r="F1329" s="25"/>
      <c r="G1329" s="25"/>
      <c r="H1329" s="25"/>
      <c r="I1329" s="25"/>
      <c r="J1329" s="27" t="s">
        <v>1718</v>
      </c>
      <c r="K1329" s="25" t="str">
        <f aca="false">IFERROR(__xludf.dummyfunction("SPLIT(J1329,"" "")"),"CIF")</f>
        <v>CIF</v>
      </c>
      <c r="L1329" s="28" t="str">
        <f aca="false">IFERROR(__xludf.dummyfunction("""COMPUTED_VALUE"""),"Norway")</f>
        <v>Norway</v>
      </c>
      <c r="M1329" s="27" t="str">
        <f aca="false">IFERROR(__xludf.dummyfunction("""COMPUTED_VALUE"""),"(Diff)")</f>
        <v>(Diff)</v>
      </c>
      <c r="N1329" s="25"/>
      <c r="O1329" s="25"/>
      <c r="P1329" s="25"/>
      <c r="Q1329" s="29" t="s">
        <v>232</v>
      </c>
      <c r="R1329" s="8" t="str">
        <f aca="false">B1329&amp;" "&amp;C1329&amp;" "&amp;D1329&amp;" "&amp;E1329&amp;" "&amp;G1329&amp;" "&amp;H1329&amp;" "&amp;J1329&amp;" "&amp;N1329</f>
        <v>Differentials Binders &amp; Additives     CIF Norway (Diff) </v>
      </c>
      <c r="S1329" s="25"/>
      <c r="T1329" s="8"/>
      <c r="U1329" s="8"/>
      <c r="V1329" s="25"/>
      <c r="W1329" s="25"/>
      <c r="X1329" s="25"/>
      <c r="Y1329" s="25"/>
      <c r="Z1329" s="25"/>
      <c r="AA1329" s="25"/>
      <c r="AB1329" s="25"/>
      <c r="AC1329" s="25"/>
      <c r="AD1329" s="25"/>
    </row>
    <row r="1330" customFormat="false" ht="15.75" hidden="false" customHeight="false" outlineLevel="0" collapsed="false">
      <c r="A1330" s="28" t="s">
        <v>1727</v>
      </c>
      <c r="B1330" s="27" t="s">
        <v>438</v>
      </c>
      <c r="C1330" s="27" t="s">
        <v>211</v>
      </c>
      <c r="D1330" s="25"/>
      <c r="E1330" s="25"/>
      <c r="F1330" s="25"/>
      <c r="G1330" s="25"/>
      <c r="H1330" s="25"/>
      <c r="I1330" s="25"/>
      <c r="J1330" s="27" t="s">
        <v>1718</v>
      </c>
      <c r="K1330" s="25" t="str">
        <f aca="false">IFERROR(__xludf.dummyfunction("SPLIT(J1330,"" "")"),"CIF")</f>
        <v>CIF</v>
      </c>
      <c r="L1330" s="28" t="str">
        <f aca="false">IFERROR(__xludf.dummyfunction("""COMPUTED_VALUE"""),"Norway")</f>
        <v>Norway</v>
      </c>
      <c r="M1330" s="27" t="str">
        <f aca="false">IFERROR(__xludf.dummyfunction("""COMPUTED_VALUE"""),"(Diff)")</f>
        <v>(Diff)</v>
      </c>
      <c r="N1330" s="25"/>
      <c r="O1330" s="25"/>
      <c r="P1330" s="25"/>
      <c r="Q1330" s="29" t="s">
        <v>230</v>
      </c>
      <c r="R1330" s="8" t="str">
        <f aca="false">B1330&amp;" "&amp;C1330&amp;" "&amp;D1330&amp;" "&amp;E1330&amp;" "&amp;G1330&amp;" "&amp;H1330&amp;" "&amp;J1330&amp;" "&amp;N1330</f>
        <v>Differentials Binders &amp; Additives     CIF Norway (Diff) </v>
      </c>
      <c r="S1330" s="25"/>
      <c r="T1330" s="8"/>
      <c r="U1330" s="8"/>
      <c r="V1330" s="25"/>
      <c r="W1330" s="25"/>
      <c r="X1330" s="25"/>
      <c r="Y1330" s="25"/>
      <c r="Z1330" s="25"/>
      <c r="AA1330" s="25"/>
      <c r="AB1330" s="25"/>
      <c r="AC1330" s="25"/>
      <c r="AD1330" s="25"/>
    </row>
    <row r="1331" customFormat="false" ht="15.75" hidden="false" customHeight="false" outlineLevel="0" collapsed="false">
      <c r="A1331" s="28" t="s">
        <v>1728</v>
      </c>
      <c r="B1331" s="27" t="s">
        <v>438</v>
      </c>
      <c r="C1331" s="27" t="s">
        <v>211</v>
      </c>
      <c r="D1331" s="25"/>
      <c r="E1331" s="25"/>
      <c r="F1331" s="25"/>
      <c r="G1331" s="25"/>
      <c r="H1331" s="25"/>
      <c r="I1331" s="25"/>
      <c r="J1331" s="27" t="s">
        <v>1718</v>
      </c>
      <c r="K1331" s="25" t="str">
        <f aca="false">IFERROR(__xludf.dummyfunction("SPLIT(J1331,"" "")"),"CIF")</f>
        <v>CIF</v>
      </c>
      <c r="L1331" s="28" t="str">
        <f aca="false">IFERROR(__xludf.dummyfunction("""COMPUTED_VALUE"""),"Norway")</f>
        <v>Norway</v>
      </c>
      <c r="M1331" s="27" t="str">
        <f aca="false">IFERROR(__xludf.dummyfunction("""COMPUTED_VALUE"""),"(Diff)")</f>
        <v>(Diff)</v>
      </c>
      <c r="N1331" s="25"/>
      <c r="O1331" s="25"/>
      <c r="P1331" s="25"/>
      <c r="Q1331" s="29" t="s">
        <v>228</v>
      </c>
      <c r="R1331" s="8" t="str">
        <f aca="false">B1331&amp;" "&amp;C1331&amp;" "&amp;D1331&amp;" "&amp;E1331&amp;" "&amp;G1331&amp;" "&amp;H1331&amp;" "&amp;J1331&amp;" "&amp;N1331</f>
        <v>Differentials Binders &amp; Additives     CIF Norway (Diff) </v>
      </c>
      <c r="S1331" s="25"/>
      <c r="T1331" s="8"/>
      <c r="U1331" s="8"/>
      <c r="V1331" s="25"/>
      <c r="W1331" s="25"/>
      <c r="X1331" s="25"/>
      <c r="Y1331" s="25"/>
      <c r="Z1331" s="25"/>
      <c r="AA1331" s="25"/>
      <c r="AB1331" s="25"/>
      <c r="AC1331" s="25"/>
      <c r="AD1331" s="25"/>
    </row>
    <row r="1332" customFormat="false" ht="15.75" hidden="false" customHeight="false" outlineLevel="0" collapsed="false">
      <c r="A1332" s="28" t="s">
        <v>1729</v>
      </c>
      <c r="B1332" s="27" t="s">
        <v>438</v>
      </c>
      <c r="C1332" s="27" t="s">
        <v>211</v>
      </c>
      <c r="D1332" s="25"/>
      <c r="E1332" s="25"/>
      <c r="F1332" s="25"/>
      <c r="G1332" s="25"/>
      <c r="H1332" s="25"/>
      <c r="I1332" s="25"/>
      <c r="J1332" s="27" t="s">
        <v>1718</v>
      </c>
      <c r="K1332" s="25" t="str">
        <f aca="false">IFERROR(__xludf.dummyfunction("SPLIT(J1332,"" "")"),"CIF")</f>
        <v>CIF</v>
      </c>
      <c r="L1332" s="28" t="str">
        <f aca="false">IFERROR(__xludf.dummyfunction("""COMPUTED_VALUE"""),"Norway")</f>
        <v>Norway</v>
      </c>
      <c r="M1332" s="27" t="str">
        <f aca="false">IFERROR(__xludf.dummyfunction("""COMPUTED_VALUE"""),"(Diff)")</f>
        <v>(Diff)</v>
      </c>
      <c r="N1332" s="25"/>
      <c r="O1332" s="25"/>
      <c r="P1332" s="25"/>
      <c r="Q1332" s="29" t="s">
        <v>226</v>
      </c>
      <c r="R1332" s="8" t="str">
        <f aca="false">B1332&amp;" "&amp;C1332&amp;" "&amp;D1332&amp;" "&amp;E1332&amp;" "&amp;G1332&amp;" "&amp;H1332&amp;" "&amp;J1332&amp;" "&amp;N1332</f>
        <v>Differentials Binders &amp; Additives     CIF Norway (Diff) </v>
      </c>
      <c r="S1332" s="25"/>
      <c r="T1332" s="8"/>
      <c r="U1332" s="8"/>
      <c r="V1332" s="25"/>
      <c r="W1332" s="25"/>
      <c r="X1332" s="25"/>
      <c r="Y1332" s="25"/>
      <c r="Z1332" s="25"/>
      <c r="AA1332" s="25"/>
      <c r="AB1332" s="25"/>
      <c r="AC1332" s="25"/>
      <c r="AD1332" s="25"/>
    </row>
    <row r="1333" customFormat="false" ht="15.75" hidden="false" customHeight="false" outlineLevel="0" collapsed="false">
      <c r="A1333" s="28" t="s">
        <v>1730</v>
      </c>
      <c r="B1333" s="27" t="s">
        <v>438</v>
      </c>
      <c r="C1333" s="27" t="s">
        <v>211</v>
      </c>
      <c r="D1333" s="25"/>
      <c r="E1333" s="25"/>
      <c r="F1333" s="25"/>
      <c r="G1333" s="25"/>
      <c r="H1333" s="25"/>
      <c r="I1333" s="25"/>
      <c r="J1333" s="27" t="s">
        <v>1718</v>
      </c>
      <c r="K1333" s="25" t="str">
        <f aca="false">IFERROR(__xludf.dummyfunction("SPLIT(J1333,"" "")"),"CIF")</f>
        <v>CIF</v>
      </c>
      <c r="L1333" s="28" t="str">
        <f aca="false">IFERROR(__xludf.dummyfunction("""COMPUTED_VALUE"""),"Norway")</f>
        <v>Norway</v>
      </c>
      <c r="M1333" s="27" t="str">
        <f aca="false">IFERROR(__xludf.dummyfunction("""COMPUTED_VALUE"""),"(Diff)")</f>
        <v>(Diff)</v>
      </c>
      <c r="N1333" s="25"/>
      <c r="O1333" s="25"/>
      <c r="P1333" s="25"/>
      <c r="Q1333" s="29" t="s">
        <v>224</v>
      </c>
      <c r="R1333" s="8" t="str">
        <f aca="false">B1333&amp;" "&amp;C1333&amp;" "&amp;D1333&amp;" "&amp;E1333&amp;" "&amp;G1333&amp;" "&amp;H1333&amp;" "&amp;J1333&amp;" "&amp;N1333</f>
        <v>Differentials Binders &amp; Additives     CIF Norway (Diff) </v>
      </c>
      <c r="S1333" s="25"/>
      <c r="T1333" s="8"/>
      <c r="U1333" s="8"/>
      <c r="V1333" s="25"/>
      <c r="W1333" s="25"/>
      <c r="X1333" s="25"/>
      <c r="Y1333" s="25"/>
      <c r="Z1333" s="25"/>
      <c r="AA1333" s="25"/>
      <c r="AB1333" s="25"/>
      <c r="AC1333" s="25"/>
      <c r="AD1333" s="25"/>
    </row>
    <row r="1334" customFormat="false" ht="15.75" hidden="false" customHeight="false" outlineLevel="0" collapsed="false">
      <c r="A1334" s="28" t="s">
        <v>1731</v>
      </c>
      <c r="B1334" s="27" t="s">
        <v>438</v>
      </c>
      <c r="C1334" s="27" t="s">
        <v>211</v>
      </c>
      <c r="D1334" s="25"/>
      <c r="E1334" s="25"/>
      <c r="F1334" s="25"/>
      <c r="G1334" s="25"/>
      <c r="H1334" s="25"/>
      <c r="I1334" s="25"/>
      <c r="J1334" s="27" t="s">
        <v>1718</v>
      </c>
      <c r="K1334" s="25" t="str">
        <f aca="false">IFERROR(__xludf.dummyfunction("SPLIT(J1334,"" "")"),"CIF")</f>
        <v>CIF</v>
      </c>
      <c r="L1334" s="28" t="str">
        <f aca="false">IFERROR(__xludf.dummyfunction("""COMPUTED_VALUE"""),"Norway")</f>
        <v>Norway</v>
      </c>
      <c r="M1334" s="27" t="str">
        <f aca="false">IFERROR(__xludf.dummyfunction("""COMPUTED_VALUE"""),"(Diff)")</f>
        <v>(Diff)</v>
      </c>
      <c r="N1334" s="25"/>
      <c r="O1334" s="25"/>
      <c r="P1334" s="25"/>
      <c r="Q1334" s="29" t="s">
        <v>222</v>
      </c>
      <c r="R1334" s="8" t="str">
        <f aca="false">B1334&amp;" "&amp;C1334&amp;" "&amp;D1334&amp;" "&amp;E1334&amp;" "&amp;G1334&amp;" "&amp;H1334&amp;" "&amp;J1334&amp;" "&amp;N1334</f>
        <v>Differentials Binders &amp; Additives     CIF Norway (Diff) </v>
      </c>
      <c r="S1334" s="25"/>
      <c r="T1334" s="8"/>
      <c r="U1334" s="8"/>
      <c r="V1334" s="25"/>
      <c r="W1334" s="25"/>
      <c r="X1334" s="25"/>
      <c r="Y1334" s="25"/>
      <c r="Z1334" s="25"/>
      <c r="AA1334" s="25"/>
      <c r="AB1334" s="25"/>
      <c r="AC1334" s="25"/>
      <c r="AD1334" s="25"/>
    </row>
    <row r="1335" customFormat="false" ht="15.75" hidden="false" customHeight="false" outlineLevel="0" collapsed="false">
      <c r="A1335" s="28" t="s">
        <v>1732</v>
      </c>
      <c r="B1335" s="27" t="s">
        <v>438</v>
      </c>
      <c r="C1335" s="27" t="s">
        <v>211</v>
      </c>
      <c r="D1335" s="25"/>
      <c r="E1335" s="25"/>
      <c r="F1335" s="25"/>
      <c r="G1335" s="25"/>
      <c r="H1335" s="25"/>
      <c r="I1335" s="25"/>
      <c r="J1335" s="27" t="s">
        <v>1718</v>
      </c>
      <c r="K1335" s="25" t="str">
        <f aca="false">IFERROR(__xludf.dummyfunction("SPLIT(J1335,"" "")"),"CIF")</f>
        <v>CIF</v>
      </c>
      <c r="L1335" s="28" t="str">
        <f aca="false">IFERROR(__xludf.dummyfunction("""COMPUTED_VALUE"""),"Norway")</f>
        <v>Norway</v>
      </c>
      <c r="M1335" s="27" t="str">
        <f aca="false">IFERROR(__xludf.dummyfunction("""COMPUTED_VALUE"""),"(Diff)")</f>
        <v>(Diff)</v>
      </c>
      <c r="N1335" s="25"/>
      <c r="O1335" s="25"/>
      <c r="P1335" s="25"/>
      <c r="Q1335" s="29" t="s">
        <v>220</v>
      </c>
      <c r="R1335" s="8" t="str">
        <f aca="false">B1335&amp;" "&amp;C1335&amp;" "&amp;D1335&amp;" "&amp;E1335&amp;" "&amp;G1335&amp;" "&amp;H1335&amp;" "&amp;J1335&amp;" "&amp;N1335</f>
        <v>Differentials Binders &amp; Additives     CIF Norway (Diff) </v>
      </c>
      <c r="S1335" s="25"/>
      <c r="T1335" s="8"/>
      <c r="U1335" s="8"/>
      <c r="V1335" s="25"/>
      <c r="W1335" s="25"/>
      <c r="X1335" s="25"/>
      <c r="Y1335" s="25"/>
      <c r="Z1335" s="25"/>
      <c r="AA1335" s="25"/>
      <c r="AB1335" s="25"/>
      <c r="AC1335" s="25"/>
      <c r="AD1335" s="25"/>
    </row>
    <row r="1336" customFormat="false" ht="15.75" hidden="false" customHeight="false" outlineLevel="0" collapsed="false">
      <c r="A1336" s="28" t="s">
        <v>1733</v>
      </c>
      <c r="B1336" s="27" t="s">
        <v>438</v>
      </c>
      <c r="C1336" s="27" t="s">
        <v>211</v>
      </c>
      <c r="D1336" s="25"/>
      <c r="E1336" s="25"/>
      <c r="F1336" s="25"/>
      <c r="G1336" s="25"/>
      <c r="H1336" s="25"/>
      <c r="I1336" s="25"/>
      <c r="J1336" s="27" t="s">
        <v>1718</v>
      </c>
      <c r="K1336" s="25" t="str">
        <f aca="false">IFERROR(__xludf.dummyfunction("SPLIT(J1336,"" "")"),"CIF")</f>
        <v>CIF</v>
      </c>
      <c r="L1336" s="28" t="str">
        <f aca="false">IFERROR(__xludf.dummyfunction("""COMPUTED_VALUE"""),"Norway")</f>
        <v>Norway</v>
      </c>
      <c r="M1336" s="27" t="str">
        <f aca="false">IFERROR(__xludf.dummyfunction("""COMPUTED_VALUE"""),"(Diff)")</f>
        <v>(Diff)</v>
      </c>
      <c r="N1336" s="25"/>
      <c r="O1336" s="25"/>
      <c r="P1336" s="25"/>
      <c r="Q1336" s="29" t="s">
        <v>218</v>
      </c>
      <c r="R1336" s="8" t="str">
        <f aca="false">B1336&amp;" "&amp;C1336&amp;" "&amp;D1336&amp;" "&amp;E1336&amp;" "&amp;G1336&amp;" "&amp;H1336&amp;" "&amp;J1336&amp;" "&amp;N1336</f>
        <v>Differentials Binders &amp; Additives     CIF Norway (Diff) </v>
      </c>
      <c r="S1336" s="25"/>
      <c r="T1336" s="8"/>
      <c r="U1336" s="8"/>
      <c r="V1336" s="25"/>
      <c r="W1336" s="25"/>
      <c r="X1336" s="25"/>
      <c r="Y1336" s="25"/>
      <c r="Z1336" s="25"/>
      <c r="AA1336" s="25"/>
      <c r="AB1336" s="25"/>
      <c r="AC1336" s="25"/>
      <c r="AD1336" s="25"/>
    </row>
    <row r="1337" customFormat="false" ht="15.75" hidden="false" customHeight="false" outlineLevel="0" collapsed="false">
      <c r="A1337" s="28" t="s">
        <v>1734</v>
      </c>
      <c r="B1337" s="27" t="s">
        <v>438</v>
      </c>
      <c r="C1337" s="27" t="s">
        <v>211</v>
      </c>
      <c r="D1337" s="25"/>
      <c r="E1337" s="25"/>
      <c r="F1337" s="25"/>
      <c r="G1337" s="25"/>
      <c r="H1337" s="25"/>
      <c r="I1337" s="25"/>
      <c r="J1337" s="27" t="s">
        <v>1718</v>
      </c>
      <c r="K1337" s="25" t="str">
        <f aca="false">IFERROR(__xludf.dummyfunction("SPLIT(J1337,"" "")"),"CIF")</f>
        <v>CIF</v>
      </c>
      <c r="L1337" s="28" t="str">
        <f aca="false">IFERROR(__xludf.dummyfunction("""COMPUTED_VALUE"""),"Norway")</f>
        <v>Norway</v>
      </c>
      <c r="M1337" s="27" t="str">
        <f aca="false">IFERROR(__xludf.dummyfunction("""COMPUTED_VALUE"""),"(Diff)")</f>
        <v>(Diff)</v>
      </c>
      <c r="N1337" s="25"/>
      <c r="O1337" s="25"/>
      <c r="P1337" s="25"/>
      <c r="Q1337" s="29" t="s">
        <v>215</v>
      </c>
      <c r="R1337" s="8" t="str">
        <f aca="false">B1337&amp;" "&amp;C1337&amp;" "&amp;D1337&amp;" "&amp;E1337&amp;" "&amp;G1337&amp;" "&amp;H1337&amp;" "&amp;J1337&amp;" "&amp;N1337</f>
        <v>Differentials Binders &amp; Additives     CIF Norway (Diff) </v>
      </c>
      <c r="S1337" s="25"/>
      <c r="T1337" s="8"/>
      <c r="U1337" s="8"/>
      <c r="V1337" s="25"/>
      <c r="W1337" s="25"/>
      <c r="X1337" s="25"/>
      <c r="Y1337" s="25"/>
      <c r="Z1337" s="25"/>
      <c r="AA1337" s="25"/>
      <c r="AB1337" s="25"/>
      <c r="AC1337" s="25"/>
      <c r="AD1337" s="25"/>
    </row>
    <row r="1338" customFormat="false" ht="15.75" hidden="false" customHeight="false" outlineLevel="0" collapsed="false">
      <c r="A1338" s="28" t="s">
        <v>1735</v>
      </c>
      <c r="B1338" s="27" t="s">
        <v>438</v>
      </c>
      <c r="C1338" s="27" t="s">
        <v>211</v>
      </c>
      <c r="D1338" s="25"/>
      <c r="E1338" s="25"/>
      <c r="F1338" s="25"/>
      <c r="G1338" s="25"/>
      <c r="H1338" s="25"/>
      <c r="I1338" s="25"/>
      <c r="J1338" s="27" t="s">
        <v>1718</v>
      </c>
      <c r="K1338" s="25" t="str">
        <f aca="false">IFERROR(__xludf.dummyfunction("SPLIT(J1338,"" "")"),"CIF")</f>
        <v>CIF</v>
      </c>
      <c r="L1338" s="28" t="str">
        <f aca="false">IFERROR(__xludf.dummyfunction("""COMPUTED_VALUE"""),"Norway")</f>
        <v>Norway</v>
      </c>
      <c r="M1338" s="27" t="str">
        <f aca="false">IFERROR(__xludf.dummyfunction("""COMPUTED_VALUE"""),"(Diff)")</f>
        <v>(Diff)</v>
      </c>
      <c r="N1338" s="25"/>
      <c r="O1338" s="25"/>
      <c r="P1338" s="25"/>
      <c r="Q1338" s="29" t="s">
        <v>213</v>
      </c>
      <c r="R1338" s="8" t="str">
        <f aca="false">B1338&amp;" "&amp;C1338&amp;" "&amp;D1338&amp;" "&amp;E1338&amp;" "&amp;G1338&amp;" "&amp;H1338&amp;" "&amp;J1338&amp;" "&amp;N1338</f>
        <v>Differentials Binders &amp; Additives     CIF Norway (Diff) </v>
      </c>
      <c r="S1338" s="25"/>
      <c r="T1338" s="8"/>
      <c r="U1338" s="8"/>
      <c r="V1338" s="25"/>
      <c r="W1338" s="25"/>
      <c r="X1338" s="25"/>
      <c r="Y1338" s="25"/>
      <c r="Z1338" s="25"/>
      <c r="AA1338" s="25"/>
      <c r="AB1338" s="25"/>
      <c r="AC1338" s="25"/>
      <c r="AD1338" s="25"/>
    </row>
    <row r="1339" customFormat="false" ht="15.75" hidden="false" customHeight="false" outlineLevel="0" collapsed="false">
      <c r="A1339" s="28" t="s">
        <v>1736</v>
      </c>
      <c r="B1339" s="27" t="s">
        <v>438</v>
      </c>
      <c r="C1339" s="27" t="s">
        <v>236</v>
      </c>
      <c r="D1339" s="25"/>
      <c r="E1339" s="25"/>
      <c r="F1339" s="25"/>
      <c r="G1339" s="25"/>
      <c r="H1339" s="25"/>
      <c r="I1339" s="25"/>
      <c r="J1339" s="27" t="s">
        <v>1718</v>
      </c>
      <c r="K1339" s="25" t="str">
        <f aca="false">IFERROR(__xludf.dummyfunction("SPLIT(J1339,"" "")"),"CIF")</f>
        <v>CIF</v>
      </c>
      <c r="L1339" s="28" t="str">
        <f aca="false">IFERROR(__xludf.dummyfunction("""COMPUTED_VALUE"""),"Norway")</f>
        <v>Norway</v>
      </c>
      <c r="M1339" s="27" t="str">
        <f aca="false">IFERROR(__xludf.dummyfunction("""COMPUTED_VALUE"""),"(Diff)")</f>
        <v>(Diff)</v>
      </c>
      <c r="N1339" s="25"/>
      <c r="O1339" s="25"/>
      <c r="P1339" s="25"/>
      <c r="Q1339" s="29" t="s">
        <v>271</v>
      </c>
      <c r="R1339" s="8" t="str">
        <f aca="false">B1339&amp;" "&amp;C1339&amp;" "&amp;D1339&amp;" "&amp;E1339&amp;" "&amp;G1339&amp;" "&amp;H1339&amp;" "&amp;J1339&amp;" "&amp;N1339</f>
        <v>Differentials Cathode     CIF Norway (Diff) </v>
      </c>
      <c r="S1339" s="25"/>
      <c r="T1339" s="8"/>
      <c r="U1339" s="8"/>
      <c r="V1339" s="25"/>
      <c r="W1339" s="25"/>
      <c r="X1339" s="25"/>
      <c r="Y1339" s="25"/>
      <c r="Z1339" s="25"/>
      <c r="AA1339" s="25"/>
      <c r="AB1339" s="25"/>
      <c r="AC1339" s="25"/>
      <c r="AD1339" s="25"/>
    </row>
    <row r="1340" customFormat="false" ht="15.75" hidden="false" customHeight="false" outlineLevel="0" collapsed="false">
      <c r="A1340" s="28" t="s">
        <v>1737</v>
      </c>
      <c r="B1340" s="27" t="s">
        <v>438</v>
      </c>
      <c r="C1340" s="27" t="s">
        <v>236</v>
      </c>
      <c r="D1340" s="25"/>
      <c r="E1340" s="25"/>
      <c r="F1340" s="25"/>
      <c r="G1340" s="25"/>
      <c r="H1340" s="25"/>
      <c r="I1340" s="25"/>
      <c r="J1340" s="27" t="s">
        <v>1718</v>
      </c>
      <c r="K1340" s="25" t="str">
        <f aca="false">IFERROR(__xludf.dummyfunction("SPLIT(J1340,"" "")"),"CIF")</f>
        <v>CIF</v>
      </c>
      <c r="L1340" s="28" t="str">
        <f aca="false">IFERROR(__xludf.dummyfunction("""COMPUTED_VALUE"""),"Norway")</f>
        <v>Norway</v>
      </c>
      <c r="M1340" s="27" t="str">
        <f aca="false">IFERROR(__xludf.dummyfunction("""COMPUTED_VALUE"""),"(Diff)")</f>
        <v>(Diff)</v>
      </c>
      <c r="N1340" s="25"/>
      <c r="O1340" s="25"/>
      <c r="P1340" s="25"/>
      <c r="Q1340" s="29" t="s">
        <v>266</v>
      </c>
      <c r="R1340" s="8" t="str">
        <f aca="false">B1340&amp;" "&amp;C1340&amp;" "&amp;D1340&amp;" "&amp;E1340&amp;" "&amp;G1340&amp;" "&amp;H1340&amp;" "&amp;J1340&amp;" "&amp;N1340</f>
        <v>Differentials Cathode     CIF Norway (Diff) </v>
      </c>
      <c r="S1340" s="25"/>
      <c r="T1340" s="8"/>
      <c r="U1340" s="8"/>
      <c r="V1340" s="25"/>
      <c r="W1340" s="25"/>
      <c r="X1340" s="25"/>
      <c r="Y1340" s="25"/>
      <c r="Z1340" s="25"/>
      <c r="AA1340" s="25"/>
      <c r="AB1340" s="25"/>
      <c r="AC1340" s="25"/>
      <c r="AD1340" s="25"/>
    </row>
    <row r="1341" customFormat="false" ht="15.75" hidden="false" customHeight="false" outlineLevel="0" collapsed="false">
      <c r="A1341" s="28" t="s">
        <v>1738</v>
      </c>
      <c r="B1341" s="27" t="s">
        <v>438</v>
      </c>
      <c r="C1341" s="27" t="s">
        <v>236</v>
      </c>
      <c r="D1341" s="25"/>
      <c r="E1341" s="25"/>
      <c r="F1341" s="25"/>
      <c r="G1341" s="25"/>
      <c r="H1341" s="25"/>
      <c r="I1341" s="25"/>
      <c r="J1341" s="27" t="s">
        <v>1718</v>
      </c>
      <c r="K1341" s="25" t="str">
        <f aca="false">IFERROR(__xludf.dummyfunction("SPLIT(J1341,"" "")"),"CIF")</f>
        <v>CIF</v>
      </c>
      <c r="L1341" s="28" t="str">
        <f aca="false">IFERROR(__xludf.dummyfunction("""COMPUTED_VALUE"""),"Norway")</f>
        <v>Norway</v>
      </c>
      <c r="M1341" s="27" t="str">
        <f aca="false">IFERROR(__xludf.dummyfunction("""COMPUTED_VALUE"""),"(Diff)")</f>
        <v>(Diff)</v>
      </c>
      <c r="N1341" s="25"/>
      <c r="O1341" s="25"/>
      <c r="P1341" s="25"/>
      <c r="Q1341" s="29" t="s">
        <v>261</v>
      </c>
      <c r="R1341" s="8" t="str">
        <f aca="false">B1341&amp;" "&amp;C1341&amp;" "&amp;D1341&amp;" "&amp;E1341&amp;" "&amp;G1341&amp;" "&amp;H1341&amp;" "&amp;J1341&amp;" "&amp;N1341</f>
        <v>Differentials Cathode     CIF Norway (Diff) </v>
      </c>
      <c r="S1341" s="25"/>
      <c r="T1341" s="8"/>
      <c r="U1341" s="8"/>
      <c r="V1341" s="25"/>
      <c r="W1341" s="25"/>
      <c r="X1341" s="25"/>
      <c r="Y1341" s="25"/>
      <c r="Z1341" s="25"/>
      <c r="AA1341" s="25"/>
      <c r="AB1341" s="25"/>
      <c r="AC1341" s="25"/>
      <c r="AD1341" s="25"/>
    </row>
    <row r="1342" customFormat="false" ht="15.75" hidden="false" customHeight="false" outlineLevel="0" collapsed="false">
      <c r="A1342" s="28" t="s">
        <v>1739</v>
      </c>
      <c r="B1342" s="27" t="s">
        <v>438</v>
      </c>
      <c r="C1342" s="27" t="s">
        <v>236</v>
      </c>
      <c r="D1342" s="25"/>
      <c r="E1342" s="25"/>
      <c r="F1342" s="25"/>
      <c r="G1342" s="25"/>
      <c r="H1342" s="25"/>
      <c r="I1342" s="25"/>
      <c r="J1342" s="27" t="s">
        <v>1718</v>
      </c>
      <c r="K1342" s="25" t="str">
        <f aca="false">IFERROR(__xludf.dummyfunction("SPLIT(J1342,"" "")"),"CIF")</f>
        <v>CIF</v>
      </c>
      <c r="L1342" s="28" t="str">
        <f aca="false">IFERROR(__xludf.dummyfunction("""COMPUTED_VALUE"""),"Norway")</f>
        <v>Norway</v>
      </c>
      <c r="M1342" s="27" t="str">
        <f aca="false">IFERROR(__xludf.dummyfunction("""COMPUTED_VALUE"""),"(Diff)")</f>
        <v>(Diff)</v>
      </c>
      <c r="N1342" s="25"/>
      <c r="O1342" s="25"/>
      <c r="P1342" s="25"/>
      <c r="Q1342" s="29" t="s">
        <v>256</v>
      </c>
      <c r="R1342" s="8" t="str">
        <f aca="false">B1342&amp;" "&amp;C1342&amp;" "&amp;D1342&amp;" "&amp;E1342&amp;" "&amp;G1342&amp;" "&amp;H1342&amp;" "&amp;J1342&amp;" "&amp;N1342</f>
        <v>Differentials Cathode     CIF Norway (Diff) </v>
      </c>
      <c r="S1342" s="25"/>
      <c r="T1342" s="8"/>
      <c r="U1342" s="8"/>
      <c r="V1342" s="25"/>
      <c r="W1342" s="25"/>
      <c r="X1342" s="25"/>
      <c r="Y1342" s="25"/>
      <c r="Z1342" s="25"/>
      <c r="AA1342" s="25"/>
      <c r="AB1342" s="25"/>
      <c r="AC1342" s="25"/>
      <c r="AD1342" s="25"/>
    </row>
    <row r="1343" customFormat="false" ht="15.75" hidden="false" customHeight="false" outlineLevel="0" collapsed="false">
      <c r="A1343" s="28" t="s">
        <v>1740</v>
      </c>
      <c r="B1343" s="27" t="s">
        <v>438</v>
      </c>
      <c r="C1343" s="27" t="s">
        <v>236</v>
      </c>
      <c r="D1343" s="25"/>
      <c r="E1343" s="25"/>
      <c r="F1343" s="25"/>
      <c r="G1343" s="25"/>
      <c r="H1343" s="25"/>
      <c r="I1343" s="25"/>
      <c r="J1343" s="27" t="s">
        <v>1718</v>
      </c>
      <c r="K1343" s="25" t="str">
        <f aca="false">IFERROR(__xludf.dummyfunction("SPLIT(J1343,"" "")"),"CIF")</f>
        <v>CIF</v>
      </c>
      <c r="L1343" s="28" t="str">
        <f aca="false">IFERROR(__xludf.dummyfunction("""COMPUTED_VALUE"""),"Norway")</f>
        <v>Norway</v>
      </c>
      <c r="M1343" s="27" t="str">
        <f aca="false">IFERROR(__xludf.dummyfunction("""COMPUTED_VALUE"""),"(Diff)")</f>
        <v>(Diff)</v>
      </c>
      <c r="N1343" s="25"/>
      <c r="O1343" s="25"/>
      <c r="P1343" s="25"/>
      <c r="Q1343" s="29" t="s">
        <v>251</v>
      </c>
      <c r="R1343" s="8" t="str">
        <f aca="false">B1343&amp;" "&amp;C1343&amp;" "&amp;D1343&amp;" "&amp;E1343&amp;" "&amp;G1343&amp;" "&amp;H1343&amp;" "&amp;J1343&amp;" "&amp;N1343</f>
        <v>Differentials Cathode     CIF Norway (Diff) </v>
      </c>
      <c r="S1343" s="25"/>
      <c r="T1343" s="8"/>
      <c r="U1343" s="8"/>
      <c r="V1343" s="25"/>
      <c r="W1343" s="25"/>
      <c r="X1343" s="25"/>
      <c r="Y1343" s="25"/>
      <c r="Z1343" s="25"/>
      <c r="AA1343" s="25"/>
      <c r="AB1343" s="25"/>
      <c r="AC1343" s="25"/>
      <c r="AD1343" s="25"/>
    </row>
    <row r="1344" customFormat="false" ht="15.75" hidden="false" customHeight="false" outlineLevel="0" collapsed="false">
      <c r="A1344" s="28" t="s">
        <v>1741</v>
      </c>
      <c r="B1344" s="27" t="s">
        <v>438</v>
      </c>
      <c r="C1344" s="27" t="s">
        <v>236</v>
      </c>
      <c r="D1344" s="25"/>
      <c r="E1344" s="25"/>
      <c r="F1344" s="25"/>
      <c r="G1344" s="25"/>
      <c r="H1344" s="25"/>
      <c r="I1344" s="25"/>
      <c r="J1344" s="27" t="s">
        <v>1718</v>
      </c>
      <c r="K1344" s="25" t="str">
        <f aca="false">IFERROR(__xludf.dummyfunction("SPLIT(J1344,"" "")"),"CIF")</f>
        <v>CIF</v>
      </c>
      <c r="L1344" s="28" t="str">
        <f aca="false">IFERROR(__xludf.dummyfunction("""COMPUTED_VALUE"""),"Norway")</f>
        <v>Norway</v>
      </c>
      <c r="M1344" s="27" t="str">
        <f aca="false">IFERROR(__xludf.dummyfunction("""COMPUTED_VALUE"""),"(Diff)")</f>
        <v>(Diff)</v>
      </c>
      <c r="N1344" s="25"/>
      <c r="O1344" s="25"/>
      <c r="P1344" s="25"/>
      <c r="Q1344" s="29" t="s">
        <v>247</v>
      </c>
      <c r="R1344" s="8" t="str">
        <f aca="false">B1344&amp;" "&amp;C1344&amp;" "&amp;D1344&amp;" "&amp;E1344&amp;" "&amp;G1344&amp;" "&amp;H1344&amp;" "&amp;J1344&amp;" "&amp;N1344</f>
        <v>Differentials Cathode     CIF Norway (Diff) </v>
      </c>
      <c r="S1344" s="25"/>
      <c r="T1344" s="8"/>
      <c r="U1344" s="8"/>
      <c r="V1344" s="25"/>
      <c r="W1344" s="25"/>
      <c r="X1344" s="25"/>
      <c r="Y1344" s="25"/>
      <c r="Z1344" s="25"/>
      <c r="AA1344" s="25"/>
      <c r="AB1344" s="25"/>
      <c r="AC1344" s="25"/>
      <c r="AD1344" s="25"/>
    </row>
    <row r="1345" customFormat="false" ht="15.75" hidden="false" customHeight="false" outlineLevel="0" collapsed="false">
      <c r="A1345" s="28" t="s">
        <v>1742</v>
      </c>
      <c r="B1345" s="27" t="s">
        <v>438</v>
      </c>
      <c r="C1345" s="27" t="s">
        <v>236</v>
      </c>
      <c r="D1345" s="25"/>
      <c r="E1345" s="25"/>
      <c r="F1345" s="25"/>
      <c r="G1345" s="25"/>
      <c r="H1345" s="25"/>
      <c r="I1345" s="25"/>
      <c r="J1345" s="27" t="s">
        <v>1718</v>
      </c>
      <c r="K1345" s="25" t="str">
        <f aca="false">IFERROR(__xludf.dummyfunction("SPLIT(J1345,"" "")"),"CIF")</f>
        <v>CIF</v>
      </c>
      <c r="L1345" s="28" t="str">
        <f aca="false">IFERROR(__xludf.dummyfunction("""COMPUTED_VALUE"""),"Norway")</f>
        <v>Norway</v>
      </c>
      <c r="M1345" s="27" t="str">
        <f aca="false">IFERROR(__xludf.dummyfunction("""COMPUTED_VALUE"""),"(Diff)")</f>
        <v>(Diff)</v>
      </c>
      <c r="N1345" s="25"/>
      <c r="O1345" s="25"/>
      <c r="P1345" s="25"/>
      <c r="Q1345" s="29" t="s">
        <v>243</v>
      </c>
      <c r="R1345" s="8" t="str">
        <f aca="false">B1345&amp;" "&amp;C1345&amp;" "&amp;D1345&amp;" "&amp;E1345&amp;" "&amp;G1345&amp;" "&amp;H1345&amp;" "&amp;J1345&amp;" "&amp;N1345</f>
        <v>Differentials Cathode     CIF Norway (Diff) </v>
      </c>
      <c r="S1345" s="25"/>
      <c r="T1345" s="8"/>
      <c r="U1345" s="8"/>
      <c r="V1345" s="25"/>
      <c r="W1345" s="25"/>
      <c r="X1345" s="25"/>
      <c r="Y1345" s="25"/>
      <c r="Z1345" s="25"/>
      <c r="AA1345" s="25"/>
      <c r="AB1345" s="25"/>
      <c r="AC1345" s="25"/>
      <c r="AD1345" s="25"/>
    </row>
    <row r="1346" customFormat="false" ht="15.75" hidden="false" customHeight="false" outlineLevel="0" collapsed="false">
      <c r="A1346" s="28" t="s">
        <v>1743</v>
      </c>
      <c r="B1346" s="27" t="s">
        <v>438</v>
      </c>
      <c r="C1346" s="27" t="s">
        <v>236</v>
      </c>
      <c r="D1346" s="25"/>
      <c r="E1346" s="25"/>
      <c r="F1346" s="25"/>
      <c r="G1346" s="25"/>
      <c r="H1346" s="25"/>
      <c r="I1346" s="25"/>
      <c r="J1346" s="27" t="s">
        <v>1718</v>
      </c>
      <c r="K1346" s="25" t="str">
        <f aca="false">IFERROR(__xludf.dummyfunction("SPLIT(J1346,"" "")"),"CIF")</f>
        <v>CIF</v>
      </c>
      <c r="L1346" s="28" t="str">
        <f aca="false">IFERROR(__xludf.dummyfunction("""COMPUTED_VALUE"""),"Norway")</f>
        <v>Norway</v>
      </c>
      <c r="M1346" s="27" t="str">
        <f aca="false">IFERROR(__xludf.dummyfunction("""COMPUTED_VALUE"""),"(Diff)")</f>
        <v>(Diff)</v>
      </c>
      <c r="N1346" s="25"/>
      <c r="O1346" s="25"/>
      <c r="P1346" s="25"/>
      <c r="Q1346" s="29" t="s">
        <v>239</v>
      </c>
      <c r="R1346" s="8" t="str">
        <f aca="false">B1346&amp;" "&amp;C1346&amp;" "&amp;D1346&amp;" "&amp;E1346&amp;" "&amp;G1346&amp;" "&amp;H1346&amp;" "&amp;J1346&amp;" "&amp;N1346</f>
        <v>Differentials Cathode     CIF Norway (Diff) </v>
      </c>
      <c r="S1346" s="25"/>
      <c r="T1346" s="8"/>
      <c r="U1346" s="8"/>
      <c r="V1346" s="25"/>
      <c r="W1346" s="25"/>
      <c r="X1346" s="25"/>
      <c r="Y1346" s="25"/>
      <c r="Z1346" s="25"/>
      <c r="AA1346" s="25"/>
      <c r="AB1346" s="25"/>
      <c r="AC1346" s="25"/>
      <c r="AD1346" s="25"/>
    </row>
    <row r="1347" customFormat="false" ht="15.75" hidden="false" customHeight="false" outlineLevel="0" collapsed="false">
      <c r="A1347" s="28" t="s">
        <v>1744</v>
      </c>
      <c r="B1347" s="27" t="s">
        <v>438</v>
      </c>
      <c r="C1347" s="27" t="s">
        <v>289</v>
      </c>
      <c r="D1347" s="25"/>
      <c r="E1347" s="25"/>
      <c r="F1347" s="25"/>
      <c r="G1347" s="25"/>
      <c r="H1347" s="25"/>
      <c r="I1347" s="25"/>
      <c r="J1347" s="27" t="s">
        <v>1718</v>
      </c>
      <c r="K1347" s="25" t="str">
        <f aca="false">IFERROR(__xludf.dummyfunction("SPLIT(J1347,"" "")"),"CIF")</f>
        <v>CIF</v>
      </c>
      <c r="L1347" s="28" t="str">
        <f aca="false">IFERROR(__xludf.dummyfunction("""COMPUTED_VALUE"""),"Norway")</f>
        <v>Norway</v>
      </c>
      <c r="M1347" s="27" t="str">
        <f aca="false">IFERROR(__xludf.dummyfunction("""COMPUTED_VALUE"""),"(Diff)")</f>
        <v>(Diff)</v>
      </c>
      <c r="N1347" s="25"/>
      <c r="O1347" s="25"/>
      <c r="P1347" s="25"/>
      <c r="Q1347" s="29" t="s">
        <v>306</v>
      </c>
      <c r="R1347" s="8" t="str">
        <f aca="false">B1347&amp;" "&amp;C1347&amp;" "&amp;D1347&amp;" "&amp;E1347&amp;" "&amp;G1347&amp;" "&amp;H1347&amp;" "&amp;J1347&amp;" "&amp;N1347</f>
        <v>Differentials Electrolyte     CIF Norway (Diff) </v>
      </c>
      <c r="S1347" s="25"/>
      <c r="T1347" s="8"/>
      <c r="U1347" s="8"/>
      <c r="V1347" s="25"/>
      <c r="W1347" s="25"/>
      <c r="X1347" s="25"/>
      <c r="Y1347" s="25"/>
      <c r="Z1347" s="25"/>
      <c r="AA1347" s="25"/>
      <c r="AB1347" s="25"/>
      <c r="AC1347" s="25"/>
      <c r="AD1347" s="25"/>
    </row>
    <row r="1348" customFormat="false" ht="15.75" hidden="false" customHeight="false" outlineLevel="0" collapsed="false">
      <c r="A1348" s="28" t="s">
        <v>1745</v>
      </c>
      <c r="B1348" s="27" t="s">
        <v>438</v>
      </c>
      <c r="C1348" s="27" t="s">
        <v>289</v>
      </c>
      <c r="D1348" s="25"/>
      <c r="E1348" s="25"/>
      <c r="F1348" s="25"/>
      <c r="G1348" s="25"/>
      <c r="H1348" s="25"/>
      <c r="I1348" s="25"/>
      <c r="J1348" s="27" t="s">
        <v>1718</v>
      </c>
      <c r="K1348" s="25" t="str">
        <f aca="false">IFERROR(__xludf.dummyfunction("SPLIT(J1348,"" "")"),"CIF")</f>
        <v>CIF</v>
      </c>
      <c r="L1348" s="28" t="str">
        <f aca="false">IFERROR(__xludf.dummyfunction("""COMPUTED_VALUE"""),"Norway")</f>
        <v>Norway</v>
      </c>
      <c r="M1348" s="27" t="str">
        <f aca="false">IFERROR(__xludf.dummyfunction("""COMPUTED_VALUE"""),"(Diff)")</f>
        <v>(Diff)</v>
      </c>
      <c r="N1348" s="25"/>
      <c r="O1348" s="25"/>
      <c r="P1348" s="25"/>
      <c r="Q1348" s="29" t="s">
        <v>304</v>
      </c>
      <c r="R1348" s="8" t="str">
        <f aca="false">B1348&amp;" "&amp;C1348&amp;" "&amp;D1348&amp;" "&amp;E1348&amp;" "&amp;G1348&amp;" "&amp;H1348&amp;" "&amp;J1348&amp;" "&amp;N1348</f>
        <v>Differentials Electrolyte     CIF Norway (Diff) </v>
      </c>
      <c r="S1348" s="25"/>
      <c r="T1348" s="8"/>
      <c r="U1348" s="8"/>
      <c r="V1348" s="25"/>
      <c r="W1348" s="25"/>
      <c r="X1348" s="25"/>
      <c r="Y1348" s="25"/>
      <c r="Z1348" s="25"/>
      <c r="AA1348" s="25"/>
      <c r="AB1348" s="25"/>
      <c r="AC1348" s="25"/>
      <c r="AD1348" s="25"/>
    </row>
    <row r="1349" customFormat="false" ht="15.75" hidden="false" customHeight="false" outlineLevel="0" collapsed="false">
      <c r="A1349" s="28" t="s">
        <v>1746</v>
      </c>
      <c r="B1349" s="27" t="s">
        <v>438</v>
      </c>
      <c r="C1349" s="27" t="s">
        <v>289</v>
      </c>
      <c r="D1349" s="25"/>
      <c r="E1349" s="25"/>
      <c r="F1349" s="25"/>
      <c r="G1349" s="25"/>
      <c r="H1349" s="25"/>
      <c r="I1349" s="25"/>
      <c r="J1349" s="27" t="s">
        <v>1718</v>
      </c>
      <c r="K1349" s="25" t="str">
        <f aca="false">IFERROR(__xludf.dummyfunction("SPLIT(J1349,"" "")"),"CIF")</f>
        <v>CIF</v>
      </c>
      <c r="L1349" s="28" t="str">
        <f aca="false">IFERROR(__xludf.dummyfunction("""COMPUTED_VALUE"""),"Norway")</f>
        <v>Norway</v>
      </c>
      <c r="M1349" s="27" t="str">
        <f aca="false">IFERROR(__xludf.dummyfunction("""COMPUTED_VALUE"""),"(Diff)")</f>
        <v>(Diff)</v>
      </c>
      <c r="N1349" s="25"/>
      <c r="O1349" s="25"/>
      <c r="P1349" s="25"/>
      <c r="Q1349" s="29" t="s">
        <v>302</v>
      </c>
      <c r="R1349" s="8" t="str">
        <f aca="false">B1349&amp;" "&amp;C1349&amp;" "&amp;D1349&amp;" "&amp;E1349&amp;" "&amp;G1349&amp;" "&amp;H1349&amp;" "&amp;J1349&amp;" "&amp;N1349</f>
        <v>Differentials Electrolyte     CIF Norway (Diff) </v>
      </c>
      <c r="S1349" s="25"/>
      <c r="T1349" s="8"/>
      <c r="U1349" s="8"/>
      <c r="V1349" s="25"/>
      <c r="W1349" s="25"/>
      <c r="X1349" s="25"/>
      <c r="Y1349" s="25"/>
      <c r="Z1349" s="25"/>
      <c r="AA1349" s="25"/>
      <c r="AB1349" s="25"/>
      <c r="AC1349" s="25"/>
      <c r="AD1349" s="25"/>
    </row>
    <row r="1350" customFormat="false" ht="15.75" hidden="false" customHeight="false" outlineLevel="0" collapsed="false">
      <c r="A1350" s="28" t="s">
        <v>1747</v>
      </c>
      <c r="B1350" s="27" t="s">
        <v>438</v>
      </c>
      <c r="C1350" s="27" t="s">
        <v>289</v>
      </c>
      <c r="D1350" s="25"/>
      <c r="E1350" s="25"/>
      <c r="F1350" s="25"/>
      <c r="G1350" s="25"/>
      <c r="H1350" s="25"/>
      <c r="I1350" s="25"/>
      <c r="J1350" s="27" t="s">
        <v>1718</v>
      </c>
      <c r="K1350" s="25" t="str">
        <f aca="false">IFERROR(__xludf.dummyfunction("SPLIT(J1350,"" "")"),"CIF")</f>
        <v>CIF</v>
      </c>
      <c r="L1350" s="28" t="str">
        <f aca="false">IFERROR(__xludf.dummyfunction("""COMPUTED_VALUE"""),"Norway")</f>
        <v>Norway</v>
      </c>
      <c r="M1350" s="27" t="str">
        <f aca="false">IFERROR(__xludf.dummyfunction("""COMPUTED_VALUE"""),"(Diff)")</f>
        <v>(Diff)</v>
      </c>
      <c r="N1350" s="25"/>
      <c r="O1350" s="25"/>
      <c r="P1350" s="25"/>
      <c r="Q1350" s="29" t="s">
        <v>300</v>
      </c>
      <c r="R1350" s="8" t="str">
        <f aca="false">B1350&amp;" "&amp;C1350&amp;" "&amp;D1350&amp;" "&amp;E1350&amp;" "&amp;G1350&amp;" "&amp;H1350&amp;" "&amp;J1350&amp;" "&amp;N1350</f>
        <v>Differentials Electrolyte     CIF Norway (Diff) </v>
      </c>
      <c r="S1350" s="25"/>
      <c r="T1350" s="8"/>
      <c r="U1350" s="8"/>
      <c r="V1350" s="25"/>
      <c r="W1350" s="25"/>
      <c r="X1350" s="25"/>
      <c r="Y1350" s="25"/>
      <c r="Z1350" s="25"/>
      <c r="AA1350" s="25"/>
      <c r="AB1350" s="25"/>
      <c r="AC1350" s="25"/>
      <c r="AD1350" s="25"/>
    </row>
    <row r="1351" customFormat="false" ht="15.75" hidden="false" customHeight="false" outlineLevel="0" collapsed="false">
      <c r="A1351" s="28" t="s">
        <v>1748</v>
      </c>
      <c r="B1351" s="27" t="s">
        <v>438</v>
      </c>
      <c r="C1351" s="27" t="s">
        <v>289</v>
      </c>
      <c r="D1351" s="25"/>
      <c r="E1351" s="25"/>
      <c r="F1351" s="25"/>
      <c r="G1351" s="25"/>
      <c r="H1351" s="25"/>
      <c r="I1351" s="25"/>
      <c r="J1351" s="27" t="s">
        <v>1718</v>
      </c>
      <c r="K1351" s="25" t="str">
        <f aca="false">IFERROR(__xludf.dummyfunction("SPLIT(J1351,"" "")"),"CIF")</f>
        <v>CIF</v>
      </c>
      <c r="L1351" s="28" t="str">
        <f aca="false">IFERROR(__xludf.dummyfunction("""COMPUTED_VALUE"""),"Norway")</f>
        <v>Norway</v>
      </c>
      <c r="M1351" s="27" t="str">
        <f aca="false">IFERROR(__xludf.dummyfunction("""COMPUTED_VALUE"""),"(Diff)")</f>
        <v>(Diff)</v>
      </c>
      <c r="N1351" s="25"/>
      <c r="O1351" s="25"/>
      <c r="P1351" s="25"/>
      <c r="Q1351" s="29" t="s">
        <v>298</v>
      </c>
      <c r="R1351" s="8" t="str">
        <f aca="false">B1351&amp;" "&amp;C1351&amp;" "&amp;D1351&amp;" "&amp;E1351&amp;" "&amp;G1351&amp;" "&amp;H1351&amp;" "&amp;J1351&amp;" "&amp;N1351</f>
        <v>Differentials Electrolyte     CIF Norway (Diff) </v>
      </c>
      <c r="S1351" s="25"/>
      <c r="T1351" s="8"/>
      <c r="U1351" s="8"/>
      <c r="V1351" s="25"/>
      <c r="W1351" s="25"/>
      <c r="X1351" s="25"/>
      <c r="Y1351" s="25"/>
      <c r="Z1351" s="25"/>
      <c r="AA1351" s="25"/>
      <c r="AB1351" s="25"/>
      <c r="AC1351" s="25"/>
      <c r="AD1351" s="25"/>
    </row>
    <row r="1352" customFormat="false" ht="15.75" hidden="false" customHeight="false" outlineLevel="0" collapsed="false">
      <c r="A1352" s="28" t="s">
        <v>1749</v>
      </c>
      <c r="B1352" s="27" t="s">
        <v>438</v>
      </c>
      <c r="C1352" s="27" t="s">
        <v>289</v>
      </c>
      <c r="D1352" s="25"/>
      <c r="E1352" s="25"/>
      <c r="F1352" s="25"/>
      <c r="G1352" s="25"/>
      <c r="H1352" s="25"/>
      <c r="I1352" s="25"/>
      <c r="J1352" s="27" t="s">
        <v>1718</v>
      </c>
      <c r="K1352" s="25" t="str">
        <f aca="false">IFERROR(__xludf.dummyfunction("SPLIT(J1352,"" "")"),"CIF")</f>
        <v>CIF</v>
      </c>
      <c r="L1352" s="28" t="str">
        <f aca="false">IFERROR(__xludf.dummyfunction("""COMPUTED_VALUE"""),"Norway")</f>
        <v>Norway</v>
      </c>
      <c r="M1352" s="27" t="str">
        <f aca="false">IFERROR(__xludf.dummyfunction("""COMPUTED_VALUE"""),"(Diff)")</f>
        <v>(Diff)</v>
      </c>
      <c r="N1352" s="25"/>
      <c r="O1352" s="25"/>
      <c r="P1352" s="25"/>
      <c r="Q1352" s="29" t="s">
        <v>296</v>
      </c>
      <c r="R1352" s="8" t="str">
        <f aca="false">B1352&amp;" "&amp;C1352&amp;" "&amp;D1352&amp;" "&amp;E1352&amp;" "&amp;G1352&amp;" "&amp;H1352&amp;" "&amp;J1352&amp;" "&amp;N1352</f>
        <v>Differentials Electrolyte     CIF Norway (Diff) </v>
      </c>
      <c r="S1352" s="25"/>
      <c r="T1352" s="8"/>
      <c r="U1352" s="8"/>
      <c r="V1352" s="25"/>
      <c r="W1352" s="25"/>
      <c r="X1352" s="25"/>
      <c r="Y1352" s="25"/>
      <c r="Z1352" s="25"/>
      <c r="AA1352" s="25"/>
      <c r="AB1352" s="25"/>
      <c r="AC1352" s="25"/>
      <c r="AD1352" s="25"/>
    </row>
    <row r="1353" customFormat="false" ht="15.75" hidden="false" customHeight="false" outlineLevel="0" collapsed="false">
      <c r="A1353" s="28" t="s">
        <v>1750</v>
      </c>
      <c r="B1353" s="27" t="s">
        <v>438</v>
      </c>
      <c r="C1353" s="27" t="s">
        <v>289</v>
      </c>
      <c r="D1353" s="25"/>
      <c r="E1353" s="25"/>
      <c r="F1353" s="25"/>
      <c r="G1353" s="25"/>
      <c r="H1353" s="25"/>
      <c r="I1353" s="25"/>
      <c r="J1353" s="27" t="s">
        <v>1718</v>
      </c>
      <c r="K1353" s="25" t="str">
        <f aca="false">IFERROR(__xludf.dummyfunction("SPLIT(J1353,"" "")"),"CIF")</f>
        <v>CIF</v>
      </c>
      <c r="L1353" s="28" t="str">
        <f aca="false">IFERROR(__xludf.dummyfunction("""COMPUTED_VALUE"""),"Norway")</f>
        <v>Norway</v>
      </c>
      <c r="M1353" s="27" t="str">
        <f aca="false">IFERROR(__xludf.dummyfunction("""COMPUTED_VALUE"""),"(Diff)")</f>
        <v>(Diff)</v>
      </c>
      <c r="N1353" s="25"/>
      <c r="O1353" s="25"/>
      <c r="P1353" s="25"/>
      <c r="Q1353" s="29" t="s">
        <v>294</v>
      </c>
      <c r="R1353" s="8" t="str">
        <f aca="false">B1353&amp;" "&amp;C1353&amp;" "&amp;D1353&amp;" "&amp;E1353&amp;" "&amp;G1353&amp;" "&amp;H1353&amp;" "&amp;J1353&amp;" "&amp;N1353</f>
        <v>Differentials Electrolyte     CIF Norway (Diff) </v>
      </c>
      <c r="S1353" s="25"/>
      <c r="T1353" s="8"/>
      <c r="U1353" s="8"/>
      <c r="V1353" s="25"/>
      <c r="W1353" s="25"/>
      <c r="X1353" s="25"/>
      <c r="Y1353" s="25"/>
      <c r="Z1353" s="25"/>
      <c r="AA1353" s="25"/>
      <c r="AB1353" s="25"/>
      <c r="AC1353" s="25"/>
      <c r="AD1353" s="25"/>
    </row>
    <row r="1354" customFormat="false" ht="15.75" hidden="false" customHeight="false" outlineLevel="0" collapsed="false">
      <c r="A1354" s="28" t="s">
        <v>1751</v>
      </c>
      <c r="B1354" s="27" t="s">
        <v>438</v>
      </c>
      <c r="C1354" s="27" t="s">
        <v>289</v>
      </c>
      <c r="D1354" s="25"/>
      <c r="E1354" s="25"/>
      <c r="F1354" s="25"/>
      <c r="G1354" s="25"/>
      <c r="H1354" s="25"/>
      <c r="I1354" s="25"/>
      <c r="J1354" s="27" t="s">
        <v>1718</v>
      </c>
      <c r="K1354" s="25" t="str">
        <f aca="false">IFERROR(__xludf.dummyfunction("SPLIT(J1354,"" "")"),"CIF")</f>
        <v>CIF</v>
      </c>
      <c r="L1354" s="28" t="str">
        <f aca="false">IFERROR(__xludf.dummyfunction("""COMPUTED_VALUE"""),"Norway")</f>
        <v>Norway</v>
      </c>
      <c r="M1354" s="27" t="str">
        <f aca="false">IFERROR(__xludf.dummyfunction("""COMPUTED_VALUE"""),"(Diff)")</f>
        <v>(Diff)</v>
      </c>
      <c r="N1354" s="25"/>
      <c r="O1354" s="25"/>
      <c r="P1354" s="25"/>
      <c r="Q1354" s="29" t="s">
        <v>291</v>
      </c>
      <c r="R1354" s="8" t="str">
        <f aca="false">B1354&amp;" "&amp;C1354&amp;" "&amp;D1354&amp;" "&amp;E1354&amp;" "&amp;G1354&amp;" "&amp;H1354&amp;" "&amp;J1354&amp;" "&amp;N1354</f>
        <v>Differentials Electrolyte     CIF Norway (Diff) </v>
      </c>
      <c r="S1354" s="25"/>
      <c r="T1354" s="8"/>
      <c r="U1354" s="8"/>
      <c r="V1354" s="25"/>
      <c r="W1354" s="25"/>
      <c r="X1354" s="25"/>
      <c r="Y1354" s="25"/>
      <c r="Z1354" s="25"/>
      <c r="AA1354" s="25"/>
      <c r="AB1354" s="25"/>
      <c r="AC1354" s="25"/>
      <c r="AD1354" s="25"/>
    </row>
    <row r="1355" customFormat="false" ht="15.75" hidden="false" customHeight="false" outlineLevel="0" collapsed="false">
      <c r="A1355" s="28" t="s">
        <v>1752</v>
      </c>
      <c r="B1355" s="27" t="s">
        <v>438</v>
      </c>
      <c r="C1355" s="27" t="s">
        <v>308</v>
      </c>
      <c r="D1355" s="25"/>
      <c r="E1355" s="25"/>
      <c r="F1355" s="25"/>
      <c r="G1355" s="25"/>
      <c r="H1355" s="25"/>
      <c r="I1355" s="25"/>
      <c r="J1355" s="27" t="s">
        <v>1718</v>
      </c>
      <c r="K1355" s="25" t="str">
        <f aca="false">IFERROR(__xludf.dummyfunction("SPLIT(J1355,"" "")"),"CIF")</f>
        <v>CIF</v>
      </c>
      <c r="L1355" s="28" t="str">
        <f aca="false">IFERROR(__xludf.dummyfunction("""COMPUTED_VALUE"""),"Norway")</f>
        <v>Norway</v>
      </c>
      <c r="M1355" s="27" t="str">
        <f aca="false">IFERROR(__xludf.dummyfunction("""COMPUTED_VALUE"""),"(Diff)")</f>
        <v>(Diff)</v>
      </c>
      <c r="N1355" s="25"/>
      <c r="O1355" s="25"/>
      <c r="P1355" s="25"/>
      <c r="Q1355" s="29" t="s">
        <v>358</v>
      </c>
      <c r="R1355" s="8" t="str">
        <f aca="false">B1355&amp;" "&amp;C1355&amp;" "&amp;D1355&amp;" "&amp;E1355&amp;" "&amp;G1355&amp;" "&amp;H1355&amp;" "&amp;J1355&amp;" "&amp;N1355</f>
        <v>Differentials Graphite     CIF Norway (Diff) </v>
      </c>
      <c r="S1355" s="25"/>
      <c r="T1355" s="8"/>
      <c r="U1355" s="8"/>
      <c r="V1355" s="25"/>
      <c r="W1355" s="25"/>
      <c r="X1355" s="25"/>
      <c r="Y1355" s="25"/>
      <c r="Z1355" s="25"/>
      <c r="AA1355" s="25"/>
      <c r="AB1355" s="25"/>
      <c r="AC1355" s="25"/>
      <c r="AD1355" s="25"/>
    </row>
    <row r="1356" customFormat="false" ht="15.75" hidden="false" customHeight="false" outlineLevel="0" collapsed="false">
      <c r="A1356" s="28" t="s">
        <v>1753</v>
      </c>
      <c r="B1356" s="27" t="s">
        <v>438</v>
      </c>
      <c r="C1356" s="27" t="s">
        <v>308</v>
      </c>
      <c r="D1356" s="25"/>
      <c r="E1356" s="25"/>
      <c r="F1356" s="25"/>
      <c r="G1356" s="25"/>
      <c r="H1356" s="25"/>
      <c r="I1356" s="25"/>
      <c r="J1356" s="27" t="s">
        <v>1718</v>
      </c>
      <c r="K1356" s="25" t="str">
        <f aca="false">IFERROR(__xludf.dummyfunction("SPLIT(J1356,"" "")"),"CIF")</f>
        <v>CIF</v>
      </c>
      <c r="L1356" s="28" t="str">
        <f aca="false">IFERROR(__xludf.dummyfunction("""COMPUTED_VALUE"""),"Norway")</f>
        <v>Norway</v>
      </c>
      <c r="M1356" s="27" t="str">
        <f aca="false">IFERROR(__xludf.dummyfunction("""COMPUTED_VALUE"""),"(Diff)")</f>
        <v>(Diff)</v>
      </c>
      <c r="N1356" s="25"/>
      <c r="O1356" s="25"/>
      <c r="P1356" s="25"/>
      <c r="Q1356" s="29" t="s">
        <v>356</v>
      </c>
      <c r="R1356" s="8" t="str">
        <f aca="false">B1356&amp;" "&amp;C1356&amp;" "&amp;D1356&amp;" "&amp;E1356&amp;" "&amp;G1356&amp;" "&amp;H1356&amp;" "&amp;J1356&amp;" "&amp;N1356</f>
        <v>Differentials Graphite     CIF Norway (Diff) </v>
      </c>
      <c r="S1356" s="25"/>
      <c r="T1356" s="8"/>
      <c r="U1356" s="8"/>
      <c r="V1356" s="25"/>
      <c r="W1356" s="25"/>
      <c r="X1356" s="25"/>
      <c r="Y1356" s="25"/>
      <c r="Z1356" s="25"/>
      <c r="AA1356" s="25"/>
      <c r="AB1356" s="25"/>
      <c r="AC1356" s="25"/>
      <c r="AD1356" s="25"/>
    </row>
    <row r="1357" customFormat="false" ht="15.75" hidden="false" customHeight="false" outlineLevel="0" collapsed="false">
      <c r="A1357" s="28" t="s">
        <v>1754</v>
      </c>
      <c r="B1357" s="27" t="s">
        <v>438</v>
      </c>
      <c r="C1357" s="27" t="s">
        <v>308</v>
      </c>
      <c r="D1357" s="25"/>
      <c r="E1357" s="25"/>
      <c r="F1357" s="25"/>
      <c r="G1357" s="25"/>
      <c r="H1357" s="25"/>
      <c r="I1357" s="25"/>
      <c r="J1357" s="27" t="s">
        <v>1718</v>
      </c>
      <c r="K1357" s="25" t="str">
        <f aca="false">IFERROR(__xludf.dummyfunction("SPLIT(J1357,"" "")"),"CIF")</f>
        <v>CIF</v>
      </c>
      <c r="L1357" s="28" t="str">
        <f aca="false">IFERROR(__xludf.dummyfunction("""COMPUTED_VALUE"""),"Norway")</f>
        <v>Norway</v>
      </c>
      <c r="M1357" s="27" t="str">
        <f aca="false">IFERROR(__xludf.dummyfunction("""COMPUTED_VALUE"""),"(Diff)")</f>
        <v>(Diff)</v>
      </c>
      <c r="N1357" s="25"/>
      <c r="O1357" s="25"/>
      <c r="P1357" s="25"/>
      <c r="Q1357" s="29" t="s">
        <v>354</v>
      </c>
      <c r="R1357" s="8" t="str">
        <f aca="false">B1357&amp;" "&amp;C1357&amp;" "&amp;D1357&amp;" "&amp;E1357&amp;" "&amp;G1357&amp;" "&amp;H1357&amp;" "&amp;J1357&amp;" "&amp;N1357</f>
        <v>Differentials Graphite     CIF Norway (Diff) </v>
      </c>
      <c r="S1357" s="25"/>
      <c r="T1357" s="8"/>
      <c r="U1357" s="8"/>
      <c r="V1357" s="25"/>
      <c r="W1357" s="25"/>
      <c r="X1357" s="25"/>
      <c r="Y1357" s="25"/>
      <c r="Z1357" s="25"/>
      <c r="AA1357" s="25"/>
      <c r="AB1357" s="25"/>
      <c r="AC1357" s="25"/>
      <c r="AD1357" s="25"/>
    </row>
    <row r="1358" customFormat="false" ht="15.75" hidden="false" customHeight="false" outlineLevel="0" collapsed="false">
      <c r="A1358" s="28" t="s">
        <v>1755</v>
      </c>
      <c r="B1358" s="27" t="s">
        <v>438</v>
      </c>
      <c r="C1358" s="27" t="s">
        <v>308</v>
      </c>
      <c r="D1358" s="25"/>
      <c r="E1358" s="25"/>
      <c r="F1358" s="25"/>
      <c r="G1358" s="25"/>
      <c r="H1358" s="25"/>
      <c r="I1358" s="25"/>
      <c r="J1358" s="27" t="s">
        <v>1718</v>
      </c>
      <c r="K1358" s="25" t="str">
        <f aca="false">IFERROR(__xludf.dummyfunction("SPLIT(J1358,"" "")"),"CIF")</f>
        <v>CIF</v>
      </c>
      <c r="L1358" s="28" t="str">
        <f aca="false">IFERROR(__xludf.dummyfunction("""COMPUTED_VALUE"""),"Norway")</f>
        <v>Norway</v>
      </c>
      <c r="M1358" s="27" t="str">
        <f aca="false">IFERROR(__xludf.dummyfunction("""COMPUTED_VALUE"""),"(Diff)")</f>
        <v>(Diff)</v>
      </c>
      <c r="N1358" s="25"/>
      <c r="O1358" s="25"/>
      <c r="P1358" s="25"/>
      <c r="Q1358" s="29" t="s">
        <v>352</v>
      </c>
      <c r="R1358" s="8" t="str">
        <f aca="false">B1358&amp;" "&amp;C1358&amp;" "&amp;D1358&amp;" "&amp;E1358&amp;" "&amp;G1358&amp;" "&amp;H1358&amp;" "&amp;J1358&amp;" "&amp;N1358</f>
        <v>Differentials Graphite     CIF Norway (Diff) </v>
      </c>
      <c r="S1358" s="25"/>
      <c r="T1358" s="8"/>
      <c r="U1358" s="8"/>
      <c r="V1358" s="25"/>
      <c r="W1358" s="25"/>
      <c r="X1358" s="25"/>
      <c r="Y1358" s="25"/>
      <c r="Z1358" s="25"/>
      <c r="AA1358" s="25"/>
      <c r="AB1358" s="25"/>
      <c r="AC1358" s="25"/>
      <c r="AD1358" s="25"/>
    </row>
    <row r="1359" customFormat="false" ht="15.75" hidden="false" customHeight="false" outlineLevel="0" collapsed="false">
      <c r="A1359" s="28" t="s">
        <v>1756</v>
      </c>
      <c r="B1359" s="27" t="s">
        <v>438</v>
      </c>
      <c r="C1359" s="27" t="s">
        <v>308</v>
      </c>
      <c r="D1359" s="25"/>
      <c r="E1359" s="25"/>
      <c r="F1359" s="25"/>
      <c r="G1359" s="25"/>
      <c r="H1359" s="25"/>
      <c r="I1359" s="25"/>
      <c r="J1359" s="27" t="s">
        <v>1718</v>
      </c>
      <c r="K1359" s="25" t="str">
        <f aca="false">IFERROR(__xludf.dummyfunction("SPLIT(J1359,"" "")"),"CIF")</f>
        <v>CIF</v>
      </c>
      <c r="L1359" s="28" t="str">
        <f aca="false">IFERROR(__xludf.dummyfunction("""COMPUTED_VALUE"""),"Norway")</f>
        <v>Norway</v>
      </c>
      <c r="M1359" s="27" t="str">
        <f aca="false">IFERROR(__xludf.dummyfunction("""COMPUTED_VALUE"""),"(Diff)")</f>
        <v>(Diff)</v>
      </c>
      <c r="N1359" s="25"/>
      <c r="O1359" s="25"/>
      <c r="P1359" s="25"/>
      <c r="Q1359" s="29" t="s">
        <v>350</v>
      </c>
      <c r="R1359" s="8" t="str">
        <f aca="false">B1359&amp;" "&amp;C1359&amp;" "&amp;D1359&amp;" "&amp;E1359&amp;" "&amp;G1359&amp;" "&amp;H1359&amp;" "&amp;J1359&amp;" "&amp;N1359</f>
        <v>Differentials Graphite     CIF Norway (Diff) </v>
      </c>
      <c r="S1359" s="25"/>
      <c r="T1359" s="8"/>
      <c r="U1359" s="8"/>
      <c r="V1359" s="25"/>
      <c r="W1359" s="25"/>
      <c r="X1359" s="25"/>
      <c r="Y1359" s="25"/>
      <c r="Z1359" s="25"/>
      <c r="AA1359" s="25"/>
      <c r="AB1359" s="25"/>
      <c r="AC1359" s="25"/>
      <c r="AD1359" s="25"/>
    </row>
    <row r="1360" customFormat="false" ht="15.75" hidden="false" customHeight="false" outlineLevel="0" collapsed="false">
      <c r="A1360" s="28" t="s">
        <v>1757</v>
      </c>
      <c r="B1360" s="27" t="s">
        <v>438</v>
      </c>
      <c r="C1360" s="27" t="s">
        <v>308</v>
      </c>
      <c r="D1360" s="25"/>
      <c r="E1360" s="25"/>
      <c r="F1360" s="25"/>
      <c r="G1360" s="25"/>
      <c r="H1360" s="25"/>
      <c r="I1360" s="25"/>
      <c r="J1360" s="27" t="s">
        <v>1718</v>
      </c>
      <c r="K1360" s="25" t="str">
        <f aca="false">IFERROR(__xludf.dummyfunction("SPLIT(J1360,"" "")"),"CIF")</f>
        <v>CIF</v>
      </c>
      <c r="L1360" s="28" t="str">
        <f aca="false">IFERROR(__xludf.dummyfunction("""COMPUTED_VALUE"""),"Norway")</f>
        <v>Norway</v>
      </c>
      <c r="M1360" s="27" t="str">
        <f aca="false">IFERROR(__xludf.dummyfunction("""COMPUTED_VALUE"""),"(Diff)")</f>
        <v>(Diff)</v>
      </c>
      <c r="N1360" s="25"/>
      <c r="O1360" s="25"/>
      <c r="P1360" s="25"/>
      <c r="Q1360" s="29" t="s">
        <v>347</v>
      </c>
      <c r="R1360" s="8" t="str">
        <f aca="false">B1360&amp;" "&amp;C1360&amp;" "&amp;D1360&amp;" "&amp;E1360&amp;" "&amp;G1360&amp;" "&amp;H1360&amp;" "&amp;J1360&amp;" "&amp;N1360</f>
        <v>Differentials Graphite     CIF Norway (Diff) </v>
      </c>
      <c r="S1360" s="25"/>
      <c r="T1360" s="8"/>
      <c r="U1360" s="8"/>
      <c r="V1360" s="25"/>
      <c r="W1360" s="25"/>
      <c r="X1360" s="25"/>
      <c r="Y1360" s="25"/>
      <c r="Z1360" s="25"/>
      <c r="AA1360" s="25"/>
      <c r="AB1360" s="25"/>
      <c r="AC1360" s="25"/>
      <c r="AD1360" s="25"/>
    </row>
    <row r="1361" customFormat="false" ht="15.75" hidden="false" customHeight="false" outlineLevel="0" collapsed="false">
      <c r="A1361" s="28" t="s">
        <v>1758</v>
      </c>
      <c r="B1361" s="27" t="s">
        <v>438</v>
      </c>
      <c r="C1361" s="27" t="s">
        <v>308</v>
      </c>
      <c r="D1361" s="25"/>
      <c r="E1361" s="25"/>
      <c r="F1361" s="25"/>
      <c r="G1361" s="25"/>
      <c r="H1361" s="25"/>
      <c r="I1361" s="25"/>
      <c r="J1361" s="27" t="s">
        <v>1718</v>
      </c>
      <c r="K1361" s="25" t="str">
        <f aca="false">IFERROR(__xludf.dummyfunction("SPLIT(J1361,"" "")"),"CIF")</f>
        <v>CIF</v>
      </c>
      <c r="L1361" s="28" t="str">
        <f aca="false">IFERROR(__xludf.dummyfunction("""COMPUTED_VALUE"""),"Norway")</f>
        <v>Norway</v>
      </c>
      <c r="M1361" s="27" t="str">
        <f aca="false">IFERROR(__xludf.dummyfunction("""COMPUTED_VALUE"""),"(Diff)")</f>
        <v>(Diff)</v>
      </c>
      <c r="N1361" s="25"/>
      <c r="O1361" s="25"/>
      <c r="P1361" s="25"/>
      <c r="Q1361" s="29" t="s">
        <v>344</v>
      </c>
      <c r="R1361" s="8" t="str">
        <f aca="false">B1361&amp;" "&amp;C1361&amp;" "&amp;D1361&amp;" "&amp;E1361&amp;" "&amp;G1361&amp;" "&amp;H1361&amp;" "&amp;J1361&amp;" "&amp;N1361</f>
        <v>Differentials Graphite     CIF Norway (Diff) </v>
      </c>
      <c r="S1361" s="25"/>
      <c r="T1361" s="8"/>
      <c r="U1361" s="8"/>
      <c r="V1361" s="25"/>
      <c r="W1361" s="25"/>
      <c r="X1361" s="25"/>
      <c r="Y1361" s="25"/>
      <c r="Z1361" s="25"/>
      <c r="AA1361" s="25"/>
      <c r="AB1361" s="25"/>
      <c r="AC1361" s="25"/>
      <c r="AD1361" s="25"/>
    </row>
    <row r="1362" customFormat="false" ht="15.75" hidden="false" customHeight="false" outlineLevel="0" collapsed="false">
      <c r="A1362" s="28" t="s">
        <v>1759</v>
      </c>
      <c r="B1362" s="27" t="s">
        <v>438</v>
      </c>
      <c r="C1362" s="27" t="s">
        <v>308</v>
      </c>
      <c r="D1362" s="25"/>
      <c r="E1362" s="25"/>
      <c r="F1362" s="25"/>
      <c r="G1362" s="25"/>
      <c r="H1362" s="25"/>
      <c r="I1362" s="25"/>
      <c r="J1362" s="27" t="s">
        <v>1718</v>
      </c>
      <c r="K1362" s="25" t="str">
        <f aca="false">IFERROR(__xludf.dummyfunction("SPLIT(J1362,"" "")"),"CIF")</f>
        <v>CIF</v>
      </c>
      <c r="L1362" s="28" t="str">
        <f aca="false">IFERROR(__xludf.dummyfunction("""COMPUTED_VALUE"""),"Norway")</f>
        <v>Norway</v>
      </c>
      <c r="M1362" s="27" t="str">
        <f aca="false">IFERROR(__xludf.dummyfunction("""COMPUTED_VALUE"""),"(Diff)")</f>
        <v>(Diff)</v>
      </c>
      <c r="N1362" s="25"/>
      <c r="O1362" s="25"/>
      <c r="P1362" s="25"/>
      <c r="Q1362" s="29" t="s">
        <v>340</v>
      </c>
      <c r="R1362" s="8" t="str">
        <f aca="false">B1362&amp;" "&amp;C1362&amp;" "&amp;D1362&amp;" "&amp;E1362&amp;" "&amp;G1362&amp;" "&amp;H1362&amp;" "&amp;J1362&amp;" "&amp;N1362</f>
        <v>Differentials Graphite     CIF Norway (Diff) </v>
      </c>
      <c r="S1362" s="25"/>
      <c r="T1362" s="8"/>
      <c r="U1362" s="8"/>
      <c r="V1362" s="25"/>
      <c r="W1362" s="25"/>
      <c r="X1362" s="25"/>
      <c r="Y1362" s="25"/>
      <c r="Z1362" s="25"/>
      <c r="AA1362" s="25"/>
      <c r="AB1362" s="25"/>
      <c r="AC1362" s="25"/>
      <c r="AD1362" s="25"/>
    </row>
    <row r="1363" customFormat="false" ht="15.75" hidden="false" customHeight="false" outlineLevel="0" collapsed="false">
      <c r="A1363" s="28" t="s">
        <v>1760</v>
      </c>
      <c r="B1363" s="27" t="s">
        <v>438</v>
      </c>
      <c r="C1363" s="27" t="s">
        <v>308</v>
      </c>
      <c r="D1363" s="25"/>
      <c r="E1363" s="25"/>
      <c r="F1363" s="25"/>
      <c r="G1363" s="25"/>
      <c r="H1363" s="25"/>
      <c r="I1363" s="25"/>
      <c r="J1363" s="27" t="s">
        <v>1718</v>
      </c>
      <c r="K1363" s="25" t="str">
        <f aca="false">IFERROR(__xludf.dummyfunction("SPLIT(J1363,"" "")"),"CIF")</f>
        <v>CIF</v>
      </c>
      <c r="L1363" s="28" t="str">
        <f aca="false">IFERROR(__xludf.dummyfunction("""COMPUTED_VALUE"""),"Norway")</f>
        <v>Norway</v>
      </c>
      <c r="M1363" s="27" t="str">
        <f aca="false">IFERROR(__xludf.dummyfunction("""COMPUTED_VALUE"""),"(Diff)")</f>
        <v>(Diff)</v>
      </c>
      <c r="N1363" s="25"/>
      <c r="O1363" s="25"/>
      <c r="P1363" s="25"/>
      <c r="Q1363" s="29" t="s">
        <v>338</v>
      </c>
      <c r="R1363" s="8" t="str">
        <f aca="false">B1363&amp;" "&amp;C1363&amp;" "&amp;D1363&amp;" "&amp;E1363&amp;" "&amp;G1363&amp;" "&amp;H1363&amp;" "&amp;J1363&amp;" "&amp;N1363</f>
        <v>Differentials Graphite     CIF Norway (Diff) </v>
      </c>
      <c r="S1363" s="25"/>
      <c r="T1363" s="8"/>
      <c r="U1363" s="8"/>
      <c r="V1363" s="25"/>
      <c r="W1363" s="25"/>
      <c r="X1363" s="25"/>
      <c r="Y1363" s="25"/>
      <c r="Z1363" s="25"/>
      <c r="AA1363" s="25"/>
      <c r="AB1363" s="25"/>
      <c r="AC1363" s="25"/>
      <c r="AD1363" s="25"/>
    </row>
    <row r="1364" customFormat="false" ht="15.75" hidden="false" customHeight="false" outlineLevel="0" collapsed="false">
      <c r="A1364" s="28" t="s">
        <v>1761</v>
      </c>
      <c r="B1364" s="27" t="s">
        <v>438</v>
      </c>
      <c r="C1364" s="27" t="s">
        <v>308</v>
      </c>
      <c r="D1364" s="25"/>
      <c r="E1364" s="25"/>
      <c r="F1364" s="25"/>
      <c r="G1364" s="25"/>
      <c r="H1364" s="25"/>
      <c r="I1364" s="25"/>
      <c r="J1364" s="27" t="s">
        <v>1718</v>
      </c>
      <c r="K1364" s="25" t="str">
        <f aca="false">IFERROR(__xludf.dummyfunction("SPLIT(J1364,"" "")"),"CIF")</f>
        <v>CIF</v>
      </c>
      <c r="L1364" s="28" t="str">
        <f aca="false">IFERROR(__xludf.dummyfunction("""COMPUTED_VALUE"""),"Norway")</f>
        <v>Norway</v>
      </c>
      <c r="M1364" s="27" t="str">
        <f aca="false">IFERROR(__xludf.dummyfunction("""COMPUTED_VALUE"""),"(Diff)")</f>
        <v>(Diff)</v>
      </c>
      <c r="N1364" s="25"/>
      <c r="O1364" s="25"/>
      <c r="P1364" s="25"/>
      <c r="Q1364" s="29" t="s">
        <v>335</v>
      </c>
      <c r="R1364" s="8" t="str">
        <f aca="false">B1364&amp;" "&amp;C1364&amp;" "&amp;D1364&amp;" "&amp;E1364&amp;" "&amp;G1364&amp;" "&amp;H1364&amp;" "&amp;J1364&amp;" "&amp;N1364</f>
        <v>Differentials Graphite     CIF Norway (Diff) </v>
      </c>
      <c r="S1364" s="25"/>
      <c r="T1364" s="8"/>
      <c r="U1364" s="8"/>
      <c r="V1364" s="25"/>
      <c r="W1364" s="25"/>
      <c r="X1364" s="25"/>
      <c r="Y1364" s="25"/>
      <c r="Z1364" s="25"/>
      <c r="AA1364" s="25"/>
      <c r="AB1364" s="25"/>
      <c r="AC1364" s="25"/>
      <c r="AD1364" s="25"/>
    </row>
    <row r="1365" customFormat="false" ht="15.75" hidden="false" customHeight="false" outlineLevel="0" collapsed="false">
      <c r="A1365" s="28" t="s">
        <v>1762</v>
      </c>
      <c r="B1365" s="27" t="s">
        <v>438</v>
      </c>
      <c r="C1365" s="27" t="s">
        <v>308</v>
      </c>
      <c r="D1365" s="25"/>
      <c r="E1365" s="25"/>
      <c r="F1365" s="25"/>
      <c r="G1365" s="25"/>
      <c r="H1365" s="25"/>
      <c r="I1365" s="25"/>
      <c r="J1365" s="27" t="s">
        <v>1718</v>
      </c>
      <c r="K1365" s="25" t="str">
        <f aca="false">IFERROR(__xludf.dummyfunction("SPLIT(J1365,"" "")"),"CIF")</f>
        <v>CIF</v>
      </c>
      <c r="L1365" s="28" t="str">
        <f aca="false">IFERROR(__xludf.dummyfunction("""COMPUTED_VALUE"""),"Norway")</f>
        <v>Norway</v>
      </c>
      <c r="M1365" s="27" t="str">
        <f aca="false">IFERROR(__xludf.dummyfunction("""COMPUTED_VALUE"""),"(Diff)")</f>
        <v>(Diff)</v>
      </c>
      <c r="N1365" s="25"/>
      <c r="O1365" s="25"/>
      <c r="P1365" s="25"/>
      <c r="Q1365" s="29" t="s">
        <v>332</v>
      </c>
      <c r="R1365" s="8" t="str">
        <f aca="false">B1365&amp;" "&amp;C1365&amp;" "&amp;D1365&amp;" "&amp;E1365&amp;" "&amp;G1365&amp;" "&amp;H1365&amp;" "&amp;J1365&amp;" "&amp;N1365</f>
        <v>Differentials Graphite     CIF Norway (Diff) </v>
      </c>
      <c r="S1365" s="25"/>
      <c r="T1365" s="8"/>
      <c r="U1365" s="8"/>
      <c r="V1365" s="25"/>
      <c r="W1365" s="25"/>
      <c r="X1365" s="25"/>
      <c r="Y1365" s="25"/>
      <c r="Z1365" s="25"/>
      <c r="AA1365" s="25"/>
      <c r="AB1365" s="25"/>
      <c r="AC1365" s="25"/>
      <c r="AD1365" s="25"/>
    </row>
    <row r="1366" customFormat="false" ht="15.75" hidden="false" customHeight="false" outlineLevel="0" collapsed="false">
      <c r="A1366" s="28" t="s">
        <v>1763</v>
      </c>
      <c r="B1366" s="27" t="s">
        <v>438</v>
      </c>
      <c r="C1366" s="27" t="s">
        <v>308</v>
      </c>
      <c r="D1366" s="25"/>
      <c r="E1366" s="25"/>
      <c r="F1366" s="25"/>
      <c r="G1366" s="25"/>
      <c r="H1366" s="25"/>
      <c r="I1366" s="25"/>
      <c r="J1366" s="27" t="s">
        <v>1718</v>
      </c>
      <c r="K1366" s="25" t="str">
        <f aca="false">IFERROR(__xludf.dummyfunction("SPLIT(J1366,"" "")"),"CIF")</f>
        <v>CIF</v>
      </c>
      <c r="L1366" s="28" t="str">
        <f aca="false">IFERROR(__xludf.dummyfunction("""COMPUTED_VALUE"""),"Norway")</f>
        <v>Norway</v>
      </c>
      <c r="M1366" s="27" t="str">
        <f aca="false">IFERROR(__xludf.dummyfunction("""COMPUTED_VALUE"""),"(Diff)")</f>
        <v>(Diff)</v>
      </c>
      <c r="N1366" s="25"/>
      <c r="O1366" s="25"/>
      <c r="P1366" s="25"/>
      <c r="Q1366" s="29" t="s">
        <v>329</v>
      </c>
      <c r="R1366" s="8" t="str">
        <f aca="false">B1366&amp;" "&amp;C1366&amp;" "&amp;D1366&amp;" "&amp;E1366&amp;" "&amp;G1366&amp;" "&amp;H1366&amp;" "&amp;J1366&amp;" "&amp;N1366</f>
        <v>Differentials Graphite     CIF Norway (Diff) </v>
      </c>
      <c r="S1366" s="25"/>
      <c r="T1366" s="8"/>
      <c r="U1366" s="8"/>
      <c r="V1366" s="25"/>
      <c r="W1366" s="25"/>
      <c r="X1366" s="25"/>
      <c r="Y1366" s="25"/>
      <c r="Z1366" s="25"/>
      <c r="AA1366" s="25"/>
      <c r="AB1366" s="25"/>
      <c r="AC1366" s="25"/>
      <c r="AD1366" s="25"/>
    </row>
    <row r="1367" customFormat="false" ht="15.75" hidden="false" customHeight="false" outlineLevel="0" collapsed="false">
      <c r="A1367" s="28" t="s">
        <v>1764</v>
      </c>
      <c r="B1367" s="27" t="s">
        <v>438</v>
      </c>
      <c r="C1367" s="27" t="s">
        <v>308</v>
      </c>
      <c r="D1367" s="25"/>
      <c r="E1367" s="25"/>
      <c r="F1367" s="25"/>
      <c r="G1367" s="25"/>
      <c r="H1367" s="25"/>
      <c r="I1367" s="25"/>
      <c r="J1367" s="27" t="s">
        <v>1718</v>
      </c>
      <c r="K1367" s="25" t="str">
        <f aca="false">IFERROR(__xludf.dummyfunction("SPLIT(J1367,"" "")"),"CIF")</f>
        <v>CIF</v>
      </c>
      <c r="L1367" s="28" t="str">
        <f aca="false">IFERROR(__xludf.dummyfunction("""COMPUTED_VALUE"""),"Norway")</f>
        <v>Norway</v>
      </c>
      <c r="M1367" s="27" t="str">
        <f aca="false">IFERROR(__xludf.dummyfunction("""COMPUTED_VALUE"""),"(Diff)")</f>
        <v>(Diff)</v>
      </c>
      <c r="N1367" s="25"/>
      <c r="O1367" s="25"/>
      <c r="P1367" s="25"/>
      <c r="Q1367" s="29" t="s">
        <v>326</v>
      </c>
      <c r="R1367" s="8" t="str">
        <f aca="false">B1367&amp;" "&amp;C1367&amp;" "&amp;D1367&amp;" "&amp;E1367&amp;" "&amp;G1367&amp;" "&amp;H1367&amp;" "&amp;J1367&amp;" "&amp;N1367</f>
        <v>Differentials Graphite     CIF Norway (Diff) </v>
      </c>
      <c r="S1367" s="25"/>
      <c r="T1367" s="8"/>
      <c r="U1367" s="8"/>
      <c r="V1367" s="25"/>
      <c r="W1367" s="25"/>
      <c r="X1367" s="25"/>
      <c r="Y1367" s="25"/>
      <c r="Z1367" s="25"/>
      <c r="AA1367" s="25"/>
      <c r="AB1367" s="25"/>
      <c r="AC1367" s="25"/>
      <c r="AD1367" s="25"/>
    </row>
    <row r="1368" customFormat="false" ht="15.75" hidden="false" customHeight="false" outlineLevel="0" collapsed="false">
      <c r="A1368" s="28" t="s">
        <v>1765</v>
      </c>
      <c r="B1368" s="27" t="s">
        <v>438</v>
      </c>
      <c r="C1368" s="27" t="s">
        <v>308</v>
      </c>
      <c r="D1368" s="25"/>
      <c r="E1368" s="25"/>
      <c r="F1368" s="25"/>
      <c r="G1368" s="25"/>
      <c r="H1368" s="25"/>
      <c r="I1368" s="25"/>
      <c r="J1368" s="27" t="s">
        <v>1718</v>
      </c>
      <c r="K1368" s="25" t="str">
        <f aca="false">IFERROR(__xludf.dummyfunction("SPLIT(J1368,"" "")"),"CIF")</f>
        <v>CIF</v>
      </c>
      <c r="L1368" s="28" t="str">
        <f aca="false">IFERROR(__xludf.dummyfunction("""COMPUTED_VALUE"""),"Norway")</f>
        <v>Norway</v>
      </c>
      <c r="M1368" s="27" t="str">
        <f aca="false">IFERROR(__xludf.dummyfunction("""COMPUTED_VALUE"""),"(Diff)")</f>
        <v>(Diff)</v>
      </c>
      <c r="N1368" s="25"/>
      <c r="O1368" s="25"/>
      <c r="P1368" s="25"/>
      <c r="Q1368" s="29" t="s">
        <v>323</v>
      </c>
      <c r="R1368" s="8" t="str">
        <f aca="false">B1368&amp;" "&amp;C1368&amp;" "&amp;D1368&amp;" "&amp;E1368&amp;" "&amp;G1368&amp;" "&amp;H1368&amp;" "&amp;J1368&amp;" "&amp;N1368</f>
        <v>Differentials Graphite     CIF Norway (Diff) </v>
      </c>
      <c r="S1368" s="25"/>
      <c r="T1368" s="8"/>
      <c r="U1368" s="8"/>
      <c r="V1368" s="25"/>
      <c r="W1368" s="25"/>
      <c r="X1368" s="25"/>
      <c r="Y1368" s="25"/>
      <c r="Z1368" s="25"/>
      <c r="AA1368" s="25"/>
      <c r="AB1368" s="25"/>
      <c r="AC1368" s="25"/>
      <c r="AD1368" s="25"/>
    </row>
    <row r="1369" customFormat="false" ht="15.75" hidden="false" customHeight="false" outlineLevel="0" collapsed="false">
      <c r="A1369" s="28" t="s">
        <v>1766</v>
      </c>
      <c r="B1369" s="27" t="s">
        <v>438</v>
      </c>
      <c r="C1369" s="27" t="s">
        <v>308</v>
      </c>
      <c r="D1369" s="25"/>
      <c r="E1369" s="25"/>
      <c r="F1369" s="25"/>
      <c r="G1369" s="25"/>
      <c r="H1369" s="25"/>
      <c r="I1369" s="25"/>
      <c r="J1369" s="27" t="s">
        <v>1718</v>
      </c>
      <c r="K1369" s="25" t="str">
        <f aca="false">IFERROR(__xludf.dummyfunction("SPLIT(J1369,"" "")"),"CIF")</f>
        <v>CIF</v>
      </c>
      <c r="L1369" s="28" t="str">
        <f aca="false">IFERROR(__xludf.dummyfunction("""COMPUTED_VALUE"""),"Norway")</f>
        <v>Norway</v>
      </c>
      <c r="M1369" s="27" t="str">
        <f aca="false">IFERROR(__xludf.dummyfunction("""COMPUTED_VALUE"""),"(Diff)")</f>
        <v>(Diff)</v>
      </c>
      <c r="N1369" s="25"/>
      <c r="O1369" s="25"/>
      <c r="P1369" s="25"/>
      <c r="Q1369" s="29" t="s">
        <v>319</v>
      </c>
      <c r="R1369" s="8" t="str">
        <f aca="false">B1369&amp;" "&amp;C1369&amp;" "&amp;D1369&amp;" "&amp;E1369&amp;" "&amp;G1369&amp;" "&amp;H1369&amp;" "&amp;J1369&amp;" "&amp;N1369</f>
        <v>Differentials Graphite     CIF Norway (Diff) </v>
      </c>
      <c r="S1369" s="25"/>
      <c r="T1369" s="8"/>
      <c r="U1369" s="8"/>
      <c r="V1369" s="25"/>
      <c r="W1369" s="25"/>
      <c r="X1369" s="25"/>
      <c r="Y1369" s="25"/>
      <c r="Z1369" s="25"/>
      <c r="AA1369" s="25"/>
      <c r="AB1369" s="25"/>
      <c r="AC1369" s="25"/>
      <c r="AD1369" s="25"/>
    </row>
    <row r="1370" customFormat="false" ht="15.75" hidden="false" customHeight="false" outlineLevel="0" collapsed="false">
      <c r="A1370" s="28" t="s">
        <v>1767</v>
      </c>
      <c r="B1370" s="27" t="s">
        <v>438</v>
      </c>
      <c r="C1370" s="27" t="s">
        <v>308</v>
      </c>
      <c r="D1370" s="25"/>
      <c r="E1370" s="25"/>
      <c r="F1370" s="25"/>
      <c r="G1370" s="25"/>
      <c r="H1370" s="25"/>
      <c r="I1370" s="25"/>
      <c r="J1370" s="27" t="s">
        <v>1718</v>
      </c>
      <c r="K1370" s="25" t="str">
        <f aca="false">IFERROR(__xludf.dummyfunction("SPLIT(J1370,"" "")"),"CIF")</f>
        <v>CIF</v>
      </c>
      <c r="L1370" s="28" t="str">
        <f aca="false">IFERROR(__xludf.dummyfunction("""COMPUTED_VALUE"""),"Norway")</f>
        <v>Norway</v>
      </c>
      <c r="M1370" s="27" t="str">
        <f aca="false">IFERROR(__xludf.dummyfunction("""COMPUTED_VALUE"""),"(Diff)")</f>
        <v>(Diff)</v>
      </c>
      <c r="N1370" s="25"/>
      <c r="O1370" s="25"/>
      <c r="P1370" s="25"/>
      <c r="Q1370" s="29" t="s">
        <v>315</v>
      </c>
      <c r="R1370" s="8" t="str">
        <f aca="false">B1370&amp;" "&amp;C1370&amp;" "&amp;D1370&amp;" "&amp;E1370&amp;" "&amp;G1370&amp;" "&amp;H1370&amp;" "&amp;J1370&amp;" "&amp;N1370</f>
        <v>Differentials Graphite     CIF Norway (Diff) </v>
      </c>
      <c r="S1370" s="25"/>
      <c r="T1370" s="8"/>
      <c r="U1370" s="8"/>
      <c r="V1370" s="25"/>
      <c r="W1370" s="25"/>
      <c r="X1370" s="25"/>
      <c r="Y1370" s="25"/>
      <c r="Z1370" s="25"/>
      <c r="AA1370" s="25"/>
      <c r="AB1370" s="25"/>
      <c r="AC1370" s="25"/>
      <c r="AD1370" s="25"/>
    </row>
    <row r="1371" customFormat="false" ht="15.75" hidden="false" customHeight="false" outlineLevel="0" collapsed="false">
      <c r="A1371" s="28" t="s">
        <v>1768</v>
      </c>
      <c r="B1371" s="27" t="s">
        <v>438</v>
      </c>
      <c r="C1371" s="27" t="s">
        <v>308</v>
      </c>
      <c r="D1371" s="25"/>
      <c r="E1371" s="25"/>
      <c r="F1371" s="25"/>
      <c r="G1371" s="25"/>
      <c r="H1371" s="25"/>
      <c r="I1371" s="25"/>
      <c r="J1371" s="27" t="s">
        <v>1718</v>
      </c>
      <c r="K1371" s="25" t="str">
        <f aca="false">IFERROR(__xludf.dummyfunction("SPLIT(J1371,"" "")"),"CIF")</f>
        <v>CIF</v>
      </c>
      <c r="L1371" s="28" t="str">
        <f aca="false">IFERROR(__xludf.dummyfunction("""COMPUTED_VALUE"""),"Norway")</f>
        <v>Norway</v>
      </c>
      <c r="M1371" s="27" t="str">
        <f aca="false">IFERROR(__xludf.dummyfunction("""COMPUTED_VALUE"""),"(Diff)")</f>
        <v>(Diff)</v>
      </c>
      <c r="N1371" s="25"/>
      <c r="O1371" s="25"/>
      <c r="P1371" s="25"/>
      <c r="Q1371" s="29" t="s">
        <v>311</v>
      </c>
      <c r="R1371" s="8" t="str">
        <f aca="false">B1371&amp;" "&amp;C1371&amp;" "&amp;D1371&amp;" "&amp;E1371&amp;" "&amp;G1371&amp;" "&amp;H1371&amp;" "&amp;J1371&amp;" "&amp;N1371</f>
        <v>Differentials Graphite     CIF Norway (Diff) </v>
      </c>
      <c r="S1371" s="25"/>
      <c r="T1371" s="8"/>
      <c r="U1371" s="8"/>
      <c r="V1371" s="25"/>
      <c r="W1371" s="25"/>
      <c r="X1371" s="25"/>
      <c r="Y1371" s="25"/>
      <c r="Z1371" s="25"/>
      <c r="AA1371" s="25"/>
      <c r="AB1371" s="25"/>
      <c r="AC1371" s="25"/>
      <c r="AD1371" s="25"/>
    </row>
    <row r="1372" customFormat="false" ht="15.75" hidden="false" customHeight="false" outlineLevel="0" collapsed="false">
      <c r="A1372" s="28" t="s">
        <v>1769</v>
      </c>
      <c r="B1372" s="27" t="s">
        <v>438</v>
      </c>
      <c r="C1372" s="27" t="s">
        <v>417</v>
      </c>
      <c r="D1372" s="25"/>
      <c r="E1372" s="25"/>
      <c r="F1372" s="25"/>
      <c r="G1372" s="25"/>
      <c r="H1372" s="25"/>
      <c r="I1372" s="25"/>
      <c r="J1372" s="27" t="s">
        <v>1718</v>
      </c>
      <c r="K1372" s="25" t="str">
        <f aca="false">IFERROR(__xludf.dummyfunction("SPLIT(J1372,"" "")"),"CIF")</f>
        <v>CIF</v>
      </c>
      <c r="L1372" s="28" t="str">
        <f aca="false">IFERROR(__xludf.dummyfunction("""COMPUTED_VALUE"""),"Norway")</f>
        <v>Norway</v>
      </c>
      <c r="M1372" s="27" t="str">
        <f aca="false">IFERROR(__xludf.dummyfunction("""COMPUTED_VALUE"""),"(Diff)")</f>
        <v>(Diff)</v>
      </c>
      <c r="N1372" s="25"/>
      <c r="O1372" s="25"/>
      <c r="P1372" s="25"/>
      <c r="Q1372" s="29" t="s">
        <v>436</v>
      </c>
      <c r="R1372" s="8" t="str">
        <f aca="false">B1372&amp;" "&amp;C1372&amp;" "&amp;D1372&amp;" "&amp;E1372&amp;" "&amp;G1372&amp;" "&amp;H1372&amp;" "&amp;J1372&amp;" "&amp;N1372</f>
        <v>Differentials Solvent     CIF Norway (Diff) </v>
      </c>
      <c r="S1372" s="25"/>
      <c r="T1372" s="8"/>
      <c r="U1372" s="8"/>
      <c r="V1372" s="25"/>
      <c r="W1372" s="25"/>
      <c r="X1372" s="25"/>
      <c r="Y1372" s="25"/>
      <c r="Z1372" s="25"/>
      <c r="AA1372" s="25"/>
      <c r="AB1372" s="25"/>
      <c r="AC1372" s="25"/>
      <c r="AD1372" s="25"/>
    </row>
    <row r="1373" customFormat="false" ht="15.75" hidden="false" customHeight="false" outlineLevel="0" collapsed="false">
      <c r="A1373" s="28" t="s">
        <v>1770</v>
      </c>
      <c r="B1373" s="27" t="s">
        <v>438</v>
      </c>
      <c r="C1373" s="27" t="s">
        <v>417</v>
      </c>
      <c r="D1373" s="25"/>
      <c r="E1373" s="25"/>
      <c r="F1373" s="25"/>
      <c r="G1373" s="25"/>
      <c r="H1373" s="25"/>
      <c r="I1373" s="25"/>
      <c r="J1373" s="27" t="s">
        <v>1718</v>
      </c>
      <c r="K1373" s="25" t="str">
        <f aca="false">IFERROR(__xludf.dummyfunction("SPLIT(J1373,"" "")"),"CIF")</f>
        <v>CIF</v>
      </c>
      <c r="L1373" s="28" t="str">
        <f aca="false">IFERROR(__xludf.dummyfunction("""COMPUTED_VALUE"""),"Norway")</f>
        <v>Norway</v>
      </c>
      <c r="M1373" s="27" t="str">
        <f aca="false">IFERROR(__xludf.dummyfunction("""COMPUTED_VALUE"""),"(Diff)")</f>
        <v>(Diff)</v>
      </c>
      <c r="N1373" s="25"/>
      <c r="O1373" s="25"/>
      <c r="P1373" s="25"/>
      <c r="Q1373" s="29" t="s">
        <v>434</v>
      </c>
      <c r="R1373" s="8" t="str">
        <f aca="false">B1373&amp;" "&amp;C1373&amp;" "&amp;D1373&amp;" "&amp;E1373&amp;" "&amp;G1373&amp;" "&amp;H1373&amp;" "&amp;J1373&amp;" "&amp;N1373</f>
        <v>Differentials Solvent     CIF Norway (Diff) </v>
      </c>
      <c r="S1373" s="25"/>
      <c r="T1373" s="8"/>
      <c r="U1373" s="8"/>
      <c r="V1373" s="25"/>
      <c r="W1373" s="25"/>
      <c r="X1373" s="25"/>
      <c r="Y1373" s="25"/>
      <c r="Z1373" s="25"/>
      <c r="AA1373" s="25"/>
      <c r="AB1373" s="25"/>
      <c r="AC1373" s="25"/>
      <c r="AD1373" s="25"/>
    </row>
    <row r="1374" customFormat="false" ht="15.75" hidden="false" customHeight="false" outlineLevel="0" collapsed="false">
      <c r="A1374" s="28" t="s">
        <v>1771</v>
      </c>
      <c r="B1374" s="27" t="s">
        <v>438</v>
      </c>
      <c r="C1374" s="27" t="s">
        <v>417</v>
      </c>
      <c r="D1374" s="25"/>
      <c r="E1374" s="25"/>
      <c r="F1374" s="25"/>
      <c r="G1374" s="25"/>
      <c r="H1374" s="25"/>
      <c r="I1374" s="25"/>
      <c r="J1374" s="27" t="s">
        <v>1718</v>
      </c>
      <c r="K1374" s="25" t="str">
        <f aca="false">IFERROR(__xludf.dummyfunction("SPLIT(J1374,"" "")"),"CIF")</f>
        <v>CIF</v>
      </c>
      <c r="L1374" s="28" t="str">
        <f aca="false">IFERROR(__xludf.dummyfunction("""COMPUTED_VALUE"""),"Norway")</f>
        <v>Norway</v>
      </c>
      <c r="M1374" s="27" t="str">
        <f aca="false">IFERROR(__xludf.dummyfunction("""COMPUTED_VALUE"""),"(Diff)")</f>
        <v>(Diff)</v>
      </c>
      <c r="N1374" s="25"/>
      <c r="O1374" s="25"/>
      <c r="P1374" s="25"/>
      <c r="Q1374" s="29" t="s">
        <v>432</v>
      </c>
      <c r="R1374" s="8" t="str">
        <f aca="false">B1374&amp;" "&amp;C1374&amp;" "&amp;D1374&amp;" "&amp;E1374&amp;" "&amp;G1374&amp;" "&amp;H1374&amp;" "&amp;J1374&amp;" "&amp;N1374</f>
        <v>Differentials Solvent     CIF Norway (Diff) </v>
      </c>
      <c r="S1374" s="25"/>
      <c r="T1374" s="8"/>
      <c r="U1374" s="8"/>
      <c r="V1374" s="25"/>
      <c r="W1374" s="25"/>
      <c r="X1374" s="25"/>
      <c r="Y1374" s="25"/>
      <c r="Z1374" s="25"/>
      <c r="AA1374" s="25"/>
      <c r="AB1374" s="25"/>
      <c r="AC1374" s="25"/>
      <c r="AD1374" s="25"/>
    </row>
    <row r="1375" customFormat="false" ht="15.75" hidden="false" customHeight="false" outlineLevel="0" collapsed="false">
      <c r="A1375" s="28" t="s">
        <v>1772</v>
      </c>
      <c r="B1375" s="27" t="s">
        <v>438</v>
      </c>
      <c r="C1375" s="27" t="s">
        <v>417</v>
      </c>
      <c r="D1375" s="25"/>
      <c r="E1375" s="25"/>
      <c r="F1375" s="25"/>
      <c r="G1375" s="25"/>
      <c r="H1375" s="25"/>
      <c r="I1375" s="25"/>
      <c r="J1375" s="27" t="s">
        <v>1718</v>
      </c>
      <c r="K1375" s="25" t="str">
        <f aca="false">IFERROR(__xludf.dummyfunction("SPLIT(J1375,"" "")"),"CIF")</f>
        <v>CIF</v>
      </c>
      <c r="L1375" s="28" t="str">
        <f aca="false">IFERROR(__xludf.dummyfunction("""COMPUTED_VALUE"""),"Norway")</f>
        <v>Norway</v>
      </c>
      <c r="M1375" s="27" t="str">
        <f aca="false">IFERROR(__xludf.dummyfunction("""COMPUTED_VALUE"""),"(Diff)")</f>
        <v>(Diff)</v>
      </c>
      <c r="N1375" s="25"/>
      <c r="O1375" s="25"/>
      <c r="P1375" s="25"/>
      <c r="Q1375" s="29" t="s">
        <v>430</v>
      </c>
      <c r="R1375" s="8" t="str">
        <f aca="false">B1375&amp;" "&amp;C1375&amp;" "&amp;D1375&amp;" "&amp;E1375&amp;" "&amp;G1375&amp;" "&amp;H1375&amp;" "&amp;J1375&amp;" "&amp;N1375</f>
        <v>Differentials Solvent     CIF Norway (Diff) </v>
      </c>
      <c r="S1375" s="25"/>
      <c r="T1375" s="8"/>
      <c r="U1375" s="8"/>
      <c r="V1375" s="25"/>
      <c r="W1375" s="25"/>
      <c r="X1375" s="25"/>
      <c r="Y1375" s="25"/>
      <c r="Z1375" s="25"/>
      <c r="AA1375" s="25"/>
      <c r="AB1375" s="25"/>
      <c r="AC1375" s="25"/>
      <c r="AD1375" s="25"/>
    </row>
    <row r="1376" customFormat="false" ht="15.75" hidden="false" customHeight="false" outlineLevel="0" collapsed="false">
      <c r="A1376" s="28" t="s">
        <v>1773</v>
      </c>
      <c r="B1376" s="27" t="s">
        <v>438</v>
      </c>
      <c r="C1376" s="27" t="s">
        <v>417</v>
      </c>
      <c r="D1376" s="25"/>
      <c r="E1376" s="25"/>
      <c r="F1376" s="25"/>
      <c r="G1376" s="25"/>
      <c r="H1376" s="25"/>
      <c r="I1376" s="25"/>
      <c r="J1376" s="27" t="s">
        <v>1718</v>
      </c>
      <c r="K1376" s="25" t="str">
        <f aca="false">IFERROR(__xludf.dummyfunction("SPLIT(J1376,"" "")"),"CIF")</f>
        <v>CIF</v>
      </c>
      <c r="L1376" s="28" t="str">
        <f aca="false">IFERROR(__xludf.dummyfunction("""COMPUTED_VALUE"""),"Norway")</f>
        <v>Norway</v>
      </c>
      <c r="M1376" s="27" t="str">
        <f aca="false">IFERROR(__xludf.dummyfunction("""COMPUTED_VALUE"""),"(Diff)")</f>
        <v>(Diff)</v>
      </c>
      <c r="N1376" s="25"/>
      <c r="O1376" s="25"/>
      <c r="P1376" s="25"/>
      <c r="Q1376" s="29" t="s">
        <v>428</v>
      </c>
      <c r="R1376" s="8" t="str">
        <f aca="false">B1376&amp;" "&amp;C1376&amp;" "&amp;D1376&amp;" "&amp;E1376&amp;" "&amp;G1376&amp;" "&amp;H1376&amp;" "&amp;J1376&amp;" "&amp;N1376</f>
        <v>Differentials Solvent     CIF Norway (Diff) </v>
      </c>
      <c r="S1376" s="25"/>
      <c r="T1376" s="8"/>
      <c r="U1376" s="8"/>
      <c r="V1376" s="25"/>
      <c r="W1376" s="25"/>
      <c r="X1376" s="25"/>
      <c r="Y1376" s="25"/>
      <c r="Z1376" s="25"/>
      <c r="AA1376" s="25"/>
      <c r="AB1376" s="25"/>
      <c r="AC1376" s="25"/>
      <c r="AD1376" s="25"/>
    </row>
    <row r="1377" customFormat="false" ht="15.75" hidden="false" customHeight="false" outlineLevel="0" collapsed="false">
      <c r="A1377" s="28" t="s">
        <v>1774</v>
      </c>
      <c r="B1377" s="27" t="s">
        <v>438</v>
      </c>
      <c r="C1377" s="27" t="s">
        <v>417</v>
      </c>
      <c r="D1377" s="25"/>
      <c r="E1377" s="25"/>
      <c r="F1377" s="25"/>
      <c r="G1377" s="25"/>
      <c r="H1377" s="25"/>
      <c r="I1377" s="25"/>
      <c r="J1377" s="27" t="s">
        <v>1718</v>
      </c>
      <c r="K1377" s="25" t="str">
        <f aca="false">IFERROR(__xludf.dummyfunction("SPLIT(J1377,"" "")"),"CIF")</f>
        <v>CIF</v>
      </c>
      <c r="L1377" s="28" t="str">
        <f aca="false">IFERROR(__xludf.dummyfunction("""COMPUTED_VALUE"""),"Norway")</f>
        <v>Norway</v>
      </c>
      <c r="M1377" s="27" t="str">
        <f aca="false">IFERROR(__xludf.dummyfunction("""COMPUTED_VALUE"""),"(Diff)")</f>
        <v>(Diff)</v>
      </c>
      <c r="N1377" s="25"/>
      <c r="O1377" s="25"/>
      <c r="P1377" s="25"/>
      <c r="Q1377" s="29" t="s">
        <v>426</v>
      </c>
      <c r="R1377" s="8" t="str">
        <f aca="false">B1377&amp;" "&amp;C1377&amp;" "&amp;D1377&amp;" "&amp;E1377&amp;" "&amp;G1377&amp;" "&amp;H1377&amp;" "&amp;J1377&amp;" "&amp;N1377</f>
        <v>Differentials Solvent     CIF Norway (Diff) </v>
      </c>
      <c r="S1377" s="25"/>
      <c r="T1377" s="8"/>
      <c r="U1377" s="8"/>
      <c r="V1377" s="25"/>
      <c r="W1377" s="25"/>
      <c r="X1377" s="25"/>
      <c r="Y1377" s="25"/>
      <c r="Z1377" s="25"/>
      <c r="AA1377" s="25"/>
      <c r="AB1377" s="25"/>
      <c r="AC1377" s="25"/>
      <c r="AD1377" s="25"/>
    </row>
    <row r="1378" customFormat="false" ht="15.75" hidden="false" customHeight="false" outlineLevel="0" collapsed="false">
      <c r="A1378" s="28" t="s">
        <v>1775</v>
      </c>
      <c r="B1378" s="27" t="s">
        <v>438</v>
      </c>
      <c r="C1378" s="27" t="s">
        <v>417</v>
      </c>
      <c r="D1378" s="25"/>
      <c r="E1378" s="25"/>
      <c r="F1378" s="25"/>
      <c r="G1378" s="25"/>
      <c r="H1378" s="25"/>
      <c r="I1378" s="25"/>
      <c r="J1378" s="27" t="s">
        <v>1718</v>
      </c>
      <c r="K1378" s="25" t="str">
        <f aca="false">IFERROR(__xludf.dummyfunction("SPLIT(J1378,"" "")"),"CIF")</f>
        <v>CIF</v>
      </c>
      <c r="L1378" s="28" t="str">
        <f aca="false">IFERROR(__xludf.dummyfunction("""COMPUTED_VALUE"""),"Norway")</f>
        <v>Norway</v>
      </c>
      <c r="M1378" s="27" t="str">
        <f aca="false">IFERROR(__xludf.dummyfunction("""COMPUTED_VALUE"""),"(Diff)")</f>
        <v>(Diff)</v>
      </c>
      <c r="N1378" s="25"/>
      <c r="O1378" s="25"/>
      <c r="P1378" s="25"/>
      <c r="Q1378" s="29" t="s">
        <v>424</v>
      </c>
      <c r="R1378" s="8" t="str">
        <f aca="false">B1378&amp;" "&amp;C1378&amp;" "&amp;D1378&amp;" "&amp;E1378&amp;" "&amp;G1378&amp;" "&amp;H1378&amp;" "&amp;J1378&amp;" "&amp;N1378</f>
        <v>Differentials Solvent     CIF Norway (Diff) </v>
      </c>
      <c r="S1378" s="25"/>
      <c r="T1378" s="8"/>
      <c r="U1378" s="8"/>
      <c r="V1378" s="25"/>
      <c r="W1378" s="25"/>
      <c r="X1378" s="25"/>
      <c r="Y1378" s="25"/>
      <c r="Z1378" s="25"/>
      <c r="AA1378" s="25"/>
      <c r="AB1378" s="25"/>
      <c r="AC1378" s="25"/>
      <c r="AD1378" s="25"/>
    </row>
    <row r="1379" customFormat="false" ht="15.75" hidden="false" customHeight="false" outlineLevel="0" collapsed="false">
      <c r="A1379" s="28" t="s">
        <v>1776</v>
      </c>
      <c r="B1379" s="27" t="s">
        <v>438</v>
      </c>
      <c r="C1379" s="27" t="s">
        <v>417</v>
      </c>
      <c r="D1379" s="25"/>
      <c r="E1379" s="25"/>
      <c r="F1379" s="25"/>
      <c r="G1379" s="25"/>
      <c r="H1379" s="25"/>
      <c r="I1379" s="25"/>
      <c r="J1379" s="27" t="s">
        <v>1718</v>
      </c>
      <c r="K1379" s="25" t="str">
        <f aca="false">IFERROR(__xludf.dummyfunction("SPLIT(J1379,"" "")"),"CIF")</f>
        <v>CIF</v>
      </c>
      <c r="L1379" s="28" t="str">
        <f aca="false">IFERROR(__xludf.dummyfunction("""COMPUTED_VALUE"""),"Norway")</f>
        <v>Norway</v>
      </c>
      <c r="M1379" s="27" t="str">
        <f aca="false">IFERROR(__xludf.dummyfunction("""COMPUTED_VALUE"""),"(Diff)")</f>
        <v>(Diff)</v>
      </c>
      <c r="N1379" s="25"/>
      <c r="O1379" s="25"/>
      <c r="P1379" s="25"/>
      <c r="Q1379" s="29" t="s">
        <v>422</v>
      </c>
      <c r="R1379" s="8" t="str">
        <f aca="false">B1379&amp;" "&amp;C1379&amp;" "&amp;D1379&amp;" "&amp;E1379&amp;" "&amp;G1379&amp;" "&amp;H1379&amp;" "&amp;J1379&amp;" "&amp;N1379</f>
        <v>Differentials Solvent     CIF Norway (Diff) </v>
      </c>
      <c r="S1379" s="25"/>
      <c r="T1379" s="8"/>
      <c r="U1379" s="8"/>
      <c r="V1379" s="25"/>
      <c r="W1379" s="25"/>
      <c r="X1379" s="25"/>
      <c r="Y1379" s="25"/>
      <c r="Z1379" s="25"/>
      <c r="AA1379" s="25"/>
      <c r="AB1379" s="25"/>
      <c r="AC1379" s="25"/>
      <c r="AD1379" s="25"/>
    </row>
    <row r="1380" customFormat="false" ht="15.75" hidden="false" customHeight="false" outlineLevel="0" collapsed="false">
      <c r="A1380" s="28" t="s">
        <v>1777</v>
      </c>
      <c r="B1380" s="27" t="s">
        <v>438</v>
      </c>
      <c r="C1380" s="27" t="s">
        <v>417</v>
      </c>
      <c r="D1380" s="25"/>
      <c r="E1380" s="25"/>
      <c r="F1380" s="25"/>
      <c r="G1380" s="25"/>
      <c r="H1380" s="25"/>
      <c r="I1380" s="25"/>
      <c r="J1380" s="27" t="s">
        <v>1718</v>
      </c>
      <c r="K1380" s="25" t="str">
        <f aca="false">IFERROR(__xludf.dummyfunction("SPLIT(J1380,"" "")"),"CIF")</f>
        <v>CIF</v>
      </c>
      <c r="L1380" s="28" t="str">
        <f aca="false">IFERROR(__xludf.dummyfunction("""COMPUTED_VALUE"""),"Norway")</f>
        <v>Norway</v>
      </c>
      <c r="M1380" s="27" t="str">
        <f aca="false">IFERROR(__xludf.dummyfunction("""COMPUTED_VALUE"""),"(Diff)")</f>
        <v>(Diff)</v>
      </c>
      <c r="N1380" s="25"/>
      <c r="O1380" s="25"/>
      <c r="P1380" s="25"/>
      <c r="Q1380" s="29" t="s">
        <v>420</v>
      </c>
      <c r="R1380" s="8" t="str">
        <f aca="false">B1380&amp;" "&amp;C1380&amp;" "&amp;D1380&amp;" "&amp;E1380&amp;" "&amp;G1380&amp;" "&amp;H1380&amp;" "&amp;J1380&amp;" "&amp;N1380</f>
        <v>Differentials Solvent     CIF Norway (Diff) </v>
      </c>
      <c r="S1380" s="25"/>
      <c r="T1380" s="8"/>
      <c r="U1380" s="8"/>
      <c r="V1380" s="25"/>
      <c r="W1380" s="25"/>
      <c r="X1380" s="25"/>
      <c r="Y1380" s="25"/>
      <c r="Z1380" s="25"/>
      <c r="AA1380" s="25"/>
      <c r="AB1380" s="25"/>
      <c r="AC1380" s="25"/>
      <c r="AD1380" s="25"/>
    </row>
    <row r="1381" customFormat="false" ht="15.75" hidden="false" customHeight="false" outlineLevel="0" collapsed="false">
      <c r="A1381" s="28" t="s">
        <v>1778</v>
      </c>
      <c r="B1381" s="27" t="s">
        <v>438</v>
      </c>
      <c r="C1381" s="27" t="s">
        <v>417</v>
      </c>
      <c r="D1381" s="25"/>
      <c r="E1381" s="25"/>
      <c r="F1381" s="25"/>
      <c r="G1381" s="25"/>
      <c r="H1381" s="25"/>
      <c r="I1381" s="25"/>
      <c r="J1381" s="27" t="s">
        <v>1718</v>
      </c>
      <c r="K1381" s="25" t="str">
        <f aca="false">IFERROR(__xludf.dummyfunction("SPLIT(J1381,"" "")"),"CIF")</f>
        <v>CIF</v>
      </c>
      <c r="L1381" s="28" t="str">
        <f aca="false">IFERROR(__xludf.dummyfunction("""COMPUTED_VALUE"""),"Norway")</f>
        <v>Norway</v>
      </c>
      <c r="M1381" s="27" t="str">
        <f aca="false">IFERROR(__xludf.dummyfunction("""COMPUTED_VALUE"""),"(Diff)")</f>
        <v>(Diff)</v>
      </c>
      <c r="N1381" s="25"/>
      <c r="O1381" s="25"/>
      <c r="P1381" s="25"/>
      <c r="Q1381" s="29" t="s">
        <v>418</v>
      </c>
      <c r="R1381" s="8" t="str">
        <f aca="false">B1381&amp;" "&amp;C1381&amp;" "&amp;D1381&amp;" "&amp;E1381&amp;" "&amp;G1381&amp;" "&amp;H1381&amp;" "&amp;J1381&amp;" "&amp;N1381</f>
        <v>Differentials Solvent     CIF Norway (Diff) </v>
      </c>
      <c r="S1381" s="25"/>
      <c r="T1381" s="8"/>
      <c r="U1381" s="8"/>
      <c r="V1381" s="25"/>
      <c r="W1381" s="25"/>
      <c r="X1381" s="25"/>
      <c r="Y1381" s="25"/>
      <c r="Z1381" s="25"/>
      <c r="AA1381" s="25"/>
      <c r="AB1381" s="25"/>
      <c r="AC1381" s="25"/>
      <c r="AD1381" s="25"/>
    </row>
    <row r="1382" customFormat="false" ht="15.75" hidden="false" customHeight="false" outlineLevel="0" collapsed="false">
      <c r="A1382" s="28" t="s">
        <v>1779</v>
      </c>
      <c r="B1382" s="27" t="s">
        <v>438</v>
      </c>
      <c r="C1382" s="27" t="s">
        <v>168</v>
      </c>
      <c r="D1382" s="25"/>
      <c r="E1382" s="25"/>
      <c r="F1382" s="25"/>
      <c r="G1382" s="25"/>
      <c r="H1382" s="25"/>
      <c r="I1382" s="25"/>
      <c r="J1382" s="27" t="s">
        <v>1780</v>
      </c>
      <c r="K1382" s="25" t="str">
        <f aca="false">IFERROR(__xludf.dummyfunction("SPLIT(J1382,"" "")"),"CIF")</f>
        <v>CIF</v>
      </c>
      <c r="L1382" s="28" t="str">
        <f aca="false">IFERROR(__xludf.dummyfunction("""COMPUTED_VALUE"""),"Poland")</f>
        <v>Poland</v>
      </c>
      <c r="M1382" s="27" t="str">
        <f aca="false">IFERROR(__xludf.dummyfunction("""COMPUTED_VALUE"""),"(Diff)")</f>
        <v>(Diff)</v>
      </c>
      <c r="N1382" s="25"/>
      <c r="O1382" s="25"/>
      <c r="P1382" s="25"/>
      <c r="Q1382" s="29" t="s">
        <v>175</v>
      </c>
      <c r="R1382" s="8" t="str">
        <f aca="false">B1382&amp;" "&amp;C1382&amp;" "&amp;D1382&amp;" "&amp;E1382&amp;" "&amp;G1382&amp;" "&amp;H1382&amp;" "&amp;J1382&amp;" "&amp;N1382</f>
        <v>Differentials Aluminium (Battery Grade)     CIF Poland (Diff) </v>
      </c>
      <c r="S1382" s="25"/>
      <c r="T1382" s="8"/>
      <c r="U1382" s="8"/>
      <c r="V1382" s="25"/>
      <c r="W1382" s="25"/>
      <c r="X1382" s="25"/>
      <c r="Y1382" s="25"/>
      <c r="Z1382" s="25"/>
      <c r="AA1382" s="25"/>
      <c r="AB1382" s="25"/>
      <c r="AC1382" s="25"/>
      <c r="AD1382" s="25"/>
    </row>
    <row r="1383" customFormat="false" ht="15.75" hidden="false" customHeight="false" outlineLevel="0" collapsed="false">
      <c r="A1383" s="28" t="s">
        <v>1781</v>
      </c>
      <c r="B1383" s="27" t="s">
        <v>438</v>
      </c>
      <c r="C1383" s="27" t="s">
        <v>168</v>
      </c>
      <c r="D1383" s="25"/>
      <c r="E1383" s="25"/>
      <c r="F1383" s="25"/>
      <c r="G1383" s="25"/>
      <c r="H1383" s="25"/>
      <c r="I1383" s="25"/>
      <c r="J1383" s="27" t="s">
        <v>1780</v>
      </c>
      <c r="K1383" s="25" t="str">
        <f aca="false">IFERROR(__xludf.dummyfunction("SPLIT(J1383,"" "")"),"CIF")</f>
        <v>CIF</v>
      </c>
      <c r="L1383" s="28" t="str">
        <f aca="false">IFERROR(__xludf.dummyfunction("""COMPUTED_VALUE"""),"Poland")</f>
        <v>Poland</v>
      </c>
      <c r="M1383" s="27" t="str">
        <f aca="false">IFERROR(__xludf.dummyfunction("""COMPUTED_VALUE"""),"(Diff)")</f>
        <v>(Diff)</v>
      </c>
      <c r="N1383" s="25"/>
      <c r="O1383" s="25"/>
      <c r="P1383" s="25"/>
      <c r="Q1383" s="29" t="s">
        <v>173</v>
      </c>
      <c r="R1383" s="8" t="str">
        <f aca="false">B1383&amp;" "&amp;C1383&amp;" "&amp;D1383&amp;" "&amp;E1383&amp;" "&amp;G1383&amp;" "&amp;H1383&amp;" "&amp;J1383&amp;" "&amp;N1383</f>
        <v>Differentials Aluminium (Battery Grade)     CIF Poland (Diff) </v>
      </c>
      <c r="S1383" s="25"/>
      <c r="T1383" s="8"/>
      <c r="U1383" s="8"/>
      <c r="V1383" s="25"/>
      <c r="W1383" s="25"/>
      <c r="X1383" s="25"/>
      <c r="Y1383" s="25"/>
      <c r="Z1383" s="25"/>
      <c r="AA1383" s="25"/>
      <c r="AB1383" s="25"/>
      <c r="AC1383" s="25"/>
      <c r="AD1383" s="25"/>
    </row>
    <row r="1384" customFormat="false" ht="15.75" hidden="false" customHeight="false" outlineLevel="0" collapsed="false">
      <c r="A1384" s="28" t="s">
        <v>1782</v>
      </c>
      <c r="B1384" s="27" t="s">
        <v>438</v>
      </c>
      <c r="C1384" s="27" t="s">
        <v>168</v>
      </c>
      <c r="D1384" s="25"/>
      <c r="E1384" s="25"/>
      <c r="F1384" s="25"/>
      <c r="G1384" s="25"/>
      <c r="H1384" s="25"/>
      <c r="I1384" s="25"/>
      <c r="J1384" s="27" t="s">
        <v>1780</v>
      </c>
      <c r="K1384" s="25" t="str">
        <f aca="false">IFERROR(__xludf.dummyfunction("SPLIT(J1384,"" "")"),"CIF")</f>
        <v>CIF</v>
      </c>
      <c r="L1384" s="28" t="str">
        <f aca="false">IFERROR(__xludf.dummyfunction("""COMPUTED_VALUE"""),"Poland")</f>
        <v>Poland</v>
      </c>
      <c r="M1384" s="27" t="str">
        <f aca="false">IFERROR(__xludf.dummyfunction("""COMPUTED_VALUE"""),"(Diff)")</f>
        <v>(Diff)</v>
      </c>
      <c r="N1384" s="25"/>
      <c r="O1384" s="25"/>
      <c r="P1384" s="25"/>
      <c r="Q1384" s="29" t="s">
        <v>169</v>
      </c>
      <c r="R1384" s="8" t="str">
        <f aca="false">B1384&amp;" "&amp;C1384&amp;" "&amp;D1384&amp;" "&amp;E1384&amp;" "&amp;G1384&amp;" "&amp;H1384&amp;" "&amp;J1384&amp;" "&amp;N1384</f>
        <v>Differentials Aluminium (Battery Grade)     CIF Poland (Diff) </v>
      </c>
      <c r="S1384" s="25"/>
      <c r="T1384" s="8"/>
      <c r="U1384" s="8"/>
      <c r="V1384" s="25"/>
      <c r="W1384" s="25"/>
      <c r="X1384" s="25"/>
      <c r="Y1384" s="25"/>
      <c r="Z1384" s="25"/>
      <c r="AA1384" s="25"/>
      <c r="AB1384" s="25"/>
      <c r="AC1384" s="25"/>
      <c r="AD1384" s="25"/>
    </row>
    <row r="1385" customFormat="false" ht="15.75" hidden="false" customHeight="false" outlineLevel="0" collapsed="false">
      <c r="A1385" s="28" t="s">
        <v>1783</v>
      </c>
      <c r="B1385" s="27" t="s">
        <v>438</v>
      </c>
      <c r="C1385" s="27" t="s">
        <v>177</v>
      </c>
      <c r="D1385" s="25"/>
      <c r="E1385" s="25"/>
      <c r="F1385" s="25"/>
      <c r="G1385" s="25"/>
      <c r="H1385" s="25"/>
      <c r="I1385" s="25"/>
      <c r="J1385" s="27" t="s">
        <v>1780</v>
      </c>
      <c r="K1385" s="25" t="str">
        <f aca="false">IFERROR(__xludf.dummyfunction("SPLIT(J1385,"" "")"),"CIF")</f>
        <v>CIF</v>
      </c>
      <c r="L1385" s="28" t="str">
        <f aca="false">IFERROR(__xludf.dummyfunction("""COMPUTED_VALUE"""),"Poland")</f>
        <v>Poland</v>
      </c>
      <c r="M1385" s="27" t="str">
        <f aca="false">IFERROR(__xludf.dummyfunction("""COMPUTED_VALUE"""),"(Diff)")</f>
        <v>(Diff)</v>
      </c>
      <c r="N1385" s="25"/>
      <c r="O1385" s="25"/>
      <c r="P1385" s="25"/>
      <c r="Q1385" s="29" t="s">
        <v>209</v>
      </c>
      <c r="R1385" s="8" t="str">
        <f aca="false">B1385&amp;" "&amp;C1385&amp;" "&amp;D1385&amp;" "&amp;E1385&amp;" "&amp;G1385&amp;" "&amp;H1385&amp;" "&amp;J1385&amp;" "&amp;N1385</f>
        <v>Differentials Anode     CIF Poland (Diff) </v>
      </c>
      <c r="S1385" s="25"/>
      <c r="T1385" s="8"/>
      <c r="U1385" s="8"/>
      <c r="V1385" s="25"/>
      <c r="W1385" s="25"/>
      <c r="X1385" s="25"/>
      <c r="Y1385" s="25"/>
      <c r="Z1385" s="25"/>
      <c r="AA1385" s="25"/>
      <c r="AB1385" s="25"/>
      <c r="AC1385" s="25"/>
      <c r="AD1385" s="25"/>
    </row>
    <row r="1386" customFormat="false" ht="15.75" hidden="false" customHeight="false" outlineLevel="0" collapsed="false">
      <c r="A1386" s="28" t="s">
        <v>1784</v>
      </c>
      <c r="B1386" s="27" t="s">
        <v>438</v>
      </c>
      <c r="C1386" s="27" t="s">
        <v>177</v>
      </c>
      <c r="D1386" s="25"/>
      <c r="E1386" s="25"/>
      <c r="F1386" s="25"/>
      <c r="G1386" s="25"/>
      <c r="H1386" s="25"/>
      <c r="I1386" s="25"/>
      <c r="J1386" s="27" t="s">
        <v>1780</v>
      </c>
      <c r="K1386" s="25" t="str">
        <f aca="false">IFERROR(__xludf.dummyfunction("SPLIT(J1386,"" "")"),"CIF")</f>
        <v>CIF</v>
      </c>
      <c r="L1386" s="28" t="str">
        <f aca="false">IFERROR(__xludf.dummyfunction("""COMPUTED_VALUE"""),"Poland")</f>
        <v>Poland</v>
      </c>
      <c r="M1386" s="27" t="str">
        <f aca="false">IFERROR(__xludf.dummyfunction("""COMPUTED_VALUE"""),"(Diff)")</f>
        <v>(Diff)</v>
      </c>
      <c r="N1386" s="25"/>
      <c r="O1386" s="25"/>
      <c r="P1386" s="25"/>
      <c r="Q1386" s="29" t="s">
        <v>205</v>
      </c>
      <c r="R1386" s="8" t="str">
        <f aca="false">B1386&amp;" "&amp;C1386&amp;" "&amp;D1386&amp;" "&amp;E1386&amp;" "&amp;G1386&amp;" "&amp;H1386&amp;" "&amp;J1386&amp;" "&amp;N1386</f>
        <v>Differentials Anode     CIF Poland (Diff) </v>
      </c>
      <c r="S1386" s="25"/>
      <c r="T1386" s="8"/>
      <c r="U1386" s="8"/>
      <c r="V1386" s="25"/>
      <c r="W1386" s="25"/>
      <c r="X1386" s="25"/>
      <c r="Y1386" s="25"/>
      <c r="Z1386" s="25"/>
      <c r="AA1386" s="25"/>
      <c r="AB1386" s="25"/>
      <c r="AC1386" s="25"/>
      <c r="AD1386" s="25"/>
    </row>
    <row r="1387" customFormat="false" ht="15.75" hidden="false" customHeight="false" outlineLevel="0" collapsed="false">
      <c r="A1387" s="28" t="s">
        <v>1785</v>
      </c>
      <c r="B1387" s="27" t="s">
        <v>438</v>
      </c>
      <c r="C1387" s="27" t="s">
        <v>177</v>
      </c>
      <c r="D1387" s="25"/>
      <c r="E1387" s="25"/>
      <c r="F1387" s="25"/>
      <c r="G1387" s="25"/>
      <c r="H1387" s="25"/>
      <c r="I1387" s="25"/>
      <c r="J1387" s="27" t="s">
        <v>1780</v>
      </c>
      <c r="K1387" s="25" t="str">
        <f aca="false">IFERROR(__xludf.dummyfunction("SPLIT(J1387,"" "")"),"CIF")</f>
        <v>CIF</v>
      </c>
      <c r="L1387" s="28" t="str">
        <f aca="false">IFERROR(__xludf.dummyfunction("""COMPUTED_VALUE"""),"Poland")</f>
        <v>Poland</v>
      </c>
      <c r="M1387" s="27" t="str">
        <f aca="false">IFERROR(__xludf.dummyfunction("""COMPUTED_VALUE"""),"(Diff)")</f>
        <v>(Diff)</v>
      </c>
      <c r="N1387" s="25"/>
      <c r="O1387" s="25"/>
      <c r="P1387" s="25"/>
      <c r="Q1387" s="29" t="s">
        <v>202</v>
      </c>
      <c r="R1387" s="8" t="str">
        <f aca="false">B1387&amp;" "&amp;C1387&amp;" "&amp;D1387&amp;" "&amp;E1387&amp;" "&amp;G1387&amp;" "&amp;H1387&amp;" "&amp;J1387&amp;" "&amp;N1387</f>
        <v>Differentials Anode     CIF Poland (Diff) </v>
      </c>
      <c r="S1387" s="25"/>
      <c r="T1387" s="8"/>
      <c r="U1387" s="8"/>
      <c r="V1387" s="25"/>
      <c r="W1387" s="25"/>
      <c r="X1387" s="25"/>
      <c r="Y1387" s="25"/>
      <c r="Z1387" s="25"/>
      <c r="AA1387" s="25"/>
      <c r="AB1387" s="25"/>
      <c r="AC1387" s="25"/>
      <c r="AD1387" s="25"/>
    </row>
    <row r="1388" customFormat="false" ht="15.75" hidden="false" customHeight="false" outlineLevel="0" collapsed="false">
      <c r="A1388" s="28" t="s">
        <v>1786</v>
      </c>
      <c r="B1388" s="27" t="s">
        <v>438</v>
      </c>
      <c r="C1388" s="27" t="s">
        <v>177</v>
      </c>
      <c r="D1388" s="25"/>
      <c r="E1388" s="25"/>
      <c r="F1388" s="25"/>
      <c r="G1388" s="25"/>
      <c r="H1388" s="25"/>
      <c r="I1388" s="25"/>
      <c r="J1388" s="27" t="s">
        <v>1780</v>
      </c>
      <c r="K1388" s="25" t="str">
        <f aca="false">IFERROR(__xludf.dummyfunction("SPLIT(J1388,"" "")"),"CIF")</f>
        <v>CIF</v>
      </c>
      <c r="L1388" s="28" t="str">
        <f aca="false">IFERROR(__xludf.dummyfunction("""COMPUTED_VALUE"""),"Poland")</f>
        <v>Poland</v>
      </c>
      <c r="M1388" s="27" t="str">
        <f aca="false">IFERROR(__xludf.dummyfunction("""COMPUTED_VALUE"""),"(Diff)")</f>
        <v>(Diff)</v>
      </c>
      <c r="N1388" s="25"/>
      <c r="O1388" s="25"/>
      <c r="P1388" s="25"/>
      <c r="Q1388" s="29" t="s">
        <v>197</v>
      </c>
      <c r="R1388" s="8" t="str">
        <f aca="false">B1388&amp;" "&amp;C1388&amp;" "&amp;D1388&amp;" "&amp;E1388&amp;" "&amp;G1388&amp;" "&amp;H1388&amp;" "&amp;J1388&amp;" "&amp;N1388</f>
        <v>Differentials Anode     CIF Poland (Diff) </v>
      </c>
      <c r="S1388" s="25"/>
      <c r="T1388" s="8"/>
      <c r="U1388" s="8"/>
      <c r="V1388" s="25"/>
      <c r="W1388" s="25"/>
      <c r="X1388" s="25"/>
      <c r="Y1388" s="25"/>
      <c r="Z1388" s="25"/>
      <c r="AA1388" s="25"/>
      <c r="AB1388" s="25"/>
      <c r="AC1388" s="25"/>
      <c r="AD1388" s="25"/>
    </row>
    <row r="1389" customFormat="false" ht="15.75" hidden="false" customHeight="false" outlineLevel="0" collapsed="false">
      <c r="A1389" s="28" t="s">
        <v>1787</v>
      </c>
      <c r="B1389" s="27" t="s">
        <v>438</v>
      </c>
      <c r="C1389" s="27" t="s">
        <v>177</v>
      </c>
      <c r="D1389" s="25"/>
      <c r="E1389" s="25"/>
      <c r="F1389" s="25"/>
      <c r="G1389" s="25"/>
      <c r="H1389" s="25"/>
      <c r="I1389" s="25"/>
      <c r="J1389" s="27" t="s">
        <v>1780</v>
      </c>
      <c r="K1389" s="25" t="str">
        <f aca="false">IFERROR(__xludf.dummyfunction("SPLIT(J1389,"" "")"),"CIF")</f>
        <v>CIF</v>
      </c>
      <c r="L1389" s="28" t="str">
        <f aca="false">IFERROR(__xludf.dummyfunction("""COMPUTED_VALUE"""),"Poland")</f>
        <v>Poland</v>
      </c>
      <c r="M1389" s="27" t="str">
        <f aca="false">IFERROR(__xludf.dummyfunction("""COMPUTED_VALUE"""),"(Diff)")</f>
        <v>(Diff)</v>
      </c>
      <c r="N1389" s="25"/>
      <c r="O1389" s="25"/>
      <c r="P1389" s="25"/>
      <c r="Q1389" s="29" t="s">
        <v>193</v>
      </c>
      <c r="R1389" s="8" t="str">
        <f aca="false">B1389&amp;" "&amp;C1389&amp;" "&amp;D1389&amp;" "&amp;E1389&amp;" "&amp;G1389&amp;" "&amp;H1389&amp;" "&amp;J1389&amp;" "&amp;N1389</f>
        <v>Differentials Anode     CIF Poland (Diff) </v>
      </c>
      <c r="S1389" s="25"/>
      <c r="T1389" s="8"/>
      <c r="U1389" s="8"/>
      <c r="V1389" s="25"/>
      <c r="W1389" s="25"/>
      <c r="X1389" s="25"/>
      <c r="Y1389" s="25"/>
      <c r="Z1389" s="25"/>
      <c r="AA1389" s="25"/>
      <c r="AB1389" s="25"/>
      <c r="AC1389" s="25"/>
      <c r="AD1389" s="25"/>
    </row>
    <row r="1390" customFormat="false" ht="15.75" hidden="false" customHeight="false" outlineLevel="0" collapsed="false">
      <c r="A1390" s="28" t="s">
        <v>1788</v>
      </c>
      <c r="B1390" s="27" t="s">
        <v>438</v>
      </c>
      <c r="C1390" s="27" t="s">
        <v>177</v>
      </c>
      <c r="D1390" s="25"/>
      <c r="E1390" s="25"/>
      <c r="F1390" s="25"/>
      <c r="G1390" s="25"/>
      <c r="H1390" s="25"/>
      <c r="I1390" s="25"/>
      <c r="J1390" s="27" t="s">
        <v>1780</v>
      </c>
      <c r="K1390" s="25" t="str">
        <f aca="false">IFERROR(__xludf.dummyfunction("SPLIT(J1390,"" "")"),"CIF")</f>
        <v>CIF</v>
      </c>
      <c r="L1390" s="28" t="str">
        <f aca="false">IFERROR(__xludf.dummyfunction("""COMPUTED_VALUE"""),"Poland")</f>
        <v>Poland</v>
      </c>
      <c r="M1390" s="27" t="str">
        <f aca="false">IFERROR(__xludf.dummyfunction("""COMPUTED_VALUE"""),"(Diff)")</f>
        <v>(Diff)</v>
      </c>
      <c r="N1390" s="25"/>
      <c r="O1390" s="25"/>
      <c r="P1390" s="25"/>
      <c r="Q1390" s="29" t="s">
        <v>188</v>
      </c>
      <c r="R1390" s="8" t="str">
        <f aca="false">B1390&amp;" "&amp;C1390&amp;" "&amp;D1390&amp;" "&amp;E1390&amp;" "&amp;G1390&amp;" "&amp;H1390&amp;" "&amp;J1390&amp;" "&amp;N1390</f>
        <v>Differentials Anode     CIF Poland (Diff) </v>
      </c>
      <c r="S1390" s="25"/>
      <c r="T1390" s="8"/>
      <c r="U1390" s="8"/>
      <c r="V1390" s="25"/>
      <c r="W1390" s="25"/>
      <c r="X1390" s="25"/>
      <c r="Y1390" s="25"/>
      <c r="Z1390" s="25"/>
      <c r="AA1390" s="25"/>
      <c r="AB1390" s="25"/>
      <c r="AC1390" s="25"/>
      <c r="AD1390" s="25"/>
    </row>
    <row r="1391" customFormat="false" ht="15.75" hidden="false" customHeight="false" outlineLevel="0" collapsed="false">
      <c r="A1391" s="28" t="s">
        <v>1789</v>
      </c>
      <c r="B1391" s="27" t="s">
        <v>438</v>
      </c>
      <c r="C1391" s="27" t="s">
        <v>177</v>
      </c>
      <c r="D1391" s="25"/>
      <c r="E1391" s="25"/>
      <c r="F1391" s="25"/>
      <c r="G1391" s="25"/>
      <c r="H1391" s="25"/>
      <c r="I1391" s="25"/>
      <c r="J1391" s="27" t="s">
        <v>1780</v>
      </c>
      <c r="K1391" s="25" t="str">
        <f aca="false">IFERROR(__xludf.dummyfunction("SPLIT(J1391,"" "")"),"CIF")</f>
        <v>CIF</v>
      </c>
      <c r="L1391" s="28" t="str">
        <f aca="false">IFERROR(__xludf.dummyfunction("""COMPUTED_VALUE"""),"Poland")</f>
        <v>Poland</v>
      </c>
      <c r="M1391" s="27" t="str">
        <f aca="false">IFERROR(__xludf.dummyfunction("""COMPUTED_VALUE"""),"(Diff)")</f>
        <v>(Diff)</v>
      </c>
      <c r="N1391" s="25"/>
      <c r="O1391" s="25"/>
      <c r="P1391" s="25"/>
      <c r="Q1391" s="29" t="s">
        <v>180</v>
      </c>
      <c r="R1391" s="8" t="str">
        <f aca="false">B1391&amp;" "&amp;C1391&amp;" "&amp;D1391&amp;" "&amp;E1391&amp;" "&amp;G1391&amp;" "&amp;H1391&amp;" "&amp;J1391&amp;" "&amp;N1391</f>
        <v>Differentials Anode     CIF Poland (Diff) </v>
      </c>
      <c r="S1391" s="25"/>
      <c r="T1391" s="8"/>
      <c r="U1391" s="8"/>
      <c r="V1391" s="25"/>
      <c r="W1391" s="25"/>
      <c r="X1391" s="25"/>
      <c r="Y1391" s="25"/>
      <c r="Z1391" s="25"/>
      <c r="AA1391" s="25"/>
      <c r="AB1391" s="25"/>
      <c r="AC1391" s="25"/>
      <c r="AD1391" s="25"/>
    </row>
    <row r="1392" customFormat="false" ht="15.75" hidden="false" customHeight="false" outlineLevel="0" collapsed="false">
      <c r="A1392" s="28" t="s">
        <v>1790</v>
      </c>
      <c r="B1392" s="27" t="s">
        <v>438</v>
      </c>
      <c r="C1392" s="27" t="s">
        <v>211</v>
      </c>
      <c r="D1392" s="25"/>
      <c r="E1392" s="25"/>
      <c r="F1392" s="25"/>
      <c r="G1392" s="25"/>
      <c r="H1392" s="25"/>
      <c r="I1392" s="25"/>
      <c r="J1392" s="27" t="s">
        <v>1780</v>
      </c>
      <c r="K1392" s="25" t="str">
        <f aca="false">IFERROR(__xludf.dummyfunction("SPLIT(J1392,"" "")"),"CIF")</f>
        <v>CIF</v>
      </c>
      <c r="L1392" s="28" t="str">
        <f aca="false">IFERROR(__xludf.dummyfunction("""COMPUTED_VALUE"""),"Poland")</f>
        <v>Poland</v>
      </c>
      <c r="M1392" s="27" t="str">
        <f aca="false">IFERROR(__xludf.dummyfunction("""COMPUTED_VALUE"""),"(Diff)")</f>
        <v>(Diff)</v>
      </c>
      <c r="N1392" s="25"/>
      <c r="O1392" s="25"/>
      <c r="P1392" s="25"/>
      <c r="Q1392" s="29" t="s">
        <v>234</v>
      </c>
      <c r="R1392" s="8" t="str">
        <f aca="false">B1392&amp;" "&amp;C1392&amp;" "&amp;D1392&amp;" "&amp;E1392&amp;" "&amp;G1392&amp;" "&amp;H1392&amp;" "&amp;J1392&amp;" "&amp;N1392</f>
        <v>Differentials Binders &amp; Additives     CIF Poland (Diff) </v>
      </c>
      <c r="S1392" s="25"/>
      <c r="T1392" s="8"/>
      <c r="U1392" s="8"/>
      <c r="V1392" s="25"/>
      <c r="W1392" s="25"/>
      <c r="X1392" s="25"/>
      <c r="Y1392" s="25"/>
      <c r="Z1392" s="25"/>
      <c r="AA1392" s="25"/>
      <c r="AB1392" s="25"/>
      <c r="AC1392" s="25"/>
      <c r="AD1392" s="25"/>
    </row>
    <row r="1393" customFormat="false" ht="15.75" hidden="false" customHeight="false" outlineLevel="0" collapsed="false">
      <c r="A1393" s="28" t="s">
        <v>1791</v>
      </c>
      <c r="B1393" s="27" t="s">
        <v>438</v>
      </c>
      <c r="C1393" s="27" t="s">
        <v>211</v>
      </c>
      <c r="D1393" s="25"/>
      <c r="E1393" s="25"/>
      <c r="F1393" s="25"/>
      <c r="G1393" s="25"/>
      <c r="H1393" s="25"/>
      <c r="I1393" s="25"/>
      <c r="J1393" s="27" t="s">
        <v>1780</v>
      </c>
      <c r="K1393" s="25" t="str">
        <f aca="false">IFERROR(__xludf.dummyfunction("SPLIT(J1393,"" "")"),"CIF")</f>
        <v>CIF</v>
      </c>
      <c r="L1393" s="28" t="str">
        <f aca="false">IFERROR(__xludf.dummyfunction("""COMPUTED_VALUE"""),"Poland")</f>
        <v>Poland</v>
      </c>
      <c r="M1393" s="27" t="str">
        <f aca="false">IFERROR(__xludf.dummyfunction("""COMPUTED_VALUE"""),"(Diff)")</f>
        <v>(Diff)</v>
      </c>
      <c r="N1393" s="25"/>
      <c r="O1393" s="25"/>
      <c r="P1393" s="25"/>
      <c r="Q1393" s="29" t="s">
        <v>232</v>
      </c>
      <c r="R1393" s="8" t="str">
        <f aca="false">B1393&amp;" "&amp;C1393&amp;" "&amp;D1393&amp;" "&amp;E1393&amp;" "&amp;G1393&amp;" "&amp;H1393&amp;" "&amp;J1393&amp;" "&amp;N1393</f>
        <v>Differentials Binders &amp; Additives     CIF Poland (Diff) </v>
      </c>
      <c r="S1393" s="25"/>
      <c r="T1393" s="8"/>
      <c r="U1393" s="8"/>
      <c r="V1393" s="25"/>
      <c r="W1393" s="25"/>
      <c r="X1393" s="25"/>
      <c r="Y1393" s="25"/>
      <c r="Z1393" s="25"/>
      <c r="AA1393" s="25"/>
      <c r="AB1393" s="25"/>
      <c r="AC1393" s="25"/>
      <c r="AD1393" s="25"/>
    </row>
    <row r="1394" customFormat="false" ht="15.75" hidden="false" customHeight="false" outlineLevel="0" collapsed="false">
      <c r="A1394" s="28" t="s">
        <v>1792</v>
      </c>
      <c r="B1394" s="27" t="s">
        <v>438</v>
      </c>
      <c r="C1394" s="27" t="s">
        <v>211</v>
      </c>
      <c r="D1394" s="25"/>
      <c r="E1394" s="25"/>
      <c r="F1394" s="25"/>
      <c r="G1394" s="25"/>
      <c r="H1394" s="25"/>
      <c r="I1394" s="25"/>
      <c r="J1394" s="27" t="s">
        <v>1780</v>
      </c>
      <c r="K1394" s="25" t="str">
        <f aca="false">IFERROR(__xludf.dummyfunction("SPLIT(J1394,"" "")"),"CIF")</f>
        <v>CIF</v>
      </c>
      <c r="L1394" s="28" t="str">
        <f aca="false">IFERROR(__xludf.dummyfunction("""COMPUTED_VALUE"""),"Poland")</f>
        <v>Poland</v>
      </c>
      <c r="M1394" s="27" t="str">
        <f aca="false">IFERROR(__xludf.dummyfunction("""COMPUTED_VALUE"""),"(Diff)")</f>
        <v>(Diff)</v>
      </c>
      <c r="N1394" s="25"/>
      <c r="O1394" s="25"/>
      <c r="P1394" s="25"/>
      <c r="Q1394" s="29" t="s">
        <v>230</v>
      </c>
      <c r="R1394" s="8" t="str">
        <f aca="false">B1394&amp;" "&amp;C1394&amp;" "&amp;D1394&amp;" "&amp;E1394&amp;" "&amp;G1394&amp;" "&amp;H1394&amp;" "&amp;J1394&amp;" "&amp;N1394</f>
        <v>Differentials Binders &amp; Additives     CIF Poland (Diff) </v>
      </c>
      <c r="S1394" s="25"/>
      <c r="T1394" s="8"/>
      <c r="U1394" s="8"/>
      <c r="V1394" s="25"/>
      <c r="W1394" s="25"/>
      <c r="X1394" s="25"/>
      <c r="Y1394" s="25"/>
      <c r="Z1394" s="25"/>
      <c r="AA1394" s="25"/>
      <c r="AB1394" s="25"/>
      <c r="AC1394" s="25"/>
      <c r="AD1394" s="25"/>
    </row>
    <row r="1395" customFormat="false" ht="15.75" hidden="false" customHeight="false" outlineLevel="0" collapsed="false">
      <c r="A1395" s="28" t="s">
        <v>1793</v>
      </c>
      <c r="B1395" s="27" t="s">
        <v>438</v>
      </c>
      <c r="C1395" s="27" t="s">
        <v>211</v>
      </c>
      <c r="D1395" s="25"/>
      <c r="E1395" s="25"/>
      <c r="F1395" s="25"/>
      <c r="G1395" s="25"/>
      <c r="H1395" s="25"/>
      <c r="I1395" s="25"/>
      <c r="J1395" s="27" t="s">
        <v>1780</v>
      </c>
      <c r="K1395" s="25" t="str">
        <f aca="false">IFERROR(__xludf.dummyfunction("SPLIT(J1395,"" "")"),"CIF")</f>
        <v>CIF</v>
      </c>
      <c r="L1395" s="28" t="str">
        <f aca="false">IFERROR(__xludf.dummyfunction("""COMPUTED_VALUE"""),"Poland")</f>
        <v>Poland</v>
      </c>
      <c r="M1395" s="27" t="str">
        <f aca="false">IFERROR(__xludf.dummyfunction("""COMPUTED_VALUE"""),"(Diff)")</f>
        <v>(Diff)</v>
      </c>
      <c r="N1395" s="25"/>
      <c r="O1395" s="25"/>
      <c r="P1395" s="25"/>
      <c r="Q1395" s="29" t="s">
        <v>228</v>
      </c>
      <c r="R1395" s="8" t="str">
        <f aca="false">B1395&amp;" "&amp;C1395&amp;" "&amp;D1395&amp;" "&amp;E1395&amp;" "&amp;G1395&amp;" "&amp;H1395&amp;" "&amp;J1395&amp;" "&amp;N1395</f>
        <v>Differentials Binders &amp; Additives     CIF Poland (Diff) </v>
      </c>
      <c r="S1395" s="25"/>
      <c r="T1395" s="8"/>
      <c r="U1395" s="8"/>
      <c r="V1395" s="25"/>
      <c r="W1395" s="25"/>
      <c r="X1395" s="25"/>
      <c r="Y1395" s="25"/>
      <c r="Z1395" s="25"/>
      <c r="AA1395" s="25"/>
      <c r="AB1395" s="25"/>
      <c r="AC1395" s="25"/>
      <c r="AD1395" s="25"/>
    </row>
    <row r="1396" customFormat="false" ht="15.75" hidden="false" customHeight="false" outlineLevel="0" collapsed="false">
      <c r="A1396" s="28" t="s">
        <v>1794</v>
      </c>
      <c r="B1396" s="27" t="s">
        <v>438</v>
      </c>
      <c r="C1396" s="27" t="s">
        <v>211</v>
      </c>
      <c r="D1396" s="25"/>
      <c r="E1396" s="25"/>
      <c r="F1396" s="25"/>
      <c r="G1396" s="25"/>
      <c r="H1396" s="25"/>
      <c r="I1396" s="25"/>
      <c r="J1396" s="27" t="s">
        <v>1780</v>
      </c>
      <c r="K1396" s="25" t="str">
        <f aca="false">IFERROR(__xludf.dummyfunction("SPLIT(J1396,"" "")"),"CIF")</f>
        <v>CIF</v>
      </c>
      <c r="L1396" s="28" t="str">
        <f aca="false">IFERROR(__xludf.dummyfunction("""COMPUTED_VALUE"""),"Poland")</f>
        <v>Poland</v>
      </c>
      <c r="M1396" s="27" t="str">
        <f aca="false">IFERROR(__xludf.dummyfunction("""COMPUTED_VALUE"""),"(Diff)")</f>
        <v>(Diff)</v>
      </c>
      <c r="N1396" s="25"/>
      <c r="O1396" s="25"/>
      <c r="P1396" s="25"/>
      <c r="Q1396" s="29" t="s">
        <v>226</v>
      </c>
      <c r="R1396" s="8" t="str">
        <f aca="false">B1396&amp;" "&amp;C1396&amp;" "&amp;D1396&amp;" "&amp;E1396&amp;" "&amp;G1396&amp;" "&amp;H1396&amp;" "&amp;J1396&amp;" "&amp;N1396</f>
        <v>Differentials Binders &amp; Additives     CIF Poland (Diff) </v>
      </c>
      <c r="S1396" s="25"/>
      <c r="T1396" s="8"/>
      <c r="U1396" s="8"/>
      <c r="V1396" s="25"/>
      <c r="W1396" s="25"/>
      <c r="X1396" s="25"/>
      <c r="Y1396" s="25"/>
      <c r="Z1396" s="25"/>
      <c r="AA1396" s="25"/>
      <c r="AB1396" s="25"/>
      <c r="AC1396" s="25"/>
      <c r="AD1396" s="25"/>
    </row>
    <row r="1397" customFormat="false" ht="15.75" hidden="false" customHeight="false" outlineLevel="0" collapsed="false">
      <c r="A1397" s="28" t="s">
        <v>1795</v>
      </c>
      <c r="B1397" s="27" t="s">
        <v>438</v>
      </c>
      <c r="C1397" s="27" t="s">
        <v>211</v>
      </c>
      <c r="D1397" s="25"/>
      <c r="E1397" s="25"/>
      <c r="F1397" s="25"/>
      <c r="G1397" s="25"/>
      <c r="H1397" s="25"/>
      <c r="I1397" s="25"/>
      <c r="J1397" s="27" t="s">
        <v>1780</v>
      </c>
      <c r="K1397" s="25" t="str">
        <f aca="false">IFERROR(__xludf.dummyfunction("SPLIT(J1397,"" "")"),"CIF")</f>
        <v>CIF</v>
      </c>
      <c r="L1397" s="28" t="str">
        <f aca="false">IFERROR(__xludf.dummyfunction("""COMPUTED_VALUE"""),"Poland")</f>
        <v>Poland</v>
      </c>
      <c r="M1397" s="27" t="str">
        <f aca="false">IFERROR(__xludf.dummyfunction("""COMPUTED_VALUE"""),"(Diff)")</f>
        <v>(Diff)</v>
      </c>
      <c r="N1397" s="25"/>
      <c r="O1397" s="25"/>
      <c r="P1397" s="25"/>
      <c r="Q1397" s="29" t="s">
        <v>224</v>
      </c>
      <c r="R1397" s="8" t="str">
        <f aca="false">B1397&amp;" "&amp;C1397&amp;" "&amp;D1397&amp;" "&amp;E1397&amp;" "&amp;G1397&amp;" "&amp;H1397&amp;" "&amp;J1397&amp;" "&amp;N1397</f>
        <v>Differentials Binders &amp; Additives     CIF Poland (Diff) </v>
      </c>
      <c r="S1397" s="25"/>
      <c r="T1397" s="8"/>
      <c r="U1397" s="8"/>
      <c r="V1397" s="25"/>
      <c r="W1397" s="25"/>
      <c r="X1397" s="25"/>
      <c r="Y1397" s="25"/>
      <c r="Z1397" s="25"/>
      <c r="AA1397" s="25"/>
      <c r="AB1397" s="25"/>
      <c r="AC1397" s="25"/>
      <c r="AD1397" s="25"/>
    </row>
    <row r="1398" customFormat="false" ht="15.75" hidden="false" customHeight="false" outlineLevel="0" collapsed="false">
      <c r="A1398" s="28" t="s">
        <v>1796</v>
      </c>
      <c r="B1398" s="27" t="s">
        <v>438</v>
      </c>
      <c r="C1398" s="27" t="s">
        <v>211</v>
      </c>
      <c r="D1398" s="25"/>
      <c r="E1398" s="25"/>
      <c r="F1398" s="25"/>
      <c r="G1398" s="25"/>
      <c r="H1398" s="25"/>
      <c r="I1398" s="25"/>
      <c r="J1398" s="27" t="s">
        <v>1780</v>
      </c>
      <c r="K1398" s="25" t="str">
        <f aca="false">IFERROR(__xludf.dummyfunction("SPLIT(J1398,"" "")"),"CIF")</f>
        <v>CIF</v>
      </c>
      <c r="L1398" s="28" t="str">
        <f aca="false">IFERROR(__xludf.dummyfunction("""COMPUTED_VALUE"""),"Poland")</f>
        <v>Poland</v>
      </c>
      <c r="M1398" s="27" t="str">
        <f aca="false">IFERROR(__xludf.dummyfunction("""COMPUTED_VALUE"""),"(Diff)")</f>
        <v>(Diff)</v>
      </c>
      <c r="N1398" s="25"/>
      <c r="O1398" s="25"/>
      <c r="P1398" s="25"/>
      <c r="Q1398" s="29" t="s">
        <v>222</v>
      </c>
      <c r="R1398" s="8" t="str">
        <f aca="false">B1398&amp;" "&amp;C1398&amp;" "&amp;D1398&amp;" "&amp;E1398&amp;" "&amp;G1398&amp;" "&amp;H1398&amp;" "&amp;J1398&amp;" "&amp;N1398</f>
        <v>Differentials Binders &amp; Additives     CIF Poland (Diff) </v>
      </c>
      <c r="S1398" s="25"/>
      <c r="T1398" s="8"/>
      <c r="U1398" s="8"/>
      <c r="V1398" s="25"/>
      <c r="W1398" s="25"/>
      <c r="X1398" s="25"/>
      <c r="Y1398" s="25"/>
      <c r="Z1398" s="25"/>
      <c r="AA1398" s="25"/>
      <c r="AB1398" s="25"/>
      <c r="AC1398" s="25"/>
      <c r="AD1398" s="25"/>
    </row>
    <row r="1399" customFormat="false" ht="15.75" hidden="false" customHeight="false" outlineLevel="0" collapsed="false">
      <c r="A1399" s="28" t="s">
        <v>1797</v>
      </c>
      <c r="B1399" s="27" t="s">
        <v>438</v>
      </c>
      <c r="C1399" s="27" t="s">
        <v>211</v>
      </c>
      <c r="D1399" s="25"/>
      <c r="E1399" s="25"/>
      <c r="F1399" s="25"/>
      <c r="G1399" s="25"/>
      <c r="H1399" s="25"/>
      <c r="I1399" s="25"/>
      <c r="J1399" s="27" t="s">
        <v>1780</v>
      </c>
      <c r="K1399" s="25" t="str">
        <f aca="false">IFERROR(__xludf.dummyfunction("SPLIT(J1399,"" "")"),"CIF")</f>
        <v>CIF</v>
      </c>
      <c r="L1399" s="28" t="str">
        <f aca="false">IFERROR(__xludf.dummyfunction("""COMPUTED_VALUE"""),"Poland")</f>
        <v>Poland</v>
      </c>
      <c r="M1399" s="27" t="str">
        <f aca="false">IFERROR(__xludf.dummyfunction("""COMPUTED_VALUE"""),"(Diff)")</f>
        <v>(Diff)</v>
      </c>
      <c r="N1399" s="25"/>
      <c r="O1399" s="25"/>
      <c r="P1399" s="25"/>
      <c r="Q1399" s="29" t="s">
        <v>220</v>
      </c>
      <c r="R1399" s="8" t="str">
        <f aca="false">B1399&amp;" "&amp;C1399&amp;" "&amp;D1399&amp;" "&amp;E1399&amp;" "&amp;G1399&amp;" "&amp;H1399&amp;" "&amp;J1399&amp;" "&amp;N1399</f>
        <v>Differentials Binders &amp; Additives     CIF Poland (Diff) </v>
      </c>
      <c r="S1399" s="25"/>
      <c r="T1399" s="8"/>
      <c r="U1399" s="8"/>
      <c r="V1399" s="25"/>
      <c r="W1399" s="25"/>
      <c r="X1399" s="25"/>
      <c r="Y1399" s="25"/>
      <c r="Z1399" s="25"/>
      <c r="AA1399" s="25"/>
      <c r="AB1399" s="25"/>
      <c r="AC1399" s="25"/>
      <c r="AD1399" s="25"/>
    </row>
    <row r="1400" customFormat="false" ht="15.75" hidden="false" customHeight="false" outlineLevel="0" collapsed="false">
      <c r="A1400" s="28" t="s">
        <v>1798</v>
      </c>
      <c r="B1400" s="27" t="s">
        <v>438</v>
      </c>
      <c r="C1400" s="27" t="s">
        <v>211</v>
      </c>
      <c r="D1400" s="25"/>
      <c r="E1400" s="25"/>
      <c r="F1400" s="25"/>
      <c r="G1400" s="25"/>
      <c r="H1400" s="25"/>
      <c r="I1400" s="25"/>
      <c r="J1400" s="27" t="s">
        <v>1780</v>
      </c>
      <c r="K1400" s="25" t="str">
        <f aca="false">IFERROR(__xludf.dummyfunction("SPLIT(J1400,"" "")"),"CIF")</f>
        <v>CIF</v>
      </c>
      <c r="L1400" s="28" t="str">
        <f aca="false">IFERROR(__xludf.dummyfunction("""COMPUTED_VALUE"""),"Poland")</f>
        <v>Poland</v>
      </c>
      <c r="M1400" s="27" t="str">
        <f aca="false">IFERROR(__xludf.dummyfunction("""COMPUTED_VALUE"""),"(Diff)")</f>
        <v>(Diff)</v>
      </c>
      <c r="N1400" s="25"/>
      <c r="O1400" s="25"/>
      <c r="P1400" s="25"/>
      <c r="Q1400" s="29" t="s">
        <v>218</v>
      </c>
      <c r="R1400" s="8" t="str">
        <f aca="false">B1400&amp;" "&amp;C1400&amp;" "&amp;D1400&amp;" "&amp;E1400&amp;" "&amp;G1400&amp;" "&amp;H1400&amp;" "&amp;J1400&amp;" "&amp;N1400</f>
        <v>Differentials Binders &amp; Additives     CIF Poland (Diff) </v>
      </c>
      <c r="S1400" s="25"/>
      <c r="T1400" s="8"/>
      <c r="U1400" s="8"/>
      <c r="V1400" s="25"/>
      <c r="W1400" s="25"/>
      <c r="X1400" s="25"/>
      <c r="Y1400" s="25"/>
      <c r="Z1400" s="25"/>
      <c r="AA1400" s="25"/>
      <c r="AB1400" s="25"/>
      <c r="AC1400" s="25"/>
      <c r="AD1400" s="25"/>
    </row>
    <row r="1401" customFormat="false" ht="15.75" hidden="false" customHeight="false" outlineLevel="0" collapsed="false">
      <c r="A1401" s="28" t="s">
        <v>1799</v>
      </c>
      <c r="B1401" s="27" t="s">
        <v>438</v>
      </c>
      <c r="C1401" s="27" t="s">
        <v>211</v>
      </c>
      <c r="D1401" s="25"/>
      <c r="E1401" s="25"/>
      <c r="F1401" s="25"/>
      <c r="G1401" s="25"/>
      <c r="H1401" s="25"/>
      <c r="I1401" s="25"/>
      <c r="J1401" s="27" t="s">
        <v>1780</v>
      </c>
      <c r="K1401" s="25" t="str">
        <f aca="false">IFERROR(__xludf.dummyfunction("SPLIT(J1401,"" "")"),"CIF")</f>
        <v>CIF</v>
      </c>
      <c r="L1401" s="28" t="str">
        <f aca="false">IFERROR(__xludf.dummyfunction("""COMPUTED_VALUE"""),"Poland")</f>
        <v>Poland</v>
      </c>
      <c r="M1401" s="27" t="str">
        <f aca="false">IFERROR(__xludf.dummyfunction("""COMPUTED_VALUE"""),"(Diff)")</f>
        <v>(Diff)</v>
      </c>
      <c r="N1401" s="25"/>
      <c r="O1401" s="25"/>
      <c r="P1401" s="25"/>
      <c r="Q1401" s="29" t="s">
        <v>215</v>
      </c>
      <c r="R1401" s="8" t="str">
        <f aca="false">B1401&amp;" "&amp;C1401&amp;" "&amp;D1401&amp;" "&amp;E1401&amp;" "&amp;G1401&amp;" "&amp;H1401&amp;" "&amp;J1401&amp;" "&amp;N1401</f>
        <v>Differentials Binders &amp; Additives     CIF Poland (Diff) </v>
      </c>
      <c r="S1401" s="25"/>
      <c r="T1401" s="8"/>
      <c r="U1401" s="8"/>
      <c r="V1401" s="25"/>
      <c r="W1401" s="25"/>
      <c r="X1401" s="25"/>
      <c r="Y1401" s="25"/>
      <c r="Z1401" s="25"/>
      <c r="AA1401" s="25"/>
      <c r="AB1401" s="25"/>
      <c r="AC1401" s="25"/>
      <c r="AD1401" s="25"/>
    </row>
    <row r="1402" customFormat="false" ht="15.75" hidden="false" customHeight="false" outlineLevel="0" collapsed="false">
      <c r="A1402" s="28" t="s">
        <v>1800</v>
      </c>
      <c r="B1402" s="27" t="s">
        <v>438</v>
      </c>
      <c r="C1402" s="27" t="s">
        <v>211</v>
      </c>
      <c r="D1402" s="25"/>
      <c r="E1402" s="25"/>
      <c r="F1402" s="25"/>
      <c r="G1402" s="25"/>
      <c r="H1402" s="25"/>
      <c r="I1402" s="25"/>
      <c r="J1402" s="27" t="s">
        <v>1780</v>
      </c>
      <c r="K1402" s="25" t="str">
        <f aca="false">IFERROR(__xludf.dummyfunction("SPLIT(J1402,"" "")"),"CIF")</f>
        <v>CIF</v>
      </c>
      <c r="L1402" s="28" t="str">
        <f aca="false">IFERROR(__xludf.dummyfunction("""COMPUTED_VALUE"""),"Poland")</f>
        <v>Poland</v>
      </c>
      <c r="M1402" s="27" t="str">
        <f aca="false">IFERROR(__xludf.dummyfunction("""COMPUTED_VALUE"""),"(Diff)")</f>
        <v>(Diff)</v>
      </c>
      <c r="N1402" s="25"/>
      <c r="O1402" s="25"/>
      <c r="P1402" s="25"/>
      <c r="Q1402" s="29" t="s">
        <v>213</v>
      </c>
      <c r="R1402" s="8" t="str">
        <f aca="false">B1402&amp;" "&amp;C1402&amp;" "&amp;D1402&amp;" "&amp;E1402&amp;" "&amp;G1402&amp;" "&amp;H1402&amp;" "&amp;J1402&amp;" "&amp;N1402</f>
        <v>Differentials Binders &amp; Additives     CIF Poland (Diff) </v>
      </c>
      <c r="S1402" s="25"/>
      <c r="T1402" s="8"/>
      <c r="U1402" s="8"/>
      <c r="V1402" s="25"/>
      <c r="W1402" s="25"/>
      <c r="X1402" s="25"/>
      <c r="Y1402" s="25"/>
      <c r="Z1402" s="25"/>
      <c r="AA1402" s="25"/>
      <c r="AB1402" s="25"/>
      <c r="AC1402" s="25"/>
      <c r="AD1402" s="25"/>
    </row>
    <row r="1403" customFormat="false" ht="15.75" hidden="false" customHeight="false" outlineLevel="0" collapsed="false">
      <c r="A1403" s="28" t="s">
        <v>1801</v>
      </c>
      <c r="B1403" s="27" t="s">
        <v>438</v>
      </c>
      <c r="C1403" s="27" t="s">
        <v>236</v>
      </c>
      <c r="D1403" s="25"/>
      <c r="E1403" s="25"/>
      <c r="F1403" s="25"/>
      <c r="G1403" s="25"/>
      <c r="H1403" s="25"/>
      <c r="I1403" s="25"/>
      <c r="J1403" s="27" t="s">
        <v>1780</v>
      </c>
      <c r="K1403" s="25" t="str">
        <f aca="false">IFERROR(__xludf.dummyfunction("SPLIT(J1403,"" "")"),"CIF")</f>
        <v>CIF</v>
      </c>
      <c r="L1403" s="28" t="str">
        <f aca="false">IFERROR(__xludf.dummyfunction("""COMPUTED_VALUE"""),"Poland")</f>
        <v>Poland</v>
      </c>
      <c r="M1403" s="27" t="str">
        <f aca="false">IFERROR(__xludf.dummyfunction("""COMPUTED_VALUE"""),"(Diff)")</f>
        <v>(Diff)</v>
      </c>
      <c r="N1403" s="25"/>
      <c r="O1403" s="25"/>
      <c r="P1403" s="25"/>
      <c r="Q1403" s="29" t="s">
        <v>271</v>
      </c>
      <c r="R1403" s="8" t="str">
        <f aca="false">B1403&amp;" "&amp;C1403&amp;" "&amp;D1403&amp;" "&amp;E1403&amp;" "&amp;G1403&amp;" "&amp;H1403&amp;" "&amp;J1403&amp;" "&amp;N1403</f>
        <v>Differentials Cathode     CIF Poland (Diff) </v>
      </c>
      <c r="S1403" s="25"/>
      <c r="T1403" s="8"/>
      <c r="U1403" s="8"/>
      <c r="V1403" s="25"/>
      <c r="W1403" s="25"/>
      <c r="X1403" s="25"/>
      <c r="Y1403" s="25"/>
      <c r="Z1403" s="25"/>
      <c r="AA1403" s="25"/>
      <c r="AB1403" s="25"/>
      <c r="AC1403" s="25"/>
      <c r="AD1403" s="25"/>
    </row>
    <row r="1404" customFormat="false" ht="15.75" hidden="false" customHeight="false" outlineLevel="0" collapsed="false">
      <c r="A1404" s="28" t="s">
        <v>1802</v>
      </c>
      <c r="B1404" s="27" t="s">
        <v>438</v>
      </c>
      <c r="C1404" s="27" t="s">
        <v>236</v>
      </c>
      <c r="D1404" s="25"/>
      <c r="E1404" s="25"/>
      <c r="F1404" s="25"/>
      <c r="G1404" s="25"/>
      <c r="H1404" s="25"/>
      <c r="I1404" s="25"/>
      <c r="J1404" s="27" t="s">
        <v>1780</v>
      </c>
      <c r="K1404" s="25" t="str">
        <f aca="false">IFERROR(__xludf.dummyfunction("SPLIT(J1404,"" "")"),"CIF")</f>
        <v>CIF</v>
      </c>
      <c r="L1404" s="28" t="str">
        <f aca="false">IFERROR(__xludf.dummyfunction("""COMPUTED_VALUE"""),"Poland")</f>
        <v>Poland</v>
      </c>
      <c r="M1404" s="27" t="str">
        <f aca="false">IFERROR(__xludf.dummyfunction("""COMPUTED_VALUE"""),"(Diff)")</f>
        <v>(Diff)</v>
      </c>
      <c r="N1404" s="25"/>
      <c r="O1404" s="25"/>
      <c r="P1404" s="25"/>
      <c r="Q1404" s="29" t="s">
        <v>266</v>
      </c>
      <c r="R1404" s="8" t="str">
        <f aca="false">B1404&amp;" "&amp;C1404&amp;" "&amp;D1404&amp;" "&amp;E1404&amp;" "&amp;G1404&amp;" "&amp;H1404&amp;" "&amp;J1404&amp;" "&amp;N1404</f>
        <v>Differentials Cathode     CIF Poland (Diff) </v>
      </c>
      <c r="S1404" s="25"/>
      <c r="T1404" s="8"/>
      <c r="U1404" s="8"/>
      <c r="V1404" s="25"/>
      <c r="W1404" s="25"/>
      <c r="X1404" s="25"/>
      <c r="Y1404" s="25"/>
      <c r="Z1404" s="25"/>
      <c r="AA1404" s="25"/>
      <c r="AB1404" s="25"/>
      <c r="AC1404" s="25"/>
      <c r="AD1404" s="25"/>
    </row>
    <row r="1405" customFormat="false" ht="15.75" hidden="false" customHeight="false" outlineLevel="0" collapsed="false">
      <c r="A1405" s="28" t="s">
        <v>1803</v>
      </c>
      <c r="B1405" s="27" t="s">
        <v>438</v>
      </c>
      <c r="C1405" s="27" t="s">
        <v>236</v>
      </c>
      <c r="D1405" s="25"/>
      <c r="E1405" s="25"/>
      <c r="F1405" s="25"/>
      <c r="G1405" s="25"/>
      <c r="H1405" s="25"/>
      <c r="I1405" s="25"/>
      <c r="J1405" s="27" t="s">
        <v>1780</v>
      </c>
      <c r="K1405" s="25" t="str">
        <f aca="false">IFERROR(__xludf.dummyfunction("SPLIT(J1405,"" "")"),"CIF")</f>
        <v>CIF</v>
      </c>
      <c r="L1405" s="28" t="str">
        <f aca="false">IFERROR(__xludf.dummyfunction("""COMPUTED_VALUE"""),"Poland")</f>
        <v>Poland</v>
      </c>
      <c r="M1405" s="27" t="str">
        <f aca="false">IFERROR(__xludf.dummyfunction("""COMPUTED_VALUE"""),"(Diff)")</f>
        <v>(Diff)</v>
      </c>
      <c r="N1405" s="25"/>
      <c r="O1405" s="25"/>
      <c r="P1405" s="25"/>
      <c r="Q1405" s="29" t="s">
        <v>261</v>
      </c>
      <c r="R1405" s="8" t="str">
        <f aca="false">B1405&amp;" "&amp;C1405&amp;" "&amp;D1405&amp;" "&amp;E1405&amp;" "&amp;G1405&amp;" "&amp;H1405&amp;" "&amp;J1405&amp;" "&amp;N1405</f>
        <v>Differentials Cathode     CIF Poland (Diff) </v>
      </c>
      <c r="S1405" s="25"/>
      <c r="T1405" s="8"/>
      <c r="U1405" s="8"/>
      <c r="V1405" s="25"/>
      <c r="W1405" s="25"/>
      <c r="X1405" s="25"/>
      <c r="Y1405" s="25"/>
      <c r="Z1405" s="25"/>
      <c r="AA1405" s="25"/>
      <c r="AB1405" s="25"/>
      <c r="AC1405" s="25"/>
      <c r="AD1405" s="25"/>
    </row>
    <row r="1406" customFormat="false" ht="15.75" hidden="false" customHeight="false" outlineLevel="0" collapsed="false">
      <c r="A1406" s="28" t="s">
        <v>1804</v>
      </c>
      <c r="B1406" s="27" t="s">
        <v>438</v>
      </c>
      <c r="C1406" s="27" t="s">
        <v>236</v>
      </c>
      <c r="D1406" s="25"/>
      <c r="E1406" s="25"/>
      <c r="F1406" s="25"/>
      <c r="G1406" s="25"/>
      <c r="H1406" s="25"/>
      <c r="I1406" s="25"/>
      <c r="J1406" s="27" t="s">
        <v>1780</v>
      </c>
      <c r="K1406" s="25" t="str">
        <f aca="false">IFERROR(__xludf.dummyfunction("SPLIT(J1406,"" "")"),"CIF")</f>
        <v>CIF</v>
      </c>
      <c r="L1406" s="28" t="str">
        <f aca="false">IFERROR(__xludf.dummyfunction("""COMPUTED_VALUE"""),"Poland")</f>
        <v>Poland</v>
      </c>
      <c r="M1406" s="27" t="str">
        <f aca="false">IFERROR(__xludf.dummyfunction("""COMPUTED_VALUE"""),"(Diff)")</f>
        <v>(Diff)</v>
      </c>
      <c r="N1406" s="25"/>
      <c r="O1406" s="25"/>
      <c r="P1406" s="25"/>
      <c r="Q1406" s="29" t="s">
        <v>256</v>
      </c>
      <c r="R1406" s="8" t="str">
        <f aca="false">B1406&amp;" "&amp;C1406&amp;" "&amp;D1406&amp;" "&amp;E1406&amp;" "&amp;G1406&amp;" "&amp;H1406&amp;" "&amp;J1406&amp;" "&amp;N1406</f>
        <v>Differentials Cathode     CIF Poland (Diff) </v>
      </c>
      <c r="S1406" s="25"/>
      <c r="T1406" s="8"/>
      <c r="U1406" s="8"/>
      <c r="V1406" s="25"/>
      <c r="W1406" s="25"/>
      <c r="X1406" s="25"/>
      <c r="Y1406" s="25"/>
      <c r="Z1406" s="25"/>
      <c r="AA1406" s="25"/>
      <c r="AB1406" s="25"/>
      <c r="AC1406" s="25"/>
      <c r="AD1406" s="25"/>
    </row>
    <row r="1407" customFormat="false" ht="15.75" hidden="false" customHeight="false" outlineLevel="0" collapsed="false">
      <c r="A1407" s="28" t="s">
        <v>1805</v>
      </c>
      <c r="B1407" s="27" t="s">
        <v>438</v>
      </c>
      <c r="C1407" s="27" t="s">
        <v>236</v>
      </c>
      <c r="D1407" s="25"/>
      <c r="E1407" s="25"/>
      <c r="F1407" s="25"/>
      <c r="G1407" s="25"/>
      <c r="H1407" s="25"/>
      <c r="I1407" s="25"/>
      <c r="J1407" s="27" t="s">
        <v>1780</v>
      </c>
      <c r="K1407" s="25" t="str">
        <f aca="false">IFERROR(__xludf.dummyfunction("SPLIT(J1407,"" "")"),"CIF")</f>
        <v>CIF</v>
      </c>
      <c r="L1407" s="28" t="str">
        <f aca="false">IFERROR(__xludf.dummyfunction("""COMPUTED_VALUE"""),"Poland")</f>
        <v>Poland</v>
      </c>
      <c r="M1407" s="27" t="str">
        <f aca="false">IFERROR(__xludf.dummyfunction("""COMPUTED_VALUE"""),"(Diff)")</f>
        <v>(Diff)</v>
      </c>
      <c r="N1407" s="25"/>
      <c r="O1407" s="25"/>
      <c r="P1407" s="25"/>
      <c r="Q1407" s="29" t="s">
        <v>251</v>
      </c>
      <c r="R1407" s="8" t="str">
        <f aca="false">B1407&amp;" "&amp;C1407&amp;" "&amp;D1407&amp;" "&amp;E1407&amp;" "&amp;G1407&amp;" "&amp;H1407&amp;" "&amp;J1407&amp;" "&amp;N1407</f>
        <v>Differentials Cathode     CIF Poland (Diff) </v>
      </c>
      <c r="S1407" s="25"/>
      <c r="T1407" s="8"/>
      <c r="U1407" s="8"/>
      <c r="V1407" s="25"/>
      <c r="W1407" s="25"/>
      <c r="X1407" s="25"/>
      <c r="Y1407" s="25"/>
      <c r="Z1407" s="25"/>
      <c r="AA1407" s="25"/>
      <c r="AB1407" s="25"/>
      <c r="AC1407" s="25"/>
      <c r="AD1407" s="25"/>
    </row>
    <row r="1408" customFormat="false" ht="15.75" hidden="false" customHeight="false" outlineLevel="0" collapsed="false">
      <c r="A1408" s="28" t="s">
        <v>1806</v>
      </c>
      <c r="B1408" s="27" t="s">
        <v>438</v>
      </c>
      <c r="C1408" s="27" t="s">
        <v>236</v>
      </c>
      <c r="D1408" s="25"/>
      <c r="E1408" s="25"/>
      <c r="F1408" s="25"/>
      <c r="G1408" s="25"/>
      <c r="H1408" s="25"/>
      <c r="I1408" s="25"/>
      <c r="J1408" s="27" t="s">
        <v>1780</v>
      </c>
      <c r="K1408" s="25" t="str">
        <f aca="false">IFERROR(__xludf.dummyfunction("SPLIT(J1408,"" "")"),"CIF")</f>
        <v>CIF</v>
      </c>
      <c r="L1408" s="28" t="str">
        <f aca="false">IFERROR(__xludf.dummyfunction("""COMPUTED_VALUE"""),"Poland")</f>
        <v>Poland</v>
      </c>
      <c r="M1408" s="27" t="str">
        <f aca="false">IFERROR(__xludf.dummyfunction("""COMPUTED_VALUE"""),"(Diff)")</f>
        <v>(Diff)</v>
      </c>
      <c r="N1408" s="25"/>
      <c r="O1408" s="25"/>
      <c r="P1408" s="25"/>
      <c r="Q1408" s="29" t="s">
        <v>247</v>
      </c>
      <c r="R1408" s="8" t="str">
        <f aca="false">B1408&amp;" "&amp;C1408&amp;" "&amp;D1408&amp;" "&amp;E1408&amp;" "&amp;G1408&amp;" "&amp;H1408&amp;" "&amp;J1408&amp;" "&amp;N1408</f>
        <v>Differentials Cathode     CIF Poland (Diff) </v>
      </c>
      <c r="S1408" s="25"/>
      <c r="T1408" s="8"/>
      <c r="U1408" s="8"/>
      <c r="V1408" s="25"/>
      <c r="W1408" s="25"/>
      <c r="X1408" s="25"/>
      <c r="Y1408" s="25"/>
      <c r="Z1408" s="25"/>
      <c r="AA1408" s="25"/>
      <c r="AB1408" s="25"/>
      <c r="AC1408" s="25"/>
      <c r="AD1408" s="25"/>
    </row>
    <row r="1409" customFormat="false" ht="15.75" hidden="false" customHeight="false" outlineLevel="0" collapsed="false">
      <c r="A1409" s="28" t="s">
        <v>1807</v>
      </c>
      <c r="B1409" s="27" t="s">
        <v>438</v>
      </c>
      <c r="C1409" s="27" t="s">
        <v>236</v>
      </c>
      <c r="D1409" s="25"/>
      <c r="E1409" s="25"/>
      <c r="F1409" s="25"/>
      <c r="G1409" s="25"/>
      <c r="H1409" s="25"/>
      <c r="I1409" s="25"/>
      <c r="J1409" s="27" t="s">
        <v>1780</v>
      </c>
      <c r="K1409" s="25" t="str">
        <f aca="false">IFERROR(__xludf.dummyfunction("SPLIT(J1409,"" "")"),"CIF")</f>
        <v>CIF</v>
      </c>
      <c r="L1409" s="28" t="str">
        <f aca="false">IFERROR(__xludf.dummyfunction("""COMPUTED_VALUE"""),"Poland")</f>
        <v>Poland</v>
      </c>
      <c r="M1409" s="27" t="str">
        <f aca="false">IFERROR(__xludf.dummyfunction("""COMPUTED_VALUE"""),"(Diff)")</f>
        <v>(Diff)</v>
      </c>
      <c r="N1409" s="25"/>
      <c r="O1409" s="25"/>
      <c r="P1409" s="25"/>
      <c r="Q1409" s="29" t="s">
        <v>243</v>
      </c>
      <c r="R1409" s="8" t="str">
        <f aca="false">B1409&amp;" "&amp;C1409&amp;" "&amp;D1409&amp;" "&amp;E1409&amp;" "&amp;G1409&amp;" "&amp;H1409&amp;" "&amp;J1409&amp;" "&amp;N1409</f>
        <v>Differentials Cathode     CIF Poland (Diff) </v>
      </c>
      <c r="S1409" s="25"/>
      <c r="T1409" s="8"/>
      <c r="U1409" s="8"/>
      <c r="V1409" s="25"/>
      <c r="W1409" s="25"/>
      <c r="X1409" s="25"/>
      <c r="Y1409" s="25"/>
      <c r="Z1409" s="25"/>
      <c r="AA1409" s="25"/>
      <c r="AB1409" s="25"/>
      <c r="AC1409" s="25"/>
      <c r="AD1409" s="25"/>
    </row>
    <row r="1410" customFormat="false" ht="15.75" hidden="false" customHeight="false" outlineLevel="0" collapsed="false">
      <c r="A1410" s="28" t="s">
        <v>1808</v>
      </c>
      <c r="B1410" s="27" t="s">
        <v>438</v>
      </c>
      <c r="C1410" s="27" t="s">
        <v>236</v>
      </c>
      <c r="D1410" s="25"/>
      <c r="E1410" s="25"/>
      <c r="F1410" s="25"/>
      <c r="G1410" s="25"/>
      <c r="H1410" s="25"/>
      <c r="I1410" s="25"/>
      <c r="J1410" s="27" t="s">
        <v>1780</v>
      </c>
      <c r="K1410" s="25" t="str">
        <f aca="false">IFERROR(__xludf.dummyfunction("SPLIT(J1410,"" "")"),"CIF")</f>
        <v>CIF</v>
      </c>
      <c r="L1410" s="28" t="str">
        <f aca="false">IFERROR(__xludf.dummyfunction("""COMPUTED_VALUE"""),"Poland")</f>
        <v>Poland</v>
      </c>
      <c r="M1410" s="27" t="str">
        <f aca="false">IFERROR(__xludf.dummyfunction("""COMPUTED_VALUE"""),"(Diff)")</f>
        <v>(Diff)</v>
      </c>
      <c r="N1410" s="25"/>
      <c r="O1410" s="25"/>
      <c r="P1410" s="25"/>
      <c r="Q1410" s="29" t="s">
        <v>239</v>
      </c>
      <c r="R1410" s="8" t="str">
        <f aca="false">B1410&amp;" "&amp;C1410&amp;" "&amp;D1410&amp;" "&amp;E1410&amp;" "&amp;G1410&amp;" "&amp;H1410&amp;" "&amp;J1410&amp;" "&amp;N1410</f>
        <v>Differentials Cathode     CIF Poland (Diff) </v>
      </c>
      <c r="S1410" s="25"/>
      <c r="T1410" s="8"/>
      <c r="U1410" s="8"/>
      <c r="V1410" s="25"/>
      <c r="W1410" s="25"/>
      <c r="X1410" s="25"/>
      <c r="Y1410" s="25"/>
      <c r="Z1410" s="25"/>
      <c r="AA1410" s="25"/>
      <c r="AB1410" s="25"/>
      <c r="AC1410" s="25"/>
      <c r="AD1410" s="25"/>
    </row>
    <row r="1411" customFormat="false" ht="15.75" hidden="false" customHeight="false" outlineLevel="0" collapsed="false">
      <c r="A1411" s="28" t="s">
        <v>1809</v>
      </c>
      <c r="B1411" s="27" t="s">
        <v>438</v>
      </c>
      <c r="C1411" s="27" t="s">
        <v>273</v>
      </c>
      <c r="D1411" s="25"/>
      <c r="E1411" s="25"/>
      <c r="F1411" s="25"/>
      <c r="G1411" s="25"/>
      <c r="H1411" s="25"/>
      <c r="I1411" s="25"/>
      <c r="J1411" s="27" t="s">
        <v>1780</v>
      </c>
      <c r="K1411" s="25" t="str">
        <f aca="false">IFERROR(__xludf.dummyfunction("SPLIT(J1411,"" "")"),"CIF")</f>
        <v>CIF</v>
      </c>
      <c r="L1411" s="28" t="str">
        <f aca="false">IFERROR(__xludf.dummyfunction("""COMPUTED_VALUE"""),"Poland")</f>
        <v>Poland</v>
      </c>
      <c r="M1411" s="27" t="str">
        <f aca="false">IFERROR(__xludf.dummyfunction("""COMPUTED_VALUE"""),"(Diff)")</f>
        <v>(Diff)</v>
      </c>
      <c r="N1411" s="25"/>
      <c r="O1411" s="25"/>
      <c r="P1411" s="25"/>
      <c r="Q1411" s="29" t="s">
        <v>274</v>
      </c>
      <c r="R1411" s="8" t="str">
        <f aca="false">B1411&amp;" "&amp;C1411&amp;" "&amp;D1411&amp;" "&amp;E1411&amp;" "&amp;G1411&amp;" "&amp;H1411&amp;" "&amp;J1411&amp;" "&amp;N1411</f>
        <v>Differentials Cobalt     CIF Poland (Diff) </v>
      </c>
      <c r="S1411" s="25"/>
      <c r="T1411" s="8"/>
      <c r="U1411" s="8"/>
      <c r="V1411" s="25"/>
      <c r="W1411" s="25"/>
      <c r="X1411" s="25"/>
      <c r="Y1411" s="25"/>
      <c r="Z1411" s="25"/>
      <c r="AA1411" s="25"/>
      <c r="AB1411" s="25"/>
      <c r="AC1411" s="25"/>
      <c r="AD1411" s="25"/>
    </row>
    <row r="1412" customFormat="false" ht="15.75" hidden="false" customHeight="false" outlineLevel="0" collapsed="false">
      <c r="A1412" s="28" t="s">
        <v>1810</v>
      </c>
      <c r="B1412" s="27" t="s">
        <v>438</v>
      </c>
      <c r="C1412" s="27" t="s">
        <v>273</v>
      </c>
      <c r="D1412" s="25"/>
      <c r="E1412" s="25"/>
      <c r="F1412" s="25"/>
      <c r="G1412" s="25"/>
      <c r="H1412" s="25"/>
      <c r="I1412" s="25"/>
      <c r="J1412" s="27" t="s">
        <v>1780</v>
      </c>
      <c r="K1412" s="25" t="str">
        <f aca="false">IFERROR(__xludf.dummyfunction("SPLIT(J1412,"" "")"),"CIF")</f>
        <v>CIF</v>
      </c>
      <c r="L1412" s="28" t="str">
        <f aca="false">IFERROR(__xludf.dummyfunction("""COMPUTED_VALUE"""),"Poland")</f>
        <v>Poland</v>
      </c>
      <c r="M1412" s="27" t="str">
        <f aca="false">IFERROR(__xludf.dummyfunction("""COMPUTED_VALUE"""),"(Diff)")</f>
        <v>(Diff)</v>
      </c>
      <c r="N1412" s="25"/>
      <c r="O1412" s="25"/>
      <c r="P1412" s="25"/>
      <c r="Q1412" s="29" t="s">
        <v>282</v>
      </c>
      <c r="R1412" s="8" t="str">
        <f aca="false">B1412&amp;" "&amp;C1412&amp;" "&amp;D1412&amp;" "&amp;E1412&amp;" "&amp;G1412&amp;" "&amp;H1412&amp;" "&amp;J1412&amp;" "&amp;N1412</f>
        <v>Differentials Cobalt     CIF Poland (Diff) </v>
      </c>
      <c r="S1412" s="25"/>
      <c r="T1412" s="8"/>
      <c r="U1412" s="8"/>
      <c r="V1412" s="25"/>
      <c r="W1412" s="25"/>
      <c r="X1412" s="25"/>
      <c r="Y1412" s="25"/>
      <c r="Z1412" s="25"/>
      <c r="AA1412" s="25"/>
      <c r="AB1412" s="25"/>
      <c r="AC1412" s="25"/>
      <c r="AD1412" s="25"/>
    </row>
    <row r="1413" customFormat="false" ht="15.75" hidden="false" customHeight="false" outlineLevel="0" collapsed="false">
      <c r="A1413" s="28" t="s">
        <v>1811</v>
      </c>
      <c r="B1413" s="27" t="s">
        <v>438</v>
      </c>
      <c r="C1413" s="27" t="s">
        <v>273</v>
      </c>
      <c r="D1413" s="25"/>
      <c r="E1413" s="25"/>
      <c r="F1413" s="25"/>
      <c r="G1413" s="25"/>
      <c r="H1413" s="25"/>
      <c r="I1413" s="25"/>
      <c r="J1413" s="27" t="s">
        <v>1780</v>
      </c>
      <c r="K1413" s="25" t="str">
        <f aca="false">IFERROR(__xludf.dummyfunction("SPLIT(J1413,"" "")"),"CIF")</f>
        <v>CIF</v>
      </c>
      <c r="L1413" s="28" t="str">
        <f aca="false">IFERROR(__xludf.dummyfunction("""COMPUTED_VALUE"""),"Poland")</f>
        <v>Poland</v>
      </c>
      <c r="M1413" s="27" t="str">
        <f aca="false">IFERROR(__xludf.dummyfunction("""COMPUTED_VALUE"""),"(Diff)")</f>
        <v>(Diff)</v>
      </c>
      <c r="N1413" s="25"/>
      <c r="O1413" s="25"/>
      <c r="P1413" s="25"/>
      <c r="Q1413" s="29" t="s">
        <v>280</v>
      </c>
      <c r="R1413" s="8" t="str">
        <f aca="false">B1413&amp;" "&amp;C1413&amp;" "&amp;D1413&amp;" "&amp;E1413&amp;" "&amp;G1413&amp;" "&amp;H1413&amp;" "&amp;J1413&amp;" "&amp;N1413</f>
        <v>Differentials Cobalt     CIF Poland (Diff) </v>
      </c>
      <c r="S1413" s="25"/>
      <c r="T1413" s="8"/>
      <c r="U1413" s="8"/>
      <c r="V1413" s="25"/>
      <c r="W1413" s="25"/>
      <c r="X1413" s="25"/>
      <c r="Y1413" s="25"/>
      <c r="Z1413" s="25"/>
      <c r="AA1413" s="25"/>
      <c r="AB1413" s="25"/>
      <c r="AC1413" s="25"/>
      <c r="AD1413" s="25"/>
    </row>
    <row r="1414" customFormat="false" ht="15.75" hidden="false" customHeight="false" outlineLevel="0" collapsed="false">
      <c r="A1414" s="28" t="s">
        <v>1812</v>
      </c>
      <c r="B1414" s="27" t="s">
        <v>438</v>
      </c>
      <c r="C1414" s="27" t="s">
        <v>273</v>
      </c>
      <c r="D1414" s="25"/>
      <c r="E1414" s="25"/>
      <c r="F1414" s="25"/>
      <c r="G1414" s="25"/>
      <c r="H1414" s="25"/>
      <c r="I1414" s="25"/>
      <c r="J1414" s="27" t="s">
        <v>1780</v>
      </c>
      <c r="K1414" s="25" t="str">
        <f aca="false">IFERROR(__xludf.dummyfunction("SPLIT(J1414,"" "")"),"CIF")</f>
        <v>CIF</v>
      </c>
      <c r="L1414" s="28" t="str">
        <f aca="false">IFERROR(__xludf.dummyfunction("""COMPUTED_VALUE"""),"Poland")</f>
        <v>Poland</v>
      </c>
      <c r="M1414" s="27" t="str">
        <f aca="false">IFERROR(__xludf.dummyfunction("""COMPUTED_VALUE"""),"(Diff)")</f>
        <v>(Diff)</v>
      </c>
      <c r="N1414" s="25"/>
      <c r="O1414" s="25"/>
      <c r="P1414" s="25"/>
      <c r="Q1414" s="29" t="s">
        <v>278</v>
      </c>
      <c r="R1414" s="8" t="str">
        <f aca="false">B1414&amp;" "&amp;C1414&amp;" "&amp;D1414&amp;" "&amp;E1414&amp;" "&amp;G1414&amp;" "&amp;H1414&amp;" "&amp;J1414&amp;" "&amp;N1414</f>
        <v>Differentials Cobalt     CIF Poland (Diff) </v>
      </c>
      <c r="S1414" s="25"/>
      <c r="T1414" s="8"/>
      <c r="U1414" s="8"/>
      <c r="V1414" s="25"/>
      <c r="W1414" s="25"/>
      <c r="X1414" s="25"/>
      <c r="Y1414" s="25"/>
      <c r="Z1414" s="25"/>
      <c r="AA1414" s="25"/>
      <c r="AB1414" s="25"/>
      <c r="AC1414" s="25"/>
      <c r="AD1414" s="25"/>
    </row>
    <row r="1415" customFormat="false" ht="15.75" hidden="false" customHeight="false" outlineLevel="0" collapsed="false">
      <c r="A1415" s="28" t="s">
        <v>1813</v>
      </c>
      <c r="B1415" s="27" t="s">
        <v>438</v>
      </c>
      <c r="C1415" s="27" t="s">
        <v>273</v>
      </c>
      <c r="D1415" s="25"/>
      <c r="E1415" s="25"/>
      <c r="F1415" s="25"/>
      <c r="G1415" s="25"/>
      <c r="H1415" s="25"/>
      <c r="I1415" s="25"/>
      <c r="J1415" s="27" t="s">
        <v>1780</v>
      </c>
      <c r="K1415" s="25" t="str">
        <f aca="false">IFERROR(__xludf.dummyfunction("SPLIT(J1415,"" "")"),"CIF")</f>
        <v>CIF</v>
      </c>
      <c r="L1415" s="28" t="str">
        <f aca="false">IFERROR(__xludf.dummyfunction("""COMPUTED_VALUE"""),"Poland")</f>
        <v>Poland</v>
      </c>
      <c r="M1415" s="27" t="str">
        <f aca="false">IFERROR(__xludf.dummyfunction("""COMPUTED_VALUE"""),"(Diff)")</f>
        <v>(Diff)</v>
      </c>
      <c r="N1415" s="25"/>
      <c r="O1415" s="25"/>
      <c r="P1415" s="25"/>
      <c r="Q1415" s="29" t="s">
        <v>276</v>
      </c>
      <c r="R1415" s="8" t="str">
        <f aca="false">B1415&amp;" "&amp;C1415&amp;" "&amp;D1415&amp;" "&amp;E1415&amp;" "&amp;G1415&amp;" "&amp;H1415&amp;" "&amp;J1415&amp;" "&amp;N1415</f>
        <v>Differentials Cobalt     CIF Poland (Diff) </v>
      </c>
      <c r="S1415" s="25"/>
      <c r="T1415" s="8"/>
      <c r="U1415" s="8"/>
      <c r="V1415" s="25"/>
      <c r="W1415" s="25"/>
      <c r="X1415" s="25"/>
      <c r="Y1415" s="25"/>
      <c r="Z1415" s="25"/>
      <c r="AA1415" s="25"/>
      <c r="AB1415" s="25"/>
      <c r="AC1415" s="25"/>
      <c r="AD1415" s="25"/>
    </row>
    <row r="1416" customFormat="false" ht="15.75" hidden="false" customHeight="false" outlineLevel="0" collapsed="false">
      <c r="A1416" s="28" t="s">
        <v>1814</v>
      </c>
      <c r="B1416" s="27" t="s">
        <v>438</v>
      </c>
      <c r="C1416" s="27" t="s">
        <v>284</v>
      </c>
      <c r="D1416" s="25"/>
      <c r="E1416" s="25"/>
      <c r="F1416" s="25"/>
      <c r="G1416" s="25"/>
      <c r="H1416" s="25"/>
      <c r="I1416" s="25"/>
      <c r="J1416" s="27" t="s">
        <v>1780</v>
      </c>
      <c r="K1416" s="25" t="str">
        <f aca="false">IFERROR(__xludf.dummyfunction("SPLIT(J1416,"" "")"),"CIF")</f>
        <v>CIF</v>
      </c>
      <c r="L1416" s="28" t="str">
        <f aca="false">IFERROR(__xludf.dummyfunction("""COMPUTED_VALUE"""),"Poland")</f>
        <v>Poland</v>
      </c>
      <c r="M1416" s="27" t="str">
        <f aca="false">IFERROR(__xludf.dummyfunction("""COMPUTED_VALUE"""),"(Diff)")</f>
        <v>(Diff)</v>
      </c>
      <c r="N1416" s="25"/>
      <c r="O1416" s="25"/>
      <c r="P1416" s="25"/>
      <c r="Q1416" s="29" t="s">
        <v>287</v>
      </c>
      <c r="R1416" s="8" t="str">
        <f aca="false">B1416&amp;" "&amp;C1416&amp;" "&amp;D1416&amp;" "&amp;E1416&amp;" "&amp;G1416&amp;" "&amp;H1416&amp;" "&amp;J1416&amp;" "&amp;N1416</f>
        <v>Differentials Copper (Battery Grade)     CIF Poland (Diff) </v>
      </c>
      <c r="S1416" s="25"/>
      <c r="T1416" s="8"/>
      <c r="U1416" s="8"/>
      <c r="V1416" s="25"/>
      <c r="W1416" s="25"/>
      <c r="X1416" s="25"/>
      <c r="Y1416" s="25"/>
      <c r="Z1416" s="25"/>
      <c r="AA1416" s="25"/>
      <c r="AB1416" s="25"/>
      <c r="AC1416" s="25"/>
      <c r="AD1416" s="25"/>
    </row>
    <row r="1417" customFormat="false" ht="15.75" hidden="false" customHeight="false" outlineLevel="0" collapsed="false">
      <c r="A1417" s="28" t="s">
        <v>1815</v>
      </c>
      <c r="B1417" s="27" t="s">
        <v>438</v>
      </c>
      <c r="C1417" s="27" t="s">
        <v>284</v>
      </c>
      <c r="D1417" s="25"/>
      <c r="E1417" s="25"/>
      <c r="F1417" s="25"/>
      <c r="G1417" s="25"/>
      <c r="H1417" s="25"/>
      <c r="I1417" s="25"/>
      <c r="J1417" s="27" t="s">
        <v>1780</v>
      </c>
      <c r="K1417" s="25" t="str">
        <f aca="false">IFERROR(__xludf.dummyfunction("SPLIT(J1417,"" "")"),"CIF")</f>
        <v>CIF</v>
      </c>
      <c r="L1417" s="28" t="str">
        <f aca="false">IFERROR(__xludf.dummyfunction("""COMPUTED_VALUE"""),"Poland")</f>
        <v>Poland</v>
      </c>
      <c r="M1417" s="27" t="str">
        <f aca="false">IFERROR(__xludf.dummyfunction("""COMPUTED_VALUE"""),"(Diff)")</f>
        <v>(Diff)</v>
      </c>
      <c r="N1417" s="25"/>
      <c r="O1417" s="25"/>
      <c r="P1417" s="25"/>
      <c r="Q1417" s="29" t="s">
        <v>285</v>
      </c>
      <c r="R1417" s="8" t="str">
        <f aca="false">B1417&amp;" "&amp;C1417&amp;" "&amp;D1417&amp;" "&amp;E1417&amp;" "&amp;G1417&amp;" "&amp;H1417&amp;" "&amp;J1417&amp;" "&amp;N1417</f>
        <v>Differentials Copper (Battery Grade)     CIF Poland (Diff) </v>
      </c>
      <c r="S1417" s="25"/>
      <c r="T1417" s="8"/>
      <c r="U1417" s="8"/>
      <c r="V1417" s="25"/>
      <c r="W1417" s="25"/>
      <c r="X1417" s="25"/>
      <c r="Y1417" s="25"/>
      <c r="Z1417" s="25"/>
      <c r="AA1417" s="25"/>
      <c r="AB1417" s="25"/>
      <c r="AC1417" s="25"/>
      <c r="AD1417" s="25"/>
    </row>
    <row r="1418" customFormat="false" ht="15.75" hidden="false" customHeight="false" outlineLevel="0" collapsed="false">
      <c r="A1418" s="28" t="s">
        <v>1816</v>
      </c>
      <c r="B1418" s="27" t="s">
        <v>438</v>
      </c>
      <c r="C1418" s="27" t="s">
        <v>289</v>
      </c>
      <c r="D1418" s="25"/>
      <c r="E1418" s="25"/>
      <c r="F1418" s="25"/>
      <c r="G1418" s="25"/>
      <c r="H1418" s="25"/>
      <c r="I1418" s="25"/>
      <c r="J1418" s="27" t="s">
        <v>1780</v>
      </c>
      <c r="K1418" s="25" t="str">
        <f aca="false">IFERROR(__xludf.dummyfunction("SPLIT(J1418,"" "")"),"CIF")</f>
        <v>CIF</v>
      </c>
      <c r="L1418" s="28" t="str">
        <f aca="false">IFERROR(__xludf.dummyfunction("""COMPUTED_VALUE"""),"Poland")</f>
        <v>Poland</v>
      </c>
      <c r="M1418" s="27" t="str">
        <f aca="false">IFERROR(__xludf.dummyfunction("""COMPUTED_VALUE"""),"(Diff)")</f>
        <v>(Diff)</v>
      </c>
      <c r="N1418" s="25"/>
      <c r="O1418" s="25"/>
      <c r="P1418" s="25"/>
      <c r="Q1418" s="29" t="s">
        <v>306</v>
      </c>
      <c r="R1418" s="8" t="str">
        <f aca="false">B1418&amp;" "&amp;C1418&amp;" "&amp;D1418&amp;" "&amp;E1418&amp;" "&amp;G1418&amp;" "&amp;H1418&amp;" "&amp;J1418&amp;" "&amp;N1418</f>
        <v>Differentials Electrolyte     CIF Poland (Diff) </v>
      </c>
      <c r="S1418" s="25"/>
      <c r="T1418" s="8"/>
      <c r="U1418" s="8"/>
      <c r="V1418" s="25"/>
      <c r="W1418" s="25"/>
      <c r="X1418" s="25"/>
      <c r="Y1418" s="25"/>
      <c r="Z1418" s="25"/>
      <c r="AA1418" s="25"/>
      <c r="AB1418" s="25"/>
      <c r="AC1418" s="25"/>
      <c r="AD1418" s="25"/>
    </row>
    <row r="1419" customFormat="false" ht="15.75" hidden="false" customHeight="false" outlineLevel="0" collapsed="false">
      <c r="A1419" s="28" t="s">
        <v>1817</v>
      </c>
      <c r="B1419" s="27" t="s">
        <v>438</v>
      </c>
      <c r="C1419" s="27" t="s">
        <v>289</v>
      </c>
      <c r="D1419" s="25"/>
      <c r="E1419" s="25"/>
      <c r="F1419" s="25"/>
      <c r="G1419" s="25"/>
      <c r="H1419" s="25"/>
      <c r="I1419" s="25"/>
      <c r="J1419" s="27" t="s">
        <v>1780</v>
      </c>
      <c r="K1419" s="25" t="str">
        <f aca="false">IFERROR(__xludf.dummyfunction("SPLIT(J1419,"" "")"),"CIF")</f>
        <v>CIF</v>
      </c>
      <c r="L1419" s="28" t="str">
        <f aca="false">IFERROR(__xludf.dummyfunction("""COMPUTED_VALUE"""),"Poland")</f>
        <v>Poland</v>
      </c>
      <c r="M1419" s="27" t="str">
        <f aca="false">IFERROR(__xludf.dummyfunction("""COMPUTED_VALUE"""),"(Diff)")</f>
        <v>(Diff)</v>
      </c>
      <c r="N1419" s="25"/>
      <c r="O1419" s="25"/>
      <c r="P1419" s="25"/>
      <c r="Q1419" s="29" t="s">
        <v>304</v>
      </c>
      <c r="R1419" s="8" t="str">
        <f aca="false">B1419&amp;" "&amp;C1419&amp;" "&amp;D1419&amp;" "&amp;E1419&amp;" "&amp;G1419&amp;" "&amp;H1419&amp;" "&amp;J1419&amp;" "&amp;N1419</f>
        <v>Differentials Electrolyte     CIF Poland (Diff) </v>
      </c>
      <c r="S1419" s="25"/>
      <c r="T1419" s="8"/>
      <c r="U1419" s="8"/>
      <c r="V1419" s="25"/>
      <c r="W1419" s="25"/>
      <c r="X1419" s="25"/>
      <c r="Y1419" s="25"/>
      <c r="Z1419" s="25"/>
      <c r="AA1419" s="25"/>
      <c r="AB1419" s="25"/>
      <c r="AC1419" s="25"/>
      <c r="AD1419" s="25"/>
    </row>
    <row r="1420" customFormat="false" ht="15.75" hidden="false" customHeight="false" outlineLevel="0" collapsed="false">
      <c r="A1420" s="28" t="s">
        <v>1818</v>
      </c>
      <c r="B1420" s="27" t="s">
        <v>438</v>
      </c>
      <c r="C1420" s="27" t="s">
        <v>289</v>
      </c>
      <c r="D1420" s="25"/>
      <c r="E1420" s="25"/>
      <c r="F1420" s="25"/>
      <c r="G1420" s="25"/>
      <c r="H1420" s="25"/>
      <c r="I1420" s="25"/>
      <c r="J1420" s="27" t="s">
        <v>1780</v>
      </c>
      <c r="K1420" s="25" t="str">
        <f aca="false">IFERROR(__xludf.dummyfunction("SPLIT(J1420,"" "")"),"CIF")</f>
        <v>CIF</v>
      </c>
      <c r="L1420" s="28" t="str">
        <f aca="false">IFERROR(__xludf.dummyfunction("""COMPUTED_VALUE"""),"Poland")</f>
        <v>Poland</v>
      </c>
      <c r="M1420" s="27" t="str">
        <f aca="false">IFERROR(__xludf.dummyfunction("""COMPUTED_VALUE"""),"(Diff)")</f>
        <v>(Diff)</v>
      </c>
      <c r="N1420" s="25"/>
      <c r="O1420" s="25"/>
      <c r="P1420" s="25"/>
      <c r="Q1420" s="29" t="s">
        <v>302</v>
      </c>
      <c r="R1420" s="8" t="str">
        <f aca="false">B1420&amp;" "&amp;C1420&amp;" "&amp;D1420&amp;" "&amp;E1420&amp;" "&amp;G1420&amp;" "&amp;H1420&amp;" "&amp;J1420&amp;" "&amp;N1420</f>
        <v>Differentials Electrolyte     CIF Poland (Diff) </v>
      </c>
      <c r="S1420" s="25"/>
      <c r="T1420" s="8"/>
      <c r="U1420" s="8"/>
      <c r="V1420" s="25"/>
      <c r="W1420" s="25"/>
      <c r="X1420" s="25"/>
      <c r="Y1420" s="25"/>
      <c r="Z1420" s="25"/>
      <c r="AA1420" s="25"/>
      <c r="AB1420" s="25"/>
      <c r="AC1420" s="25"/>
      <c r="AD1420" s="25"/>
    </row>
    <row r="1421" customFormat="false" ht="15.75" hidden="false" customHeight="false" outlineLevel="0" collapsed="false">
      <c r="A1421" s="28" t="s">
        <v>1819</v>
      </c>
      <c r="B1421" s="27" t="s">
        <v>438</v>
      </c>
      <c r="C1421" s="27" t="s">
        <v>289</v>
      </c>
      <c r="D1421" s="25"/>
      <c r="E1421" s="25"/>
      <c r="F1421" s="25"/>
      <c r="G1421" s="25"/>
      <c r="H1421" s="25"/>
      <c r="I1421" s="25"/>
      <c r="J1421" s="27" t="s">
        <v>1780</v>
      </c>
      <c r="K1421" s="25" t="str">
        <f aca="false">IFERROR(__xludf.dummyfunction("SPLIT(J1421,"" "")"),"CIF")</f>
        <v>CIF</v>
      </c>
      <c r="L1421" s="28" t="str">
        <f aca="false">IFERROR(__xludf.dummyfunction("""COMPUTED_VALUE"""),"Poland")</f>
        <v>Poland</v>
      </c>
      <c r="M1421" s="27" t="str">
        <f aca="false">IFERROR(__xludf.dummyfunction("""COMPUTED_VALUE"""),"(Diff)")</f>
        <v>(Diff)</v>
      </c>
      <c r="N1421" s="25"/>
      <c r="O1421" s="25"/>
      <c r="P1421" s="25"/>
      <c r="Q1421" s="29" t="s">
        <v>300</v>
      </c>
      <c r="R1421" s="8" t="str">
        <f aca="false">B1421&amp;" "&amp;C1421&amp;" "&amp;D1421&amp;" "&amp;E1421&amp;" "&amp;G1421&amp;" "&amp;H1421&amp;" "&amp;J1421&amp;" "&amp;N1421</f>
        <v>Differentials Electrolyte     CIF Poland (Diff) </v>
      </c>
      <c r="S1421" s="25"/>
      <c r="T1421" s="8"/>
      <c r="U1421" s="8"/>
      <c r="V1421" s="25"/>
      <c r="W1421" s="25"/>
      <c r="X1421" s="25"/>
      <c r="Y1421" s="25"/>
      <c r="Z1421" s="25"/>
      <c r="AA1421" s="25"/>
      <c r="AB1421" s="25"/>
      <c r="AC1421" s="25"/>
      <c r="AD1421" s="25"/>
    </row>
    <row r="1422" customFormat="false" ht="15.75" hidden="false" customHeight="false" outlineLevel="0" collapsed="false">
      <c r="A1422" s="28" t="s">
        <v>1820</v>
      </c>
      <c r="B1422" s="27" t="s">
        <v>438</v>
      </c>
      <c r="C1422" s="27" t="s">
        <v>289</v>
      </c>
      <c r="D1422" s="25"/>
      <c r="E1422" s="25"/>
      <c r="F1422" s="25"/>
      <c r="G1422" s="25"/>
      <c r="H1422" s="25"/>
      <c r="I1422" s="25"/>
      <c r="J1422" s="27" t="s">
        <v>1780</v>
      </c>
      <c r="K1422" s="25" t="str">
        <f aca="false">IFERROR(__xludf.dummyfunction("SPLIT(J1422,"" "")"),"CIF")</f>
        <v>CIF</v>
      </c>
      <c r="L1422" s="28" t="str">
        <f aca="false">IFERROR(__xludf.dummyfunction("""COMPUTED_VALUE"""),"Poland")</f>
        <v>Poland</v>
      </c>
      <c r="M1422" s="27" t="str">
        <f aca="false">IFERROR(__xludf.dummyfunction("""COMPUTED_VALUE"""),"(Diff)")</f>
        <v>(Diff)</v>
      </c>
      <c r="N1422" s="25"/>
      <c r="O1422" s="25"/>
      <c r="P1422" s="25"/>
      <c r="Q1422" s="29" t="s">
        <v>298</v>
      </c>
      <c r="R1422" s="8" t="str">
        <f aca="false">B1422&amp;" "&amp;C1422&amp;" "&amp;D1422&amp;" "&amp;E1422&amp;" "&amp;G1422&amp;" "&amp;H1422&amp;" "&amp;J1422&amp;" "&amp;N1422</f>
        <v>Differentials Electrolyte     CIF Poland (Diff) </v>
      </c>
      <c r="S1422" s="25"/>
      <c r="T1422" s="8"/>
      <c r="U1422" s="8"/>
      <c r="V1422" s="25"/>
      <c r="W1422" s="25"/>
      <c r="X1422" s="25"/>
      <c r="Y1422" s="25"/>
      <c r="Z1422" s="25"/>
      <c r="AA1422" s="25"/>
      <c r="AB1422" s="25"/>
      <c r="AC1422" s="25"/>
      <c r="AD1422" s="25"/>
    </row>
    <row r="1423" customFormat="false" ht="15.75" hidden="false" customHeight="false" outlineLevel="0" collapsed="false">
      <c r="A1423" s="28" t="s">
        <v>1821</v>
      </c>
      <c r="B1423" s="27" t="s">
        <v>438</v>
      </c>
      <c r="C1423" s="27" t="s">
        <v>289</v>
      </c>
      <c r="D1423" s="25"/>
      <c r="E1423" s="25"/>
      <c r="F1423" s="25"/>
      <c r="G1423" s="25"/>
      <c r="H1423" s="25"/>
      <c r="I1423" s="25"/>
      <c r="J1423" s="27" t="s">
        <v>1780</v>
      </c>
      <c r="K1423" s="25" t="str">
        <f aca="false">IFERROR(__xludf.dummyfunction("SPLIT(J1423,"" "")"),"CIF")</f>
        <v>CIF</v>
      </c>
      <c r="L1423" s="28" t="str">
        <f aca="false">IFERROR(__xludf.dummyfunction("""COMPUTED_VALUE"""),"Poland")</f>
        <v>Poland</v>
      </c>
      <c r="M1423" s="27" t="str">
        <f aca="false">IFERROR(__xludf.dummyfunction("""COMPUTED_VALUE"""),"(Diff)")</f>
        <v>(Diff)</v>
      </c>
      <c r="N1423" s="25"/>
      <c r="O1423" s="25"/>
      <c r="P1423" s="25"/>
      <c r="Q1423" s="29" t="s">
        <v>296</v>
      </c>
      <c r="R1423" s="8" t="str">
        <f aca="false">B1423&amp;" "&amp;C1423&amp;" "&amp;D1423&amp;" "&amp;E1423&amp;" "&amp;G1423&amp;" "&amp;H1423&amp;" "&amp;J1423&amp;" "&amp;N1423</f>
        <v>Differentials Electrolyte     CIF Poland (Diff) </v>
      </c>
      <c r="S1423" s="25"/>
      <c r="T1423" s="8"/>
      <c r="U1423" s="8"/>
      <c r="V1423" s="25"/>
      <c r="W1423" s="25"/>
      <c r="X1423" s="25"/>
      <c r="Y1423" s="25"/>
      <c r="Z1423" s="25"/>
      <c r="AA1423" s="25"/>
      <c r="AB1423" s="25"/>
      <c r="AC1423" s="25"/>
      <c r="AD1423" s="25"/>
    </row>
    <row r="1424" customFormat="false" ht="15.75" hidden="false" customHeight="false" outlineLevel="0" collapsed="false">
      <c r="A1424" s="28" t="s">
        <v>1822</v>
      </c>
      <c r="B1424" s="27" t="s">
        <v>438</v>
      </c>
      <c r="C1424" s="27" t="s">
        <v>289</v>
      </c>
      <c r="D1424" s="25"/>
      <c r="E1424" s="25"/>
      <c r="F1424" s="25"/>
      <c r="G1424" s="25"/>
      <c r="H1424" s="25"/>
      <c r="I1424" s="25"/>
      <c r="J1424" s="27" t="s">
        <v>1780</v>
      </c>
      <c r="K1424" s="25" t="str">
        <f aca="false">IFERROR(__xludf.dummyfunction("SPLIT(J1424,"" "")"),"CIF")</f>
        <v>CIF</v>
      </c>
      <c r="L1424" s="28" t="str">
        <f aca="false">IFERROR(__xludf.dummyfunction("""COMPUTED_VALUE"""),"Poland")</f>
        <v>Poland</v>
      </c>
      <c r="M1424" s="27" t="str">
        <f aca="false">IFERROR(__xludf.dummyfunction("""COMPUTED_VALUE"""),"(Diff)")</f>
        <v>(Diff)</v>
      </c>
      <c r="N1424" s="25"/>
      <c r="O1424" s="25"/>
      <c r="P1424" s="25"/>
      <c r="Q1424" s="29" t="s">
        <v>294</v>
      </c>
      <c r="R1424" s="8" t="str">
        <f aca="false">B1424&amp;" "&amp;C1424&amp;" "&amp;D1424&amp;" "&amp;E1424&amp;" "&amp;G1424&amp;" "&amp;H1424&amp;" "&amp;J1424&amp;" "&amp;N1424</f>
        <v>Differentials Electrolyte     CIF Poland (Diff) </v>
      </c>
      <c r="S1424" s="25"/>
      <c r="T1424" s="8"/>
      <c r="U1424" s="8"/>
      <c r="V1424" s="25"/>
      <c r="W1424" s="25"/>
      <c r="X1424" s="25"/>
      <c r="Y1424" s="25"/>
      <c r="Z1424" s="25"/>
      <c r="AA1424" s="25"/>
      <c r="AB1424" s="25"/>
      <c r="AC1424" s="25"/>
      <c r="AD1424" s="25"/>
    </row>
    <row r="1425" customFormat="false" ht="15.75" hidden="false" customHeight="false" outlineLevel="0" collapsed="false">
      <c r="A1425" s="28" t="s">
        <v>1823</v>
      </c>
      <c r="B1425" s="27" t="s">
        <v>438</v>
      </c>
      <c r="C1425" s="27" t="s">
        <v>289</v>
      </c>
      <c r="D1425" s="25"/>
      <c r="E1425" s="25"/>
      <c r="F1425" s="25"/>
      <c r="G1425" s="25"/>
      <c r="H1425" s="25"/>
      <c r="I1425" s="25"/>
      <c r="J1425" s="27" t="s">
        <v>1780</v>
      </c>
      <c r="K1425" s="25" t="str">
        <f aca="false">IFERROR(__xludf.dummyfunction("SPLIT(J1425,"" "")"),"CIF")</f>
        <v>CIF</v>
      </c>
      <c r="L1425" s="28" t="str">
        <f aca="false">IFERROR(__xludf.dummyfunction("""COMPUTED_VALUE"""),"Poland")</f>
        <v>Poland</v>
      </c>
      <c r="M1425" s="27" t="str">
        <f aca="false">IFERROR(__xludf.dummyfunction("""COMPUTED_VALUE"""),"(Diff)")</f>
        <v>(Diff)</v>
      </c>
      <c r="N1425" s="25"/>
      <c r="O1425" s="25"/>
      <c r="P1425" s="25"/>
      <c r="Q1425" s="29" t="s">
        <v>291</v>
      </c>
      <c r="R1425" s="8" t="str">
        <f aca="false">B1425&amp;" "&amp;C1425&amp;" "&amp;D1425&amp;" "&amp;E1425&amp;" "&amp;G1425&amp;" "&amp;H1425&amp;" "&amp;J1425&amp;" "&amp;N1425</f>
        <v>Differentials Electrolyte     CIF Poland (Diff) </v>
      </c>
      <c r="S1425" s="25"/>
      <c r="T1425" s="8"/>
      <c r="U1425" s="8"/>
      <c r="V1425" s="25"/>
      <c r="W1425" s="25"/>
      <c r="X1425" s="25"/>
      <c r="Y1425" s="25"/>
      <c r="Z1425" s="25"/>
      <c r="AA1425" s="25"/>
      <c r="AB1425" s="25"/>
      <c r="AC1425" s="25"/>
      <c r="AD1425" s="25"/>
    </row>
    <row r="1426" customFormat="false" ht="15.75" hidden="false" customHeight="false" outlineLevel="0" collapsed="false">
      <c r="A1426" s="28" t="s">
        <v>1824</v>
      </c>
      <c r="B1426" s="27" t="s">
        <v>438</v>
      </c>
      <c r="C1426" s="27" t="s">
        <v>308</v>
      </c>
      <c r="D1426" s="25"/>
      <c r="E1426" s="25"/>
      <c r="F1426" s="25"/>
      <c r="G1426" s="25"/>
      <c r="H1426" s="25"/>
      <c r="I1426" s="25"/>
      <c r="J1426" s="27" t="s">
        <v>1780</v>
      </c>
      <c r="K1426" s="25" t="str">
        <f aca="false">IFERROR(__xludf.dummyfunction("SPLIT(J1426,"" "")"),"CIF")</f>
        <v>CIF</v>
      </c>
      <c r="L1426" s="28" t="str">
        <f aca="false">IFERROR(__xludf.dummyfunction("""COMPUTED_VALUE"""),"Poland")</f>
        <v>Poland</v>
      </c>
      <c r="M1426" s="27" t="str">
        <f aca="false">IFERROR(__xludf.dummyfunction("""COMPUTED_VALUE"""),"(Diff)")</f>
        <v>(Diff)</v>
      </c>
      <c r="N1426" s="25"/>
      <c r="O1426" s="25"/>
      <c r="P1426" s="25"/>
      <c r="Q1426" s="29" t="s">
        <v>358</v>
      </c>
      <c r="R1426" s="8" t="str">
        <f aca="false">B1426&amp;" "&amp;C1426&amp;" "&amp;D1426&amp;" "&amp;E1426&amp;" "&amp;G1426&amp;" "&amp;H1426&amp;" "&amp;J1426&amp;" "&amp;N1426</f>
        <v>Differentials Graphite     CIF Poland (Diff) </v>
      </c>
      <c r="S1426" s="25"/>
      <c r="T1426" s="8"/>
      <c r="U1426" s="8"/>
      <c r="V1426" s="25"/>
      <c r="W1426" s="25"/>
      <c r="X1426" s="25"/>
      <c r="Y1426" s="25"/>
      <c r="Z1426" s="25"/>
      <c r="AA1426" s="25"/>
      <c r="AB1426" s="25"/>
      <c r="AC1426" s="25"/>
      <c r="AD1426" s="25"/>
    </row>
    <row r="1427" customFormat="false" ht="15.75" hidden="false" customHeight="false" outlineLevel="0" collapsed="false">
      <c r="A1427" s="28" t="s">
        <v>1825</v>
      </c>
      <c r="B1427" s="27" t="s">
        <v>438</v>
      </c>
      <c r="C1427" s="27" t="s">
        <v>308</v>
      </c>
      <c r="D1427" s="25"/>
      <c r="E1427" s="25"/>
      <c r="F1427" s="25"/>
      <c r="G1427" s="25"/>
      <c r="H1427" s="25"/>
      <c r="I1427" s="25"/>
      <c r="J1427" s="27" t="s">
        <v>1780</v>
      </c>
      <c r="K1427" s="25" t="str">
        <f aca="false">IFERROR(__xludf.dummyfunction("SPLIT(J1427,"" "")"),"CIF")</f>
        <v>CIF</v>
      </c>
      <c r="L1427" s="28" t="str">
        <f aca="false">IFERROR(__xludf.dummyfunction("""COMPUTED_VALUE"""),"Poland")</f>
        <v>Poland</v>
      </c>
      <c r="M1427" s="27" t="str">
        <f aca="false">IFERROR(__xludf.dummyfunction("""COMPUTED_VALUE"""),"(Diff)")</f>
        <v>(Diff)</v>
      </c>
      <c r="N1427" s="25"/>
      <c r="O1427" s="25"/>
      <c r="P1427" s="25"/>
      <c r="Q1427" s="29" t="s">
        <v>356</v>
      </c>
      <c r="R1427" s="8" t="str">
        <f aca="false">B1427&amp;" "&amp;C1427&amp;" "&amp;D1427&amp;" "&amp;E1427&amp;" "&amp;G1427&amp;" "&amp;H1427&amp;" "&amp;J1427&amp;" "&amp;N1427</f>
        <v>Differentials Graphite     CIF Poland (Diff) </v>
      </c>
      <c r="S1427" s="25"/>
      <c r="T1427" s="8"/>
      <c r="U1427" s="8"/>
      <c r="V1427" s="25"/>
      <c r="W1427" s="25"/>
      <c r="X1427" s="25"/>
      <c r="Y1427" s="25"/>
      <c r="Z1427" s="25"/>
      <c r="AA1427" s="25"/>
      <c r="AB1427" s="25"/>
      <c r="AC1427" s="25"/>
      <c r="AD1427" s="25"/>
    </row>
    <row r="1428" customFormat="false" ht="15.75" hidden="false" customHeight="false" outlineLevel="0" collapsed="false">
      <c r="A1428" s="28" t="s">
        <v>1826</v>
      </c>
      <c r="B1428" s="27" t="s">
        <v>438</v>
      </c>
      <c r="C1428" s="27" t="s">
        <v>308</v>
      </c>
      <c r="D1428" s="25"/>
      <c r="E1428" s="25"/>
      <c r="F1428" s="25"/>
      <c r="G1428" s="25"/>
      <c r="H1428" s="25"/>
      <c r="I1428" s="25"/>
      <c r="J1428" s="27" t="s">
        <v>1780</v>
      </c>
      <c r="K1428" s="25" t="str">
        <f aca="false">IFERROR(__xludf.dummyfunction("SPLIT(J1428,"" "")"),"CIF")</f>
        <v>CIF</v>
      </c>
      <c r="L1428" s="28" t="str">
        <f aca="false">IFERROR(__xludf.dummyfunction("""COMPUTED_VALUE"""),"Poland")</f>
        <v>Poland</v>
      </c>
      <c r="M1428" s="27" t="str">
        <f aca="false">IFERROR(__xludf.dummyfunction("""COMPUTED_VALUE"""),"(Diff)")</f>
        <v>(Diff)</v>
      </c>
      <c r="N1428" s="25"/>
      <c r="O1428" s="25"/>
      <c r="P1428" s="25"/>
      <c r="Q1428" s="29" t="s">
        <v>354</v>
      </c>
      <c r="R1428" s="8" t="str">
        <f aca="false">B1428&amp;" "&amp;C1428&amp;" "&amp;D1428&amp;" "&amp;E1428&amp;" "&amp;G1428&amp;" "&amp;H1428&amp;" "&amp;J1428&amp;" "&amp;N1428</f>
        <v>Differentials Graphite     CIF Poland (Diff) </v>
      </c>
      <c r="S1428" s="25"/>
      <c r="T1428" s="8"/>
      <c r="U1428" s="8"/>
      <c r="V1428" s="25"/>
      <c r="W1428" s="25"/>
      <c r="X1428" s="25"/>
      <c r="Y1428" s="25"/>
      <c r="Z1428" s="25"/>
      <c r="AA1428" s="25"/>
      <c r="AB1428" s="25"/>
      <c r="AC1428" s="25"/>
      <c r="AD1428" s="25"/>
    </row>
    <row r="1429" customFormat="false" ht="15.75" hidden="false" customHeight="false" outlineLevel="0" collapsed="false">
      <c r="A1429" s="28" t="s">
        <v>1827</v>
      </c>
      <c r="B1429" s="27" t="s">
        <v>438</v>
      </c>
      <c r="C1429" s="27" t="s">
        <v>308</v>
      </c>
      <c r="D1429" s="25"/>
      <c r="E1429" s="25"/>
      <c r="F1429" s="25"/>
      <c r="G1429" s="25"/>
      <c r="H1429" s="25"/>
      <c r="I1429" s="25"/>
      <c r="J1429" s="27" t="s">
        <v>1780</v>
      </c>
      <c r="K1429" s="25" t="str">
        <f aca="false">IFERROR(__xludf.dummyfunction("SPLIT(J1429,"" "")"),"CIF")</f>
        <v>CIF</v>
      </c>
      <c r="L1429" s="28" t="str">
        <f aca="false">IFERROR(__xludf.dummyfunction("""COMPUTED_VALUE"""),"Poland")</f>
        <v>Poland</v>
      </c>
      <c r="M1429" s="27" t="str">
        <f aca="false">IFERROR(__xludf.dummyfunction("""COMPUTED_VALUE"""),"(Diff)")</f>
        <v>(Diff)</v>
      </c>
      <c r="N1429" s="25"/>
      <c r="O1429" s="25"/>
      <c r="P1429" s="25"/>
      <c r="Q1429" s="29" t="s">
        <v>352</v>
      </c>
      <c r="R1429" s="8" t="str">
        <f aca="false">B1429&amp;" "&amp;C1429&amp;" "&amp;D1429&amp;" "&amp;E1429&amp;" "&amp;G1429&amp;" "&amp;H1429&amp;" "&amp;J1429&amp;" "&amp;N1429</f>
        <v>Differentials Graphite     CIF Poland (Diff) </v>
      </c>
      <c r="S1429" s="25"/>
      <c r="T1429" s="8"/>
      <c r="U1429" s="8"/>
      <c r="V1429" s="25"/>
      <c r="W1429" s="25"/>
      <c r="X1429" s="25"/>
      <c r="Y1429" s="25"/>
      <c r="Z1429" s="25"/>
      <c r="AA1429" s="25"/>
      <c r="AB1429" s="25"/>
      <c r="AC1429" s="25"/>
      <c r="AD1429" s="25"/>
    </row>
    <row r="1430" customFormat="false" ht="15.75" hidden="false" customHeight="false" outlineLevel="0" collapsed="false">
      <c r="A1430" s="28" t="s">
        <v>1828</v>
      </c>
      <c r="B1430" s="27" t="s">
        <v>438</v>
      </c>
      <c r="C1430" s="27" t="s">
        <v>308</v>
      </c>
      <c r="D1430" s="25"/>
      <c r="E1430" s="25"/>
      <c r="F1430" s="25"/>
      <c r="G1430" s="25"/>
      <c r="H1430" s="25"/>
      <c r="I1430" s="25"/>
      <c r="J1430" s="27" t="s">
        <v>1780</v>
      </c>
      <c r="K1430" s="25" t="str">
        <f aca="false">IFERROR(__xludf.dummyfunction("SPLIT(J1430,"" "")"),"CIF")</f>
        <v>CIF</v>
      </c>
      <c r="L1430" s="28" t="str">
        <f aca="false">IFERROR(__xludf.dummyfunction("""COMPUTED_VALUE"""),"Poland")</f>
        <v>Poland</v>
      </c>
      <c r="M1430" s="27" t="str">
        <f aca="false">IFERROR(__xludf.dummyfunction("""COMPUTED_VALUE"""),"(Diff)")</f>
        <v>(Diff)</v>
      </c>
      <c r="N1430" s="25"/>
      <c r="O1430" s="25"/>
      <c r="P1430" s="25"/>
      <c r="Q1430" s="29" t="s">
        <v>350</v>
      </c>
      <c r="R1430" s="8" t="str">
        <f aca="false">B1430&amp;" "&amp;C1430&amp;" "&amp;D1430&amp;" "&amp;E1430&amp;" "&amp;G1430&amp;" "&amp;H1430&amp;" "&amp;J1430&amp;" "&amp;N1430</f>
        <v>Differentials Graphite     CIF Poland (Diff) </v>
      </c>
      <c r="S1430" s="25"/>
      <c r="T1430" s="8"/>
      <c r="U1430" s="8"/>
      <c r="V1430" s="25"/>
      <c r="W1430" s="25"/>
      <c r="X1430" s="25"/>
      <c r="Y1430" s="25"/>
      <c r="Z1430" s="25"/>
      <c r="AA1430" s="25"/>
      <c r="AB1430" s="25"/>
      <c r="AC1430" s="25"/>
      <c r="AD1430" s="25"/>
    </row>
    <row r="1431" customFormat="false" ht="15.75" hidden="false" customHeight="false" outlineLevel="0" collapsed="false">
      <c r="A1431" s="28" t="s">
        <v>1829</v>
      </c>
      <c r="B1431" s="27" t="s">
        <v>438</v>
      </c>
      <c r="C1431" s="27" t="s">
        <v>308</v>
      </c>
      <c r="D1431" s="25"/>
      <c r="E1431" s="25"/>
      <c r="F1431" s="25"/>
      <c r="G1431" s="25"/>
      <c r="H1431" s="25"/>
      <c r="I1431" s="25"/>
      <c r="J1431" s="27" t="s">
        <v>1780</v>
      </c>
      <c r="K1431" s="25" t="str">
        <f aca="false">IFERROR(__xludf.dummyfunction("SPLIT(J1431,"" "")"),"CIF")</f>
        <v>CIF</v>
      </c>
      <c r="L1431" s="28" t="str">
        <f aca="false">IFERROR(__xludf.dummyfunction("""COMPUTED_VALUE"""),"Poland")</f>
        <v>Poland</v>
      </c>
      <c r="M1431" s="27" t="str">
        <f aca="false">IFERROR(__xludf.dummyfunction("""COMPUTED_VALUE"""),"(Diff)")</f>
        <v>(Diff)</v>
      </c>
      <c r="N1431" s="25"/>
      <c r="O1431" s="25"/>
      <c r="P1431" s="25"/>
      <c r="Q1431" s="29" t="s">
        <v>347</v>
      </c>
      <c r="R1431" s="8" t="str">
        <f aca="false">B1431&amp;" "&amp;C1431&amp;" "&amp;D1431&amp;" "&amp;E1431&amp;" "&amp;G1431&amp;" "&amp;H1431&amp;" "&amp;J1431&amp;" "&amp;N1431</f>
        <v>Differentials Graphite     CIF Poland (Diff) </v>
      </c>
      <c r="S1431" s="25"/>
      <c r="T1431" s="8"/>
      <c r="U1431" s="8"/>
      <c r="V1431" s="25"/>
      <c r="W1431" s="25"/>
      <c r="X1431" s="25"/>
      <c r="Y1431" s="25"/>
      <c r="Z1431" s="25"/>
      <c r="AA1431" s="25"/>
      <c r="AB1431" s="25"/>
      <c r="AC1431" s="25"/>
      <c r="AD1431" s="25"/>
    </row>
    <row r="1432" customFormat="false" ht="15.75" hidden="false" customHeight="false" outlineLevel="0" collapsed="false">
      <c r="A1432" s="28" t="s">
        <v>1830</v>
      </c>
      <c r="B1432" s="27" t="s">
        <v>438</v>
      </c>
      <c r="C1432" s="27" t="s">
        <v>308</v>
      </c>
      <c r="D1432" s="25"/>
      <c r="E1432" s="25"/>
      <c r="F1432" s="25"/>
      <c r="G1432" s="25"/>
      <c r="H1432" s="25"/>
      <c r="I1432" s="25"/>
      <c r="J1432" s="27" t="s">
        <v>1780</v>
      </c>
      <c r="K1432" s="25" t="str">
        <f aca="false">IFERROR(__xludf.dummyfunction("SPLIT(J1432,"" "")"),"CIF")</f>
        <v>CIF</v>
      </c>
      <c r="L1432" s="28" t="str">
        <f aca="false">IFERROR(__xludf.dummyfunction("""COMPUTED_VALUE"""),"Poland")</f>
        <v>Poland</v>
      </c>
      <c r="M1432" s="27" t="str">
        <f aca="false">IFERROR(__xludf.dummyfunction("""COMPUTED_VALUE"""),"(Diff)")</f>
        <v>(Diff)</v>
      </c>
      <c r="N1432" s="25"/>
      <c r="O1432" s="25"/>
      <c r="P1432" s="25"/>
      <c r="Q1432" s="29" t="s">
        <v>344</v>
      </c>
      <c r="R1432" s="8" t="str">
        <f aca="false">B1432&amp;" "&amp;C1432&amp;" "&amp;D1432&amp;" "&amp;E1432&amp;" "&amp;G1432&amp;" "&amp;H1432&amp;" "&amp;J1432&amp;" "&amp;N1432</f>
        <v>Differentials Graphite     CIF Poland (Diff) </v>
      </c>
      <c r="S1432" s="25"/>
      <c r="T1432" s="8"/>
      <c r="U1432" s="8"/>
      <c r="V1432" s="25"/>
      <c r="W1432" s="25"/>
      <c r="X1432" s="25"/>
      <c r="Y1432" s="25"/>
      <c r="Z1432" s="25"/>
      <c r="AA1432" s="25"/>
      <c r="AB1432" s="25"/>
      <c r="AC1432" s="25"/>
      <c r="AD1432" s="25"/>
    </row>
    <row r="1433" customFormat="false" ht="15.75" hidden="false" customHeight="false" outlineLevel="0" collapsed="false">
      <c r="A1433" s="28" t="s">
        <v>1831</v>
      </c>
      <c r="B1433" s="27" t="s">
        <v>438</v>
      </c>
      <c r="C1433" s="27" t="s">
        <v>308</v>
      </c>
      <c r="D1433" s="25"/>
      <c r="E1433" s="25"/>
      <c r="F1433" s="25"/>
      <c r="G1433" s="25"/>
      <c r="H1433" s="25"/>
      <c r="I1433" s="25"/>
      <c r="J1433" s="27" t="s">
        <v>1780</v>
      </c>
      <c r="K1433" s="25" t="str">
        <f aca="false">IFERROR(__xludf.dummyfunction("SPLIT(J1433,"" "")"),"CIF")</f>
        <v>CIF</v>
      </c>
      <c r="L1433" s="28" t="str">
        <f aca="false">IFERROR(__xludf.dummyfunction("""COMPUTED_VALUE"""),"Poland")</f>
        <v>Poland</v>
      </c>
      <c r="M1433" s="27" t="str">
        <f aca="false">IFERROR(__xludf.dummyfunction("""COMPUTED_VALUE"""),"(Diff)")</f>
        <v>(Diff)</v>
      </c>
      <c r="N1433" s="25"/>
      <c r="O1433" s="25"/>
      <c r="P1433" s="25"/>
      <c r="Q1433" s="29" t="s">
        <v>340</v>
      </c>
      <c r="R1433" s="8" t="str">
        <f aca="false">B1433&amp;" "&amp;C1433&amp;" "&amp;D1433&amp;" "&amp;E1433&amp;" "&amp;G1433&amp;" "&amp;H1433&amp;" "&amp;J1433&amp;" "&amp;N1433</f>
        <v>Differentials Graphite     CIF Poland (Diff) </v>
      </c>
      <c r="S1433" s="25"/>
      <c r="T1433" s="8"/>
      <c r="U1433" s="8"/>
      <c r="V1433" s="25"/>
      <c r="W1433" s="25"/>
      <c r="X1433" s="25"/>
      <c r="Y1433" s="25"/>
      <c r="Z1433" s="25"/>
      <c r="AA1433" s="25"/>
      <c r="AB1433" s="25"/>
      <c r="AC1433" s="25"/>
      <c r="AD1433" s="25"/>
    </row>
    <row r="1434" customFormat="false" ht="15.75" hidden="false" customHeight="false" outlineLevel="0" collapsed="false">
      <c r="A1434" s="28" t="s">
        <v>1832</v>
      </c>
      <c r="B1434" s="27" t="s">
        <v>438</v>
      </c>
      <c r="C1434" s="27" t="s">
        <v>308</v>
      </c>
      <c r="D1434" s="25"/>
      <c r="E1434" s="25"/>
      <c r="F1434" s="25"/>
      <c r="G1434" s="25"/>
      <c r="H1434" s="25"/>
      <c r="I1434" s="25"/>
      <c r="J1434" s="27" t="s">
        <v>1780</v>
      </c>
      <c r="K1434" s="25" t="str">
        <f aca="false">IFERROR(__xludf.dummyfunction("SPLIT(J1434,"" "")"),"CIF")</f>
        <v>CIF</v>
      </c>
      <c r="L1434" s="28" t="str">
        <f aca="false">IFERROR(__xludf.dummyfunction("""COMPUTED_VALUE"""),"Poland")</f>
        <v>Poland</v>
      </c>
      <c r="M1434" s="27" t="str">
        <f aca="false">IFERROR(__xludf.dummyfunction("""COMPUTED_VALUE"""),"(Diff)")</f>
        <v>(Diff)</v>
      </c>
      <c r="N1434" s="25"/>
      <c r="O1434" s="25"/>
      <c r="P1434" s="25"/>
      <c r="Q1434" s="29" t="s">
        <v>338</v>
      </c>
      <c r="R1434" s="8" t="str">
        <f aca="false">B1434&amp;" "&amp;C1434&amp;" "&amp;D1434&amp;" "&amp;E1434&amp;" "&amp;G1434&amp;" "&amp;H1434&amp;" "&amp;J1434&amp;" "&amp;N1434</f>
        <v>Differentials Graphite     CIF Poland (Diff) </v>
      </c>
      <c r="S1434" s="25"/>
      <c r="T1434" s="8"/>
      <c r="U1434" s="8"/>
      <c r="V1434" s="25"/>
      <c r="W1434" s="25"/>
      <c r="X1434" s="25"/>
      <c r="Y1434" s="25"/>
      <c r="Z1434" s="25"/>
      <c r="AA1434" s="25"/>
      <c r="AB1434" s="25"/>
      <c r="AC1434" s="25"/>
      <c r="AD1434" s="25"/>
    </row>
    <row r="1435" customFormat="false" ht="15.75" hidden="false" customHeight="false" outlineLevel="0" collapsed="false">
      <c r="A1435" s="28" t="s">
        <v>1833</v>
      </c>
      <c r="B1435" s="27" t="s">
        <v>438</v>
      </c>
      <c r="C1435" s="27" t="s">
        <v>308</v>
      </c>
      <c r="D1435" s="25"/>
      <c r="E1435" s="25"/>
      <c r="F1435" s="25"/>
      <c r="G1435" s="25"/>
      <c r="H1435" s="25"/>
      <c r="I1435" s="25"/>
      <c r="J1435" s="27" t="s">
        <v>1780</v>
      </c>
      <c r="K1435" s="25" t="str">
        <f aca="false">IFERROR(__xludf.dummyfunction("SPLIT(J1435,"" "")"),"CIF")</f>
        <v>CIF</v>
      </c>
      <c r="L1435" s="28" t="str">
        <f aca="false">IFERROR(__xludf.dummyfunction("""COMPUTED_VALUE"""),"Poland")</f>
        <v>Poland</v>
      </c>
      <c r="M1435" s="27" t="str">
        <f aca="false">IFERROR(__xludf.dummyfunction("""COMPUTED_VALUE"""),"(Diff)")</f>
        <v>(Diff)</v>
      </c>
      <c r="N1435" s="25"/>
      <c r="O1435" s="25"/>
      <c r="P1435" s="25"/>
      <c r="Q1435" s="29" t="s">
        <v>335</v>
      </c>
      <c r="R1435" s="8" t="str">
        <f aca="false">B1435&amp;" "&amp;C1435&amp;" "&amp;D1435&amp;" "&amp;E1435&amp;" "&amp;G1435&amp;" "&amp;H1435&amp;" "&amp;J1435&amp;" "&amp;N1435</f>
        <v>Differentials Graphite     CIF Poland (Diff) </v>
      </c>
      <c r="S1435" s="25"/>
      <c r="T1435" s="8"/>
      <c r="U1435" s="8"/>
      <c r="V1435" s="25"/>
      <c r="W1435" s="25"/>
      <c r="X1435" s="25"/>
      <c r="Y1435" s="25"/>
      <c r="Z1435" s="25"/>
      <c r="AA1435" s="25"/>
      <c r="AB1435" s="25"/>
      <c r="AC1435" s="25"/>
      <c r="AD1435" s="25"/>
    </row>
    <row r="1436" customFormat="false" ht="15.75" hidden="false" customHeight="false" outlineLevel="0" collapsed="false">
      <c r="A1436" s="28" t="s">
        <v>1834</v>
      </c>
      <c r="B1436" s="27" t="s">
        <v>438</v>
      </c>
      <c r="C1436" s="27" t="s">
        <v>308</v>
      </c>
      <c r="D1436" s="25"/>
      <c r="E1436" s="25"/>
      <c r="F1436" s="25"/>
      <c r="G1436" s="25"/>
      <c r="H1436" s="25"/>
      <c r="I1436" s="25"/>
      <c r="J1436" s="27" t="s">
        <v>1780</v>
      </c>
      <c r="K1436" s="25" t="str">
        <f aca="false">IFERROR(__xludf.dummyfunction("SPLIT(J1436,"" "")"),"CIF")</f>
        <v>CIF</v>
      </c>
      <c r="L1436" s="28" t="str">
        <f aca="false">IFERROR(__xludf.dummyfunction("""COMPUTED_VALUE"""),"Poland")</f>
        <v>Poland</v>
      </c>
      <c r="M1436" s="27" t="str">
        <f aca="false">IFERROR(__xludf.dummyfunction("""COMPUTED_VALUE"""),"(Diff)")</f>
        <v>(Diff)</v>
      </c>
      <c r="N1436" s="25"/>
      <c r="O1436" s="25"/>
      <c r="P1436" s="25"/>
      <c r="Q1436" s="29" t="s">
        <v>332</v>
      </c>
      <c r="R1436" s="8" t="str">
        <f aca="false">B1436&amp;" "&amp;C1436&amp;" "&amp;D1436&amp;" "&amp;E1436&amp;" "&amp;G1436&amp;" "&amp;H1436&amp;" "&amp;J1436&amp;" "&amp;N1436</f>
        <v>Differentials Graphite     CIF Poland (Diff) </v>
      </c>
      <c r="S1436" s="25"/>
      <c r="T1436" s="8"/>
      <c r="U1436" s="8"/>
      <c r="V1436" s="25"/>
      <c r="W1436" s="25"/>
      <c r="X1436" s="25"/>
      <c r="Y1436" s="25"/>
      <c r="Z1436" s="25"/>
      <c r="AA1436" s="25"/>
      <c r="AB1436" s="25"/>
      <c r="AC1436" s="25"/>
      <c r="AD1436" s="25"/>
    </row>
    <row r="1437" customFormat="false" ht="15.75" hidden="false" customHeight="false" outlineLevel="0" collapsed="false">
      <c r="A1437" s="28" t="s">
        <v>1835</v>
      </c>
      <c r="B1437" s="27" t="s">
        <v>438</v>
      </c>
      <c r="C1437" s="27" t="s">
        <v>308</v>
      </c>
      <c r="D1437" s="25"/>
      <c r="E1437" s="25"/>
      <c r="F1437" s="25"/>
      <c r="G1437" s="25"/>
      <c r="H1437" s="25"/>
      <c r="I1437" s="25"/>
      <c r="J1437" s="27" t="s">
        <v>1780</v>
      </c>
      <c r="K1437" s="25" t="str">
        <f aca="false">IFERROR(__xludf.dummyfunction("SPLIT(J1437,"" "")"),"CIF")</f>
        <v>CIF</v>
      </c>
      <c r="L1437" s="28" t="str">
        <f aca="false">IFERROR(__xludf.dummyfunction("""COMPUTED_VALUE"""),"Poland")</f>
        <v>Poland</v>
      </c>
      <c r="M1437" s="27" t="str">
        <f aca="false">IFERROR(__xludf.dummyfunction("""COMPUTED_VALUE"""),"(Diff)")</f>
        <v>(Diff)</v>
      </c>
      <c r="N1437" s="25"/>
      <c r="O1437" s="25"/>
      <c r="P1437" s="25"/>
      <c r="Q1437" s="29" t="s">
        <v>329</v>
      </c>
      <c r="R1437" s="8" t="str">
        <f aca="false">B1437&amp;" "&amp;C1437&amp;" "&amp;D1437&amp;" "&amp;E1437&amp;" "&amp;G1437&amp;" "&amp;H1437&amp;" "&amp;J1437&amp;" "&amp;N1437</f>
        <v>Differentials Graphite     CIF Poland (Diff) </v>
      </c>
      <c r="S1437" s="25"/>
      <c r="T1437" s="8"/>
      <c r="U1437" s="8"/>
      <c r="V1437" s="25"/>
      <c r="W1437" s="25"/>
      <c r="X1437" s="25"/>
      <c r="Y1437" s="25"/>
      <c r="Z1437" s="25"/>
      <c r="AA1437" s="25"/>
      <c r="AB1437" s="25"/>
      <c r="AC1437" s="25"/>
      <c r="AD1437" s="25"/>
    </row>
    <row r="1438" customFormat="false" ht="15.75" hidden="false" customHeight="false" outlineLevel="0" collapsed="false">
      <c r="A1438" s="28" t="s">
        <v>1836</v>
      </c>
      <c r="B1438" s="27" t="s">
        <v>438</v>
      </c>
      <c r="C1438" s="27" t="s">
        <v>308</v>
      </c>
      <c r="D1438" s="25"/>
      <c r="E1438" s="25"/>
      <c r="F1438" s="25"/>
      <c r="G1438" s="25"/>
      <c r="H1438" s="25"/>
      <c r="I1438" s="25"/>
      <c r="J1438" s="27" t="s">
        <v>1780</v>
      </c>
      <c r="K1438" s="25" t="str">
        <f aca="false">IFERROR(__xludf.dummyfunction("SPLIT(J1438,"" "")"),"CIF")</f>
        <v>CIF</v>
      </c>
      <c r="L1438" s="28" t="str">
        <f aca="false">IFERROR(__xludf.dummyfunction("""COMPUTED_VALUE"""),"Poland")</f>
        <v>Poland</v>
      </c>
      <c r="M1438" s="27" t="str">
        <f aca="false">IFERROR(__xludf.dummyfunction("""COMPUTED_VALUE"""),"(Diff)")</f>
        <v>(Diff)</v>
      </c>
      <c r="N1438" s="25"/>
      <c r="O1438" s="25"/>
      <c r="P1438" s="25"/>
      <c r="Q1438" s="29" t="s">
        <v>326</v>
      </c>
      <c r="R1438" s="8" t="str">
        <f aca="false">B1438&amp;" "&amp;C1438&amp;" "&amp;D1438&amp;" "&amp;E1438&amp;" "&amp;G1438&amp;" "&amp;H1438&amp;" "&amp;J1438&amp;" "&amp;N1438</f>
        <v>Differentials Graphite     CIF Poland (Diff) </v>
      </c>
      <c r="S1438" s="25"/>
      <c r="T1438" s="8"/>
      <c r="U1438" s="8"/>
      <c r="V1438" s="25"/>
      <c r="W1438" s="25"/>
      <c r="X1438" s="25"/>
      <c r="Y1438" s="25"/>
      <c r="Z1438" s="25"/>
      <c r="AA1438" s="25"/>
      <c r="AB1438" s="25"/>
      <c r="AC1438" s="25"/>
      <c r="AD1438" s="25"/>
    </row>
    <row r="1439" customFormat="false" ht="15.75" hidden="false" customHeight="false" outlineLevel="0" collapsed="false">
      <c r="A1439" s="28" t="s">
        <v>1837</v>
      </c>
      <c r="B1439" s="27" t="s">
        <v>438</v>
      </c>
      <c r="C1439" s="27" t="s">
        <v>308</v>
      </c>
      <c r="D1439" s="25"/>
      <c r="E1439" s="25"/>
      <c r="F1439" s="25"/>
      <c r="G1439" s="25"/>
      <c r="H1439" s="25"/>
      <c r="I1439" s="25"/>
      <c r="J1439" s="27" t="s">
        <v>1780</v>
      </c>
      <c r="K1439" s="25" t="str">
        <f aca="false">IFERROR(__xludf.dummyfunction("SPLIT(J1439,"" "")"),"CIF")</f>
        <v>CIF</v>
      </c>
      <c r="L1439" s="28" t="str">
        <f aca="false">IFERROR(__xludf.dummyfunction("""COMPUTED_VALUE"""),"Poland")</f>
        <v>Poland</v>
      </c>
      <c r="M1439" s="27" t="str">
        <f aca="false">IFERROR(__xludf.dummyfunction("""COMPUTED_VALUE"""),"(Diff)")</f>
        <v>(Diff)</v>
      </c>
      <c r="N1439" s="25"/>
      <c r="O1439" s="25"/>
      <c r="P1439" s="25"/>
      <c r="Q1439" s="29" t="s">
        <v>323</v>
      </c>
      <c r="R1439" s="8" t="str">
        <f aca="false">B1439&amp;" "&amp;C1439&amp;" "&amp;D1439&amp;" "&amp;E1439&amp;" "&amp;G1439&amp;" "&amp;H1439&amp;" "&amp;J1439&amp;" "&amp;N1439</f>
        <v>Differentials Graphite     CIF Poland (Diff) </v>
      </c>
      <c r="S1439" s="25"/>
      <c r="T1439" s="8"/>
      <c r="U1439" s="8"/>
      <c r="V1439" s="25"/>
      <c r="W1439" s="25"/>
      <c r="X1439" s="25"/>
      <c r="Y1439" s="25"/>
      <c r="Z1439" s="25"/>
      <c r="AA1439" s="25"/>
      <c r="AB1439" s="25"/>
      <c r="AC1439" s="25"/>
      <c r="AD1439" s="25"/>
    </row>
    <row r="1440" customFormat="false" ht="15.75" hidden="false" customHeight="false" outlineLevel="0" collapsed="false">
      <c r="A1440" s="28" t="s">
        <v>1838</v>
      </c>
      <c r="B1440" s="27" t="s">
        <v>438</v>
      </c>
      <c r="C1440" s="27" t="s">
        <v>308</v>
      </c>
      <c r="D1440" s="25"/>
      <c r="E1440" s="25"/>
      <c r="F1440" s="25"/>
      <c r="G1440" s="25"/>
      <c r="H1440" s="25"/>
      <c r="I1440" s="25"/>
      <c r="J1440" s="27" t="s">
        <v>1780</v>
      </c>
      <c r="K1440" s="25" t="str">
        <f aca="false">IFERROR(__xludf.dummyfunction("SPLIT(J1440,"" "")"),"CIF")</f>
        <v>CIF</v>
      </c>
      <c r="L1440" s="28" t="str">
        <f aca="false">IFERROR(__xludf.dummyfunction("""COMPUTED_VALUE"""),"Poland")</f>
        <v>Poland</v>
      </c>
      <c r="M1440" s="27" t="str">
        <f aca="false">IFERROR(__xludf.dummyfunction("""COMPUTED_VALUE"""),"(Diff)")</f>
        <v>(Diff)</v>
      </c>
      <c r="N1440" s="25"/>
      <c r="O1440" s="25"/>
      <c r="P1440" s="25"/>
      <c r="Q1440" s="29" t="s">
        <v>319</v>
      </c>
      <c r="R1440" s="8" t="str">
        <f aca="false">B1440&amp;" "&amp;C1440&amp;" "&amp;D1440&amp;" "&amp;E1440&amp;" "&amp;G1440&amp;" "&amp;H1440&amp;" "&amp;J1440&amp;" "&amp;N1440</f>
        <v>Differentials Graphite     CIF Poland (Diff) </v>
      </c>
      <c r="S1440" s="25"/>
      <c r="T1440" s="8"/>
      <c r="U1440" s="8"/>
      <c r="V1440" s="25"/>
      <c r="W1440" s="25"/>
      <c r="X1440" s="25"/>
      <c r="Y1440" s="25"/>
      <c r="Z1440" s="25"/>
      <c r="AA1440" s="25"/>
      <c r="AB1440" s="25"/>
      <c r="AC1440" s="25"/>
      <c r="AD1440" s="25"/>
    </row>
    <row r="1441" customFormat="false" ht="15.75" hidden="false" customHeight="false" outlineLevel="0" collapsed="false">
      <c r="A1441" s="28" t="s">
        <v>1839</v>
      </c>
      <c r="B1441" s="27" t="s">
        <v>438</v>
      </c>
      <c r="C1441" s="27" t="s">
        <v>308</v>
      </c>
      <c r="D1441" s="25"/>
      <c r="E1441" s="25"/>
      <c r="F1441" s="25"/>
      <c r="G1441" s="25"/>
      <c r="H1441" s="25"/>
      <c r="I1441" s="25"/>
      <c r="J1441" s="27" t="s">
        <v>1780</v>
      </c>
      <c r="K1441" s="25" t="str">
        <f aca="false">IFERROR(__xludf.dummyfunction("SPLIT(J1441,"" "")"),"CIF")</f>
        <v>CIF</v>
      </c>
      <c r="L1441" s="28" t="str">
        <f aca="false">IFERROR(__xludf.dummyfunction("""COMPUTED_VALUE"""),"Poland")</f>
        <v>Poland</v>
      </c>
      <c r="M1441" s="27" t="str">
        <f aca="false">IFERROR(__xludf.dummyfunction("""COMPUTED_VALUE"""),"(Diff)")</f>
        <v>(Diff)</v>
      </c>
      <c r="N1441" s="25"/>
      <c r="O1441" s="25"/>
      <c r="P1441" s="25"/>
      <c r="Q1441" s="29" t="s">
        <v>315</v>
      </c>
      <c r="R1441" s="8" t="str">
        <f aca="false">B1441&amp;" "&amp;C1441&amp;" "&amp;D1441&amp;" "&amp;E1441&amp;" "&amp;G1441&amp;" "&amp;H1441&amp;" "&amp;J1441&amp;" "&amp;N1441</f>
        <v>Differentials Graphite     CIF Poland (Diff) </v>
      </c>
      <c r="S1441" s="25"/>
      <c r="T1441" s="8"/>
      <c r="U1441" s="8"/>
      <c r="V1441" s="25"/>
      <c r="W1441" s="25"/>
      <c r="X1441" s="25"/>
      <c r="Y1441" s="25"/>
      <c r="Z1441" s="25"/>
      <c r="AA1441" s="25"/>
      <c r="AB1441" s="25"/>
      <c r="AC1441" s="25"/>
      <c r="AD1441" s="25"/>
    </row>
    <row r="1442" customFormat="false" ht="15.75" hidden="false" customHeight="false" outlineLevel="0" collapsed="false">
      <c r="A1442" s="28" t="s">
        <v>1840</v>
      </c>
      <c r="B1442" s="27" t="s">
        <v>438</v>
      </c>
      <c r="C1442" s="27" t="s">
        <v>308</v>
      </c>
      <c r="D1442" s="25"/>
      <c r="E1442" s="25"/>
      <c r="F1442" s="25"/>
      <c r="G1442" s="25"/>
      <c r="H1442" s="25"/>
      <c r="I1442" s="25"/>
      <c r="J1442" s="27" t="s">
        <v>1780</v>
      </c>
      <c r="K1442" s="25" t="str">
        <f aca="false">IFERROR(__xludf.dummyfunction("SPLIT(J1442,"" "")"),"CIF")</f>
        <v>CIF</v>
      </c>
      <c r="L1442" s="28" t="str">
        <f aca="false">IFERROR(__xludf.dummyfunction("""COMPUTED_VALUE"""),"Poland")</f>
        <v>Poland</v>
      </c>
      <c r="M1442" s="27" t="str">
        <f aca="false">IFERROR(__xludf.dummyfunction("""COMPUTED_VALUE"""),"(Diff)")</f>
        <v>(Diff)</v>
      </c>
      <c r="N1442" s="25"/>
      <c r="O1442" s="25"/>
      <c r="P1442" s="25"/>
      <c r="Q1442" s="29" t="s">
        <v>311</v>
      </c>
      <c r="R1442" s="8" t="str">
        <f aca="false">B1442&amp;" "&amp;C1442&amp;" "&amp;D1442&amp;" "&amp;E1442&amp;" "&amp;G1442&amp;" "&amp;H1442&amp;" "&amp;J1442&amp;" "&amp;N1442</f>
        <v>Differentials Graphite     CIF Poland (Diff) </v>
      </c>
      <c r="S1442" s="25"/>
      <c r="T1442" s="8"/>
      <c r="U1442" s="8"/>
      <c r="V1442" s="25"/>
      <c r="W1442" s="25"/>
      <c r="X1442" s="25"/>
      <c r="Y1442" s="25"/>
      <c r="Z1442" s="25"/>
      <c r="AA1442" s="25"/>
      <c r="AB1442" s="25"/>
      <c r="AC1442" s="25"/>
      <c r="AD1442" s="25"/>
    </row>
    <row r="1443" customFormat="false" ht="15.75" hidden="false" customHeight="false" outlineLevel="0" collapsed="false">
      <c r="A1443" s="28" t="s">
        <v>1841</v>
      </c>
      <c r="B1443" s="27" t="s">
        <v>438</v>
      </c>
      <c r="C1443" s="27" t="s">
        <v>360</v>
      </c>
      <c r="D1443" s="25"/>
      <c r="E1443" s="25"/>
      <c r="F1443" s="25"/>
      <c r="G1443" s="25"/>
      <c r="H1443" s="25"/>
      <c r="I1443" s="25"/>
      <c r="J1443" s="27" t="s">
        <v>1780</v>
      </c>
      <c r="K1443" s="25" t="str">
        <f aca="false">IFERROR(__xludf.dummyfunction("SPLIT(J1443,"" "")"),"CIF")</f>
        <v>CIF</v>
      </c>
      <c r="L1443" s="28" t="str">
        <f aca="false">IFERROR(__xludf.dummyfunction("""COMPUTED_VALUE"""),"Poland")</f>
        <v>Poland</v>
      </c>
      <c r="M1443" s="27" t="str">
        <f aca="false">IFERROR(__xludf.dummyfunction("""COMPUTED_VALUE"""),"(Diff)")</f>
        <v>(Diff)</v>
      </c>
      <c r="N1443" s="25"/>
      <c r="O1443" s="25"/>
      <c r="P1443" s="25"/>
      <c r="Q1443" s="29" t="s">
        <v>368</v>
      </c>
      <c r="R1443" s="8" t="str">
        <f aca="false">B1443&amp;" "&amp;C1443&amp;" "&amp;D1443&amp;" "&amp;E1443&amp;" "&amp;G1443&amp;" "&amp;H1443&amp;" "&amp;J1443&amp;" "&amp;N1443</f>
        <v>Differentials Lithium     CIF Poland (Diff) </v>
      </c>
      <c r="S1443" s="25"/>
      <c r="T1443" s="8"/>
      <c r="U1443" s="8"/>
      <c r="V1443" s="25"/>
      <c r="W1443" s="25"/>
      <c r="X1443" s="25"/>
      <c r="Y1443" s="25"/>
      <c r="Z1443" s="25"/>
      <c r="AA1443" s="25"/>
      <c r="AB1443" s="25"/>
      <c r="AC1443" s="25"/>
      <c r="AD1443" s="25"/>
    </row>
    <row r="1444" customFormat="false" ht="15.75" hidden="false" customHeight="false" outlineLevel="0" collapsed="false">
      <c r="A1444" s="28" t="s">
        <v>1842</v>
      </c>
      <c r="B1444" s="27" t="s">
        <v>438</v>
      </c>
      <c r="C1444" s="27" t="s">
        <v>360</v>
      </c>
      <c r="D1444" s="25"/>
      <c r="E1444" s="25"/>
      <c r="F1444" s="25"/>
      <c r="G1444" s="25"/>
      <c r="H1444" s="25"/>
      <c r="I1444" s="25"/>
      <c r="J1444" s="27" t="s">
        <v>1780</v>
      </c>
      <c r="K1444" s="25" t="str">
        <f aca="false">IFERROR(__xludf.dummyfunction("SPLIT(J1444,"" "")"),"CIF")</f>
        <v>CIF</v>
      </c>
      <c r="L1444" s="28" t="str">
        <f aca="false">IFERROR(__xludf.dummyfunction("""COMPUTED_VALUE"""),"Poland")</f>
        <v>Poland</v>
      </c>
      <c r="M1444" s="27" t="str">
        <f aca="false">IFERROR(__xludf.dummyfunction("""COMPUTED_VALUE"""),"(Diff)")</f>
        <v>(Diff)</v>
      </c>
      <c r="N1444" s="25"/>
      <c r="O1444" s="25"/>
      <c r="P1444" s="25"/>
      <c r="Q1444" s="29" t="s">
        <v>366</v>
      </c>
      <c r="R1444" s="8" t="str">
        <f aca="false">B1444&amp;" "&amp;C1444&amp;" "&amp;D1444&amp;" "&amp;E1444&amp;" "&amp;G1444&amp;" "&amp;H1444&amp;" "&amp;J1444&amp;" "&amp;N1444</f>
        <v>Differentials Lithium     CIF Poland (Diff) </v>
      </c>
      <c r="S1444" s="25"/>
      <c r="T1444" s="8"/>
      <c r="U1444" s="8"/>
      <c r="V1444" s="25"/>
      <c r="W1444" s="25"/>
      <c r="X1444" s="25"/>
      <c r="Y1444" s="25"/>
      <c r="Z1444" s="25"/>
      <c r="AA1444" s="25"/>
      <c r="AB1444" s="25"/>
      <c r="AC1444" s="25"/>
      <c r="AD1444" s="25"/>
    </row>
    <row r="1445" customFormat="false" ht="15.75" hidden="false" customHeight="false" outlineLevel="0" collapsed="false">
      <c r="A1445" s="28" t="s">
        <v>1843</v>
      </c>
      <c r="B1445" s="27" t="s">
        <v>438</v>
      </c>
      <c r="C1445" s="27" t="s">
        <v>360</v>
      </c>
      <c r="D1445" s="25"/>
      <c r="E1445" s="25"/>
      <c r="F1445" s="25"/>
      <c r="G1445" s="25"/>
      <c r="H1445" s="25"/>
      <c r="I1445" s="25"/>
      <c r="J1445" s="27" t="s">
        <v>1780</v>
      </c>
      <c r="K1445" s="25" t="str">
        <f aca="false">IFERROR(__xludf.dummyfunction("SPLIT(J1445,"" "")"),"CIF")</f>
        <v>CIF</v>
      </c>
      <c r="L1445" s="28" t="str">
        <f aca="false">IFERROR(__xludf.dummyfunction("""COMPUTED_VALUE"""),"Poland")</f>
        <v>Poland</v>
      </c>
      <c r="M1445" s="27" t="str">
        <f aca="false">IFERROR(__xludf.dummyfunction("""COMPUTED_VALUE"""),"(Diff)")</f>
        <v>(Diff)</v>
      </c>
      <c r="N1445" s="25"/>
      <c r="O1445" s="25"/>
      <c r="P1445" s="25"/>
      <c r="Q1445" s="29" t="s">
        <v>361</v>
      </c>
      <c r="R1445" s="8" t="str">
        <f aca="false">B1445&amp;" "&amp;C1445&amp;" "&amp;D1445&amp;" "&amp;E1445&amp;" "&amp;G1445&amp;" "&amp;H1445&amp;" "&amp;J1445&amp;" "&amp;N1445</f>
        <v>Differentials Lithium     CIF Poland (Diff) </v>
      </c>
      <c r="S1445" s="25"/>
      <c r="T1445" s="8"/>
      <c r="U1445" s="8"/>
      <c r="V1445" s="25"/>
      <c r="W1445" s="25"/>
      <c r="X1445" s="25"/>
      <c r="Y1445" s="25"/>
      <c r="Z1445" s="25"/>
      <c r="AA1445" s="25"/>
      <c r="AB1445" s="25"/>
      <c r="AC1445" s="25"/>
      <c r="AD1445" s="25"/>
    </row>
    <row r="1446" customFormat="false" ht="15.75" hidden="false" customHeight="false" outlineLevel="0" collapsed="false">
      <c r="A1446" s="28" t="s">
        <v>1844</v>
      </c>
      <c r="B1446" s="27" t="s">
        <v>438</v>
      </c>
      <c r="C1446" s="27" t="s">
        <v>360</v>
      </c>
      <c r="D1446" s="25"/>
      <c r="E1446" s="25"/>
      <c r="F1446" s="25"/>
      <c r="G1446" s="25"/>
      <c r="H1446" s="25"/>
      <c r="I1446" s="25"/>
      <c r="J1446" s="27" t="s">
        <v>1780</v>
      </c>
      <c r="K1446" s="25" t="str">
        <f aca="false">IFERROR(__xludf.dummyfunction("SPLIT(J1446,"" "")"),"CIF")</f>
        <v>CIF</v>
      </c>
      <c r="L1446" s="28" t="str">
        <f aca="false">IFERROR(__xludf.dummyfunction("""COMPUTED_VALUE"""),"Poland")</f>
        <v>Poland</v>
      </c>
      <c r="M1446" s="27" t="str">
        <f aca="false">IFERROR(__xludf.dummyfunction("""COMPUTED_VALUE"""),"(Diff)")</f>
        <v>(Diff)</v>
      </c>
      <c r="N1446" s="25"/>
      <c r="O1446" s="25"/>
      <c r="P1446" s="25"/>
      <c r="Q1446" s="29" t="s">
        <v>363</v>
      </c>
      <c r="R1446" s="8" t="str">
        <f aca="false">B1446&amp;" "&amp;C1446&amp;" "&amp;D1446&amp;" "&amp;E1446&amp;" "&amp;G1446&amp;" "&amp;H1446&amp;" "&amp;J1446&amp;" "&amp;N1446</f>
        <v>Differentials Lithium     CIF Poland (Diff) </v>
      </c>
      <c r="S1446" s="25"/>
      <c r="T1446" s="8"/>
      <c r="U1446" s="8"/>
      <c r="V1446" s="25"/>
      <c r="W1446" s="25"/>
      <c r="X1446" s="25"/>
      <c r="Y1446" s="25"/>
      <c r="Z1446" s="25"/>
      <c r="AA1446" s="25"/>
      <c r="AB1446" s="25"/>
      <c r="AC1446" s="25"/>
      <c r="AD1446" s="25"/>
    </row>
    <row r="1447" customFormat="false" ht="15.75" hidden="false" customHeight="false" outlineLevel="0" collapsed="false">
      <c r="A1447" s="28" t="s">
        <v>1845</v>
      </c>
      <c r="B1447" s="27" t="s">
        <v>438</v>
      </c>
      <c r="C1447" s="27" t="s">
        <v>360</v>
      </c>
      <c r="D1447" s="25"/>
      <c r="E1447" s="25"/>
      <c r="F1447" s="25"/>
      <c r="G1447" s="25"/>
      <c r="H1447" s="25"/>
      <c r="I1447" s="25"/>
      <c r="J1447" s="27" t="s">
        <v>1780</v>
      </c>
      <c r="K1447" s="25" t="str">
        <f aca="false">IFERROR(__xludf.dummyfunction("SPLIT(J1447,"" "")"),"CIF")</f>
        <v>CIF</v>
      </c>
      <c r="L1447" s="28" t="str">
        <f aca="false">IFERROR(__xludf.dummyfunction("""COMPUTED_VALUE"""),"Poland")</f>
        <v>Poland</v>
      </c>
      <c r="M1447" s="27" t="str">
        <f aca="false">IFERROR(__xludf.dummyfunction("""COMPUTED_VALUE"""),"(Diff)")</f>
        <v>(Diff)</v>
      </c>
      <c r="N1447" s="25"/>
      <c r="O1447" s="25"/>
      <c r="P1447" s="25"/>
      <c r="Q1447" s="29" t="s">
        <v>361</v>
      </c>
      <c r="R1447" s="8" t="str">
        <f aca="false">B1447&amp;" "&amp;C1447&amp;" "&amp;D1447&amp;" "&amp;E1447&amp;" "&amp;G1447&amp;" "&amp;H1447&amp;" "&amp;J1447&amp;" "&amp;N1447</f>
        <v>Differentials Lithium     CIF Poland (Diff) </v>
      </c>
      <c r="S1447" s="25"/>
      <c r="T1447" s="8"/>
      <c r="U1447" s="8"/>
      <c r="V1447" s="25"/>
      <c r="W1447" s="25"/>
      <c r="X1447" s="25"/>
      <c r="Y1447" s="25"/>
      <c r="Z1447" s="25"/>
      <c r="AA1447" s="25"/>
      <c r="AB1447" s="25"/>
      <c r="AC1447" s="25"/>
      <c r="AD1447" s="25"/>
    </row>
    <row r="1448" customFormat="false" ht="15.75" hidden="false" customHeight="false" outlineLevel="0" collapsed="false">
      <c r="A1448" s="28" t="s">
        <v>1846</v>
      </c>
      <c r="B1448" s="27" t="s">
        <v>438</v>
      </c>
      <c r="C1448" s="27" t="s">
        <v>370</v>
      </c>
      <c r="D1448" s="25"/>
      <c r="E1448" s="25"/>
      <c r="F1448" s="25"/>
      <c r="G1448" s="25"/>
      <c r="H1448" s="25"/>
      <c r="I1448" s="25"/>
      <c r="J1448" s="27" t="s">
        <v>1780</v>
      </c>
      <c r="K1448" s="25" t="str">
        <f aca="false">IFERROR(__xludf.dummyfunction("SPLIT(J1448,"" "")"),"CIF")</f>
        <v>CIF</v>
      </c>
      <c r="L1448" s="28" t="str">
        <f aca="false">IFERROR(__xludf.dummyfunction("""COMPUTED_VALUE"""),"Poland")</f>
        <v>Poland</v>
      </c>
      <c r="M1448" s="27" t="str">
        <f aca="false">IFERROR(__xludf.dummyfunction("""COMPUTED_VALUE"""),"(Diff)")</f>
        <v>(Diff)</v>
      </c>
      <c r="N1448" s="25"/>
      <c r="O1448" s="25"/>
      <c r="P1448" s="25"/>
      <c r="Q1448" s="29" t="s">
        <v>374</v>
      </c>
      <c r="R1448" s="8" t="str">
        <f aca="false">B1448&amp;" "&amp;C1448&amp;" "&amp;D1448&amp;" "&amp;E1448&amp;" "&amp;G1448&amp;" "&amp;H1448&amp;" "&amp;J1448&amp;" "&amp;N1448</f>
        <v>Differentials Manganese     CIF Poland (Diff) </v>
      </c>
      <c r="S1448" s="25"/>
      <c r="T1448" s="8"/>
      <c r="U1448" s="8"/>
      <c r="V1448" s="25"/>
      <c r="W1448" s="25"/>
      <c r="X1448" s="25"/>
      <c r="Y1448" s="25"/>
      <c r="Z1448" s="25"/>
      <c r="AA1448" s="25"/>
      <c r="AB1448" s="25"/>
      <c r="AC1448" s="25"/>
      <c r="AD1448" s="25"/>
    </row>
    <row r="1449" customFormat="false" ht="15.75" hidden="false" customHeight="false" outlineLevel="0" collapsed="false">
      <c r="A1449" s="28" t="s">
        <v>1847</v>
      </c>
      <c r="B1449" s="27" t="s">
        <v>438</v>
      </c>
      <c r="C1449" s="27" t="s">
        <v>370</v>
      </c>
      <c r="D1449" s="25"/>
      <c r="E1449" s="25"/>
      <c r="F1449" s="25"/>
      <c r="G1449" s="25"/>
      <c r="H1449" s="25"/>
      <c r="I1449" s="25"/>
      <c r="J1449" s="27" t="s">
        <v>1780</v>
      </c>
      <c r="K1449" s="25" t="str">
        <f aca="false">IFERROR(__xludf.dummyfunction("SPLIT(J1449,"" "")"),"CIF")</f>
        <v>CIF</v>
      </c>
      <c r="L1449" s="28" t="str">
        <f aca="false">IFERROR(__xludf.dummyfunction("""COMPUTED_VALUE"""),"Poland")</f>
        <v>Poland</v>
      </c>
      <c r="M1449" s="27" t="str">
        <f aca="false">IFERROR(__xludf.dummyfunction("""COMPUTED_VALUE"""),"(Diff)")</f>
        <v>(Diff)</v>
      </c>
      <c r="N1449" s="25"/>
      <c r="O1449" s="25"/>
      <c r="P1449" s="25"/>
      <c r="Q1449" s="29" t="s">
        <v>371</v>
      </c>
      <c r="R1449" s="8" t="str">
        <f aca="false">B1449&amp;" "&amp;C1449&amp;" "&amp;D1449&amp;" "&amp;E1449&amp;" "&amp;G1449&amp;" "&amp;H1449&amp;" "&amp;J1449&amp;" "&amp;N1449</f>
        <v>Differentials Manganese     CIF Poland (Diff) </v>
      </c>
      <c r="S1449" s="25"/>
      <c r="T1449" s="8"/>
      <c r="U1449" s="8"/>
      <c r="V1449" s="25"/>
      <c r="W1449" s="25"/>
      <c r="X1449" s="25"/>
      <c r="Y1449" s="25"/>
      <c r="Z1449" s="25"/>
      <c r="AA1449" s="25"/>
      <c r="AB1449" s="25"/>
      <c r="AC1449" s="25"/>
      <c r="AD1449" s="25"/>
    </row>
    <row r="1450" customFormat="false" ht="15.75" hidden="false" customHeight="false" outlineLevel="0" collapsed="false">
      <c r="A1450" s="28" t="s">
        <v>1848</v>
      </c>
      <c r="B1450" s="27" t="s">
        <v>438</v>
      </c>
      <c r="C1450" s="27" t="s">
        <v>376</v>
      </c>
      <c r="D1450" s="25"/>
      <c r="E1450" s="25"/>
      <c r="F1450" s="25"/>
      <c r="G1450" s="25"/>
      <c r="H1450" s="25"/>
      <c r="I1450" s="25"/>
      <c r="J1450" s="27" t="s">
        <v>1780</v>
      </c>
      <c r="K1450" s="25" t="str">
        <f aca="false">IFERROR(__xludf.dummyfunction("SPLIT(J1450,"" "")"),"CIF")</f>
        <v>CIF</v>
      </c>
      <c r="L1450" s="28" t="str">
        <f aca="false">IFERROR(__xludf.dummyfunction("""COMPUTED_VALUE"""),"Poland")</f>
        <v>Poland</v>
      </c>
      <c r="M1450" s="27" t="str">
        <f aca="false">IFERROR(__xludf.dummyfunction("""COMPUTED_VALUE"""),"(Diff)")</f>
        <v>(Diff)</v>
      </c>
      <c r="N1450" s="25"/>
      <c r="O1450" s="25"/>
      <c r="P1450" s="25"/>
      <c r="Q1450" s="29" t="s">
        <v>381</v>
      </c>
      <c r="R1450" s="8" t="str">
        <f aca="false">B1450&amp;" "&amp;C1450&amp;" "&amp;D1450&amp;" "&amp;E1450&amp;" "&amp;G1450&amp;" "&amp;H1450&amp;" "&amp;J1450&amp;" "&amp;N1450</f>
        <v>Differentials Nickel     CIF Poland (Diff) </v>
      </c>
      <c r="S1450" s="25"/>
      <c r="T1450" s="8"/>
      <c r="U1450" s="8"/>
      <c r="V1450" s="25"/>
      <c r="W1450" s="25"/>
      <c r="X1450" s="25"/>
      <c r="Y1450" s="25"/>
      <c r="Z1450" s="25"/>
      <c r="AA1450" s="25"/>
      <c r="AB1450" s="25"/>
      <c r="AC1450" s="25"/>
      <c r="AD1450" s="25"/>
    </row>
    <row r="1451" customFormat="false" ht="15.75" hidden="false" customHeight="false" outlineLevel="0" collapsed="false">
      <c r="A1451" s="28" t="s">
        <v>1849</v>
      </c>
      <c r="B1451" s="27" t="s">
        <v>438</v>
      </c>
      <c r="C1451" s="27" t="s">
        <v>376</v>
      </c>
      <c r="D1451" s="25"/>
      <c r="E1451" s="25"/>
      <c r="F1451" s="25"/>
      <c r="G1451" s="25"/>
      <c r="H1451" s="25"/>
      <c r="I1451" s="25"/>
      <c r="J1451" s="27" t="s">
        <v>1780</v>
      </c>
      <c r="K1451" s="25" t="str">
        <f aca="false">IFERROR(__xludf.dummyfunction("SPLIT(J1451,"" "")"),"CIF")</f>
        <v>CIF</v>
      </c>
      <c r="L1451" s="28" t="str">
        <f aca="false">IFERROR(__xludf.dummyfunction("""COMPUTED_VALUE"""),"Poland")</f>
        <v>Poland</v>
      </c>
      <c r="M1451" s="27" t="str">
        <f aca="false">IFERROR(__xludf.dummyfunction("""COMPUTED_VALUE"""),"(Diff)")</f>
        <v>(Diff)</v>
      </c>
      <c r="N1451" s="25"/>
      <c r="O1451" s="25"/>
      <c r="P1451" s="25"/>
      <c r="Q1451" s="29" t="s">
        <v>379</v>
      </c>
      <c r="R1451" s="8" t="str">
        <f aca="false">B1451&amp;" "&amp;C1451&amp;" "&amp;D1451&amp;" "&amp;E1451&amp;" "&amp;G1451&amp;" "&amp;H1451&amp;" "&amp;J1451&amp;" "&amp;N1451</f>
        <v>Differentials Nickel     CIF Poland (Diff) </v>
      </c>
      <c r="S1451" s="25"/>
      <c r="T1451" s="8"/>
      <c r="U1451" s="8"/>
      <c r="V1451" s="25"/>
      <c r="W1451" s="25"/>
      <c r="X1451" s="25"/>
      <c r="Y1451" s="25"/>
      <c r="Z1451" s="25"/>
      <c r="AA1451" s="25"/>
      <c r="AB1451" s="25"/>
      <c r="AC1451" s="25"/>
      <c r="AD1451" s="25"/>
    </row>
    <row r="1452" customFormat="false" ht="15.75" hidden="false" customHeight="false" outlineLevel="0" collapsed="false">
      <c r="A1452" s="28" t="s">
        <v>1850</v>
      </c>
      <c r="B1452" s="27" t="s">
        <v>438</v>
      </c>
      <c r="C1452" s="27" t="s">
        <v>376</v>
      </c>
      <c r="D1452" s="25"/>
      <c r="E1452" s="25"/>
      <c r="F1452" s="25"/>
      <c r="G1452" s="25"/>
      <c r="H1452" s="25"/>
      <c r="I1452" s="25"/>
      <c r="J1452" s="27" t="s">
        <v>1780</v>
      </c>
      <c r="K1452" s="25" t="str">
        <f aca="false">IFERROR(__xludf.dummyfunction("SPLIT(J1452,"" "")"),"CIF")</f>
        <v>CIF</v>
      </c>
      <c r="L1452" s="28" t="str">
        <f aca="false">IFERROR(__xludf.dummyfunction("""COMPUTED_VALUE"""),"Poland")</f>
        <v>Poland</v>
      </c>
      <c r="M1452" s="27" t="str">
        <f aca="false">IFERROR(__xludf.dummyfunction("""COMPUTED_VALUE"""),"(Diff)")</f>
        <v>(Diff)</v>
      </c>
      <c r="N1452" s="25"/>
      <c r="O1452" s="25"/>
      <c r="P1452" s="25"/>
      <c r="Q1452" s="29" t="s">
        <v>377</v>
      </c>
      <c r="R1452" s="8" t="str">
        <f aca="false">B1452&amp;" "&amp;C1452&amp;" "&amp;D1452&amp;" "&amp;E1452&amp;" "&amp;G1452&amp;" "&amp;H1452&amp;" "&amp;J1452&amp;" "&amp;N1452</f>
        <v>Differentials Nickel     CIF Poland (Diff) </v>
      </c>
      <c r="S1452" s="25"/>
      <c r="T1452" s="8"/>
      <c r="U1452" s="8"/>
      <c r="V1452" s="25"/>
      <c r="W1452" s="25"/>
      <c r="X1452" s="25"/>
      <c r="Y1452" s="25"/>
      <c r="Z1452" s="25"/>
      <c r="AA1452" s="25"/>
      <c r="AB1452" s="25"/>
      <c r="AC1452" s="25"/>
      <c r="AD1452" s="25"/>
    </row>
    <row r="1453" customFormat="false" ht="15.75" hidden="false" customHeight="false" outlineLevel="0" collapsed="false">
      <c r="A1453" s="28" t="s">
        <v>1851</v>
      </c>
      <c r="B1453" s="27" t="s">
        <v>438</v>
      </c>
      <c r="C1453" s="27" t="s">
        <v>383</v>
      </c>
      <c r="D1453" s="25"/>
      <c r="E1453" s="25"/>
      <c r="F1453" s="25"/>
      <c r="G1453" s="25"/>
      <c r="H1453" s="25"/>
      <c r="I1453" s="25"/>
      <c r="J1453" s="27" t="s">
        <v>1780</v>
      </c>
      <c r="K1453" s="25" t="str">
        <f aca="false">IFERROR(__xludf.dummyfunction("SPLIT(J1453,"" "")"),"CIF")</f>
        <v>CIF</v>
      </c>
      <c r="L1453" s="28" t="str">
        <f aca="false">IFERROR(__xludf.dummyfunction("""COMPUTED_VALUE"""),"Poland")</f>
        <v>Poland</v>
      </c>
      <c r="M1453" s="27" t="str">
        <f aca="false">IFERROR(__xludf.dummyfunction("""COMPUTED_VALUE"""),"(Diff)")</f>
        <v>(Diff)</v>
      </c>
      <c r="N1453" s="25"/>
      <c r="O1453" s="25"/>
      <c r="P1453" s="25"/>
      <c r="Q1453" s="29" t="s">
        <v>406</v>
      </c>
      <c r="R1453" s="8" t="str">
        <f aca="false">B1453&amp;" "&amp;C1453&amp;" "&amp;D1453&amp;" "&amp;E1453&amp;" "&amp;G1453&amp;" "&amp;H1453&amp;" "&amp;J1453&amp;" "&amp;N1453</f>
        <v>Differentials Precursor     CIF Poland (Diff) </v>
      </c>
      <c r="S1453" s="25"/>
      <c r="T1453" s="8"/>
      <c r="U1453" s="8"/>
      <c r="V1453" s="25"/>
      <c r="W1453" s="25"/>
      <c r="X1453" s="25"/>
      <c r="Y1453" s="25"/>
      <c r="Z1453" s="25"/>
      <c r="AA1453" s="25"/>
      <c r="AB1453" s="25"/>
      <c r="AC1453" s="25"/>
      <c r="AD1453" s="25"/>
    </row>
    <row r="1454" customFormat="false" ht="15.75" hidden="false" customHeight="false" outlineLevel="0" collapsed="false">
      <c r="A1454" s="28" t="s">
        <v>1852</v>
      </c>
      <c r="B1454" s="27" t="s">
        <v>438</v>
      </c>
      <c r="C1454" s="27" t="s">
        <v>383</v>
      </c>
      <c r="D1454" s="25"/>
      <c r="E1454" s="25"/>
      <c r="F1454" s="25"/>
      <c r="G1454" s="25"/>
      <c r="H1454" s="25"/>
      <c r="I1454" s="25"/>
      <c r="J1454" s="27" t="s">
        <v>1780</v>
      </c>
      <c r="K1454" s="25" t="str">
        <f aca="false">IFERROR(__xludf.dummyfunction("SPLIT(J1454,"" "")"),"CIF")</f>
        <v>CIF</v>
      </c>
      <c r="L1454" s="28" t="str">
        <f aca="false">IFERROR(__xludf.dummyfunction("""COMPUTED_VALUE"""),"Poland")</f>
        <v>Poland</v>
      </c>
      <c r="M1454" s="27" t="str">
        <f aca="false">IFERROR(__xludf.dummyfunction("""COMPUTED_VALUE"""),"(Diff)")</f>
        <v>(Diff)</v>
      </c>
      <c r="N1454" s="25"/>
      <c r="O1454" s="25"/>
      <c r="P1454" s="25"/>
      <c r="Q1454" s="29" t="s">
        <v>404</v>
      </c>
      <c r="R1454" s="8" t="str">
        <f aca="false">B1454&amp;" "&amp;C1454&amp;" "&amp;D1454&amp;" "&amp;E1454&amp;" "&amp;G1454&amp;" "&amp;H1454&amp;" "&amp;J1454&amp;" "&amp;N1454</f>
        <v>Differentials Precursor     CIF Poland (Diff) </v>
      </c>
      <c r="S1454" s="25"/>
      <c r="T1454" s="8"/>
      <c r="U1454" s="8"/>
      <c r="V1454" s="25"/>
      <c r="W1454" s="25"/>
      <c r="X1454" s="25"/>
      <c r="Y1454" s="25"/>
      <c r="Z1454" s="25"/>
      <c r="AA1454" s="25"/>
      <c r="AB1454" s="25"/>
      <c r="AC1454" s="25"/>
      <c r="AD1454" s="25"/>
    </row>
    <row r="1455" customFormat="false" ht="15.75" hidden="false" customHeight="false" outlineLevel="0" collapsed="false">
      <c r="A1455" s="28" t="s">
        <v>1853</v>
      </c>
      <c r="B1455" s="27" t="s">
        <v>438</v>
      </c>
      <c r="C1455" s="27" t="s">
        <v>383</v>
      </c>
      <c r="D1455" s="25"/>
      <c r="E1455" s="25"/>
      <c r="F1455" s="25"/>
      <c r="G1455" s="25"/>
      <c r="H1455" s="25"/>
      <c r="I1455" s="25"/>
      <c r="J1455" s="27" t="s">
        <v>1780</v>
      </c>
      <c r="K1455" s="25" t="str">
        <f aca="false">IFERROR(__xludf.dummyfunction("SPLIT(J1455,"" "")"),"CIF")</f>
        <v>CIF</v>
      </c>
      <c r="L1455" s="28" t="str">
        <f aca="false">IFERROR(__xludf.dummyfunction("""COMPUTED_VALUE"""),"Poland")</f>
        <v>Poland</v>
      </c>
      <c r="M1455" s="27" t="str">
        <f aca="false">IFERROR(__xludf.dummyfunction("""COMPUTED_VALUE"""),"(Diff)")</f>
        <v>(Diff)</v>
      </c>
      <c r="N1455" s="25"/>
      <c r="O1455" s="25"/>
      <c r="P1455" s="25"/>
      <c r="Q1455" s="29" t="s">
        <v>402</v>
      </c>
      <c r="R1455" s="8" t="str">
        <f aca="false">B1455&amp;" "&amp;C1455&amp;" "&amp;D1455&amp;" "&amp;E1455&amp;" "&amp;G1455&amp;" "&amp;H1455&amp;" "&amp;J1455&amp;" "&amp;N1455</f>
        <v>Differentials Precursor     CIF Poland (Diff) </v>
      </c>
      <c r="S1455" s="25"/>
      <c r="T1455" s="8"/>
      <c r="U1455" s="8"/>
      <c r="V1455" s="25"/>
      <c r="W1455" s="25"/>
      <c r="X1455" s="25"/>
      <c r="Y1455" s="25"/>
      <c r="Z1455" s="25"/>
      <c r="AA1455" s="25"/>
      <c r="AB1455" s="25"/>
      <c r="AC1455" s="25"/>
      <c r="AD1455" s="25"/>
    </row>
    <row r="1456" customFormat="false" ht="15.75" hidden="false" customHeight="false" outlineLevel="0" collapsed="false">
      <c r="A1456" s="28" t="s">
        <v>1854</v>
      </c>
      <c r="B1456" s="27" t="s">
        <v>438</v>
      </c>
      <c r="C1456" s="27" t="s">
        <v>383</v>
      </c>
      <c r="D1456" s="25"/>
      <c r="E1456" s="25"/>
      <c r="F1456" s="25"/>
      <c r="G1456" s="25"/>
      <c r="H1456" s="25"/>
      <c r="I1456" s="25"/>
      <c r="J1456" s="27" t="s">
        <v>1780</v>
      </c>
      <c r="K1456" s="25" t="str">
        <f aca="false">IFERROR(__xludf.dummyfunction("SPLIT(J1456,"" "")"),"CIF")</f>
        <v>CIF</v>
      </c>
      <c r="L1456" s="28" t="str">
        <f aca="false">IFERROR(__xludf.dummyfunction("""COMPUTED_VALUE"""),"Poland")</f>
        <v>Poland</v>
      </c>
      <c r="M1456" s="27" t="str">
        <f aca="false">IFERROR(__xludf.dummyfunction("""COMPUTED_VALUE"""),"(Diff)")</f>
        <v>(Diff)</v>
      </c>
      <c r="N1456" s="25"/>
      <c r="O1456" s="25"/>
      <c r="P1456" s="25"/>
      <c r="Q1456" s="29" t="s">
        <v>400</v>
      </c>
      <c r="R1456" s="8" t="str">
        <f aca="false">B1456&amp;" "&amp;C1456&amp;" "&amp;D1456&amp;" "&amp;E1456&amp;" "&amp;G1456&amp;" "&amp;H1456&amp;" "&amp;J1456&amp;" "&amp;N1456</f>
        <v>Differentials Precursor     CIF Poland (Diff) </v>
      </c>
      <c r="S1456" s="25"/>
      <c r="T1456" s="8"/>
      <c r="U1456" s="8"/>
      <c r="V1456" s="25"/>
      <c r="W1456" s="25"/>
      <c r="X1456" s="25"/>
      <c r="Y1456" s="25"/>
      <c r="Z1456" s="25"/>
      <c r="AA1456" s="25"/>
      <c r="AB1456" s="25"/>
      <c r="AC1456" s="25"/>
      <c r="AD1456" s="25"/>
    </row>
    <row r="1457" customFormat="false" ht="15.75" hidden="false" customHeight="false" outlineLevel="0" collapsed="false">
      <c r="A1457" s="28" t="s">
        <v>1855</v>
      </c>
      <c r="B1457" s="27" t="s">
        <v>438</v>
      </c>
      <c r="C1457" s="27" t="s">
        <v>383</v>
      </c>
      <c r="D1457" s="25"/>
      <c r="E1457" s="25"/>
      <c r="F1457" s="25"/>
      <c r="G1457" s="25"/>
      <c r="H1457" s="25"/>
      <c r="I1457" s="25"/>
      <c r="J1457" s="27" t="s">
        <v>1780</v>
      </c>
      <c r="K1457" s="25" t="str">
        <f aca="false">IFERROR(__xludf.dummyfunction("SPLIT(J1457,"" "")"),"CIF")</f>
        <v>CIF</v>
      </c>
      <c r="L1457" s="28" t="str">
        <f aca="false">IFERROR(__xludf.dummyfunction("""COMPUTED_VALUE"""),"Poland")</f>
        <v>Poland</v>
      </c>
      <c r="M1457" s="27" t="str">
        <f aca="false">IFERROR(__xludf.dummyfunction("""COMPUTED_VALUE"""),"(Diff)")</f>
        <v>(Diff)</v>
      </c>
      <c r="N1457" s="25"/>
      <c r="O1457" s="25"/>
      <c r="P1457" s="25"/>
      <c r="Q1457" s="29" t="s">
        <v>398</v>
      </c>
      <c r="R1457" s="8" t="str">
        <f aca="false">B1457&amp;" "&amp;C1457&amp;" "&amp;D1457&amp;" "&amp;E1457&amp;" "&amp;G1457&amp;" "&amp;H1457&amp;" "&amp;J1457&amp;" "&amp;N1457</f>
        <v>Differentials Precursor     CIF Poland (Diff) </v>
      </c>
      <c r="S1457" s="25"/>
      <c r="T1457" s="8"/>
      <c r="U1457" s="8"/>
      <c r="V1457" s="25"/>
      <c r="W1457" s="25"/>
      <c r="X1457" s="25"/>
      <c r="Y1457" s="25"/>
      <c r="Z1457" s="25"/>
      <c r="AA1457" s="25"/>
      <c r="AB1457" s="25"/>
      <c r="AC1457" s="25"/>
      <c r="AD1457" s="25"/>
    </row>
    <row r="1458" customFormat="false" ht="15.75" hidden="false" customHeight="false" outlineLevel="0" collapsed="false">
      <c r="A1458" s="28" t="s">
        <v>1856</v>
      </c>
      <c r="B1458" s="27" t="s">
        <v>438</v>
      </c>
      <c r="C1458" s="27" t="s">
        <v>383</v>
      </c>
      <c r="D1458" s="25"/>
      <c r="E1458" s="25"/>
      <c r="F1458" s="25"/>
      <c r="G1458" s="25"/>
      <c r="H1458" s="25"/>
      <c r="I1458" s="25"/>
      <c r="J1458" s="27" t="s">
        <v>1780</v>
      </c>
      <c r="K1458" s="25" t="str">
        <f aca="false">IFERROR(__xludf.dummyfunction("SPLIT(J1458,"" "")"),"CIF")</f>
        <v>CIF</v>
      </c>
      <c r="L1458" s="28" t="str">
        <f aca="false">IFERROR(__xludf.dummyfunction("""COMPUTED_VALUE"""),"Poland")</f>
        <v>Poland</v>
      </c>
      <c r="M1458" s="27" t="str">
        <f aca="false">IFERROR(__xludf.dummyfunction("""COMPUTED_VALUE"""),"(Diff)")</f>
        <v>(Diff)</v>
      </c>
      <c r="N1458" s="25"/>
      <c r="O1458" s="25"/>
      <c r="P1458" s="25"/>
      <c r="Q1458" s="29" t="s">
        <v>259</v>
      </c>
      <c r="R1458" s="8" t="str">
        <f aca="false">B1458&amp;" "&amp;C1458&amp;" "&amp;D1458&amp;" "&amp;E1458&amp;" "&amp;G1458&amp;" "&amp;H1458&amp;" "&amp;J1458&amp;" "&amp;N1458</f>
        <v>Differentials Precursor     CIF Poland (Diff) </v>
      </c>
      <c r="S1458" s="25"/>
      <c r="T1458" s="8"/>
      <c r="U1458" s="8"/>
      <c r="V1458" s="25"/>
      <c r="W1458" s="25"/>
      <c r="X1458" s="25"/>
      <c r="Y1458" s="25"/>
      <c r="Z1458" s="25"/>
      <c r="AA1458" s="25"/>
      <c r="AB1458" s="25"/>
      <c r="AC1458" s="25"/>
      <c r="AD1458" s="25"/>
    </row>
    <row r="1459" customFormat="false" ht="15.75" hidden="false" customHeight="false" outlineLevel="0" collapsed="false">
      <c r="A1459" s="28" t="s">
        <v>1857</v>
      </c>
      <c r="B1459" s="27" t="s">
        <v>438</v>
      </c>
      <c r="C1459" s="27" t="s">
        <v>383</v>
      </c>
      <c r="D1459" s="25"/>
      <c r="E1459" s="25"/>
      <c r="F1459" s="25"/>
      <c r="G1459" s="25"/>
      <c r="H1459" s="25"/>
      <c r="I1459" s="25"/>
      <c r="J1459" s="27" t="s">
        <v>1780</v>
      </c>
      <c r="K1459" s="25" t="str">
        <f aca="false">IFERROR(__xludf.dummyfunction("SPLIT(J1459,"" "")"),"CIF")</f>
        <v>CIF</v>
      </c>
      <c r="L1459" s="28" t="str">
        <f aca="false">IFERROR(__xludf.dummyfunction("""COMPUTED_VALUE"""),"Poland")</f>
        <v>Poland</v>
      </c>
      <c r="M1459" s="27" t="str">
        <f aca="false">IFERROR(__xludf.dummyfunction("""COMPUTED_VALUE"""),"(Diff)")</f>
        <v>(Diff)</v>
      </c>
      <c r="N1459" s="25"/>
      <c r="O1459" s="25"/>
      <c r="P1459" s="25"/>
      <c r="Q1459" s="29" t="s">
        <v>395</v>
      </c>
      <c r="R1459" s="8" t="str">
        <f aca="false">B1459&amp;" "&amp;C1459&amp;" "&amp;D1459&amp;" "&amp;E1459&amp;" "&amp;G1459&amp;" "&amp;H1459&amp;" "&amp;J1459&amp;" "&amp;N1459</f>
        <v>Differentials Precursor     CIF Poland (Diff) </v>
      </c>
      <c r="S1459" s="25"/>
      <c r="T1459" s="8"/>
      <c r="U1459" s="8"/>
      <c r="V1459" s="25"/>
      <c r="W1459" s="25"/>
      <c r="X1459" s="25"/>
      <c r="Y1459" s="25"/>
      <c r="Z1459" s="25"/>
      <c r="AA1459" s="25"/>
      <c r="AB1459" s="25"/>
      <c r="AC1459" s="25"/>
      <c r="AD1459" s="25"/>
    </row>
    <row r="1460" customFormat="false" ht="15.75" hidden="false" customHeight="false" outlineLevel="0" collapsed="false">
      <c r="A1460" s="28" t="s">
        <v>1858</v>
      </c>
      <c r="B1460" s="27" t="s">
        <v>438</v>
      </c>
      <c r="C1460" s="27" t="s">
        <v>383</v>
      </c>
      <c r="D1460" s="25"/>
      <c r="E1460" s="25"/>
      <c r="F1460" s="25"/>
      <c r="G1460" s="25"/>
      <c r="H1460" s="25"/>
      <c r="I1460" s="25"/>
      <c r="J1460" s="27" t="s">
        <v>1780</v>
      </c>
      <c r="K1460" s="25" t="str">
        <f aca="false">IFERROR(__xludf.dummyfunction("SPLIT(J1460,"" "")"),"CIF")</f>
        <v>CIF</v>
      </c>
      <c r="L1460" s="28" t="str">
        <f aca="false">IFERROR(__xludf.dummyfunction("""COMPUTED_VALUE"""),"Poland")</f>
        <v>Poland</v>
      </c>
      <c r="M1460" s="27" t="str">
        <f aca="false">IFERROR(__xludf.dummyfunction("""COMPUTED_VALUE"""),"(Diff)")</f>
        <v>(Diff)</v>
      </c>
      <c r="N1460" s="25"/>
      <c r="O1460" s="25"/>
      <c r="P1460" s="25"/>
      <c r="Q1460" s="29" t="s">
        <v>393</v>
      </c>
      <c r="R1460" s="8" t="str">
        <f aca="false">B1460&amp;" "&amp;C1460&amp;" "&amp;D1460&amp;" "&amp;E1460&amp;" "&amp;G1460&amp;" "&amp;H1460&amp;" "&amp;J1460&amp;" "&amp;N1460</f>
        <v>Differentials Precursor     CIF Poland (Diff) </v>
      </c>
      <c r="S1460" s="25"/>
      <c r="T1460" s="8"/>
      <c r="U1460" s="8"/>
      <c r="V1460" s="25"/>
      <c r="W1460" s="25"/>
      <c r="X1460" s="25"/>
      <c r="Y1460" s="25"/>
      <c r="Z1460" s="25"/>
      <c r="AA1460" s="25"/>
      <c r="AB1460" s="25"/>
      <c r="AC1460" s="25"/>
      <c r="AD1460" s="25"/>
    </row>
    <row r="1461" customFormat="false" ht="15.75" hidden="false" customHeight="false" outlineLevel="0" collapsed="false">
      <c r="A1461" s="28" t="s">
        <v>1859</v>
      </c>
      <c r="B1461" s="27" t="s">
        <v>438</v>
      </c>
      <c r="C1461" s="27" t="s">
        <v>383</v>
      </c>
      <c r="D1461" s="25"/>
      <c r="E1461" s="25"/>
      <c r="F1461" s="25"/>
      <c r="G1461" s="25"/>
      <c r="H1461" s="25"/>
      <c r="I1461" s="25"/>
      <c r="J1461" s="27" t="s">
        <v>1780</v>
      </c>
      <c r="K1461" s="25" t="str">
        <f aca="false">IFERROR(__xludf.dummyfunction("SPLIT(J1461,"" "")"),"CIF")</f>
        <v>CIF</v>
      </c>
      <c r="L1461" s="28" t="str">
        <f aca="false">IFERROR(__xludf.dummyfunction("""COMPUTED_VALUE"""),"Poland")</f>
        <v>Poland</v>
      </c>
      <c r="M1461" s="27" t="str">
        <f aca="false">IFERROR(__xludf.dummyfunction("""COMPUTED_VALUE"""),"(Diff)")</f>
        <v>(Diff)</v>
      </c>
      <c r="N1461" s="25"/>
      <c r="O1461" s="25"/>
      <c r="P1461" s="25"/>
      <c r="Q1461" s="29" t="s">
        <v>391</v>
      </c>
      <c r="R1461" s="8" t="str">
        <f aca="false">B1461&amp;" "&amp;C1461&amp;" "&amp;D1461&amp;" "&amp;E1461&amp;" "&amp;G1461&amp;" "&amp;H1461&amp;" "&amp;J1461&amp;" "&amp;N1461</f>
        <v>Differentials Precursor     CIF Poland (Diff) </v>
      </c>
      <c r="S1461" s="25"/>
      <c r="T1461" s="8"/>
      <c r="U1461" s="8"/>
      <c r="V1461" s="25"/>
      <c r="W1461" s="25"/>
      <c r="X1461" s="25"/>
      <c r="Y1461" s="25"/>
      <c r="Z1461" s="25"/>
      <c r="AA1461" s="25"/>
      <c r="AB1461" s="25"/>
      <c r="AC1461" s="25"/>
      <c r="AD1461" s="25"/>
    </row>
    <row r="1462" customFormat="false" ht="15.75" hidden="false" customHeight="false" outlineLevel="0" collapsed="false">
      <c r="A1462" s="28" t="s">
        <v>1860</v>
      </c>
      <c r="B1462" s="27" t="s">
        <v>438</v>
      </c>
      <c r="C1462" s="27" t="s">
        <v>383</v>
      </c>
      <c r="D1462" s="25"/>
      <c r="E1462" s="25"/>
      <c r="F1462" s="25"/>
      <c r="G1462" s="25"/>
      <c r="H1462" s="25"/>
      <c r="I1462" s="25"/>
      <c r="J1462" s="27" t="s">
        <v>1780</v>
      </c>
      <c r="K1462" s="25" t="str">
        <f aca="false">IFERROR(__xludf.dummyfunction("SPLIT(J1462,"" "")"),"CIF")</f>
        <v>CIF</v>
      </c>
      <c r="L1462" s="28" t="str">
        <f aca="false">IFERROR(__xludf.dummyfunction("""COMPUTED_VALUE"""),"Poland")</f>
        <v>Poland</v>
      </c>
      <c r="M1462" s="27" t="str">
        <f aca="false">IFERROR(__xludf.dummyfunction("""COMPUTED_VALUE"""),"(Diff)")</f>
        <v>(Diff)</v>
      </c>
      <c r="N1462" s="25"/>
      <c r="O1462" s="25"/>
      <c r="P1462" s="25"/>
      <c r="Q1462" s="29" t="s">
        <v>389</v>
      </c>
      <c r="R1462" s="8" t="str">
        <f aca="false">B1462&amp;" "&amp;C1462&amp;" "&amp;D1462&amp;" "&amp;E1462&amp;" "&amp;G1462&amp;" "&amp;H1462&amp;" "&amp;J1462&amp;" "&amp;N1462</f>
        <v>Differentials Precursor     CIF Poland (Diff) </v>
      </c>
      <c r="S1462" s="25"/>
      <c r="T1462" s="8"/>
      <c r="U1462" s="8"/>
      <c r="V1462" s="25"/>
      <c r="W1462" s="25"/>
      <c r="X1462" s="25"/>
      <c r="Y1462" s="25"/>
      <c r="Z1462" s="25"/>
      <c r="AA1462" s="25"/>
      <c r="AB1462" s="25"/>
      <c r="AC1462" s="25"/>
      <c r="AD1462" s="25"/>
    </row>
    <row r="1463" customFormat="false" ht="15.75" hidden="false" customHeight="false" outlineLevel="0" collapsed="false">
      <c r="A1463" s="28" t="s">
        <v>1861</v>
      </c>
      <c r="B1463" s="27" t="s">
        <v>438</v>
      </c>
      <c r="C1463" s="27" t="s">
        <v>383</v>
      </c>
      <c r="D1463" s="25"/>
      <c r="E1463" s="25"/>
      <c r="F1463" s="25"/>
      <c r="G1463" s="25"/>
      <c r="H1463" s="25"/>
      <c r="I1463" s="25"/>
      <c r="J1463" s="27" t="s">
        <v>1780</v>
      </c>
      <c r="K1463" s="25" t="str">
        <f aca="false">IFERROR(__xludf.dummyfunction("SPLIT(J1463,"" "")"),"CIF")</f>
        <v>CIF</v>
      </c>
      <c r="L1463" s="28" t="str">
        <f aca="false">IFERROR(__xludf.dummyfunction("""COMPUTED_VALUE"""),"Poland")</f>
        <v>Poland</v>
      </c>
      <c r="M1463" s="27" t="str">
        <f aca="false">IFERROR(__xludf.dummyfunction("""COMPUTED_VALUE"""),"(Diff)")</f>
        <v>(Diff)</v>
      </c>
      <c r="N1463" s="25"/>
      <c r="O1463" s="25"/>
      <c r="P1463" s="25"/>
      <c r="Q1463" s="29" t="s">
        <v>387</v>
      </c>
      <c r="R1463" s="8" t="str">
        <f aca="false">B1463&amp;" "&amp;C1463&amp;" "&amp;D1463&amp;" "&amp;E1463&amp;" "&amp;G1463&amp;" "&amp;H1463&amp;" "&amp;J1463&amp;" "&amp;N1463</f>
        <v>Differentials Precursor     CIF Poland (Diff) </v>
      </c>
      <c r="S1463" s="25"/>
      <c r="T1463" s="8"/>
      <c r="U1463" s="8"/>
      <c r="V1463" s="25"/>
      <c r="W1463" s="25"/>
      <c r="X1463" s="25"/>
      <c r="Y1463" s="25"/>
      <c r="Z1463" s="25"/>
      <c r="AA1463" s="25"/>
      <c r="AB1463" s="25"/>
      <c r="AC1463" s="25"/>
      <c r="AD1463" s="25"/>
    </row>
    <row r="1464" customFormat="false" ht="15.75" hidden="false" customHeight="false" outlineLevel="0" collapsed="false">
      <c r="A1464" s="28" t="s">
        <v>1862</v>
      </c>
      <c r="B1464" s="27" t="s">
        <v>438</v>
      </c>
      <c r="C1464" s="27" t="s">
        <v>383</v>
      </c>
      <c r="D1464" s="25"/>
      <c r="E1464" s="25"/>
      <c r="F1464" s="25"/>
      <c r="G1464" s="25"/>
      <c r="H1464" s="25"/>
      <c r="I1464" s="25"/>
      <c r="J1464" s="27" t="s">
        <v>1780</v>
      </c>
      <c r="K1464" s="25" t="str">
        <f aca="false">IFERROR(__xludf.dummyfunction("SPLIT(J1464,"" "")"),"CIF")</f>
        <v>CIF</v>
      </c>
      <c r="L1464" s="28" t="str">
        <f aca="false">IFERROR(__xludf.dummyfunction("""COMPUTED_VALUE"""),"Poland")</f>
        <v>Poland</v>
      </c>
      <c r="M1464" s="27" t="str">
        <f aca="false">IFERROR(__xludf.dummyfunction("""COMPUTED_VALUE"""),"(Diff)")</f>
        <v>(Diff)</v>
      </c>
      <c r="N1464" s="25"/>
      <c r="O1464" s="25"/>
      <c r="P1464" s="25"/>
      <c r="Q1464" s="29" t="s">
        <v>385</v>
      </c>
      <c r="R1464" s="8" t="str">
        <f aca="false">B1464&amp;" "&amp;C1464&amp;" "&amp;D1464&amp;" "&amp;E1464&amp;" "&amp;G1464&amp;" "&amp;H1464&amp;" "&amp;J1464&amp;" "&amp;N1464</f>
        <v>Differentials Precursor     CIF Poland (Diff) </v>
      </c>
      <c r="S1464" s="25"/>
      <c r="T1464" s="8"/>
      <c r="U1464" s="8"/>
      <c r="V1464" s="25"/>
      <c r="W1464" s="25"/>
      <c r="X1464" s="25"/>
      <c r="Y1464" s="25"/>
      <c r="Z1464" s="25"/>
      <c r="AA1464" s="25"/>
      <c r="AB1464" s="25"/>
      <c r="AC1464" s="25"/>
      <c r="AD1464" s="25"/>
    </row>
    <row r="1465" customFormat="false" ht="15.75" hidden="false" customHeight="false" outlineLevel="0" collapsed="false">
      <c r="A1465" s="28" t="s">
        <v>1863</v>
      </c>
      <c r="B1465" s="27" t="s">
        <v>438</v>
      </c>
      <c r="C1465" s="27" t="s">
        <v>417</v>
      </c>
      <c r="D1465" s="25"/>
      <c r="E1465" s="25"/>
      <c r="F1465" s="25"/>
      <c r="G1465" s="25"/>
      <c r="H1465" s="25"/>
      <c r="I1465" s="25"/>
      <c r="J1465" s="27" t="s">
        <v>1780</v>
      </c>
      <c r="K1465" s="25" t="str">
        <f aca="false">IFERROR(__xludf.dummyfunction("SPLIT(J1465,"" "")"),"CIF")</f>
        <v>CIF</v>
      </c>
      <c r="L1465" s="28" t="str">
        <f aca="false">IFERROR(__xludf.dummyfunction("""COMPUTED_VALUE"""),"Poland")</f>
        <v>Poland</v>
      </c>
      <c r="M1465" s="27" t="str">
        <f aca="false">IFERROR(__xludf.dummyfunction("""COMPUTED_VALUE"""),"(Diff)")</f>
        <v>(Diff)</v>
      </c>
      <c r="N1465" s="25"/>
      <c r="O1465" s="25"/>
      <c r="P1465" s="25"/>
      <c r="Q1465" s="29" t="s">
        <v>436</v>
      </c>
      <c r="R1465" s="8" t="str">
        <f aca="false">B1465&amp;" "&amp;C1465&amp;" "&amp;D1465&amp;" "&amp;E1465&amp;" "&amp;G1465&amp;" "&amp;H1465&amp;" "&amp;J1465&amp;" "&amp;N1465</f>
        <v>Differentials Solvent     CIF Poland (Diff) </v>
      </c>
      <c r="S1465" s="25"/>
      <c r="T1465" s="8"/>
      <c r="U1465" s="8"/>
      <c r="V1465" s="25"/>
      <c r="W1465" s="25"/>
      <c r="X1465" s="25"/>
      <c r="Y1465" s="25"/>
      <c r="Z1465" s="25"/>
      <c r="AA1465" s="25"/>
      <c r="AB1465" s="25"/>
      <c r="AC1465" s="25"/>
      <c r="AD1465" s="25"/>
    </row>
    <row r="1466" customFormat="false" ht="15.75" hidden="false" customHeight="false" outlineLevel="0" collapsed="false">
      <c r="A1466" s="28" t="s">
        <v>1864</v>
      </c>
      <c r="B1466" s="27" t="s">
        <v>438</v>
      </c>
      <c r="C1466" s="27" t="s">
        <v>417</v>
      </c>
      <c r="D1466" s="25"/>
      <c r="E1466" s="25"/>
      <c r="F1466" s="25"/>
      <c r="G1466" s="25"/>
      <c r="H1466" s="25"/>
      <c r="I1466" s="25"/>
      <c r="J1466" s="27" t="s">
        <v>1780</v>
      </c>
      <c r="K1466" s="25" t="str">
        <f aca="false">IFERROR(__xludf.dummyfunction("SPLIT(J1466,"" "")"),"CIF")</f>
        <v>CIF</v>
      </c>
      <c r="L1466" s="28" t="str">
        <f aca="false">IFERROR(__xludf.dummyfunction("""COMPUTED_VALUE"""),"Poland")</f>
        <v>Poland</v>
      </c>
      <c r="M1466" s="27" t="str">
        <f aca="false">IFERROR(__xludf.dummyfunction("""COMPUTED_VALUE"""),"(Diff)")</f>
        <v>(Diff)</v>
      </c>
      <c r="N1466" s="25"/>
      <c r="O1466" s="25"/>
      <c r="P1466" s="25"/>
      <c r="Q1466" s="29" t="s">
        <v>434</v>
      </c>
      <c r="R1466" s="8" t="str">
        <f aca="false">B1466&amp;" "&amp;C1466&amp;" "&amp;D1466&amp;" "&amp;E1466&amp;" "&amp;G1466&amp;" "&amp;H1466&amp;" "&amp;J1466&amp;" "&amp;N1466</f>
        <v>Differentials Solvent     CIF Poland (Diff) </v>
      </c>
      <c r="S1466" s="25"/>
      <c r="T1466" s="8"/>
      <c r="U1466" s="8"/>
      <c r="V1466" s="25"/>
      <c r="W1466" s="25"/>
      <c r="X1466" s="25"/>
      <c r="Y1466" s="25"/>
      <c r="Z1466" s="25"/>
      <c r="AA1466" s="25"/>
      <c r="AB1466" s="25"/>
      <c r="AC1466" s="25"/>
      <c r="AD1466" s="25"/>
    </row>
    <row r="1467" customFormat="false" ht="15.75" hidden="false" customHeight="false" outlineLevel="0" collapsed="false">
      <c r="A1467" s="28" t="s">
        <v>1865</v>
      </c>
      <c r="B1467" s="27" t="s">
        <v>438</v>
      </c>
      <c r="C1467" s="27" t="s">
        <v>417</v>
      </c>
      <c r="D1467" s="25"/>
      <c r="E1467" s="25"/>
      <c r="F1467" s="25"/>
      <c r="G1467" s="25"/>
      <c r="H1467" s="25"/>
      <c r="I1467" s="25"/>
      <c r="J1467" s="27" t="s">
        <v>1780</v>
      </c>
      <c r="K1467" s="25" t="str">
        <f aca="false">IFERROR(__xludf.dummyfunction("SPLIT(J1467,"" "")"),"CIF")</f>
        <v>CIF</v>
      </c>
      <c r="L1467" s="28" t="str">
        <f aca="false">IFERROR(__xludf.dummyfunction("""COMPUTED_VALUE"""),"Poland")</f>
        <v>Poland</v>
      </c>
      <c r="M1467" s="27" t="str">
        <f aca="false">IFERROR(__xludf.dummyfunction("""COMPUTED_VALUE"""),"(Diff)")</f>
        <v>(Diff)</v>
      </c>
      <c r="N1467" s="25"/>
      <c r="O1467" s="25"/>
      <c r="P1467" s="25"/>
      <c r="Q1467" s="29" t="s">
        <v>432</v>
      </c>
      <c r="R1467" s="8" t="str">
        <f aca="false">B1467&amp;" "&amp;C1467&amp;" "&amp;D1467&amp;" "&amp;E1467&amp;" "&amp;G1467&amp;" "&amp;H1467&amp;" "&amp;J1467&amp;" "&amp;N1467</f>
        <v>Differentials Solvent     CIF Poland (Diff) </v>
      </c>
      <c r="S1467" s="25"/>
      <c r="T1467" s="8"/>
      <c r="U1467" s="8"/>
      <c r="V1467" s="25"/>
      <c r="W1467" s="25"/>
      <c r="X1467" s="25"/>
      <c r="Y1467" s="25"/>
      <c r="Z1467" s="25"/>
      <c r="AA1467" s="25"/>
      <c r="AB1467" s="25"/>
      <c r="AC1467" s="25"/>
      <c r="AD1467" s="25"/>
    </row>
    <row r="1468" customFormat="false" ht="15.75" hidden="false" customHeight="false" outlineLevel="0" collapsed="false">
      <c r="A1468" s="28" t="s">
        <v>1866</v>
      </c>
      <c r="B1468" s="27" t="s">
        <v>438</v>
      </c>
      <c r="C1468" s="27" t="s">
        <v>417</v>
      </c>
      <c r="D1468" s="25"/>
      <c r="E1468" s="25"/>
      <c r="F1468" s="25"/>
      <c r="G1468" s="25"/>
      <c r="H1468" s="25"/>
      <c r="I1468" s="25"/>
      <c r="J1468" s="27" t="s">
        <v>1780</v>
      </c>
      <c r="K1468" s="25" t="str">
        <f aca="false">IFERROR(__xludf.dummyfunction("SPLIT(J1468,"" "")"),"CIF")</f>
        <v>CIF</v>
      </c>
      <c r="L1468" s="28" t="str">
        <f aca="false">IFERROR(__xludf.dummyfunction("""COMPUTED_VALUE"""),"Poland")</f>
        <v>Poland</v>
      </c>
      <c r="M1468" s="27" t="str">
        <f aca="false">IFERROR(__xludf.dummyfunction("""COMPUTED_VALUE"""),"(Diff)")</f>
        <v>(Diff)</v>
      </c>
      <c r="N1468" s="25"/>
      <c r="O1468" s="25"/>
      <c r="P1468" s="25"/>
      <c r="Q1468" s="29" t="s">
        <v>430</v>
      </c>
      <c r="R1468" s="8" t="str">
        <f aca="false">B1468&amp;" "&amp;C1468&amp;" "&amp;D1468&amp;" "&amp;E1468&amp;" "&amp;G1468&amp;" "&amp;H1468&amp;" "&amp;J1468&amp;" "&amp;N1468</f>
        <v>Differentials Solvent     CIF Poland (Diff) </v>
      </c>
      <c r="S1468" s="25"/>
      <c r="T1468" s="8"/>
      <c r="U1468" s="8"/>
      <c r="V1468" s="25"/>
      <c r="W1468" s="25"/>
      <c r="X1468" s="25"/>
      <c r="Y1468" s="25"/>
      <c r="Z1468" s="25"/>
      <c r="AA1468" s="25"/>
      <c r="AB1468" s="25"/>
      <c r="AC1468" s="25"/>
      <c r="AD1468" s="25"/>
    </row>
    <row r="1469" customFormat="false" ht="15.75" hidden="false" customHeight="false" outlineLevel="0" collapsed="false">
      <c r="A1469" s="28" t="s">
        <v>1867</v>
      </c>
      <c r="B1469" s="27" t="s">
        <v>438</v>
      </c>
      <c r="C1469" s="27" t="s">
        <v>417</v>
      </c>
      <c r="D1469" s="25"/>
      <c r="E1469" s="25"/>
      <c r="F1469" s="25"/>
      <c r="G1469" s="25"/>
      <c r="H1469" s="25"/>
      <c r="I1469" s="25"/>
      <c r="J1469" s="27" t="s">
        <v>1780</v>
      </c>
      <c r="K1469" s="25" t="str">
        <f aca="false">IFERROR(__xludf.dummyfunction("SPLIT(J1469,"" "")"),"CIF")</f>
        <v>CIF</v>
      </c>
      <c r="L1469" s="28" t="str">
        <f aca="false">IFERROR(__xludf.dummyfunction("""COMPUTED_VALUE"""),"Poland")</f>
        <v>Poland</v>
      </c>
      <c r="M1469" s="27" t="str">
        <f aca="false">IFERROR(__xludf.dummyfunction("""COMPUTED_VALUE"""),"(Diff)")</f>
        <v>(Diff)</v>
      </c>
      <c r="N1469" s="25"/>
      <c r="O1469" s="25"/>
      <c r="P1469" s="25"/>
      <c r="Q1469" s="29" t="s">
        <v>428</v>
      </c>
      <c r="R1469" s="8" t="str">
        <f aca="false">B1469&amp;" "&amp;C1469&amp;" "&amp;D1469&amp;" "&amp;E1469&amp;" "&amp;G1469&amp;" "&amp;H1469&amp;" "&amp;J1469&amp;" "&amp;N1469</f>
        <v>Differentials Solvent     CIF Poland (Diff) </v>
      </c>
      <c r="S1469" s="25"/>
      <c r="T1469" s="8"/>
      <c r="U1469" s="8"/>
      <c r="V1469" s="25"/>
      <c r="W1469" s="25"/>
      <c r="X1469" s="25"/>
      <c r="Y1469" s="25"/>
      <c r="Z1469" s="25"/>
      <c r="AA1469" s="25"/>
      <c r="AB1469" s="25"/>
      <c r="AC1469" s="25"/>
      <c r="AD1469" s="25"/>
    </row>
    <row r="1470" customFormat="false" ht="15.75" hidden="false" customHeight="false" outlineLevel="0" collapsed="false">
      <c r="A1470" s="28" t="s">
        <v>1868</v>
      </c>
      <c r="B1470" s="27" t="s">
        <v>438</v>
      </c>
      <c r="C1470" s="27" t="s">
        <v>417</v>
      </c>
      <c r="D1470" s="25"/>
      <c r="E1470" s="25"/>
      <c r="F1470" s="25"/>
      <c r="G1470" s="25"/>
      <c r="H1470" s="25"/>
      <c r="I1470" s="25"/>
      <c r="J1470" s="27" t="s">
        <v>1780</v>
      </c>
      <c r="K1470" s="25" t="str">
        <f aca="false">IFERROR(__xludf.dummyfunction("SPLIT(J1470,"" "")"),"CIF")</f>
        <v>CIF</v>
      </c>
      <c r="L1470" s="28" t="str">
        <f aca="false">IFERROR(__xludf.dummyfunction("""COMPUTED_VALUE"""),"Poland")</f>
        <v>Poland</v>
      </c>
      <c r="M1470" s="27" t="str">
        <f aca="false">IFERROR(__xludf.dummyfunction("""COMPUTED_VALUE"""),"(Diff)")</f>
        <v>(Diff)</v>
      </c>
      <c r="N1470" s="25"/>
      <c r="O1470" s="25"/>
      <c r="P1470" s="25"/>
      <c r="Q1470" s="29" t="s">
        <v>426</v>
      </c>
      <c r="R1470" s="8" t="str">
        <f aca="false">B1470&amp;" "&amp;C1470&amp;" "&amp;D1470&amp;" "&amp;E1470&amp;" "&amp;G1470&amp;" "&amp;H1470&amp;" "&amp;J1470&amp;" "&amp;N1470</f>
        <v>Differentials Solvent     CIF Poland (Diff) </v>
      </c>
      <c r="S1470" s="25"/>
      <c r="T1470" s="8"/>
      <c r="U1470" s="8"/>
      <c r="V1470" s="25"/>
      <c r="W1470" s="25"/>
      <c r="X1470" s="25"/>
      <c r="Y1470" s="25"/>
      <c r="Z1470" s="25"/>
      <c r="AA1470" s="25"/>
      <c r="AB1470" s="25"/>
      <c r="AC1470" s="25"/>
      <c r="AD1470" s="25"/>
    </row>
    <row r="1471" customFormat="false" ht="15.75" hidden="false" customHeight="false" outlineLevel="0" collapsed="false">
      <c r="A1471" s="28" t="s">
        <v>1869</v>
      </c>
      <c r="B1471" s="27" t="s">
        <v>438</v>
      </c>
      <c r="C1471" s="27" t="s">
        <v>417</v>
      </c>
      <c r="D1471" s="25"/>
      <c r="E1471" s="25"/>
      <c r="F1471" s="25"/>
      <c r="G1471" s="25"/>
      <c r="H1471" s="25"/>
      <c r="I1471" s="25"/>
      <c r="J1471" s="27" t="s">
        <v>1780</v>
      </c>
      <c r="K1471" s="25" t="str">
        <f aca="false">IFERROR(__xludf.dummyfunction("SPLIT(J1471,"" "")"),"CIF")</f>
        <v>CIF</v>
      </c>
      <c r="L1471" s="28" t="str">
        <f aca="false">IFERROR(__xludf.dummyfunction("""COMPUTED_VALUE"""),"Poland")</f>
        <v>Poland</v>
      </c>
      <c r="M1471" s="27" t="str">
        <f aca="false">IFERROR(__xludf.dummyfunction("""COMPUTED_VALUE"""),"(Diff)")</f>
        <v>(Diff)</v>
      </c>
      <c r="N1471" s="25"/>
      <c r="O1471" s="25"/>
      <c r="P1471" s="25"/>
      <c r="Q1471" s="29" t="s">
        <v>424</v>
      </c>
      <c r="R1471" s="8" t="str">
        <f aca="false">B1471&amp;" "&amp;C1471&amp;" "&amp;D1471&amp;" "&amp;E1471&amp;" "&amp;G1471&amp;" "&amp;H1471&amp;" "&amp;J1471&amp;" "&amp;N1471</f>
        <v>Differentials Solvent     CIF Poland (Diff) </v>
      </c>
      <c r="S1471" s="25"/>
      <c r="T1471" s="8"/>
      <c r="U1471" s="8"/>
      <c r="V1471" s="25"/>
      <c r="W1471" s="25"/>
      <c r="X1471" s="25"/>
      <c r="Y1471" s="25"/>
      <c r="Z1471" s="25"/>
      <c r="AA1471" s="25"/>
      <c r="AB1471" s="25"/>
      <c r="AC1471" s="25"/>
      <c r="AD1471" s="25"/>
    </row>
    <row r="1472" customFormat="false" ht="15.75" hidden="false" customHeight="false" outlineLevel="0" collapsed="false">
      <c r="A1472" s="28" t="s">
        <v>1870</v>
      </c>
      <c r="B1472" s="27" t="s">
        <v>438</v>
      </c>
      <c r="C1472" s="27" t="s">
        <v>417</v>
      </c>
      <c r="D1472" s="25"/>
      <c r="E1472" s="25"/>
      <c r="F1472" s="25"/>
      <c r="G1472" s="25"/>
      <c r="H1472" s="25"/>
      <c r="I1472" s="25"/>
      <c r="J1472" s="27" t="s">
        <v>1780</v>
      </c>
      <c r="K1472" s="25" t="str">
        <f aca="false">IFERROR(__xludf.dummyfunction("SPLIT(J1472,"" "")"),"CIF")</f>
        <v>CIF</v>
      </c>
      <c r="L1472" s="28" t="str">
        <f aca="false">IFERROR(__xludf.dummyfunction("""COMPUTED_VALUE"""),"Poland")</f>
        <v>Poland</v>
      </c>
      <c r="M1472" s="27" t="str">
        <f aca="false">IFERROR(__xludf.dummyfunction("""COMPUTED_VALUE"""),"(Diff)")</f>
        <v>(Diff)</v>
      </c>
      <c r="N1472" s="25"/>
      <c r="O1472" s="25"/>
      <c r="P1472" s="25"/>
      <c r="Q1472" s="29" t="s">
        <v>422</v>
      </c>
      <c r="R1472" s="8" t="str">
        <f aca="false">B1472&amp;" "&amp;C1472&amp;" "&amp;D1472&amp;" "&amp;E1472&amp;" "&amp;G1472&amp;" "&amp;H1472&amp;" "&amp;J1472&amp;" "&amp;N1472</f>
        <v>Differentials Solvent     CIF Poland (Diff) </v>
      </c>
      <c r="S1472" s="25"/>
      <c r="T1472" s="8"/>
      <c r="U1472" s="8"/>
      <c r="V1472" s="25"/>
      <c r="W1472" s="25"/>
      <c r="X1472" s="25"/>
      <c r="Y1472" s="25"/>
      <c r="Z1472" s="25"/>
      <c r="AA1472" s="25"/>
      <c r="AB1472" s="25"/>
      <c r="AC1472" s="25"/>
      <c r="AD1472" s="25"/>
    </row>
    <row r="1473" customFormat="false" ht="15.75" hidden="false" customHeight="false" outlineLevel="0" collapsed="false">
      <c r="A1473" s="28" t="s">
        <v>1871</v>
      </c>
      <c r="B1473" s="27" t="s">
        <v>438</v>
      </c>
      <c r="C1473" s="27" t="s">
        <v>417</v>
      </c>
      <c r="D1473" s="25"/>
      <c r="E1473" s="25"/>
      <c r="F1473" s="25"/>
      <c r="G1473" s="25"/>
      <c r="H1473" s="25"/>
      <c r="I1473" s="25"/>
      <c r="J1473" s="27" t="s">
        <v>1780</v>
      </c>
      <c r="K1473" s="25" t="str">
        <f aca="false">IFERROR(__xludf.dummyfunction("SPLIT(J1473,"" "")"),"CIF")</f>
        <v>CIF</v>
      </c>
      <c r="L1473" s="28" t="str">
        <f aca="false">IFERROR(__xludf.dummyfunction("""COMPUTED_VALUE"""),"Poland")</f>
        <v>Poland</v>
      </c>
      <c r="M1473" s="27" t="str">
        <f aca="false">IFERROR(__xludf.dummyfunction("""COMPUTED_VALUE"""),"(Diff)")</f>
        <v>(Diff)</v>
      </c>
      <c r="N1473" s="25"/>
      <c r="O1473" s="25"/>
      <c r="P1473" s="25"/>
      <c r="Q1473" s="29" t="s">
        <v>420</v>
      </c>
      <c r="R1473" s="8" t="str">
        <f aca="false">B1473&amp;" "&amp;C1473&amp;" "&amp;D1473&amp;" "&amp;E1473&amp;" "&amp;G1473&amp;" "&amp;H1473&amp;" "&amp;J1473&amp;" "&amp;N1473</f>
        <v>Differentials Solvent     CIF Poland (Diff) </v>
      </c>
      <c r="S1473" s="25"/>
      <c r="T1473" s="8"/>
      <c r="U1473" s="8"/>
      <c r="V1473" s="25"/>
      <c r="W1473" s="25"/>
      <c r="X1473" s="25"/>
      <c r="Y1473" s="25"/>
      <c r="Z1473" s="25"/>
      <c r="AA1473" s="25"/>
      <c r="AB1473" s="25"/>
      <c r="AC1473" s="25"/>
      <c r="AD1473" s="25"/>
    </row>
    <row r="1474" customFormat="false" ht="15.75" hidden="false" customHeight="false" outlineLevel="0" collapsed="false">
      <c r="A1474" s="28" t="s">
        <v>1872</v>
      </c>
      <c r="B1474" s="27" t="s">
        <v>438</v>
      </c>
      <c r="C1474" s="27" t="s">
        <v>417</v>
      </c>
      <c r="D1474" s="25"/>
      <c r="E1474" s="25"/>
      <c r="F1474" s="25"/>
      <c r="G1474" s="25"/>
      <c r="H1474" s="25"/>
      <c r="I1474" s="25"/>
      <c r="J1474" s="27" t="s">
        <v>1780</v>
      </c>
      <c r="K1474" s="25" t="str">
        <f aca="false">IFERROR(__xludf.dummyfunction("SPLIT(J1474,"" "")"),"CIF")</f>
        <v>CIF</v>
      </c>
      <c r="L1474" s="28" t="str">
        <f aca="false">IFERROR(__xludf.dummyfunction("""COMPUTED_VALUE"""),"Poland")</f>
        <v>Poland</v>
      </c>
      <c r="M1474" s="27" t="str">
        <f aca="false">IFERROR(__xludf.dummyfunction("""COMPUTED_VALUE"""),"(Diff)")</f>
        <v>(Diff)</v>
      </c>
      <c r="N1474" s="25"/>
      <c r="O1474" s="25"/>
      <c r="P1474" s="25"/>
      <c r="Q1474" s="29" t="s">
        <v>418</v>
      </c>
      <c r="R1474" s="8" t="str">
        <f aca="false">B1474&amp;" "&amp;C1474&amp;" "&amp;D1474&amp;" "&amp;E1474&amp;" "&amp;G1474&amp;" "&amp;H1474&amp;" "&amp;J1474&amp;" "&amp;N1474</f>
        <v>Differentials Solvent     CIF Poland (Diff) </v>
      </c>
      <c r="S1474" s="25"/>
      <c r="T1474" s="8"/>
      <c r="U1474" s="8"/>
      <c r="V1474" s="25"/>
      <c r="W1474" s="25"/>
      <c r="X1474" s="25"/>
      <c r="Y1474" s="25"/>
      <c r="Z1474" s="25"/>
      <c r="AA1474" s="25"/>
      <c r="AB1474" s="25"/>
      <c r="AC1474" s="25"/>
      <c r="AD1474" s="25"/>
    </row>
    <row r="1475" customFormat="false" ht="15.75" hidden="false" customHeight="false" outlineLevel="0" collapsed="false">
      <c r="A1475" s="28" t="s">
        <v>1873</v>
      </c>
      <c r="B1475" s="27" t="s">
        <v>438</v>
      </c>
      <c r="C1475" s="27" t="s">
        <v>177</v>
      </c>
      <c r="D1475" s="25"/>
      <c r="E1475" s="25"/>
      <c r="F1475" s="25"/>
      <c r="G1475" s="25"/>
      <c r="H1475" s="25"/>
      <c r="I1475" s="25"/>
      <c r="J1475" s="27" t="s">
        <v>1874</v>
      </c>
      <c r="K1475" s="25" t="str">
        <f aca="false">IFERROR(__xludf.dummyfunction("SPLIT(J1475,"" "")"),"CIF")</f>
        <v>CIF</v>
      </c>
      <c r="L1475" s="28" t="str">
        <f aca="false">IFERROR(__xludf.dummyfunction("""COMPUTED_VALUE"""),"Portugal")</f>
        <v>Portugal</v>
      </c>
      <c r="M1475" s="27" t="str">
        <f aca="false">IFERROR(__xludf.dummyfunction("""COMPUTED_VALUE"""),"(Diff)")</f>
        <v>(Diff)</v>
      </c>
      <c r="N1475" s="25"/>
      <c r="O1475" s="25"/>
      <c r="P1475" s="25"/>
      <c r="Q1475" s="29" t="s">
        <v>209</v>
      </c>
      <c r="R1475" s="8" t="str">
        <f aca="false">B1475&amp;" "&amp;C1475&amp;" "&amp;D1475&amp;" "&amp;E1475&amp;" "&amp;G1475&amp;" "&amp;H1475&amp;" "&amp;J1475&amp;" "&amp;N1475</f>
        <v>Differentials Anode     CIF Portugal (Diff) </v>
      </c>
      <c r="S1475" s="25"/>
      <c r="T1475" s="8"/>
      <c r="U1475" s="8"/>
      <c r="V1475" s="25"/>
      <c r="W1475" s="25"/>
      <c r="X1475" s="25"/>
      <c r="Y1475" s="25"/>
      <c r="Z1475" s="25"/>
      <c r="AA1475" s="25"/>
      <c r="AB1475" s="25"/>
      <c r="AC1475" s="25"/>
      <c r="AD1475" s="25"/>
    </row>
    <row r="1476" customFormat="false" ht="15.75" hidden="false" customHeight="false" outlineLevel="0" collapsed="false">
      <c r="A1476" s="28" t="s">
        <v>1875</v>
      </c>
      <c r="B1476" s="27" t="s">
        <v>438</v>
      </c>
      <c r="C1476" s="27" t="s">
        <v>177</v>
      </c>
      <c r="D1476" s="25"/>
      <c r="E1476" s="25"/>
      <c r="F1476" s="25"/>
      <c r="G1476" s="25"/>
      <c r="H1476" s="25"/>
      <c r="I1476" s="25"/>
      <c r="J1476" s="27" t="s">
        <v>1874</v>
      </c>
      <c r="K1476" s="25" t="str">
        <f aca="false">IFERROR(__xludf.dummyfunction("SPLIT(J1476,"" "")"),"CIF")</f>
        <v>CIF</v>
      </c>
      <c r="L1476" s="28" t="str">
        <f aca="false">IFERROR(__xludf.dummyfunction("""COMPUTED_VALUE"""),"Portugal")</f>
        <v>Portugal</v>
      </c>
      <c r="M1476" s="27" t="str">
        <f aca="false">IFERROR(__xludf.dummyfunction("""COMPUTED_VALUE"""),"(Diff)")</f>
        <v>(Diff)</v>
      </c>
      <c r="N1476" s="25"/>
      <c r="O1476" s="25"/>
      <c r="P1476" s="25"/>
      <c r="Q1476" s="29" t="s">
        <v>205</v>
      </c>
      <c r="R1476" s="8" t="str">
        <f aca="false">B1476&amp;" "&amp;C1476&amp;" "&amp;D1476&amp;" "&amp;E1476&amp;" "&amp;G1476&amp;" "&amp;H1476&amp;" "&amp;J1476&amp;" "&amp;N1476</f>
        <v>Differentials Anode     CIF Portugal (Diff) </v>
      </c>
      <c r="S1476" s="25"/>
      <c r="T1476" s="8"/>
      <c r="U1476" s="8"/>
      <c r="V1476" s="25"/>
      <c r="W1476" s="25"/>
      <c r="X1476" s="25"/>
      <c r="Y1476" s="25"/>
      <c r="Z1476" s="25"/>
      <c r="AA1476" s="25"/>
      <c r="AB1476" s="25"/>
      <c r="AC1476" s="25"/>
      <c r="AD1476" s="25"/>
    </row>
    <row r="1477" customFormat="false" ht="15.75" hidden="false" customHeight="false" outlineLevel="0" collapsed="false">
      <c r="A1477" s="28" t="s">
        <v>1876</v>
      </c>
      <c r="B1477" s="27" t="s">
        <v>438</v>
      </c>
      <c r="C1477" s="27" t="s">
        <v>177</v>
      </c>
      <c r="D1477" s="25"/>
      <c r="E1477" s="25"/>
      <c r="F1477" s="25"/>
      <c r="G1477" s="25"/>
      <c r="H1477" s="25"/>
      <c r="I1477" s="25"/>
      <c r="J1477" s="27" t="s">
        <v>1874</v>
      </c>
      <c r="K1477" s="25" t="str">
        <f aca="false">IFERROR(__xludf.dummyfunction("SPLIT(J1477,"" "")"),"CIF")</f>
        <v>CIF</v>
      </c>
      <c r="L1477" s="28" t="str">
        <f aca="false">IFERROR(__xludf.dummyfunction("""COMPUTED_VALUE"""),"Portugal")</f>
        <v>Portugal</v>
      </c>
      <c r="M1477" s="27" t="str">
        <f aca="false">IFERROR(__xludf.dummyfunction("""COMPUTED_VALUE"""),"(Diff)")</f>
        <v>(Diff)</v>
      </c>
      <c r="N1477" s="25"/>
      <c r="O1477" s="25"/>
      <c r="P1477" s="25"/>
      <c r="Q1477" s="29" t="s">
        <v>202</v>
      </c>
      <c r="R1477" s="8" t="str">
        <f aca="false">B1477&amp;" "&amp;C1477&amp;" "&amp;D1477&amp;" "&amp;E1477&amp;" "&amp;G1477&amp;" "&amp;H1477&amp;" "&amp;J1477&amp;" "&amp;N1477</f>
        <v>Differentials Anode     CIF Portugal (Diff) </v>
      </c>
      <c r="S1477" s="25"/>
      <c r="T1477" s="8"/>
      <c r="U1477" s="8"/>
      <c r="V1477" s="25"/>
      <c r="W1477" s="25"/>
      <c r="X1477" s="25"/>
      <c r="Y1477" s="25"/>
      <c r="Z1477" s="25"/>
      <c r="AA1477" s="25"/>
      <c r="AB1477" s="25"/>
      <c r="AC1477" s="25"/>
      <c r="AD1477" s="25"/>
    </row>
    <row r="1478" customFormat="false" ht="15.75" hidden="false" customHeight="false" outlineLevel="0" collapsed="false">
      <c r="A1478" s="28" t="s">
        <v>1877</v>
      </c>
      <c r="B1478" s="27" t="s">
        <v>438</v>
      </c>
      <c r="C1478" s="27" t="s">
        <v>177</v>
      </c>
      <c r="D1478" s="25"/>
      <c r="E1478" s="25"/>
      <c r="F1478" s="25"/>
      <c r="G1478" s="25"/>
      <c r="H1478" s="25"/>
      <c r="I1478" s="25"/>
      <c r="J1478" s="27" t="s">
        <v>1874</v>
      </c>
      <c r="K1478" s="25" t="str">
        <f aca="false">IFERROR(__xludf.dummyfunction("SPLIT(J1478,"" "")"),"CIF")</f>
        <v>CIF</v>
      </c>
      <c r="L1478" s="28" t="str">
        <f aca="false">IFERROR(__xludf.dummyfunction("""COMPUTED_VALUE"""),"Portugal")</f>
        <v>Portugal</v>
      </c>
      <c r="M1478" s="27" t="str">
        <f aca="false">IFERROR(__xludf.dummyfunction("""COMPUTED_VALUE"""),"(Diff)")</f>
        <v>(Diff)</v>
      </c>
      <c r="N1478" s="25"/>
      <c r="O1478" s="25"/>
      <c r="P1478" s="25"/>
      <c r="Q1478" s="29" t="s">
        <v>197</v>
      </c>
      <c r="R1478" s="8" t="str">
        <f aca="false">B1478&amp;" "&amp;C1478&amp;" "&amp;D1478&amp;" "&amp;E1478&amp;" "&amp;G1478&amp;" "&amp;H1478&amp;" "&amp;J1478&amp;" "&amp;N1478</f>
        <v>Differentials Anode     CIF Portugal (Diff) </v>
      </c>
      <c r="S1478" s="25"/>
      <c r="T1478" s="8"/>
      <c r="U1478" s="8"/>
      <c r="V1478" s="25"/>
      <c r="W1478" s="25"/>
      <c r="X1478" s="25"/>
      <c r="Y1478" s="25"/>
      <c r="Z1478" s="25"/>
      <c r="AA1478" s="25"/>
      <c r="AB1478" s="25"/>
      <c r="AC1478" s="25"/>
      <c r="AD1478" s="25"/>
    </row>
    <row r="1479" customFormat="false" ht="15.75" hidden="false" customHeight="false" outlineLevel="0" collapsed="false">
      <c r="A1479" s="28" t="s">
        <v>1878</v>
      </c>
      <c r="B1479" s="27" t="s">
        <v>438</v>
      </c>
      <c r="C1479" s="27" t="s">
        <v>177</v>
      </c>
      <c r="D1479" s="25"/>
      <c r="E1479" s="25"/>
      <c r="F1479" s="25"/>
      <c r="G1479" s="25"/>
      <c r="H1479" s="25"/>
      <c r="I1479" s="25"/>
      <c r="J1479" s="27" t="s">
        <v>1874</v>
      </c>
      <c r="K1479" s="25" t="str">
        <f aca="false">IFERROR(__xludf.dummyfunction("SPLIT(J1479,"" "")"),"CIF")</f>
        <v>CIF</v>
      </c>
      <c r="L1479" s="28" t="str">
        <f aca="false">IFERROR(__xludf.dummyfunction("""COMPUTED_VALUE"""),"Portugal")</f>
        <v>Portugal</v>
      </c>
      <c r="M1479" s="27" t="str">
        <f aca="false">IFERROR(__xludf.dummyfunction("""COMPUTED_VALUE"""),"(Diff)")</f>
        <v>(Diff)</v>
      </c>
      <c r="N1479" s="25"/>
      <c r="O1479" s="25"/>
      <c r="P1479" s="25"/>
      <c r="Q1479" s="29" t="s">
        <v>193</v>
      </c>
      <c r="R1479" s="8" t="str">
        <f aca="false">B1479&amp;" "&amp;C1479&amp;" "&amp;D1479&amp;" "&amp;E1479&amp;" "&amp;G1479&amp;" "&amp;H1479&amp;" "&amp;J1479&amp;" "&amp;N1479</f>
        <v>Differentials Anode     CIF Portugal (Diff) </v>
      </c>
      <c r="S1479" s="25"/>
      <c r="T1479" s="8"/>
      <c r="U1479" s="8"/>
      <c r="V1479" s="25"/>
      <c r="W1479" s="25"/>
      <c r="X1479" s="25"/>
      <c r="Y1479" s="25"/>
      <c r="Z1479" s="25"/>
      <c r="AA1479" s="25"/>
      <c r="AB1479" s="25"/>
      <c r="AC1479" s="25"/>
      <c r="AD1479" s="25"/>
    </row>
    <row r="1480" customFormat="false" ht="15.75" hidden="false" customHeight="false" outlineLevel="0" collapsed="false">
      <c r="A1480" s="28" t="s">
        <v>1879</v>
      </c>
      <c r="B1480" s="27" t="s">
        <v>438</v>
      </c>
      <c r="C1480" s="27" t="s">
        <v>177</v>
      </c>
      <c r="D1480" s="25"/>
      <c r="E1480" s="25"/>
      <c r="F1480" s="25"/>
      <c r="G1480" s="25"/>
      <c r="H1480" s="25"/>
      <c r="I1480" s="25"/>
      <c r="J1480" s="27" t="s">
        <v>1874</v>
      </c>
      <c r="K1480" s="25" t="str">
        <f aca="false">IFERROR(__xludf.dummyfunction("SPLIT(J1480,"" "")"),"CIF")</f>
        <v>CIF</v>
      </c>
      <c r="L1480" s="28" t="str">
        <f aca="false">IFERROR(__xludf.dummyfunction("""COMPUTED_VALUE"""),"Portugal")</f>
        <v>Portugal</v>
      </c>
      <c r="M1480" s="27" t="str">
        <f aca="false">IFERROR(__xludf.dummyfunction("""COMPUTED_VALUE"""),"(Diff)")</f>
        <v>(Diff)</v>
      </c>
      <c r="N1480" s="25"/>
      <c r="O1480" s="25"/>
      <c r="P1480" s="25"/>
      <c r="Q1480" s="29" t="s">
        <v>188</v>
      </c>
      <c r="R1480" s="8" t="str">
        <f aca="false">B1480&amp;" "&amp;C1480&amp;" "&amp;D1480&amp;" "&amp;E1480&amp;" "&amp;G1480&amp;" "&amp;H1480&amp;" "&amp;J1480&amp;" "&amp;N1480</f>
        <v>Differentials Anode     CIF Portugal (Diff) </v>
      </c>
      <c r="S1480" s="25"/>
      <c r="T1480" s="8"/>
      <c r="U1480" s="8"/>
      <c r="V1480" s="25"/>
      <c r="W1480" s="25"/>
      <c r="X1480" s="25"/>
      <c r="Y1480" s="25"/>
      <c r="Z1480" s="25"/>
      <c r="AA1480" s="25"/>
      <c r="AB1480" s="25"/>
      <c r="AC1480" s="25"/>
      <c r="AD1480" s="25"/>
    </row>
    <row r="1481" customFormat="false" ht="15.75" hidden="false" customHeight="false" outlineLevel="0" collapsed="false">
      <c r="A1481" s="28" t="s">
        <v>1880</v>
      </c>
      <c r="B1481" s="27" t="s">
        <v>438</v>
      </c>
      <c r="C1481" s="27" t="s">
        <v>177</v>
      </c>
      <c r="D1481" s="25"/>
      <c r="E1481" s="25"/>
      <c r="F1481" s="25"/>
      <c r="G1481" s="25"/>
      <c r="H1481" s="25"/>
      <c r="I1481" s="25"/>
      <c r="J1481" s="27" t="s">
        <v>1874</v>
      </c>
      <c r="K1481" s="25" t="str">
        <f aca="false">IFERROR(__xludf.dummyfunction("SPLIT(J1481,"" "")"),"CIF")</f>
        <v>CIF</v>
      </c>
      <c r="L1481" s="28" t="str">
        <f aca="false">IFERROR(__xludf.dummyfunction("""COMPUTED_VALUE"""),"Portugal")</f>
        <v>Portugal</v>
      </c>
      <c r="M1481" s="27" t="str">
        <f aca="false">IFERROR(__xludf.dummyfunction("""COMPUTED_VALUE"""),"(Diff)")</f>
        <v>(Diff)</v>
      </c>
      <c r="N1481" s="25"/>
      <c r="O1481" s="25"/>
      <c r="P1481" s="25"/>
      <c r="Q1481" s="29" t="s">
        <v>180</v>
      </c>
      <c r="R1481" s="8" t="str">
        <f aca="false">B1481&amp;" "&amp;C1481&amp;" "&amp;D1481&amp;" "&amp;E1481&amp;" "&amp;G1481&amp;" "&amp;H1481&amp;" "&amp;J1481&amp;" "&amp;N1481</f>
        <v>Differentials Anode     CIF Portugal (Diff) </v>
      </c>
      <c r="S1481" s="25"/>
      <c r="T1481" s="8"/>
      <c r="U1481" s="8"/>
      <c r="V1481" s="25"/>
      <c r="W1481" s="25"/>
      <c r="X1481" s="25"/>
      <c r="Y1481" s="25"/>
      <c r="Z1481" s="25"/>
      <c r="AA1481" s="25"/>
      <c r="AB1481" s="25"/>
      <c r="AC1481" s="25"/>
      <c r="AD1481" s="25"/>
    </row>
    <row r="1482" customFormat="false" ht="15.75" hidden="false" customHeight="false" outlineLevel="0" collapsed="false">
      <c r="A1482" s="28" t="s">
        <v>1881</v>
      </c>
      <c r="B1482" s="27" t="s">
        <v>438</v>
      </c>
      <c r="C1482" s="27" t="s">
        <v>211</v>
      </c>
      <c r="D1482" s="25"/>
      <c r="E1482" s="25"/>
      <c r="F1482" s="25"/>
      <c r="G1482" s="25"/>
      <c r="H1482" s="25"/>
      <c r="I1482" s="25"/>
      <c r="J1482" s="27" t="s">
        <v>1874</v>
      </c>
      <c r="K1482" s="25" t="str">
        <f aca="false">IFERROR(__xludf.dummyfunction("SPLIT(J1482,"" "")"),"CIF")</f>
        <v>CIF</v>
      </c>
      <c r="L1482" s="28" t="str">
        <f aca="false">IFERROR(__xludf.dummyfunction("""COMPUTED_VALUE"""),"Portugal")</f>
        <v>Portugal</v>
      </c>
      <c r="M1482" s="27" t="str">
        <f aca="false">IFERROR(__xludf.dummyfunction("""COMPUTED_VALUE"""),"(Diff)")</f>
        <v>(Diff)</v>
      </c>
      <c r="N1482" s="25"/>
      <c r="O1482" s="25"/>
      <c r="P1482" s="25"/>
      <c r="Q1482" s="29" t="s">
        <v>234</v>
      </c>
      <c r="R1482" s="8" t="str">
        <f aca="false">B1482&amp;" "&amp;C1482&amp;" "&amp;D1482&amp;" "&amp;E1482&amp;" "&amp;G1482&amp;" "&amp;H1482&amp;" "&amp;J1482&amp;" "&amp;N1482</f>
        <v>Differentials Binders &amp; Additives     CIF Portugal (Diff) </v>
      </c>
      <c r="S1482" s="25"/>
      <c r="T1482" s="8"/>
      <c r="U1482" s="8"/>
      <c r="V1482" s="25"/>
      <c r="W1482" s="25"/>
      <c r="X1482" s="25"/>
      <c r="Y1482" s="25"/>
      <c r="Z1482" s="25"/>
      <c r="AA1482" s="25"/>
      <c r="AB1482" s="25"/>
      <c r="AC1482" s="25"/>
      <c r="AD1482" s="25"/>
    </row>
    <row r="1483" customFormat="false" ht="15.75" hidden="false" customHeight="false" outlineLevel="0" collapsed="false">
      <c r="A1483" s="28" t="s">
        <v>1882</v>
      </c>
      <c r="B1483" s="27" t="s">
        <v>438</v>
      </c>
      <c r="C1483" s="27" t="s">
        <v>211</v>
      </c>
      <c r="D1483" s="25"/>
      <c r="E1483" s="25"/>
      <c r="F1483" s="25"/>
      <c r="G1483" s="25"/>
      <c r="H1483" s="25"/>
      <c r="I1483" s="25"/>
      <c r="J1483" s="27" t="s">
        <v>1874</v>
      </c>
      <c r="K1483" s="25" t="str">
        <f aca="false">IFERROR(__xludf.dummyfunction("SPLIT(J1483,"" "")"),"CIF")</f>
        <v>CIF</v>
      </c>
      <c r="L1483" s="28" t="str">
        <f aca="false">IFERROR(__xludf.dummyfunction("""COMPUTED_VALUE"""),"Portugal")</f>
        <v>Portugal</v>
      </c>
      <c r="M1483" s="27" t="str">
        <f aca="false">IFERROR(__xludf.dummyfunction("""COMPUTED_VALUE"""),"(Diff)")</f>
        <v>(Diff)</v>
      </c>
      <c r="N1483" s="25"/>
      <c r="O1483" s="25"/>
      <c r="P1483" s="25"/>
      <c r="Q1483" s="29" t="s">
        <v>232</v>
      </c>
      <c r="R1483" s="8" t="str">
        <f aca="false">B1483&amp;" "&amp;C1483&amp;" "&amp;D1483&amp;" "&amp;E1483&amp;" "&amp;G1483&amp;" "&amp;H1483&amp;" "&amp;J1483&amp;" "&amp;N1483</f>
        <v>Differentials Binders &amp; Additives     CIF Portugal (Diff) </v>
      </c>
      <c r="S1483" s="25"/>
      <c r="T1483" s="8"/>
      <c r="U1483" s="8"/>
      <c r="V1483" s="25"/>
      <c r="W1483" s="25"/>
      <c r="X1483" s="25"/>
      <c r="Y1483" s="25"/>
      <c r="Z1483" s="25"/>
      <c r="AA1483" s="25"/>
      <c r="AB1483" s="25"/>
      <c r="AC1483" s="25"/>
      <c r="AD1483" s="25"/>
    </row>
    <row r="1484" customFormat="false" ht="15.75" hidden="false" customHeight="false" outlineLevel="0" collapsed="false">
      <c r="A1484" s="28" t="s">
        <v>1883</v>
      </c>
      <c r="B1484" s="27" t="s">
        <v>438</v>
      </c>
      <c r="C1484" s="27" t="s">
        <v>211</v>
      </c>
      <c r="D1484" s="25"/>
      <c r="E1484" s="25"/>
      <c r="F1484" s="25"/>
      <c r="G1484" s="25"/>
      <c r="H1484" s="25"/>
      <c r="I1484" s="25"/>
      <c r="J1484" s="27" t="s">
        <v>1874</v>
      </c>
      <c r="K1484" s="25" t="str">
        <f aca="false">IFERROR(__xludf.dummyfunction("SPLIT(J1484,"" "")"),"CIF")</f>
        <v>CIF</v>
      </c>
      <c r="L1484" s="28" t="str">
        <f aca="false">IFERROR(__xludf.dummyfunction("""COMPUTED_VALUE"""),"Portugal")</f>
        <v>Portugal</v>
      </c>
      <c r="M1484" s="27" t="str">
        <f aca="false">IFERROR(__xludf.dummyfunction("""COMPUTED_VALUE"""),"(Diff)")</f>
        <v>(Diff)</v>
      </c>
      <c r="N1484" s="25"/>
      <c r="O1484" s="25"/>
      <c r="P1484" s="25"/>
      <c r="Q1484" s="29" t="s">
        <v>230</v>
      </c>
      <c r="R1484" s="8" t="str">
        <f aca="false">B1484&amp;" "&amp;C1484&amp;" "&amp;D1484&amp;" "&amp;E1484&amp;" "&amp;G1484&amp;" "&amp;H1484&amp;" "&amp;J1484&amp;" "&amp;N1484</f>
        <v>Differentials Binders &amp; Additives     CIF Portugal (Diff) </v>
      </c>
      <c r="S1484" s="25"/>
      <c r="T1484" s="8"/>
      <c r="U1484" s="8"/>
      <c r="V1484" s="25"/>
      <c r="W1484" s="25"/>
      <c r="X1484" s="25"/>
      <c r="Y1484" s="25"/>
      <c r="Z1484" s="25"/>
      <c r="AA1484" s="25"/>
      <c r="AB1484" s="25"/>
      <c r="AC1484" s="25"/>
      <c r="AD1484" s="25"/>
    </row>
    <row r="1485" customFormat="false" ht="15.75" hidden="false" customHeight="false" outlineLevel="0" collapsed="false">
      <c r="A1485" s="28" t="s">
        <v>1884</v>
      </c>
      <c r="B1485" s="27" t="s">
        <v>438</v>
      </c>
      <c r="C1485" s="27" t="s">
        <v>211</v>
      </c>
      <c r="D1485" s="25"/>
      <c r="E1485" s="25"/>
      <c r="F1485" s="25"/>
      <c r="G1485" s="25"/>
      <c r="H1485" s="25"/>
      <c r="I1485" s="25"/>
      <c r="J1485" s="27" t="s">
        <v>1874</v>
      </c>
      <c r="K1485" s="25" t="str">
        <f aca="false">IFERROR(__xludf.dummyfunction("SPLIT(J1485,"" "")"),"CIF")</f>
        <v>CIF</v>
      </c>
      <c r="L1485" s="28" t="str">
        <f aca="false">IFERROR(__xludf.dummyfunction("""COMPUTED_VALUE"""),"Portugal")</f>
        <v>Portugal</v>
      </c>
      <c r="M1485" s="27" t="str">
        <f aca="false">IFERROR(__xludf.dummyfunction("""COMPUTED_VALUE"""),"(Diff)")</f>
        <v>(Diff)</v>
      </c>
      <c r="N1485" s="25"/>
      <c r="O1485" s="25"/>
      <c r="P1485" s="25"/>
      <c r="Q1485" s="29" t="s">
        <v>228</v>
      </c>
      <c r="R1485" s="8" t="str">
        <f aca="false">B1485&amp;" "&amp;C1485&amp;" "&amp;D1485&amp;" "&amp;E1485&amp;" "&amp;G1485&amp;" "&amp;H1485&amp;" "&amp;J1485&amp;" "&amp;N1485</f>
        <v>Differentials Binders &amp; Additives     CIF Portugal (Diff) </v>
      </c>
      <c r="S1485" s="25"/>
      <c r="T1485" s="8"/>
      <c r="U1485" s="8"/>
      <c r="V1485" s="25"/>
      <c r="W1485" s="25"/>
      <c r="X1485" s="25"/>
      <c r="Y1485" s="25"/>
      <c r="Z1485" s="25"/>
      <c r="AA1485" s="25"/>
      <c r="AB1485" s="25"/>
      <c r="AC1485" s="25"/>
      <c r="AD1485" s="25"/>
    </row>
    <row r="1486" customFormat="false" ht="15.75" hidden="false" customHeight="false" outlineLevel="0" collapsed="false">
      <c r="A1486" s="28" t="s">
        <v>1885</v>
      </c>
      <c r="B1486" s="27" t="s">
        <v>438</v>
      </c>
      <c r="C1486" s="27" t="s">
        <v>211</v>
      </c>
      <c r="D1486" s="25"/>
      <c r="E1486" s="25"/>
      <c r="F1486" s="25"/>
      <c r="G1486" s="25"/>
      <c r="H1486" s="25"/>
      <c r="I1486" s="25"/>
      <c r="J1486" s="27" t="s">
        <v>1874</v>
      </c>
      <c r="K1486" s="25" t="str">
        <f aca="false">IFERROR(__xludf.dummyfunction("SPLIT(J1486,"" "")"),"CIF")</f>
        <v>CIF</v>
      </c>
      <c r="L1486" s="28" t="str">
        <f aca="false">IFERROR(__xludf.dummyfunction("""COMPUTED_VALUE"""),"Portugal")</f>
        <v>Portugal</v>
      </c>
      <c r="M1486" s="27" t="str">
        <f aca="false">IFERROR(__xludf.dummyfunction("""COMPUTED_VALUE"""),"(Diff)")</f>
        <v>(Diff)</v>
      </c>
      <c r="N1486" s="25"/>
      <c r="O1486" s="25"/>
      <c r="P1486" s="25"/>
      <c r="Q1486" s="29" t="s">
        <v>226</v>
      </c>
      <c r="R1486" s="8" t="str">
        <f aca="false">B1486&amp;" "&amp;C1486&amp;" "&amp;D1486&amp;" "&amp;E1486&amp;" "&amp;G1486&amp;" "&amp;H1486&amp;" "&amp;J1486&amp;" "&amp;N1486</f>
        <v>Differentials Binders &amp; Additives     CIF Portugal (Diff) </v>
      </c>
      <c r="S1486" s="25"/>
      <c r="T1486" s="8"/>
      <c r="U1486" s="8"/>
      <c r="V1486" s="25"/>
      <c r="W1486" s="25"/>
      <c r="X1486" s="25"/>
      <c r="Y1486" s="25"/>
      <c r="Z1486" s="25"/>
      <c r="AA1486" s="25"/>
      <c r="AB1486" s="25"/>
      <c r="AC1486" s="25"/>
      <c r="AD1486" s="25"/>
    </row>
    <row r="1487" customFormat="false" ht="15.75" hidden="false" customHeight="false" outlineLevel="0" collapsed="false">
      <c r="A1487" s="28" t="s">
        <v>1886</v>
      </c>
      <c r="B1487" s="27" t="s">
        <v>438</v>
      </c>
      <c r="C1487" s="27" t="s">
        <v>211</v>
      </c>
      <c r="D1487" s="25"/>
      <c r="E1487" s="25"/>
      <c r="F1487" s="25"/>
      <c r="G1487" s="25"/>
      <c r="H1487" s="25"/>
      <c r="I1487" s="25"/>
      <c r="J1487" s="27" t="s">
        <v>1874</v>
      </c>
      <c r="K1487" s="25" t="str">
        <f aca="false">IFERROR(__xludf.dummyfunction("SPLIT(J1487,"" "")"),"CIF")</f>
        <v>CIF</v>
      </c>
      <c r="L1487" s="28" t="str">
        <f aca="false">IFERROR(__xludf.dummyfunction("""COMPUTED_VALUE"""),"Portugal")</f>
        <v>Portugal</v>
      </c>
      <c r="M1487" s="27" t="str">
        <f aca="false">IFERROR(__xludf.dummyfunction("""COMPUTED_VALUE"""),"(Diff)")</f>
        <v>(Diff)</v>
      </c>
      <c r="N1487" s="25"/>
      <c r="O1487" s="25"/>
      <c r="P1487" s="25"/>
      <c r="Q1487" s="29" t="s">
        <v>224</v>
      </c>
      <c r="R1487" s="8" t="str">
        <f aca="false">B1487&amp;" "&amp;C1487&amp;" "&amp;D1487&amp;" "&amp;E1487&amp;" "&amp;G1487&amp;" "&amp;H1487&amp;" "&amp;J1487&amp;" "&amp;N1487</f>
        <v>Differentials Binders &amp; Additives     CIF Portugal (Diff) </v>
      </c>
      <c r="S1487" s="25"/>
      <c r="T1487" s="8"/>
      <c r="U1487" s="8"/>
      <c r="V1487" s="25"/>
      <c r="W1487" s="25"/>
      <c r="X1487" s="25"/>
      <c r="Y1487" s="25"/>
      <c r="Z1487" s="25"/>
      <c r="AA1487" s="25"/>
      <c r="AB1487" s="25"/>
      <c r="AC1487" s="25"/>
      <c r="AD1487" s="25"/>
    </row>
    <row r="1488" customFormat="false" ht="15.75" hidden="false" customHeight="false" outlineLevel="0" collapsed="false">
      <c r="A1488" s="28" t="s">
        <v>1887</v>
      </c>
      <c r="B1488" s="27" t="s">
        <v>438</v>
      </c>
      <c r="C1488" s="27" t="s">
        <v>211</v>
      </c>
      <c r="D1488" s="25"/>
      <c r="E1488" s="25"/>
      <c r="F1488" s="25"/>
      <c r="G1488" s="25"/>
      <c r="H1488" s="25"/>
      <c r="I1488" s="25"/>
      <c r="J1488" s="27" t="s">
        <v>1874</v>
      </c>
      <c r="K1488" s="25" t="str">
        <f aca="false">IFERROR(__xludf.dummyfunction("SPLIT(J1488,"" "")"),"CIF")</f>
        <v>CIF</v>
      </c>
      <c r="L1488" s="28" t="str">
        <f aca="false">IFERROR(__xludf.dummyfunction("""COMPUTED_VALUE"""),"Portugal")</f>
        <v>Portugal</v>
      </c>
      <c r="M1488" s="27" t="str">
        <f aca="false">IFERROR(__xludf.dummyfunction("""COMPUTED_VALUE"""),"(Diff)")</f>
        <v>(Diff)</v>
      </c>
      <c r="N1488" s="25"/>
      <c r="O1488" s="25"/>
      <c r="P1488" s="25"/>
      <c r="Q1488" s="29" t="s">
        <v>222</v>
      </c>
      <c r="R1488" s="8" t="str">
        <f aca="false">B1488&amp;" "&amp;C1488&amp;" "&amp;D1488&amp;" "&amp;E1488&amp;" "&amp;G1488&amp;" "&amp;H1488&amp;" "&amp;J1488&amp;" "&amp;N1488</f>
        <v>Differentials Binders &amp; Additives     CIF Portugal (Diff) </v>
      </c>
      <c r="S1488" s="25"/>
      <c r="T1488" s="8"/>
      <c r="U1488" s="8"/>
      <c r="V1488" s="25"/>
      <c r="W1488" s="25"/>
      <c r="X1488" s="25"/>
      <c r="Y1488" s="25"/>
      <c r="Z1488" s="25"/>
      <c r="AA1488" s="25"/>
      <c r="AB1488" s="25"/>
      <c r="AC1488" s="25"/>
      <c r="AD1488" s="25"/>
    </row>
    <row r="1489" customFormat="false" ht="15.75" hidden="false" customHeight="false" outlineLevel="0" collapsed="false">
      <c r="A1489" s="28" t="s">
        <v>1888</v>
      </c>
      <c r="B1489" s="27" t="s">
        <v>438</v>
      </c>
      <c r="C1489" s="27" t="s">
        <v>211</v>
      </c>
      <c r="D1489" s="25"/>
      <c r="E1489" s="25"/>
      <c r="F1489" s="25"/>
      <c r="G1489" s="25"/>
      <c r="H1489" s="25"/>
      <c r="I1489" s="25"/>
      <c r="J1489" s="27" t="s">
        <v>1874</v>
      </c>
      <c r="K1489" s="25" t="str">
        <f aca="false">IFERROR(__xludf.dummyfunction("SPLIT(J1489,"" "")"),"CIF")</f>
        <v>CIF</v>
      </c>
      <c r="L1489" s="28" t="str">
        <f aca="false">IFERROR(__xludf.dummyfunction("""COMPUTED_VALUE"""),"Portugal")</f>
        <v>Portugal</v>
      </c>
      <c r="M1489" s="27" t="str">
        <f aca="false">IFERROR(__xludf.dummyfunction("""COMPUTED_VALUE"""),"(Diff)")</f>
        <v>(Diff)</v>
      </c>
      <c r="N1489" s="25"/>
      <c r="O1489" s="25"/>
      <c r="P1489" s="25"/>
      <c r="Q1489" s="29" t="s">
        <v>220</v>
      </c>
      <c r="R1489" s="8" t="str">
        <f aca="false">B1489&amp;" "&amp;C1489&amp;" "&amp;D1489&amp;" "&amp;E1489&amp;" "&amp;G1489&amp;" "&amp;H1489&amp;" "&amp;J1489&amp;" "&amp;N1489</f>
        <v>Differentials Binders &amp; Additives     CIF Portugal (Diff) </v>
      </c>
      <c r="S1489" s="25"/>
      <c r="T1489" s="8"/>
      <c r="U1489" s="8"/>
      <c r="V1489" s="25"/>
      <c r="W1489" s="25"/>
      <c r="X1489" s="25"/>
      <c r="Y1489" s="25"/>
      <c r="Z1489" s="25"/>
      <c r="AA1489" s="25"/>
      <c r="AB1489" s="25"/>
      <c r="AC1489" s="25"/>
      <c r="AD1489" s="25"/>
    </row>
    <row r="1490" customFormat="false" ht="15.75" hidden="false" customHeight="false" outlineLevel="0" collapsed="false">
      <c r="A1490" s="28" t="s">
        <v>1889</v>
      </c>
      <c r="B1490" s="27" t="s">
        <v>438</v>
      </c>
      <c r="C1490" s="27" t="s">
        <v>211</v>
      </c>
      <c r="D1490" s="25"/>
      <c r="E1490" s="25"/>
      <c r="F1490" s="25"/>
      <c r="G1490" s="25"/>
      <c r="H1490" s="25"/>
      <c r="I1490" s="25"/>
      <c r="J1490" s="27" t="s">
        <v>1874</v>
      </c>
      <c r="K1490" s="25" t="str">
        <f aca="false">IFERROR(__xludf.dummyfunction("SPLIT(J1490,"" "")"),"CIF")</f>
        <v>CIF</v>
      </c>
      <c r="L1490" s="28" t="str">
        <f aca="false">IFERROR(__xludf.dummyfunction("""COMPUTED_VALUE"""),"Portugal")</f>
        <v>Portugal</v>
      </c>
      <c r="M1490" s="27" t="str">
        <f aca="false">IFERROR(__xludf.dummyfunction("""COMPUTED_VALUE"""),"(Diff)")</f>
        <v>(Diff)</v>
      </c>
      <c r="N1490" s="25"/>
      <c r="O1490" s="25"/>
      <c r="P1490" s="25"/>
      <c r="Q1490" s="29" t="s">
        <v>218</v>
      </c>
      <c r="R1490" s="8" t="str">
        <f aca="false">B1490&amp;" "&amp;C1490&amp;" "&amp;D1490&amp;" "&amp;E1490&amp;" "&amp;G1490&amp;" "&amp;H1490&amp;" "&amp;J1490&amp;" "&amp;N1490</f>
        <v>Differentials Binders &amp; Additives     CIF Portugal (Diff) </v>
      </c>
      <c r="S1490" s="25"/>
      <c r="T1490" s="8"/>
      <c r="U1490" s="8"/>
      <c r="V1490" s="25"/>
      <c r="W1490" s="25"/>
      <c r="X1490" s="25"/>
      <c r="Y1490" s="25"/>
      <c r="Z1490" s="25"/>
      <c r="AA1490" s="25"/>
      <c r="AB1490" s="25"/>
      <c r="AC1490" s="25"/>
      <c r="AD1490" s="25"/>
    </row>
    <row r="1491" customFormat="false" ht="15.75" hidden="false" customHeight="false" outlineLevel="0" collapsed="false">
      <c r="A1491" s="28" t="s">
        <v>1890</v>
      </c>
      <c r="B1491" s="27" t="s">
        <v>438</v>
      </c>
      <c r="C1491" s="27" t="s">
        <v>211</v>
      </c>
      <c r="D1491" s="25"/>
      <c r="E1491" s="25"/>
      <c r="F1491" s="25"/>
      <c r="G1491" s="25"/>
      <c r="H1491" s="25"/>
      <c r="I1491" s="25"/>
      <c r="J1491" s="27" t="s">
        <v>1874</v>
      </c>
      <c r="K1491" s="25" t="str">
        <f aca="false">IFERROR(__xludf.dummyfunction("SPLIT(J1491,"" "")"),"CIF")</f>
        <v>CIF</v>
      </c>
      <c r="L1491" s="28" t="str">
        <f aca="false">IFERROR(__xludf.dummyfunction("""COMPUTED_VALUE"""),"Portugal")</f>
        <v>Portugal</v>
      </c>
      <c r="M1491" s="27" t="str">
        <f aca="false">IFERROR(__xludf.dummyfunction("""COMPUTED_VALUE"""),"(Diff)")</f>
        <v>(Diff)</v>
      </c>
      <c r="N1491" s="25"/>
      <c r="O1491" s="25"/>
      <c r="P1491" s="25"/>
      <c r="Q1491" s="29" t="s">
        <v>215</v>
      </c>
      <c r="R1491" s="8" t="str">
        <f aca="false">B1491&amp;" "&amp;C1491&amp;" "&amp;D1491&amp;" "&amp;E1491&amp;" "&amp;G1491&amp;" "&amp;H1491&amp;" "&amp;J1491&amp;" "&amp;N1491</f>
        <v>Differentials Binders &amp; Additives     CIF Portugal (Diff) </v>
      </c>
      <c r="S1491" s="25"/>
      <c r="T1491" s="8"/>
      <c r="U1491" s="8"/>
      <c r="V1491" s="25"/>
      <c r="W1491" s="25"/>
      <c r="X1491" s="25"/>
      <c r="Y1491" s="25"/>
      <c r="Z1491" s="25"/>
      <c r="AA1491" s="25"/>
      <c r="AB1491" s="25"/>
      <c r="AC1491" s="25"/>
      <c r="AD1491" s="25"/>
    </row>
    <row r="1492" customFormat="false" ht="15.75" hidden="false" customHeight="false" outlineLevel="0" collapsed="false">
      <c r="A1492" s="28" t="s">
        <v>1891</v>
      </c>
      <c r="B1492" s="27" t="s">
        <v>438</v>
      </c>
      <c r="C1492" s="27" t="s">
        <v>211</v>
      </c>
      <c r="D1492" s="25"/>
      <c r="E1492" s="25"/>
      <c r="F1492" s="25"/>
      <c r="G1492" s="25"/>
      <c r="H1492" s="25"/>
      <c r="I1492" s="25"/>
      <c r="J1492" s="27" t="s">
        <v>1874</v>
      </c>
      <c r="K1492" s="25" t="str">
        <f aca="false">IFERROR(__xludf.dummyfunction("SPLIT(J1492,"" "")"),"CIF")</f>
        <v>CIF</v>
      </c>
      <c r="L1492" s="28" t="str">
        <f aca="false">IFERROR(__xludf.dummyfunction("""COMPUTED_VALUE"""),"Portugal")</f>
        <v>Portugal</v>
      </c>
      <c r="M1492" s="27" t="str">
        <f aca="false">IFERROR(__xludf.dummyfunction("""COMPUTED_VALUE"""),"(Diff)")</f>
        <v>(Diff)</v>
      </c>
      <c r="N1492" s="25"/>
      <c r="O1492" s="25"/>
      <c r="P1492" s="25"/>
      <c r="Q1492" s="29" t="s">
        <v>213</v>
      </c>
      <c r="R1492" s="8" t="str">
        <f aca="false">B1492&amp;" "&amp;C1492&amp;" "&amp;D1492&amp;" "&amp;E1492&amp;" "&amp;G1492&amp;" "&amp;H1492&amp;" "&amp;J1492&amp;" "&amp;N1492</f>
        <v>Differentials Binders &amp; Additives     CIF Portugal (Diff) </v>
      </c>
      <c r="S1492" s="25"/>
      <c r="T1492" s="8"/>
      <c r="U1492" s="8"/>
      <c r="V1492" s="25"/>
      <c r="W1492" s="25"/>
      <c r="X1492" s="25"/>
      <c r="Y1492" s="25"/>
      <c r="Z1492" s="25"/>
      <c r="AA1492" s="25"/>
      <c r="AB1492" s="25"/>
      <c r="AC1492" s="25"/>
      <c r="AD1492" s="25"/>
    </row>
    <row r="1493" customFormat="false" ht="15.75" hidden="false" customHeight="false" outlineLevel="0" collapsed="false">
      <c r="A1493" s="28" t="s">
        <v>1892</v>
      </c>
      <c r="B1493" s="27" t="s">
        <v>438</v>
      </c>
      <c r="C1493" s="27" t="s">
        <v>236</v>
      </c>
      <c r="D1493" s="25"/>
      <c r="E1493" s="25"/>
      <c r="F1493" s="25"/>
      <c r="G1493" s="25"/>
      <c r="H1493" s="25"/>
      <c r="I1493" s="25"/>
      <c r="J1493" s="27" t="s">
        <v>1874</v>
      </c>
      <c r="K1493" s="25" t="str">
        <f aca="false">IFERROR(__xludf.dummyfunction("SPLIT(J1493,"" "")"),"CIF")</f>
        <v>CIF</v>
      </c>
      <c r="L1493" s="28" t="str">
        <f aca="false">IFERROR(__xludf.dummyfunction("""COMPUTED_VALUE"""),"Portugal")</f>
        <v>Portugal</v>
      </c>
      <c r="M1493" s="27" t="str">
        <f aca="false">IFERROR(__xludf.dummyfunction("""COMPUTED_VALUE"""),"(Diff)")</f>
        <v>(Diff)</v>
      </c>
      <c r="N1493" s="25"/>
      <c r="O1493" s="25"/>
      <c r="P1493" s="25"/>
      <c r="Q1493" s="29" t="s">
        <v>271</v>
      </c>
      <c r="R1493" s="8" t="str">
        <f aca="false">B1493&amp;" "&amp;C1493&amp;" "&amp;D1493&amp;" "&amp;E1493&amp;" "&amp;G1493&amp;" "&amp;H1493&amp;" "&amp;J1493&amp;" "&amp;N1493</f>
        <v>Differentials Cathode     CIF Portugal (Diff) </v>
      </c>
      <c r="S1493" s="25"/>
      <c r="T1493" s="8"/>
      <c r="U1493" s="8"/>
      <c r="V1493" s="25"/>
      <c r="W1493" s="25"/>
      <c r="X1493" s="25"/>
      <c r="Y1493" s="25"/>
      <c r="Z1493" s="25"/>
      <c r="AA1493" s="25"/>
      <c r="AB1493" s="25"/>
      <c r="AC1493" s="25"/>
      <c r="AD1493" s="25"/>
    </row>
    <row r="1494" customFormat="false" ht="15.75" hidden="false" customHeight="false" outlineLevel="0" collapsed="false">
      <c r="A1494" s="28" t="s">
        <v>1893</v>
      </c>
      <c r="B1494" s="27" t="s">
        <v>438</v>
      </c>
      <c r="C1494" s="27" t="s">
        <v>236</v>
      </c>
      <c r="D1494" s="25"/>
      <c r="E1494" s="25"/>
      <c r="F1494" s="25"/>
      <c r="G1494" s="25"/>
      <c r="H1494" s="25"/>
      <c r="I1494" s="25"/>
      <c r="J1494" s="27" t="s">
        <v>1874</v>
      </c>
      <c r="K1494" s="25" t="str">
        <f aca="false">IFERROR(__xludf.dummyfunction("SPLIT(J1494,"" "")"),"CIF")</f>
        <v>CIF</v>
      </c>
      <c r="L1494" s="28" t="str">
        <f aca="false">IFERROR(__xludf.dummyfunction("""COMPUTED_VALUE"""),"Portugal")</f>
        <v>Portugal</v>
      </c>
      <c r="M1494" s="27" t="str">
        <f aca="false">IFERROR(__xludf.dummyfunction("""COMPUTED_VALUE"""),"(Diff)")</f>
        <v>(Diff)</v>
      </c>
      <c r="N1494" s="25"/>
      <c r="O1494" s="25"/>
      <c r="P1494" s="25"/>
      <c r="Q1494" s="29" t="s">
        <v>266</v>
      </c>
      <c r="R1494" s="8" t="str">
        <f aca="false">B1494&amp;" "&amp;C1494&amp;" "&amp;D1494&amp;" "&amp;E1494&amp;" "&amp;G1494&amp;" "&amp;H1494&amp;" "&amp;J1494&amp;" "&amp;N1494</f>
        <v>Differentials Cathode     CIF Portugal (Diff) </v>
      </c>
      <c r="S1494" s="25"/>
      <c r="T1494" s="8"/>
      <c r="U1494" s="8"/>
      <c r="V1494" s="25"/>
      <c r="W1494" s="25"/>
      <c r="X1494" s="25"/>
      <c r="Y1494" s="25"/>
      <c r="Z1494" s="25"/>
      <c r="AA1494" s="25"/>
      <c r="AB1494" s="25"/>
      <c r="AC1494" s="25"/>
      <c r="AD1494" s="25"/>
    </row>
    <row r="1495" customFormat="false" ht="15.75" hidden="false" customHeight="false" outlineLevel="0" collapsed="false">
      <c r="A1495" s="28" t="s">
        <v>1894</v>
      </c>
      <c r="B1495" s="27" t="s">
        <v>438</v>
      </c>
      <c r="C1495" s="27" t="s">
        <v>236</v>
      </c>
      <c r="D1495" s="25"/>
      <c r="E1495" s="25"/>
      <c r="F1495" s="25"/>
      <c r="G1495" s="25"/>
      <c r="H1495" s="25"/>
      <c r="I1495" s="25"/>
      <c r="J1495" s="27" t="s">
        <v>1874</v>
      </c>
      <c r="K1495" s="25" t="str">
        <f aca="false">IFERROR(__xludf.dummyfunction("SPLIT(J1495,"" "")"),"CIF")</f>
        <v>CIF</v>
      </c>
      <c r="L1495" s="28" t="str">
        <f aca="false">IFERROR(__xludf.dummyfunction("""COMPUTED_VALUE"""),"Portugal")</f>
        <v>Portugal</v>
      </c>
      <c r="M1495" s="27" t="str">
        <f aca="false">IFERROR(__xludf.dummyfunction("""COMPUTED_VALUE"""),"(Diff)")</f>
        <v>(Diff)</v>
      </c>
      <c r="N1495" s="25"/>
      <c r="O1495" s="25"/>
      <c r="P1495" s="25"/>
      <c r="Q1495" s="29" t="s">
        <v>261</v>
      </c>
      <c r="R1495" s="8" t="str">
        <f aca="false">B1495&amp;" "&amp;C1495&amp;" "&amp;D1495&amp;" "&amp;E1495&amp;" "&amp;G1495&amp;" "&amp;H1495&amp;" "&amp;J1495&amp;" "&amp;N1495</f>
        <v>Differentials Cathode     CIF Portugal (Diff) </v>
      </c>
      <c r="S1495" s="25"/>
      <c r="T1495" s="8"/>
      <c r="U1495" s="8"/>
      <c r="V1495" s="25"/>
      <c r="W1495" s="25"/>
      <c r="X1495" s="25"/>
      <c r="Y1495" s="25"/>
      <c r="Z1495" s="25"/>
      <c r="AA1495" s="25"/>
      <c r="AB1495" s="25"/>
      <c r="AC1495" s="25"/>
      <c r="AD1495" s="25"/>
    </row>
    <row r="1496" customFormat="false" ht="15.75" hidden="false" customHeight="false" outlineLevel="0" collapsed="false">
      <c r="A1496" s="28" t="s">
        <v>1895</v>
      </c>
      <c r="B1496" s="27" t="s">
        <v>438</v>
      </c>
      <c r="C1496" s="27" t="s">
        <v>236</v>
      </c>
      <c r="D1496" s="25"/>
      <c r="E1496" s="25"/>
      <c r="F1496" s="25"/>
      <c r="G1496" s="25"/>
      <c r="H1496" s="25"/>
      <c r="I1496" s="25"/>
      <c r="J1496" s="27" t="s">
        <v>1874</v>
      </c>
      <c r="K1496" s="25" t="str">
        <f aca="false">IFERROR(__xludf.dummyfunction("SPLIT(J1496,"" "")"),"CIF")</f>
        <v>CIF</v>
      </c>
      <c r="L1496" s="28" t="str">
        <f aca="false">IFERROR(__xludf.dummyfunction("""COMPUTED_VALUE"""),"Portugal")</f>
        <v>Portugal</v>
      </c>
      <c r="M1496" s="27" t="str">
        <f aca="false">IFERROR(__xludf.dummyfunction("""COMPUTED_VALUE"""),"(Diff)")</f>
        <v>(Diff)</v>
      </c>
      <c r="N1496" s="25"/>
      <c r="O1496" s="25"/>
      <c r="P1496" s="25"/>
      <c r="Q1496" s="29" t="s">
        <v>256</v>
      </c>
      <c r="R1496" s="8" t="str">
        <f aca="false">B1496&amp;" "&amp;C1496&amp;" "&amp;D1496&amp;" "&amp;E1496&amp;" "&amp;G1496&amp;" "&amp;H1496&amp;" "&amp;J1496&amp;" "&amp;N1496</f>
        <v>Differentials Cathode     CIF Portugal (Diff) </v>
      </c>
      <c r="S1496" s="25"/>
      <c r="T1496" s="8"/>
      <c r="U1496" s="8"/>
      <c r="V1496" s="25"/>
      <c r="W1496" s="25"/>
      <c r="X1496" s="25"/>
      <c r="Y1496" s="25"/>
      <c r="Z1496" s="25"/>
      <c r="AA1496" s="25"/>
      <c r="AB1496" s="25"/>
      <c r="AC1496" s="25"/>
      <c r="AD1496" s="25"/>
    </row>
    <row r="1497" customFormat="false" ht="15.75" hidden="false" customHeight="false" outlineLevel="0" collapsed="false">
      <c r="A1497" s="28" t="s">
        <v>1896</v>
      </c>
      <c r="B1497" s="27" t="s">
        <v>438</v>
      </c>
      <c r="C1497" s="27" t="s">
        <v>236</v>
      </c>
      <c r="D1497" s="25"/>
      <c r="E1497" s="25"/>
      <c r="F1497" s="25"/>
      <c r="G1497" s="25"/>
      <c r="H1497" s="25"/>
      <c r="I1497" s="25"/>
      <c r="J1497" s="27" t="s">
        <v>1874</v>
      </c>
      <c r="K1497" s="25" t="str">
        <f aca="false">IFERROR(__xludf.dummyfunction("SPLIT(J1497,"" "")"),"CIF")</f>
        <v>CIF</v>
      </c>
      <c r="L1497" s="28" t="str">
        <f aca="false">IFERROR(__xludf.dummyfunction("""COMPUTED_VALUE"""),"Portugal")</f>
        <v>Portugal</v>
      </c>
      <c r="M1497" s="27" t="str">
        <f aca="false">IFERROR(__xludf.dummyfunction("""COMPUTED_VALUE"""),"(Diff)")</f>
        <v>(Diff)</v>
      </c>
      <c r="N1497" s="25"/>
      <c r="O1497" s="25"/>
      <c r="P1497" s="25"/>
      <c r="Q1497" s="29" t="s">
        <v>251</v>
      </c>
      <c r="R1497" s="8" t="str">
        <f aca="false">B1497&amp;" "&amp;C1497&amp;" "&amp;D1497&amp;" "&amp;E1497&amp;" "&amp;G1497&amp;" "&amp;H1497&amp;" "&amp;J1497&amp;" "&amp;N1497</f>
        <v>Differentials Cathode     CIF Portugal (Diff) </v>
      </c>
      <c r="S1497" s="25"/>
      <c r="T1497" s="8"/>
      <c r="U1497" s="8"/>
      <c r="V1497" s="25"/>
      <c r="W1497" s="25"/>
      <c r="X1497" s="25"/>
      <c r="Y1497" s="25"/>
      <c r="Z1497" s="25"/>
      <c r="AA1497" s="25"/>
      <c r="AB1497" s="25"/>
      <c r="AC1497" s="25"/>
      <c r="AD1497" s="25"/>
    </row>
    <row r="1498" customFormat="false" ht="15.75" hidden="false" customHeight="false" outlineLevel="0" collapsed="false">
      <c r="A1498" s="28" t="s">
        <v>1897</v>
      </c>
      <c r="B1498" s="27" t="s">
        <v>438</v>
      </c>
      <c r="C1498" s="27" t="s">
        <v>236</v>
      </c>
      <c r="D1498" s="25"/>
      <c r="E1498" s="25"/>
      <c r="F1498" s="25"/>
      <c r="G1498" s="25"/>
      <c r="H1498" s="25"/>
      <c r="I1498" s="25"/>
      <c r="J1498" s="27" t="s">
        <v>1874</v>
      </c>
      <c r="K1498" s="25" t="str">
        <f aca="false">IFERROR(__xludf.dummyfunction("SPLIT(J1498,"" "")"),"CIF")</f>
        <v>CIF</v>
      </c>
      <c r="L1498" s="28" t="str">
        <f aca="false">IFERROR(__xludf.dummyfunction("""COMPUTED_VALUE"""),"Portugal")</f>
        <v>Portugal</v>
      </c>
      <c r="M1498" s="27" t="str">
        <f aca="false">IFERROR(__xludf.dummyfunction("""COMPUTED_VALUE"""),"(Diff)")</f>
        <v>(Diff)</v>
      </c>
      <c r="N1498" s="25"/>
      <c r="O1498" s="25"/>
      <c r="P1498" s="25"/>
      <c r="Q1498" s="29" t="s">
        <v>247</v>
      </c>
      <c r="R1498" s="8" t="str">
        <f aca="false">B1498&amp;" "&amp;C1498&amp;" "&amp;D1498&amp;" "&amp;E1498&amp;" "&amp;G1498&amp;" "&amp;H1498&amp;" "&amp;J1498&amp;" "&amp;N1498</f>
        <v>Differentials Cathode     CIF Portugal (Diff) </v>
      </c>
      <c r="S1498" s="25"/>
      <c r="T1498" s="8"/>
      <c r="U1498" s="8"/>
      <c r="V1498" s="25"/>
      <c r="W1498" s="25"/>
      <c r="X1498" s="25"/>
      <c r="Y1498" s="25"/>
      <c r="Z1498" s="25"/>
      <c r="AA1498" s="25"/>
      <c r="AB1498" s="25"/>
      <c r="AC1498" s="25"/>
      <c r="AD1498" s="25"/>
    </row>
    <row r="1499" customFormat="false" ht="15.75" hidden="false" customHeight="false" outlineLevel="0" collapsed="false">
      <c r="A1499" s="28" t="s">
        <v>1898</v>
      </c>
      <c r="B1499" s="27" t="s">
        <v>438</v>
      </c>
      <c r="C1499" s="27" t="s">
        <v>236</v>
      </c>
      <c r="D1499" s="25"/>
      <c r="E1499" s="25"/>
      <c r="F1499" s="25"/>
      <c r="G1499" s="25"/>
      <c r="H1499" s="25"/>
      <c r="I1499" s="25"/>
      <c r="J1499" s="27" t="s">
        <v>1874</v>
      </c>
      <c r="K1499" s="25" t="str">
        <f aca="false">IFERROR(__xludf.dummyfunction("SPLIT(J1499,"" "")"),"CIF")</f>
        <v>CIF</v>
      </c>
      <c r="L1499" s="28" t="str">
        <f aca="false">IFERROR(__xludf.dummyfunction("""COMPUTED_VALUE"""),"Portugal")</f>
        <v>Portugal</v>
      </c>
      <c r="M1499" s="27" t="str">
        <f aca="false">IFERROR(__xludf.dummyfunction("""COMPUTED_VALUE"""),"(Diff)")</f>
        <v>(Diff)</v>
      </c>
      <c r="N1499" s="25"/>
      <c r="O1499" s="25"/>
      <c r="P1499" s="25"/>
      <c r="Q1499" s="29" t="s">
        <v>243</v>
      </c>
      <c r="R1499" s="8" t="str">
        <f aca="false">B1499&amp;" "&amp;C1499&amp;" "&amp;D1499&amp;" "&amp;E1499&amp;" "&amp;G1499&amp;" "&amp;H1499&amp;" "&amp;J1499&amp;" "&amp;N1499</f>
        <v>Differentials Cathode     CIF Portugal (Diff) </v>
      </c>
      <c r="S1499" s="25"/>
      <c r="T1499" s="8"/>
      <c r="U1499" s="8"/>
      <c r="V1499" s="25"/>
      <c r="W1499" s="25"/>
      <c r="X1499" s="25"/>
      <c r="Y1499" s="25"/>
      <c r="Z1499" s="25"/>
      <c r="AA1499" s="25"/>
      <c r="AB1499" s="25"/>
      <c r="AC1499" s="25"/>
      <c r="AD1499" s="25"/>
    </row>
    <row r="1500" customFormat="false" ht="15.75" hidden="false" customHeight="false" outlineLevel="0" collapsed="false">
      <c r="A1500" s="28" t="s">
        <v>1899</v>
      </c>
      <c r="B1500" s="27" t="s">
        <v>438</v>
      </c>
      <c r="C1500" s="27" t="s">
        <v>236</v>
      </c>
      <c r="D1500" s="25"/>
      <c r="E1500" s="25"/>
      <c r="F1500" s="25"/>
      <c r="G1500" s="25"/>
      <c r="H1500" s="25"/>
      <c r="I1500" s="25"/>
      <c r="J1500" s="27" t="s">
        <v>1874</v>
      </c>
      <c r="K1500" s="25" t="str">
        <f aca="false">IFERROR(__xludf.dummyfunction("SPLIT(J1500,"" "")"),"CIF")</f>
        <v>CIF</v>
      </c>
      <c r="L1500" s="28" t="str">
        <f aca="false">IFERROR(__xludf.dummyfunction("""COMPUTED_VALUE"""),"Portugal")</f>
        <v>Portugal</v>
      </c>
      <c r="M1500" s="27" t="str">
        <f aca="false">IFERROR(__xludf.dummyfunction("""COMPUTED_VALUE"""),"(Diff)")</f>
        <v>(Diff)</v>
      </c>
      <c r="N1500" s="25"/>
      <c r="O1500" s="25"/>
      <c r="P1500" s="25"/>
      <c r="Q1500" s="29" t="s">
        <v>239</v>
      </c>
      <c r="R1500" s="8" t="str">
        <f aca="false">B1500&amp;" "&amp;C1500&amp;" "&amp;D1500&amp;" "&amp;E1500&amp;" "&amp;G1500&amp;" "&amp;H1500&amp;" "&amp;J1500&amp;" "&amp;N1500</f>
        <v>Differentials Cathode     CIF Portugal (Diff) </v>
      </c>
      <c r="S1500" s="25"/>
      <c r="T1500" s="8"/>
      <c r="U1500" s="8"/>
      <c r="V1500" s="25"/>
      <c r="W1500" s="25"/>
      <c r="X1500" s="25"/>
      <c r="Y1500" s="25"/>
      <c r="Z1500" s="25"/>
      <c r="AA1500" s="25"/>
      <c r="AB1500" s="25"/>
      <c r="AC1500" s="25"/>
      <c r="AD1500" s="25"/>
    </row>
    <row r="1501" customFormat="false" ht="15.75" hidden="false" customHeight="false" outlineLevel="0" collapsed="false">
      <c r="A1501" s="28" t="s">
        <v>1900</v>
      </c>
      <c r="B1501" s="27" t="s">
        <v>438</v>
      </c>
      <c r="C1501" s="27" t="s">
        <v>289</v>
      </c>
      <c r="D1501" s="25"/>
      <c r="E1501" s="25"/>
      <c r="F1501" s="25"/>
      <c r="G1501" s="25"/>
      <c r="H1501" s="25"/>
      <c r="I1501" s="25"/>
      <c r="J1501" s="27" t="s">
        <v>1874</v>
      </c>
      <c r="K1501" s="25" t="str">
        <f aca="false">IFERROR(__xludf.dummyfunction("SPLIT(J1501,"" "")"),"CIF")</f>
        <v>CIF</v>
      </c>
      <c r="L1501" s="28" t="str">
        <f aca="false">IFERROR(__xludf.dummyfunction("""COMPUTED_VALUE"""),"Portugal")</f>
        <v>Portugal</v>
      </c>
      <c r="M1501" s="27" t="str">
        <f aca="false">IFERROR(__xludf.dummyfunction("""COMPUTED_VALUE"""),"(Diff)")</f>
        <v>(Diff)</v>
      </c>
      <c r="N1501" s="25"/>
      <c r="O1501" s="25"/>
      <c r="P1501" s="25"/>
      <c r="Q1501" s="29" t="s">
        <v>306</v>
      </c>
      <c r="R1501" s="8" t="str">
        <f aca="false">B1501&amp;" "&amp;C1501&amp;" "&amp;D1501&amp;" "&amp;E1501&amp;" "&amp;G1501&amp;" "&amp;H1501&amp;" "&amp;J1501&amp;" "&amp;N1501</f>
        <v>Differentials Electrolyte     CIF Portugal (Diff) </v>
      </c>
      <c r="S1501" s="25"/>
      <c r="T1501" s="8"/>
      <c r="U1501" s="8"/>
      <c r="V1501" s="25"/>
      <c r="W1501" s="25"/>
      <c r="X1501" s="25"/>
      <c r="Y1501" s="25"/>
      <c r="Z1501" s="25"/>
      <c r="AA1501" s="25"/>
      <c r="AB1501" s="25"/>
      <c r="AC1501" s="25"/>
      <c r="AD1501" s="25"/>
    </row>
    <row r="1502" customFormat="false" ht="15.75" hidden="false" customHeight="false" outlineLevel="0" collapsed="false">
      <c r="A1502" s="28" t="s">
        <v>1901</v>
      </c>
      <c r="B1502" s="27" t="s">
        <v>438</v>
      </c>
      <c r="C1502" s="27" t="s">
        <v>289</v>
      </c>
      <c r="D1502" s="25"/>
      <c r="E1502" s="25"/>
      <c r="F1502" s="25"/>
      <c r="G1502" s="25"/>
      <c r="H1502" s="25"/>
      <c r="I1502" s="25"/>
      <c r="J1502" s="27" t="s">
        <v>1874</v>
      </c>
      <c r="K1502" s="25" t="str">
        <f aca="false">IFERROR(__xludf.dummyfunction("SPLIT(J1502,"" "")"),"CIF")</f>
        <v>CIF</v>
      </c>
      <c r="L1502" s="28" t="str">
        <f aca="false">IFERROR(__xludf.dummyfunction("""COMPUTED_VALUE"""),"Portugal")</f>
        <v>Portugal</v>
      </c>
      <c r="M1502" s="27" t="str">
        <f aca="false">IFERROR(__xludf.dummyfunction("""COMPUTED_VALUE"""),"(Diff)")</f>
        <v>(Diff)</v>
      </c>
      <c r="N1502" s="25"/>
      <c r="O1502" s="25"/>
      <c r="P1502" s="25"/>
      <c r="Q1502" s="29" t="s">
        <v>304</v>
      </c>
      <c r="R1502" s="8" t="str">
        <f aca="false">B1502&amp;" "&amp;C1502&amp;" "&amp;D1502&amp;" "&amp;E1502&amp;" "&amp;G1502&amp;" "&amp;H1502&amp;" "&amp;J1502&amp;" "&amp;N1502</f>
        <v>Differentials Electrolyte     CIF Portugal (Diff) </v>
      </c>
      <c r="S1502" s="25"/>
      <c r="T1502" s="8"/>
      <c r="U1502" s="8"/>
      <c r="V1502" s="25"/>
      <c r="W1502" s="25"/>
      <c r="X1502" s="25"/>
      <c r="Y1502" s="25"/>
      <c r="Z1502" s="25"/>
      <c r="AA1502" s="25"/>
      <c r="AB1502" s="25"/>
      <c r="AC1502" s="25"/>
      <c r="AD1502" s="25"/>
    </row>
    <row r="1503" customFormat="false" ht="15.75" hidden="false" customHeight="false" outlineLevel="0" collapsed="false">
      <c r="A1503" s="28" t="s">
        <v>1902</v>
      </c>
      <c r="B1503" s="27" t="s">
        <v>438</v>
      </c>
      <c r="C1503" s="27" t="s">
        <v>289</v>
      </c>
      <c r="D1503" s="25"/>
      <c r="E1503" s="25"/>
      <c r="F1503" s="25"/>
      <c r="G1503" s="25"/>
      <c r="H1503" s="25"/>
      <c r="I1503" s="25"/>
      <c r="J1503" s="27" t="s">
        <v>1874</v>
      </c>
      <c r="K1503" s="25" t="str">
        <f aca="false">IFERROR(__xludf.dummyfunction("SPLIT(J1503,"" "")"),"CIF")</f>
        <v>CIF</v>
      </c>
      <c r="L1503" s="28" t="str">
        <f aca="false">IFERROR(__xludf.dummyfunction("""COMPUTED_VALUE"""),"Portugal")</f>
        <v>Portugal</v>
      </c>
      <c r="M1503" s="27" t="str">
        <f aca="false">IFERROR(__xludf.dummyfunction("""COMPUTED_VALUE"""),"(Diff)")</f>
        <v>(Diff)</v>
      </c>
      <c r="N1503" s="25"/>
      <c r="O1503" s="25"/>
      <c r="P1503" s="25"/>
      <c r="Q1503" s="29" t="s">
        <v>302</v>
      </c>
      <c r="R1503" s="8" t="str">
        <f aca="false">B1503&amp;" "&amp;C1503&amp;" "&amp;D1503&amp;" "&amp;E1503&amp;" "&amp;G1503&amp;" "&amp;H1503&amp;" "&amp;J1503&amp;" "&amp;N1503</f>
        <v>Differentials Electrolyte     CIF Portugal (Diff) </v>
      </c>
      <c r="S1503" s="25"/>
      <c r="T1503" s="8"/>
      <c r="U1503" s="8"/>
      <c r="V1503" s="25"/>
      <c r="W1503" s="25"/>
      <c r="X1503" s="25"/>
      <c r="Y1503" s="25"/>
      <c r="Z1503" s="25"/>
      <c r="AA1503" s="25"/>
      <c r="AB1503" s="25"/>
      <c r="AC1503" s="25"/>
      <c r="AD1503" s="25"/>
    </row>
    <row r="1504" customFormat="false" ht="15.75" hidden="false" customHeight="false" outlineLevel="0" collapsed="false">
      <c r="A1504" s="28" t="s">
        <v>1903</v>
      </c>
      <c r="B1504" s="27" t="s">
        <v>438</v>
      </c>
      <c r="C1504" s="27" t="s">
        <v>289</v>
      </c>
      <c r="D1504" s="25"/>
      <c r="E1504" s="25"/>
      <c r="F1504" s="25"/>
      <c r="G1504" s="25"/>
      <c r="H1504" s="25"/>
      <c r="I1504" s="25"/>
      <c r="J1504" s="27" t="s">
        <v>1874</v>
      </c>
      <c r="K1504" s="25" t="str">
        <f aca="false">IFERROR(__xludf.dummyfunction("SPLIT(J1504,"" "")"),"CIF")</f>
        <v>CIF</v>
      </c>
      <c r="L1504" s="28" t="str">
        <f aca="false">IFERROR(__xludf.dummyfunction("""COMPUTED_VALUE"""),"Portugal")</f>
        <v>Portugal</v>
      </c>
      <c r="M1504" s="27" t="str">
        <f aca="false">IFERROR(__xludf.dummyfunction("""COMPUTED_VALUE"""),"(Diff)")</f>
        <v>(Diff)</v>
      </c>
      <c r="N1504" s="25"/>
      <c r="O1504" s="25"/>
      <c r="P1504" s="25"/>
      <c r="Q1504" s="29" t="s">
        <v>300</v>
      </c>
      <c r="R1504" s="8" t="str">
        <f aca="false">B1504&amp;" "&amp;C1504&amp;" "&amp;D1504&amp;" "&amp;E1504&amp;" "&amp;G1504&amp;" "&amp;H1504&amp;" "&amp;J1504&amp;" "&amp;N1504</f>
        <v>Differentials Electrolyte     CIF Portugal (Diff) </v>
      </c>
      <c r="S1504" s="25"/>
      <c r="T1504" s="8"/>
      <c r="U1504" s="8"/>
      <c r="V1504" s="25"/>
      <c r="W1504" s="25"/>
      <c r="X1504" s="25"/>
      <c r="Y1504" s="25"/>
      <c r="Z1504" s="25"/>
      <c r="AA1504" s="25"/>
      <c r="AB1504" s="25"/>
      <c r="AC1504" s="25"/>
      <c r="AD1504" s="25"/>
    </row>
    <row r="1505" customFormat="false" ht="15.75" hidden="false" customHeight="false" outlineLevel="0" collapsed="false">
      <c r="A1505" s="28" t="s">
        <v>1904</v>
      </c>
      <c r="B1505" s="27" t="s">
        <v>438</v>
      </c>
      <c r="C1505" s="27" t="s">
        <v>289</v>
      </c>
      <c r="D1505" s="25"/>
      <c r="E1505" s="25"/>
      <c r="F1505" s="25"/>
      <c r="G1505" s="25"/>
      <c r="H1505" s="25"/>
      <c r="I1505" s="25"/>
      <c r="J1505" s="27" t="s">
        <v>1874</v>
      </c>
      <c r="K1505" s="25" t="str">
        <f aca="false">IFERROR(__xludf.dummyfunction("SPLIT(J1505,"" "")"),"CIF")</f>
        <v>CIF</v>
      </c>
      <c r="L1505" s="28" t="str">
        <f aca="false">IFERROR(__xludf.dummyfunction("""COMPUTED_VALUE"""),"Portugal")</f>
        <v>Portugal</v>
      </c>
      <c r="M1505" s="27" t="str">
        <f aca="false">IFERROR(__xludf.dummyfunction("""COMPUTED_VALUE"""),"(Diff)")</f>
        <v>(Diff)</v>
      </c>
      <c r="N1505" s="25"/>
      <c r="O1505" s="25"/>
      <c r="P1505" s="25"/>
      <c r="Q1505" s="29" t="s">
        <v>298</v>
      </c>
      <c r="R1505" s="8" t="str">
        <f aca="false">B1505&amp;" "&amp;C1505&amp;" "&amp;D1505&amp;" "&amp;E1505&amp;" "&amp;G1505&amp;" "&amp;H1505&amp;" "&amp;J1505&amp;" "&amp;N1505</f>
        <v>Differentials Electrolyte     CIF Portugal (Diff) </v>
      </c>
      <c r="S1505" s="25"/>
      <c r="T1505" s="8"/>
      <c r="U1505" s="8"/>
      <c r="V1505" s="25"/>
      <c r="W1505" s="25"/>
      <c r="X1505" s="25"/>
      <c r="Y1505" s="25"/>
      <c r="Z1505" s="25"/>
      <c r="AA1505" s="25"/>
      <c r="AB1505" s="25"/>
      <c r="AC1505" s="25"/>
      <c r="AD1505" s="25"/>
    </row>
    <row r="1506" customFormat="false" ht="15.75" hidden="false" customHeight="false" outlineLevel="0" collapsed="false">
      <c r="A1506" s="28" t="s">
        <v>1905</v>
      </c>
      <c r="B1506" s="27" t="s">
        <v>438</v>
      </c>
      <c r="C1506" s="27" t="s">
        <v>289</v>
      </c>
      <c r="D1506" s="25"/>
      <c r="E1506" s="25"/>
      <c r="F1506" s="25"/>
      <c r="G1506" s="25"/>
      <c r="H1506" s="25"/>
      <c r="I1506" s="25"/>
      <c r="J1506" s="27" t="s">
        <v>1874</v>
      </c>
      <c r="K1506" s="25" t="str">
        <f aca="false">IFERROR(__xludf.dummyfunction("SPLIT(J1506,"" "")"),"CIF")</f>
        <v>CIF</v>
      </c>
      <c r="L1506" s="28" t="str">
        <f aca="false">IFERROR(__xludf.dummyfunction("""COMPUTED_VALUE"""),"Portugal")</f>
        <v>Portugal</v>
      </c>
      <c r="M1506" s="27" t="str">
        <f aca="false">IFERROR(__xludf.dummyfunction("""COMPUTED_VALUE"""),"(Diff)")</f>
        <v>(Diff)</v>
      </c>
      <c r="N1506" s="25"/>
      <c r="O1506" s="25"/>
      <c r="P1506" s="25"/>
      <c r="Q1506" s="29" t="s">
        <v>296</v>
      </c>
      <c r="R1506" s="8" t="str">
        <f aca="false">B1506&amp;" "&amp;C1506&amp;" "&amp;D1506&amp;" "&amp;E1506&amp;" "&amp;G1506&amp;" "&amp;H1506&amp;" "&amp;J1506&amp;" "&amp;N1506</f>
        <v>Differentials Electrolyte     CIF Portugal (Diff) </v>
      </c>
      <c r="S1506" s="25"/>
      <c r="T1506" s="8"/>
      <c r="U1506" s="8"/>
      <c r="V1506" s="25"/>
      <c r="W1506" s="25"/>
      <c r="X1506" s="25"/>
      <c r="Y1506" s="25"/>
      <c r="Z1506" s="25"/>
      <c r="AA1506" s="25"/>
      <c r="AB1506" s="25"/>
      <c r="AC1506" s="25"/>
      <c r="AD1506" s="25"/>
    </row>
    <row r="1507" customFormat="false" ht="15.75" hidden="false" customHeight="false" outlineLevel="0" collapsed="false">
      <c r="A1507" s="28" t="s">
        <v>1906</v>
      </c>
      <c r="B1507" s="27" t="s">
        <v>438</v>
      </c>
      <c r="C1507" s="27" t="s">
        <v>289</v>
      </c>
      <c r="D1507" s="25"/>
      <c r="E1507" s="25"/>
      <c r="F1507" s="25"/>
      <c r="G1507" s="25"/>
      <c r="H1507" s="25"/>
      <c r="I1507" s="25"/>
      <c r="J1507" s="27" t="s">
        <v>1874</v>
      </c>
      <c r="K1507" s="25" t="str">
        <f aca="false">IFERROR(__xludf.dummyfunction("SPLIT(J1507,"" "")"),"CIF")</f>
        <v>CIF</v>
      </c>
      <c r="L1507" s="28" t="str">
        <f aca="false">IFERROR(__xludf.dummyfunction("""COMPUTED_VALUE"""),"Portugal")</f>
        <v>Portugal</v>
      </c>
      <c r="M1507" s="27" t="str">
        <f aca="false">IFERROR(__xludf.dummyfunction("""COMPUTED_VALUE"""),"(Diff)")</f>
        <v>(Diff)</v>
      </c>
      <c r="N1507" s="25"/>
      <c r="O1507" s="25"/>
      <c r="P1507" s="25"/>
      <c r="Q1507" s="29" t="s">
        <v>294</v>
      </c>
      <c r="R1507" s="8" t="str">
        <f aca="false">B1507&amp;" "&amp;C1507&amp;" "&amp;D1507&amp;" "&amp;E1507&amp;" "&amp;G1507&amp;" "&amp;H1507&amp;" "&amp;J1507&amp;" "&amp;N1507</f>
        <v>Differentials Electrolyte     CIF Portugal (Diff) </v>
      </c>
      <c r="S1507" s="25"/>
      <c r="T1507" s="8"/>
      <c r="U1507" s="8"/>
      <c r="V1507" s="25"/>
      <c r="W1507" s="25"/>
      <c r="X1507" s="25"/>
      <c r="Y1507" s="25"/>
      <c r="Z1507" s="25"/>
      <c r="AA1507" s="25"/>
      <c r="AB1507" s="25"/>
      <c r="AC1507" s="25"/>
      <c r="AD1507" s="25"/>
    </row>
    <row r="1508" customFormat="false" ht="15.75" hidden="false" customHeight="false" outlineLevel="0" collapsed="false">
      <c r="A1508" s="28" t="s">
        <v>1907</v>
      </c>
      <c r="B1508" s="27" t="s">
        <v>438</v>
      </c>
      <c r="C1508" s="27" t="s">
        <v>289</v>
      </c>
      <c r="D1508" s="25"/>
      <c r="E1508" s="25"/>
      <c r="F1508" s="25"/>
      <c r="G1508" s="25"/>
      <c r="H1508" s="25"/>
      <c r="I1508" s="25"/>
      <c r="J1508" s="27" t="s">
        <v>1874</v>
      </c>
      <c r="K1508" s="25" t="str">
        <f aca="false">IFERROR(__xludf.dummyfunction("SPLIT(J1508,"" "")"),"CIF")</f>
        <v>CIF</v>
      </c>
      <c r="L1508" s="28" t="str">
        <f aca="false">IFERROR(__xludf.dummyfunction("""COMPUTED_VALUE"""),"Portugal")</f>
        <v>Portugal</v>
      </c>
      <c r="M1508" s="27" t="str">
        <f aca="false">IFERROR(__xludf.dummyfunction("""COMPUTED_VALUE"""),"(Diff)")</f>
        <v>(Diff)</v>
      </c>
      <c r="N1508" s="25"/>
      <c r="O1508" s="25"/>
      <c r="P1508" s="25"/>
      <c r="Q1508" s="29" t="s">
        <v>291</v>
      </c>
      <c r="R1508" s="8" t="str">
        <f aca="false">B1508&amp;" "&amp;C1508&amp;" "&amp;D1508&amp;" "&amp;E1508&amp;" "&amp;G1508&amp;" "&amp;H1508&amp;" "&amp;J1508&amp;" "&amp;N1508</f>
        <v>Differentials Electrolyte     CIF Portugal (Diff) </v>
      </c>
      <c r="S1508" s="25"/>
      <c r="T1508" s="8"/>
      <c r="U1508" s="8"/>
      <c r="V1508" s="25"/>
      <c r="W1508" s="25"/>
      <c r="X1508" s="25"/>
      <c r="Y1508" s="25"/>
      <c r="Z1508" s="25"/>
      <c r="AA1508" s="25"/>
      <c r="AB1508" s="25"/>
      <c r="AC1508" s="25"/>
      <c r="AD1508" s="25"/>
    </row>
    <row r="1509" customFormat="false" ht="15.75" hidden="false" customHeight="false" outlineLevel="0" collapsed="false">
      <c r="A1509" s="28" t="s">
        <v>1908</v>
      </c>
      <c r="B1509" s="27" t="s">
        <v>438</v>
      </c>
      <c r="C1509" s="27" t="s">
        <v>308</v>
      </c>
      <c r="D1509" s="25"/>
      <c r="E1509" s="25"/>
      <c r="F1509" s="25"/>
      <c r="G1509" s="25"/>
      <c r="H1509" s="25"/>
      <c r="I1509" s="25"/>
      <c r="J1509" s="27" t="s">
        <v>1874</v>
      </c>
      <c r="K1509" s="25" t="str">
        <f aca="false">IFERROR(__xludf.dummyfunction("SPLIT(J1509,"" "")"),"CIF")</f>
        <v>CIF</v>
      </c>
      <c r="L1509" s="28" t="str">
        <f aca="false">IFERROR(__xludf.dummyfunction("""COMPUTED_VALUE"""),"Portugal")</f>
        <v>Portugal</v>
      </c>
      <c r="M1509" s="27" t="str">
        <f aca="false">IFERROR(__xludf.dummyfunction("""COMPUTED_VALUE"""),"(Diff)")</f>
        <v>(Diff)</v>
      </c>
      <c r="N1509" s="25"/>
      <c r="O1509" s="25"/>
      <c r="P1509" s="25"/>
      <c r="Q1509" s="29" t="s">
        <v>358</v>
      </c>
      <c r="R1509" s="8" t="str">
        <f aca="false">B1509&amp;" "&amp;C1509&amp;" "&amp;D1509&amp;" "&amp;E1509&amp;" "&amp;G1509&amp;" "&amp;H1509&amp;" "&amp;J1509&amp;" "&amp;N1509</f>
        <v>Differentials Graphite     CIF Portugal (Diff) </v>
      </c>
      <c r="S1509" s="25"/>
      <c r="T1509" s="8"/>
      <c r="U1509" s="8"/>
      <c r="V1509" s="25"/>
      <c r="W1509" s="25"/>
      <c r="X1509" s="25"/>
      <c r="Y1509" s="25"/>
      <c r="Z1509" s="25"/>
      <c r="AA1509" s="25"/>
      <c r="AB1509" s="25"/>
      <c r="AC1509" s="25"/>
      <c r="AD1509" s="25"/>
    </row>
    <row r="1510" customFormat="false" ht="15.75" hidden="false" customHeight="false" outlineLevel="0" collapsed="false">
      <c r="A1510" s="28" t="s">
        <v>1909</v>
      </c>
      <c r="B1510" s="27" t="s">
        <v>438</v>
      </c>
      <c r="C1510" s="27" t="s">
        <v>308</v>
      </c>
      <c r="D1510" s="25"/>
      <c r="E1510" s="25"/>
      <c r="F1510" s="25"/>
      <c r="G1510" s="25"/>
      <c r="H1510" s="25"/>
      <c r="I1510" s="25"/>
      <c r="J1510" s="27" t="s">
        <v>1874</v>
      </c>
      <c r="K1510" s="25" t="str">
        <f aca="false">IFERROR(__xludf.dummyfunction("SPLIT(J1510,"" "")"),"CIF")</f>
        <v>CIF</v>
      </c>
      <c r="L1510" s="28" t="str">
        <f aca="false">IFERROR(__xludf.dummyfunction("""COMPUTED_VALUE"""),"Portugal")</f>
        <v>Portugal</v>
      </c>
      <c r="M1510" s="27" t="str">
        <f aca="false">IFERROR(__xludf.dummyfunction("""COMPUTED_VALUE"""),"(Diff)")</f>
        <v>(Diff)</v>
      </c>
      <c r="N1510" s="25"/>
      <c r="O1510" s="25"/>
      <c r="P1510" s="25"/>
      <c r="Q1510" s="29" t="s">
        <v>356</v>
      </c>
      <c r="R1510" s="8" t="str">
        <f aca="false">B1510&amp;" "&amp;C1510&amp;" "&amp;D1510&amp;" "&amp;E1510&amp;" "&amp;G1510&amp;" "&amp;H1510&amp;" "&amp;J1510&amp;" "&amp;N1510</f>
        <v>Differentials Graphite     CIF Portugal (Diff) </v>
      </c>
      <c r="S1510" s="25"/>
      <c r="T1510" s="8"/>
      <c r="U1510" s="8"/>
      <c r="V1510" s="25"/>
      <c r="W1510" s="25"/>
      <c r="X1510" s="25"/>
      <c r="Y1510" s="25"/>
      <c r="Z1510" s="25"/>
      <c r="AA1510" s="25"/>
      <c r="AB1510" s="25"/>
      <c r="AC1510" s="25"/>
      <c r="AD1510" s="25"/>
    </row>
    <row r="1511" customFormat="false" ht="15.75" hidden="false" customHeight="false" outlineLevel="0" collapsed="false">
      <c r="A1511" s="28" t="s">
        <v>1910</v>
      </c>
      <c r="B1511" s="27" t="s">
        <v>438</v>
      </c>
      <c r="C1511" s="27" t="s">
        <v>308</v>
      </c>
      <c r="D1511" s="25"/>
      <c r="E1511" s="25"/>
      <c r="F1511" s="25"/>
      <c r="G1511" s="25"/>
      <c r="H1511" s="25"/>
      <c r="I1511" s="25"/>
      <c r="J1511" s="27" t="s">
        <v>1874</v>
      </c>
      <c r="K1511" s="25" t="str">
        <f aca="false">IFERROR(__xludf.dummyfunction("SPLIT(J1511,"" "")"),"CIF")</f>
        <v>CIF</v>
      </c>
      <c r="L1511" s="28" t="str">
        <f aca="false">IFERROR(__xludf.dummyfunction("""COMPUTED_VALUE"""),"Portugal")</f>
        <v>Portugal</v>
      </c>
      <c r="M1511" s="27" t="str">
        <f aca="false">IFERROR(__xludf.dummyfunction("""COMPUTED_VALUE"""),"(Diff)")</f>
        <v>(Diff)</v>
      </c>
      <c r="N1511" s="25"/>
      <c r="O1511" s="25"/>
      <c r="P1511" s="25"/>
      <c r="Q1511" s="29" t="s">
        <v>354</v>
      </c>
      <c r="R1511" s="8" t="str">
        <f aca="false">B1511&amp;" "&amp;C1511&amp;" "&amp;D1511&amp;" "&amp;E1511&amp;" "&amp;G1511&amp;" "&amp;H1511&amp;" "&amp;J1511&amp;" "&amp;N1511</f>
        <v>Differentials Graphite     CIF Portugal (Diff) </v>
      </c>
      <c r="S1511" s="25"/>
      <c r="T1511" s="8"/>
      <c r="U1511" s="8"/>
      <c r="V1511" s="25"/>
      <c r="W1511" s="25"/>
      <c r="X1511" s="25"/>
      <c r="Y1511" s="25"/>
      <c r="Z1511" s="25"/>
      <c r="AA1511" s="25"/>
      <c r="AB1511" s="25"/>
      <c r="AC1511" s="25"/>
      <c r="AD1511" s="25"/>
    </row>
    <row r="1512" customFormat="false" ht="15.75" hidden="false" customHeight="false" outlineLevel="0" collapsed="false">
      <c r="A1512" s="28" t="s">
        <v>1911</v>
      </c>
      <c r="B1512" s="27" t="s">
        <v>438</v>
      </c>
      <c r="C1512" s="27" t="s">
        <v>308</v>
      </c>
      <c r="D1512" s="25"/>
      <c r="E1512" s="25"/>
      <c r="F1512" s="25"/>
      <c r="G1512" s="25"/>
      <c r="H1512" s="25"/>
      <c r="I1512" s="25"/>
      <c r="J1512" s="27" t="s">
        <v>1874</v>
      </c>
      <c r="K1512" s="25" t="str">
        <f aca="false">IFERROR(__xludf.dummyfunction("SPLIT(J1512,"" "")"),"CIF")</f>
        <v>CIF</v>
      </c>
      <c r="L1512" s="28" t="str">
        <f aca="false">IFERROR(__xludf.dummyfunction("""COMPUTED_VALUE"""),"Portugal")</f>
        <v>Portugal</v>
      </c>
      <c r="M1512" s="27" t="str">
        <f aca="false">IFERROR(__xludf.dummyfunction("""COMPUTED_VALUE"""),"(Diff)")</f>
        <v>(Diff)</v>
      </c>
      <c r="N1512" s="25"/>
      <c r="O1512" s="25"/>
      <c r="P1512" s="25"/>
      <c r="Q1512" s="29" t="s">
        <v>352</v>
      </c>
      <c r="R1512" s="8" t="str">
        <f aca="false">B1512&amp;" "&amp;C1512&amp;" "&amp;D1512&amp;" "&amp;E1512&amp;" "&amp;G1512&amp;" "&amp;H1512&amp;" "&amp;J1512&amp;" "&amp;N1512</f>
        <v>Differentials Graphite     CIF Portugal (Diff) </v>
      </c>
      <c r="S1512" s="25"/>
      <c r="T1512" s="8"/>
      <c r="U1512" s="8"/>
      <c r="V1512" s="25"/>
      <c r="W1512" s="25"/>
      <c r="X1512" s="25"/>
      <c r="Y1512" s="25"/>
      <c r="Z1512" s="25"/>
      <c r="AA1512" s="25"/>
      <c r="AB1512" s="25"/>
      <c r="AC1512" s="25"/>
      <c r="AD1512" s="25"/>
    </row>
    <row r="1513" customFormat="false" ht="15.75" hidden="false" customHeight="false" outlineLevel="0" collapsed="false">
      <c r="A1513" s="28" t="s">
        <v>1912</v>
      </c>
      <c r="B1513" s="27" t="s">
        <v>438</v>
      </c>
      <c r="C1513" s="27" t="s">
        <v>308</v>
      </c>
      <c r="D1513" s="25"/>
      <c r="E1513" s="25"/>
      <c r="F1513" s="25"/>
      <c r="G1513" s="25"/>
      <c r="H1513" s="25"/>
      <c r="I1513" s="25"/>
      <c r="J1513" s="27" t="s">
        <v>1874</v>
      </c>
      <c r="K1513" s="25" t="str">
        <f aca="false">IFERROR(__xludf.dummyfunction("SPLIT(J1513,"" "")"),"CIF")</f>
        <v>CIF</v>
      </c>
      <c r="L1513" s="28" t="str">
        <f aca="false">IFERROR(__xludf.dummyfunction("""COMPUTED_VALUE"""),"Portugal")</f>
        <v>Portugal</v>
      </c>
      <c r="M1513" s="27" t="str">
        <f aca="false">IFERROR(__xludf.dummyfunction("""COMPUTED_VALUE"""),"(Diff)")</f>
        <v>(Diff)</v>
      </c>
      <c r="N1513" s="25"/>
      <c r="O1513" s="25"/>
      <c r="P1513" s="25"/>
      <c r="Q1513" s="29" t="s">
        <v>350</v>
      </c>
      <c r="R1513" s="8" t="str">
        <f aca="false">B1513&amp;" "&amp;C1513&amp;" "&amp;D1513&amp;" "&amp;E1513&amp;" "&amp;G1513&amp;" "&amp;H1513&amp;" "&amp;J1513&amp;" "&amp;N1513</f>
        <v>Differentials Graphite     CIF Portugal (Diff) </v>
      </c>
      <c r="S1513" s="25"/>
      <c r="T1513" s="8"/>
      <c r="U1513" s="8"/>
      <c r="V1513" s="25"/>
      <c r="W1513" s="25"/>
      <c r="X1513" s="25"/>
      <c r="Y1513" s="25"/>
      <c r="Z1513" s="25"/>
      <c r="AA1513" s="25"/>
      <c r="AB1513" s="25"/>
      <c r="AC1513" s="25"/>
      <c r="AD1513" s="25"/>
    </row>
    <row r="1514" customFormat="false" ht="15.75" hidden="false" customHeight="false" outlineLevel="0" collapsed="false">
      <c r="A1514" s="28" t="s">
        <v>1913</v>
      </c>
      <c r="B1514" s="27" t="s">
        <v>438</v>
      </c>
      <c r="C1514" s="27" t="s">
        <v>308</v>
      </c>
      <c r="D1514" s="25"/>
      <c r="E1514" s="25"/>
      <c r="F1514" s="25"/>
      <c r="G1514" s="25"/>
      <c r="H1514" s="25"/>
      <c r="I1514" s="25"/>
      <c r="J1514" s="27" t="s">
        <v>1874</v>
      </c>
      <c r="K1514" s="25" t="str">
        <f aca="false">IFERROR(__xludf.dummyfunction("SPLIT(J1514,"" "")"),"CIF")</f>
        <v>CIF</v>
      </c>
      <c r="L1514" s="28" t="str">
        <f aca="false">IFERROR(__xludf.dummyfunction("""COMPUTED_VALUE"""),"Portugal")</f>
        <v>Portugal</v>
      </c>
      <c r="M1514" s="27" t="str">
        <f aca="false">IFERROR(__xludf.dummyfunction("""COMPUTED_VALUE"""),"(Diff)")</f>
        <v>(Diff)</v>
      </c>
      <c r="N1514" s="25"/>
      <c r="O1514" s="25"/>
      <c r="P1514" s="25"/>
      <c r="Q1514" s="29" t="s">
        <v>347</v>
      </c>
      <c r="R1514" s="8" t="str">
        <f aca="false">B1514&amp;" "&amp;C1514&amp;" "&amp;D1514&amp;" "&amp;E1514&amp;" "&amp;G1514&amp;" "&amp;H1514&amp;" "&amp;J1514&amp;" "&amp;N1514</f>
        <v>Differentials Graphite     CIF Portugal (Diff) </v>
      </c>
      <c r="S1514" s="25"/>
      <c r="T1514" s="8"/>
      <c r="U1514" s="8"/>
      <c r="V1514" s="25"/>
      <c r="W1514" s="25"/>
      <c r="X1514" s="25"/>
      <c r="Y1514" s="25"/>
      <c r="Z1514" s="25"/>
      <c r="AA1514" s="25"/>
      <c r="AB1514" s="25"/>
      <c r="AC1514" s="25"/>
      <c r="AD1514" s="25"/>
    </row>
    <row r="1515" customFormat="false" ht="15.75" hidden="false" customHeight="false" outlineLevel="0" collapsed="false">
      <c r="A1515" s="28" t="s">
        <v>1914</v>
      </c>
      <c r="B1515" s="27" t="s">
        <v>438</v>
      </c>
      <c r="C1515" s="27" t="s">
        <v>308</v>
      </c>
      <c r="D1515" s="25"/>
      <c r="E1515" s="25"/>
      <c r="F1515" s="25"/>
      <c r="G1515" s="25"/>
      <c r="H1515" s="25"/>
      <c r="I1515" s="25"/>
      <c r="J1515" s="27" t="s">
        <v>1874</v>
      </c>
      <c r="K1515" s="25" t="str">
        <f aca="false">IFERROR(__xludf.dummyfunction("SPLIT(J1515,"" "")"),"CIF")</f>
        <v>CIF</v>
      </c>
      <c r="L1515" s="28" t="str">
        <f aca="false">IFERROR(__xludf.dummyfunction("""COMPUTED_VALUE"""),"Portugal")</f>
        <v>Portugal</v>
      </c>
      <c r="M1515" s="27" t="str">
        <f aca="false">IFERROR(__xludf.dummyfunction("""COMPUTED_VALUE"""),"(Diff)")</f>
        <v>(Diff)</v>
      </c>
      <c r="N1515" s="25"/>
      <c r="O1515" s="25"/>
      <c r="P1515" s="25"/>
      <c r="Q1515" s="29" t="s">
        <v>344</v>
      </c>
      <c r="R1515" s="8" t="str">
        <f aca="false">B1515&amp;" "&amp;C1515&amp;" "&amp;D1515&amp;" "&amp;E1515&amp;" "&amp;G1515&amp;" "&amp;H1515&amp;" "&amp;J1515&amp;" "&amp;N1515</f>
        <v>Differentials Graphite     CIF Portugal (Diff) </v>
      </c>
      <c r="S1515" s="25"/>
      <c r="T1515" s="8"/>
      <c r="U1515" s="8"/>
      <c r="V1515" s="25"/>
      <c r="W1515" s="25"/>
      <c r="X1515" s="25"/>
      <c r="Y1515" s="25"/>
      <c r="Z1515" s="25"/>
      <c r="AA1515" s="25"/>
      <c r="AB1515" s="25"/>
      <c r="AC1515" s="25"/>
      <c r="AD1515" s="25"/>
    </row>
    <row r="1516" customFormat="false" ht="15.75" hidden="false" customHeight="false" outlineLevel="0" collapsed="false">
      <c r="A1516" s="28" t="s">
        <v>1915</v>
      </c>
      <c r="B1516" s="27" t="s">
        <v>438</v>
      </c>
      <c r="C1516" s="27" t="s">
        <v>308</v>
      </c>
      <c r="D1516" s="25"/>
      <c r="E1516" s="25"/>
      <c r="F1516" s="25"/>
      <c r="G1516" s="25"/>
      <c r="H1516" s="25"/>
      <c r="I1516" s="25"/>
      <c r="J1516" s="27" t="s">
        <v>1874</v>
      </c>
      <c r="K1516" s="25" t="str">
        <f aca="false">IFERROR(__xludf.dummyfunction("SPLIT(J1516,"" "")"),"CIF")</f>
        <v>CIF</v>
      </c>
      <c r="L1516" s="28" t="str">
        <f aca="false">IFERROR(__xludf.dummyfunction("""COMPUTED_VALUE"""),"Portugal")</f>
        <v>Portugal</v>
      </c>
      <c r="M1516" s="27" t="str">
        <f aca="false">IFERROR(__xludf.dummyfunction("""COMPUTED_VALUE"""),"(Diff)")</f>
        <v>(Diff)</v>
      </c>
      <c r="N1516" s="25"/>
      <c r="O1516" s="25"/>
      <c r="P1516" s="25"/>
      <c r="Q1516" s="29" t="s">
        <v>340</v>
      </c>
      <c r="R1516" s="8" t="str">
        <f aca="false">B1516&amp;" "&amp;C1516&amp;" "&amp;D1516&amp;" "&amp;E1516&amp;" "&amp;G1516&amp;" "&amp;H1516&amp;" "&amp;J1516&amp;" "&amp;N1516</f>
        <v>Differentials Graphite     CIF Portugal (Diff) </v>
      </c>
      <c r="S1516" s="25"/>
      <c r="T1516" s="8"/>
      <c r="U1516" s="8"/>
      <c r="V1516" s="25"/>
      <c r="W1516" s="25"/>
      <c r="X1516" s="25"/>
      <c r="Y1516" s="25"/>
      <c r="Z1516" s="25"/>
      <c r="AA1516" s="25"/>
      <c r="AB1516" s="25"/>
      <c r="AC1516" s="25"/>
      <c r="AD1516" s="25"/>
    </row>
    <row r="1517" customFormat="false" ht="15.75" hidden="false" customHeight="false" outlineLevel="0" collapsed="false">
      <c r="A1517" s="28" t="s">
        <v>1916</v>
      </c>
      <c r="B1517" s="27" t="s">
        <v>438</v>
      </c>
      <c r="C1517" s="27" t="s">
        <v>308</v>
      </c>
      <c r="D1517" s="25"/>
      <c r="E1517" s="25"/>
      <c r="F1517" s="25"/>
      <c r="G1517" s="25"/>
      <c r="H1517" s="25"/>
      <c r="I1517" s="25"/>
      <c r="J1517" s="27" t="s">
        <v>1874</v>
      </c>
      <c r="K1517" s="25" t="str">
        <f aca="false">IFERROR(__xludf.dummyfunction("SPLIT(J1517,"" "")"),"CIF")</f>
        <v>CIF</v>
      </c>
      <c r="L1517" s="28" t="str">
        <f aca="false">IFERROR(__xludf.dummyfunction("""COMPUTED_VALUE"""),"Portugal")</f>
        <v>Portugal</v>
      </c>
      <c r="M1517" s="27" t="str">
        <f aca="false">IFERROR(__xludf.dummyfunction("""COMPUTED_VALUE"""),"(Diff)")</f>
        <v>(Diff)</v>
      </c>
      <c r="N1517" s="25"/>
      <c r="O1517" s="25"/>
      <c r="P1517" s="25"/>
      <c r="Q1517" s="29" t="s">
        <v>338</v>
      </c>
      <c r="R1517" s="8" t="str">
        <f aca="false">B1517&amp;" "&amp;C1517&amp;" "&amp;D1517&amp;" "&amp;E1517&amp;" "&amp;G1517&amp;" "&amp;H1517&amp;" "&amp;J1517&amp;" "&amp;N1517</f>
        <v>Differentials Graphite     CIF Portugal (Diff) </v>
      </c>
      <c r="S1517" s="25"/>
      <c r="T1517" s="8"/>
      <c r="U1517" s="8"/>
      <c r="V1517" s="25"/>
      <c r="W1517" s="25"/>
      <c r="X1517" s="25"/>
      <c r="Y1517" s="25"/>
      <c r="Z1517" s="25"/>
      <c r="AA1517" s="25"/>
      <c r="AB1517" s="25"/>
      <c r="AC1517" s="25"/>
      <c r="AD1517" s="25"/>
    </row>
    <row r="1518" customFormat="false" ht="15.75" hidden="false" customHeight="false" outlineLevel="0" collapsed="false">
      <c r="A1518" s="28" t="s">
        <v>1917</v>
      </c>
      <c r="B1518" s="27" t="s">
        <v>438</v>
      </c>
      <c r="C1518" s="27" t="s">
        <v>308</v>
      </c>
      <c r="D1518" s="25"/>
      <c r="E1518" s="25"/>
      <c r="F1518" s="25"/>
      <c r="G1518" s="25"/>
      <c r="H1518" s="25"/>
      <c r="I1518" s="25"/>
      <c r="J1518" s="27" t="s">
        <v>1874</v>
      </c>
      <c r="K1518" s="25" t="str">
        <f aca="false">IFERROR(__xludf.dummyfunction("SPLIT(J1518,"" "")"),"CIF")</f>
        <v>CIF</v>
      </c>
      <c r="L1518" s="28" t="str">
        <f aca="false">IFERROR(__xludf.dummyfunction("""COMPUTED_VALUE"""),"Portugal")</f>
        <v>Portugal</v>
      </c>
      <c r="M1518" s="27" t="str">
        <f aca="false">IFERROR(__xludf.dummyfunction("""COMPUTED_VALUE"""),"(Diff)")</f>
        <v>(Diff)</v>
      </c>
      <c r="N1518" s="25"/>
      <c r="O1518" s="25"/>
      <c r="P1518" s="25"/>
      <c r="Q1518" s="29" t="s">
        <v>335</v>
      </c>
      <c r="R1518" s="8" t="str">
        <f aca="false">B1518&amp;" "&amp;C1518&amp;" "&amp;D1518&amp;" "&amp;E1518&amp;" "&amp;G1518&amp;" "&amp;H1518&amp;" "&amp;J1518&amp;" "&amp;N1518</f>
        <v>Differentials Graphite     CIF Portugal (Diff) </v>
      </c>
      <c r="S1518" s="25"/>
      <c r="T1518" s="8"/>
      <c r="U1518" s="8"/>
      <c r="V1518" s="25"/>
      <c r="W1518" s="25"/>
      <c r="X1518" s="25"/>
      <c r="Y1518" s="25"/>
      <c r="Z1518" s="25"/>
      <c r="AA1518" s="25"/>
      <c r="AB1518" s="25"/>
      <c r="AC1518" s="25"/>
      <c r="AD1518" s="25"/>
    </row>
    <row r="1519" customFormat="false" ht="15.75" hidden="false" customHeight="false" outlineLevel="0" collapsed="false">
      <c r="A1519" s="28" t="s">
        <v>1918</v>
      </c>
      <c r="B1519" s="27" t="s">
        <v>438</v>
      </c>
      <c r="C1519" s="27" t="s">
        <v>308</v>
      </c>
      <c r="D1519" s="25"/>
      <c r="E1519" s="25"/>
      <c r="F1519" s="25"/>
      <c r="G1519" s="25"/>
      <c r="H1519" s="25"/>
      <c r="I1519" s="25"/>
      <c r="J1519" s="27" t="s">
        <v>1874</v>
      </c>
      <c r="K1519" s="25" t="str">
        <f aca="false">IFERROR(__xludf.dummyfunction("SPLIT(J1519,"" "")"),"CIF")</f>
        <v>CIF</v>
      </c>
      <c r="L1519" s="28" t="str">
        <f aca="false">IFERROR(__xludf.dummyfunction("""COMPUTED_VALUE"""),"Portugal")</f>
        <v>Portugal</v>
      </c>
      <c r="M1519" s="27" t="str">
        <f aca="false">IFERROR(__xludf.dummyfunction("""COMPUTED_VALUE"""),"(Diff)")</f>
        <v>(Diff)</v>
      </c>
      <c r="N1519" s="25"/>
      <c r="O1519" s="25"/>
      <c r="P1519" s="25"/>
      <c r="Q1519" s="29" t="s">
        <v>332</v>
      </c>
      <c r="R1519" s="8" t="str">
        <f aca="false">B1519&amp;" "&amp;C1519&amp;" "&amp;D1519&amp;" "&amp;E1519&amp;" "&amp;G1519&amp;" "&amp;H1519&amp;" "&amp;J1519&amp;" "&amp;N1519</f>
        <v>Differentials Graphite     CIF Portugal (Diff) </v>
      </c>
      <c r="S1519" s="25"/>
      <c r="T1519" s="8"/>
      <c r="U1519" s="8"/>
      <c r="V1519" s="25"/>
      <c r="W1519" s="25"/>
      <c r="X1519" s="25"/>
      <c r="Y1519" s="25"/>
      <c r="Z1519" s="25"/>
      <c r="AA1519" s="25"/>
      <c r="AB1519" s="25"/>
      <c r="AC1519" s="25"/>
      <c r="AD1519" s="25"/>
    </row>
    <row r="1520" customFormat="false" ht="15.75" hidden="false" customHeight="false" outlineLevel="0" collapsed="false">
      <c r="A1520" s="28" t="s">
        <v>1919</v>
      </c>
      <c r="B1520" s="27" t="s">
        <v>438</v>
      </c>
      <c r="C1520" s="27" t="s">
        <v>308</v>
      </c>
      <c r="D1520" s="25"/>
      <c r="E1520" s="25"/>
      <c r="F1520" s="25"/>
      <c r="G1520" s="25"/>
      <c r="H1520" s="25"/>
      <c r="I1520" s="25"/>
      <c r="J1520" s="27" t="s">
        <v>1874</v>
      </c>
      <c r="K1520" s="25" t="str">
        <f aca="false">IFERROR(__xludf.dummyfunction("SPLIT(J1520,"" "")"),"CIF")</f>
        <v>CIF</v>
      </c>
      <c r="L1520" s="28" t="str">
        <f aca="false">IFERROR(__xludf.dummyfunction("""COMPUTED_VALUE"""),"Portugal")</f>
        <v>Portugal</v>
      </c>
      <c r="M1520" s="27" t="str">
        <f aca="false">IFERROR(__xludf.dummyfunction("""COMPUTED_VALUE"""),"(Diff)")</f>
        <v>(Diff)</v>
      </c>
      <c r="N1520" s="25"/>
      <c r="O1520" s="25"/>
      <c r="P1520" s="25"/>
      <c r="Q1520" s="29" t="s">
        <v>329</v>
      </c>
      <c r="R1520" s="8" t="str">
        <f aca="false">B1520&amp;" "&amp;C1520&amp;" "&amp;D1520&amp;" "&amp;E1520&amp;" "&amp;G1520&amp;" "&amp;H1520&amp;" "&amp;J1520&amp;" "&amp;N1520</f>
        <v>Differentials Graphite     CIF Portugal (Diff) </v>
      </c>
      <c r="S1520" s="25"/>
      <c r="T1520" s="8"/>
      <c r="U1520" s="8"/>
      <c r="V1520" s="25"/>
      <c r="W1520" s="25"/>
      <c r="X1520" s="25"/>
      <c r="Y1520" s="25"/>
      <c r="Z1520" s="25"/>
      <c r="AA1520" s="25"/>
      <c r="AB1520" s="25"/>
      <c r="AC1520" s="25"/>
      <c r="AD1520" s="25"/>
    </row>
    <row r="1521" customFormat="false" ht="15.75" hidden="false" customHeight="false" outlineLevel="0" collapsed="false">
      <c r="A1521" s="28" t="s">
        <v>1920</v>
      </c>
      <c r="B1521" s="27" t="s">
        <v>438</v>
      </c>
      <c r="C1521" s="27" t="s">
        <v>308</v>
      </c>
      <c r="D1521" s="25"/>
      <c r="E1521" s="25"/>
      <c r="F1521" s="25"/>
      <c r="G1521" s="25"/>
      <c r="H1521" s="25"/>
      <c r="I1521" s="25"/>
      <c r="J1521" s="27" t="s">
        <v>1874</v>
      </c>
      <c r="K1521" s="25" t="str">
        <f aca="false">IFERROR(__xludf.dummyfunction("SPLIT(J1521,"" "")"),"CIF")</f>
        <v>CIF</v>
      </c>
      <c r="L1521" s="28" t="str">
        <f aca="false">IFERROR(__xludf.dummyfunction("""COMPUTED_VALUE"""),"Portugal")</f>
        <v>Portugal</v>
      </c>
      <c r="M1521" s="27" t="str">
        <f aca="false">IFERROR(__xludf.dummyfunction("""COMPUTED_VALUE"""),"(Diff)")</f>
        <v>(Diff)</v>
      </c>
      <c r="N1521" s="25"/>
      <c r="O1521" s="25"/>
      <c r="P1521" s="25"/>
      <c r="Q1521" s="29" t="s">
        <v>326</v>
      </c>
      <c r="R1521" s="8" t="str">
        <f aca="false">B1521&amp;" "&amp;C1521&amp;" "&amp;D1521&amp;" "&amp;E1521&amp;" "&amp;G1521&amp;" "&amp;H1521&amp;" "&amp;J1521&amp;" "&amp;N1521</f>
        <v>Differentials Graphite     CIF Portugal (Diff) </v>
      </c>
      <c r="S1521" s="25"/>
      <c r="T1521" s="8"/>
      <c r="U1521" s="8"/>
      <c r="V1521" s="25"/>
      <c r="W1521" s="25"/>
      <c r="X1521" s="25"/>
      <c r="Y1521" s="25"/>
      <c r="Z1521" s="25"/>
      <c r="AA1521" s="25"/>
      <c r="AB1521" s="25"/>
      <c r="AC1521" s="25"/>
      <c r="AD1521" s="25"/>
    </row>
    <row r="1522" customFormat="false" ht="15.75" hidden="false" customHeight="false" outlineLevel="0" collapsed="false">
      <c r="A1522" s="28" t="s">
        <v>1921</v>
      </c>
      <c r="B1522" s="27" t="s">
        <v>438</v>
      </c>
      <c r="C1522" s="27" t="s">
        <v>308</v>
      </c>
      <c r="D1522" s="25"/>
      <c r="E1522" s="25"/>
      <c r="F1522" s="25"/>
      <c r="G1522" s="25"/>
      <c r="H1522" s="25"/>
      <c r="I1522" s="25"/>
      <c r="J1522" s="27" t="s">
        <v>1874</v>
      </c>
      <c r="K1522" s="25" t="str">
        <f aca="false">IFERROR(__xludf.dummyfunction("SPLIT(J1522,"" "")"),"CIF")</f>
        <v>CIF</v>
      </c>
      <c r="L1522" s="28" t="str">
        <f aca="false">IFERROR(__xludf.dummyfunction("""COMPUTED_VALUE"""),"Portugal")</f>
        <v>Portugal</v>
      </c>
      <c r="M1522" s="27" t="str">
        <f aca="false">IFERROR(__xludf.dummyfunction("""COMPUTED_VALUE"""),"(Diff)")</f>
        <v>(Diff)</v>
      </c>
      <c r="N1522" s="25"/>
      <c r="O1522" s="25"/>
      <c r="P1522" s="25"/>
      <c r="Q1522" s="29" t="s">
        <v>323</v>
      </c>
      <c r="R1522" s="8" t="str">
        <f aca="false">B1522&amp;" "&amp;C1522&amp;" "&amp;D1522&amp;" "&amp;E1522&amp;" "&amp;G1522&amp;" "&amp;H1522&amp;" "&amp;J1522&amp;" "&amp;N1522</f>
        <v>Differentials Graphite     CIF Portugal (Diff) </v>
      </c>
      <c r="S1522" s="25"/>
      <c r="T1522" s="8"/>
      <c r="U1522" s="8"/>
      <c r="V1522" s="25"/>
      <c r="W1522" s="25"/>
      <c r="X1522" s="25"/>
      <c r="Y1522" s="25"/>
      <c r="Z1522" s="25"/>
      <c r="AA1522" s="25"/>
      <c r="AB1522" s="25"/>
      <c r="AC1522" s="25"/>
      <c r="AD1522" s="25"/>
    </row>
    <row r="1523" customFormat="false" ht="15.75" hidden="false" customHeight="false" outlineLevel="0" collapsed="false">
      <c r="A1523" s="28" t="s">
        <v>1922</v>
      </c>
      <c r="B1523" s="27" t="s">
        <v>438</v>
      </c>
      <c r="C1523" s="27" t="s">
        <v>308</v>
      </c>
      <c r="D1523" s="25"/>
      <c r="E1523" s="25"/>
      <c r="F1523" s="25"/>
      <c r="G1523" s="25"/>
      <c r="H1523" s="25"/>
      <c r="I1523" s="25"/>
      <c r="J1523" s="27" t="s">
        <v>1874</v>
      </c>
      <c r="K1523" s="25" t="str">
        <f aca="false">IFERROR(__xludf.dummyfunction("SPLIT(J1523,"" "")"),"CIF")</f>
        <v>CIF</v>
      </c>
      <c r="L1523" s="28" t="str">
        <f aca="false">IFERROR(__xludf.dummyfunction("""COMPUTED_VALUE"""),"Portugal")</f>
        <v>Portugal</v>
      </c>
      <c r="M1523" s="27" t="str">
        <f aca="false">IFERROR(__xludf.dummyfunction("""COMPUTED_VALUE"""),"(Diff)")</f>
        <v>(Diff)</v>
      </c>
      <c r="N1523" s="25"/>
      <c r="O1523" s="25"/>
      <c r="P1523" s="25"/>
      <c r="Q1523" s="29" t="s">
        <v>319</v>
      </c>
      <c r="R1523" s="8" t="str">
        <f aca="false">B1523&amp;" "&amp;C1523&amp;" "&amp;D1523&amp;" "&amp;E1523&amp;" "&amp;G1523&amp;" "&amp;H1523&amp;" "&amp;J1523&amp;" "&amp;N1523</f>
        <v>Differentials Graphite     CIF Portugal (Diff) </v>
      </c>
      <c r="S1523" s="25"/>
      <c r="T1523" s="8"/>
      <c r="U1523" s="8"/>
      <c r="V1523" s="25"/>
      <c r="W1523" s="25"/>
      <c r="X1523" s="25"/>
      <c r="Y1523" s="25"/>
      <c r="Z1523" s="25"/>
      <c r="AA1523" s="25"/>
      <c r="AB1523" s="25"/>
      <c r="AC1523" s="25"/>
      <c r="AD1523" s="25"/>
    </row>
    <row r="1524" customFormat="false" ht="15.75" hidden="false" customHeight="false" outlineLevel="0" collapsed="false">
      <c r="A1524" s="28" t="s">
        <v>1923</v>
      </c>
      <c r="B1524" s="27" t="s">
        <v>438</v>
      </c>
      <c r="C1524" s="27" t="s">
        <v>308</v>
      </c>
      <c r="D1524" s="25"/>
      <c r="E1524" s="25"/>
      <c r="F1524" s="25"/>
      <c r="G1524" s="25"/>
      <c r="H1524" s="25"/>
      <c r="I1524" s="25"/>
      <c r="J1524" s="27" t="s">
        <v>1874</v>
      </c>
      <c r="K1524" s="25" t="str">
        <f aca="false">IFERROR(__xludf.dummyfunction("SPLIT(J1524,"" "")"),"CIF")</f>
        <v>CIF</v>
      </c>
      <c r="L1524" s="28" t="str">
        <f aca="false">IFERROR(__xludf.dummyfunction("""COMPUTED_VALUE"""),"Portugal")</f>
        <v>Portugal</v>
      </c>
      <c r="M1524" s="27" t="str">
        <f aca="false">IFERROR(__xludf.dummyfunction("""COMPUTED_VALUE"""),"(Diff)")</f>
        <v>(Diff)</v>
      </c>
      <c r="N1524" s="25"/>
      <c r="O1524" s="25"/>
      <c r="P1524" s="25"/>
      <c r="Q1524" s="29" t="s">
        <v>315</v>
      </c>
      <c r="R1524" s="8" t="str">
        <f aca="false">B1524&amp;" "&amp;C1524&amp;" "&amp;D1524&amp;" "&amp;E1524&amp;" "&amp;G1524&amp;" "&amp;H1524&amp;" "&amp;J1524&amp;" "&amp;N1524</f>
        <v>Differentials Graphite     CIF Portugal (Diff) </v>
      </c>
      <c r="S1524" s="25"/>
      <c r="T1524" s="8"/>
      <c r="U1524" s="8"/>
      <c r="V1524" s="25"/>
      <c r="W1524" s="25"/>
      <c r="X1524" s="25"/>
      <c r="Y1524" s="25"/>
      <c r="Z1524" s="25"/>
      <c r="AA1524" s="25"/>
      <c r="AB1524" s="25"/>
      <c r="AC1524" s="25"/>
      <c r="AD1524" s="25"/>
    </row>
    <row r="1525" customFormat="false" ht="15.75" hidden="false" customHeight="false" outlineLevel="0" collapsed="false">
      <c r="A1525" s="28" t="s">
        <v>1924</v>
      </c>
      <c r="B1525" s="27" t="s">
        <v>438</v>
      </c>
      <c r="C1525" s="27" t="s">
        <v>308</v>
      </c>
      <c r="D1525" s="25"/>
      <c r="E1525" s="25"/>
      <c r="F1525" s="25"/>
      <c r="G1525" s="25"/>
      <c r="H1525" s="25"/>
      <c r="I1525" s="25"/>
      <c r="J1525" s="27" t="s">
        <v>1874</v>
      </c>
      <c r="K1525" s="25" t="str">
        <f aca="false">IFERROR(__xludf.dummyfunction("SPLIT(J1525,"" "")"),"CIF")</f>
        <v>CIF</v>
      </c>
      <c r="L1525" s="28" t="str">
        <f aca="false">IFERROR(__xludf.dummyfunction("""COMPUTED_VALUE"""),"Portugal")</f>
        <v>Portugal</v>
      </c>
      <c r="M1525" s="27" t="str">
        <f aca="false">IFERROR(__xludf.dummyfunction("""COMPUTED_VALUE"""),"(Diff)")</f>
        <v>(Diff)</v>
      </c>
      <c r="N1525" s="25"/>
      <c r="O1525" s="25"/>
      <c r="P1525" s="25"/>
      <c r="Q1525" s="29" t="s">
        <v>311</v>
      </c>
      <c r="R1525" s="8" t="str">
        <f aca="false">B1525&amp;" "&amp;C1525&amp;" "&amp;D1525&amp;" "&amp;E1525&amp;" "&amp;G1525&amp;" "&amp;H1525&amp;" "&amp;J1525&amp;" "&amp;N1525</f>
        <v>Differentials Graphite     CIF Portugal (Diff) </v>
      </c>
      <c r="S1525" s="25"/>
      <c r="T1525" s="8"/>
      <c r="U1525" s="8"/>
      <c r="V1525" s="25"/>
      <c r="W1525" s="25"/>
      <c r="X1525" s="25"/>
      <c r="Y1525" s="25"/>
      <c r="Z1525" s="25"/>
      <c r="AA1525" s="25"/>
      <c r="AB1525" s="25"/>
      <c r="AC1525" s="25"/>
      <c r="AD1525" s="25"/>
    </row>
    <row r="1526" customFormat="false" ht="15.75" hidden="false" customHeight="false" outlineLevel="0" collapsed="false">
      <c r="A1526" s="28" t="s">
        <v>1925</v>
      </c>
      <c r="B1526" s="27" t="s">
        <v>438</v>
      </c>
      <c r="C1526" s="27" t="s">
        <v>417</v>
      </c>
      <c r="D1526" s="25"/>
      <c r="E1526" s="25"/>
      <c r="F1526" s="25"/>
      <c r="G1526" s="25"/>
      <c r="H1526" s="25"/>
      <c r="I1526" s="25"/>
      <c r="J1526" s="27" t="s">
        <v>1874</v>
      </c>
      <c r="K1526" s="25" t="str">
        <f aca="false">IFERROR(__xludf.dummyfunction("SPLIT(J1526,"" "")"),"CIF")</f>
        <v>CIF</v>
      </c>
      <c r="L1526" s="28" t="str">
        <f aca="false">IFERROR(__xludf.dummyfunction("""COMPUTED_VALUE"""),"Portugal")</f>
        <v>Portugal</v>
      </c>
      <c r="M1526" s="27" t="str">
        <f aca="false">IFERROR(__xludf.dummyfunction("""COMPUTED_VALUE"""),"(Diff)")</f>
        <v>(Diff)</v>
      </c>
      <c r="N1526" s="25"/>
      <c r="O1526" s="25"/>
      <c r="P1526" s="25"/>
      <c r="Q1526" s="29" t="s">
        <v>436</v>
      </c>
      <c r="R1526" s="8" t="str">
        <f aca="false">B1526&amp;" "&amp;C1526&amp;" "&amp;D1526&amp;" "&amp;E1526&amp;" "&amp;G1526&amp;" "&amp;H1526&amp;" "&amp;J1526&amp;" "&amp;N1526</f>
        <v>Differentials Solvent     CIF Portugal (Diff) </v>
      </c>
      <c r="S1526" s="25"/>
      <c r="T1526" s="8"/>
      <c r="U1526" s="8"/>
      <c r="V1526" s="25"/>
      <c r="W1526" s="25"/>
      <c r="X1526" s="25"/>
      <c r="Y1526" s="25"/>
      <c r="Z1526" s="25"/>
      <c r="AA1526" s="25"/>
      <c r="AB1526" s="25"/>
      <c r="AC1526" s="25"/>
      <c r="AD1526" s="25"/>
    </row>
    <row r="1527" customFormat="false" ht="15.75" hidden="false" customHeight="false" outlineLevel="0" collapsed="false">
      <c r="A1527" s="28" t="s">
        <v>1926</v>
      </c>
      <c r="B1527" s="27" t="s">
        <v>438</v>
      </c>
      <c r="C1527" s="27" t="s">
        <v>417</v>
      </c>
      <c r="D1527" s="25"/>
      <c r="E1527" s="25"/>
      <c r="F1527" s="25"/>
      <c r="G1527" s="25"/>
      <c r="H1527" s="25"/>
      <c r="I1527" s="25"/>
      <c r="J1527" s="27" t="s">
        <v>1874</v>
      </c>
      <c r="K1527" s="25" t="str">
        <f aca="false">IFERROR(__xludf.dummyfunction("SPLIT(J1527,"" "")"),"CIF")</f>
        <v>CIF</v>
      </c>
      <c r="L1527" s="28" t="str">
        <f aca="false">IFERROR(__xludf.dummyfunction("""COMPUTED_VALUE"""),"Portugal")</f>
        <v>Portugal</v>
      </c>
      <c r="M1527" s="27" t="str">
        <f aca="false">IFERROR(__xludf.dummyfunction("""COMPUTED_VALUE"""),"(Diff)")</f>
        <v>(Diff)</v>
      </c>
      <c r="N1527" s="25"/>
      <c r="O1527" s="25"/>
      <c r="P1527" s="25"/>
      <c r="Q1527" s="29" t="s">
        <v>434</v>
      </c>
      <c r="R1527" s="8" t="str">
        <f aca="false">B1527&amp;" "&amp;C1527&amp;" "&amp;D1527&amp;" "&amp;E1527&amp;" "&amp;G1527&amp;" "&amp;H1527&amp;" "&amp;J1527&amp;" "&amp;N1527</f>
        <v>Differentials Solvent     CIF Portugal (Diff) </v>
      </c>
      <c r="S1527" s="25"/>
      <c r="T1527" s="8"/>
      <c r="U1527" s="8"/>
      <c r="V1527" s="25"/>
      <c r="W1527" s="25"/>
      <c r="X1527" s="25"/>
      <c r="Y1527" s="25"/>
      <c r="Z1527" s="25"/>
      <c r="AA1527" s="25"/>
      <c r="AB1527" s="25"/>
      <c r="AC1527" s="25"/>
      <c r="AD1527" s="25"/>
    </row>
    <row r="1528" customFormat="false" ht="15.75" hidden="false" customHeight="false" outlineLevel="0" collapsed="false">
      <c r="A1528" s="28" t="s">
        <v>1927</v>
      </c>
      <c r="B1528" s="27" t="s">
        <v>438</v>
      </c>
      <c r="C1528" s="27" t="s">
        <v>417</v>
      </c>
      <c r="D1528" s="25"/>
      <c r="E1528" s="25"/>
      <c r="F1528" s="25"/>
      <c r="G1528" s="25"/>
      <c r="H1528" s="25"/>
      <c r="I1528" s="25"/>
      <c r="J1528" s="27" t="s">
        <v>1874</v>
      </c>
      <c r="K1528" s="25" t="str">
        <f aca="false">IFERROR(__xludf.dummyfunction("SPLIT(J1528,"" "")"),"CIF")</f>
        <v>CIF</v>
      </c>
      <c r="L1528" s="28" t="str">
        <f aca="false">IFERROR(__xludf.dummyfunction("""COMPUTED_VALUE"""),"Portugal")</f>
        <v>Portugal</v>
      </c>
      <c r="M1528" s="27" t="str">
        <f aca="false">IFERROR(__xludf.dummyfunction("""COMPUTED_VALUE"""),"(Diff)")</f>
        <v>(Diff)</v>
      </c>
      <c r="N1528" s="25"/>
      <c r="O1528" s="25"/>
      <c r="P1528" s="25"/>
      <c r="Q1528" s="29" t="s">
        <v>432</v>
      </c>
      <c r="R1528" s="8" t="str">
        <f aca="false">B1528&amp;" "&amp;C1528&amp;" "&amp;D1528&amp;" "&amp;E1528&amp;" "&amp;G1528&amp;" "&amp;H1528&amp;" "&amp;J1528&amp;" "&amp;N1528</f>
        <v>Differentials Solvent     CIF Portugal (Diff) </v>
      </c>
      <c r="S1528" s="25"/>
      <c r="T1528" s="8"/>
      <c r="U1528" s="8"/>
      <c r="V1528" s="25"/>
      <c r="W1528" s="25"/>
      <c r="X1528" s="25"/>
      <c r="Y1528" s="25"/>
      <c r="Z1528" s="25"/>
      <c r="AA1528" s="25"/>
      <c r="AB1528" s="25"/>
      <c r="AC1528" s="25"/>
      <c r="AD1528" s="25"/>
    </row>
    <row r="1529" customFormat="false" ht="15.75" hidden="false" customHeight="false" outlineLevel="0" collapsed="false">
      <c r="A1529" s="28" t="s">
        <v>1928</v>
      </c>
      <c r="B1529" s="27" t="s">
        <v>438</v>
      </c>
      <c r="C1529" s="27" t="s">
        <v>417</v>
      </c>
      <c r="D1529" s="25"/>
      <c r="E1529" s="25"/>
      <c r="F1529" s="25"/>
      <c r="G1529" s="25"/>
      <c r="H1529" s="25"/>
      <c r="I1529" s="25"/>
      <c r="J1529" s="27" t="s">
        <v>1874</v>
      </c>
      <c r="K1529" s="25" t="str">
        <f aca="false">IFERROR(__xludf.dummyfunction("SPLIT(J1529,"" "")"),"CIF")</f>
        <v>CIF</v>
      </c>
      <c r="L1529" s="28" t="str">
        <f aca="false">IFERROR(__xludf.dummyfunction("""COMPUTED_VALUE"""),"Portugal")</f>
        <v>Portugal</v>
      </c>
      <c r="M1529" s="27" t="str">
        <f aca="false">IFERROR(__xludf.dummyfunction("""COMPUTED_VALUE"""),"(Diff)")</f>
        <v>(Diff)</v>
      </c>
      <c r="N1529" s="25"/>
      <c r="O1529" s="25"/>
      <c r="P1529" s="25"/>
      <c r="Q1529" s="29" t="s">
        <v>430</v>
      </c>
      <c r="R1529" s="8" t="str">
        <f aca="false">B1529&amp;" "&amp;C1529&amp;" "&amp;D1529&amp;" "&amp;E1529&amp;" "&amp;G1529&amp;" "&amp;H1529&amp;" "&amp;J1529&amp;" "&amp;N1529</f>
        <v>Differentials Solvent     CIF Portugal (Diff) </v>
      </c>
      <c r="S1529" s="25"/>
      <c r="T1529" s="8"/>
      <c r="U1529" s="8"/>
      <c r="V1529" s="25"/>
      <c r="W1529" s="25"/>
      <c r="X1529" s="25"/>
      <c r="Y1529" s="25"/>
      <c r="Z1529" s="25"/>
      <c r="AA1529" s="25"/>
      <c r="AB1529" s="25"/>
      <c r="AC1529" s="25"/>
      <c r="AD1529" s="25"/>
    </row>
    <row r="1530" customFormat="false" ht="15.75" hidden="false" customHeight="false" outlineLevel="0" collapsed="false">
      <c r="A1530" s="28" t="s">
        <v>1929</v>
      </c>
      <c r="B1530" s="27" t="s">
        <v>438</v>
      </c>
      <c r="C1530" s="27" t="s">
        <v>417</v>
      </c>
      <c r="D1530" s="25"/>
      <c r="E1530" s="25"/>
      <c r="F1530" s="25"/>
      <c r="G1530" s="25"/>
      <c r="H1530" s="25"/>
      <c r="I1530" s="25"/>
      <c r="J1530" s="27" t="s">
        <v>1874</v>
      </c>
      <c r="K1530" s="25" t="str">
        <f aca="false">IFERROR(__xludf.dummyfunction("SPLIT(J1530,"" "")"),"CIF")</f>
        <v>CIF</v>
      </c>
      <c r="L1530" s="28" t="str">
        <f aca="false">IFERROR(__xludf.dummyfunction("""COMPUTED_VALUE"""),"Portugal")</f>
        <v>Portugal</v>
      </c>
      <c r="M1530" s="27" t="str">
        <f aca="false">IFERROR(__xludf.dummyfunction("""COMPUTED_VALUE"""),"(Diff)")</f>
        <v>(Diff)</v>
      </c>
      <c r="N1530" s="25"/>
      <c r="O1530" s="25"/>
      <c r="P1530" s="25"/>
      <c r="Q1530" s="29" t="s">
        <v>428</v>
      </c>
      <c r="R1530" s="8" t="str">
        <f aca="false">B1530&amp;" "&amp;C1530&amp;" "&amp;D1530&amp;" "&amp;E1530&amp;" "&amp;G1530&amp;" "&amp;H1530&amp;" "&amp;J1530&amp;" "&amp;N1530</f>
        <v>Differentials Solvent     CIF Portugal (Diff) </v>
      </c>
      <c r="S1530" s="25"/>
      <c r="T1530" s="8"/>
      <c r="U1530" s="8"/>
      <c r="V1530" s="25"/>
      <c r="W1530" s="25"/>
      <c r="X1530" s="25"/>
      <c r="Y1530" s="25"/>
      <c r="Z1530" s="25"/>
      <c r="AA1530" s="25"/>
      <c r="AB1530" s="25"/>
      <c r="AC1530" s="25"/>
      <c r="AD1530" s="25"/>
    </row>
    <row r="1531" customFormat="false" ht="15.75" hidden="false" customHeight="false" outlineLevel="0" collapsed="false">
      <c r="A1531" s="28" t="s">
        <v>1930</v>
      </c>
      <c r="B1531" s="27" t="s">
        <v>438</v>
      </c>
      <c r="C1531" s="27" t="s">
        <v>417</v>
      </c>
      <c r="D1531" s="25"/>
      <c r="E1531" s="25"/>
      <c r="F1531" s="25"/>
      <c r="G1531" s="25"/>
      <c r="H1531" s="25"/>
      <c r="I1531" s="25"/>
      <c r="J1531" s="27" t="s">
        <v>1874</v>
      </c>
      <c r="K1531" s="25" t="str">
        <f aca="false">IFERROR(__xludf.dummyfunction("SPLIT(J1531,"" "")"),"CIF")</f>
        <v>CIF</v>
      </c>
      <c r="L1531" s="28" t="str">
        <f aca="false">IFERROR(__xludf.dummyfunction("""COMPUTED_VALUE"""),"Portugal")</f>
        <v>Portugal</v>
      </c>
      <c r="M1531" s="27" t="str">
        <f aca="false">IFERROR(__xludf.dummyfunction("""COMPUTED_VALUE"""),"(Diff)")</f>
        <v>(Diff)</v>
      </c>
      <c r="N1531" s="25"/>
      <c r="O1531" s="25"/>
      <c r="P1531" s="25"/>
      <c r="Q1531" s="29" t="s">
        <v>426</v>
      </c>
      <c r="R1531" s="8" t="str">
        <f aca="false">B1531&amp;" "&amp;C1531&amp;" "&amp;D1531&amp;" "&amp;E1531&amp;" "&amp;G1531&amp;" "&amp;H1531&amp;" "&amp;J1531&amp;" "&amp;N1531</f>
        <v>Differentials Solvent     CIF Portugal (Diff) </v>
      </c>
      <c r="S1531" s="25"/>
      <c r="T1531" s="8"/>
      <c r="U1531" s="8"/>
      <c r="V1531" s="25"/>
      <c r="W1531" s="25"/>
      <c r="X1531" s="25"/>
      <c r="Y1531" s="25"/>
      <c r="Z1531" s="25"/>
      <c r="AA1531" s="25"/>
      <c r="AB1531" s="25"/>
      <c r="AC1531" s="25"/>
      <c r="AD1531" s="25"/>
    </row>
    <row r="1532" customFormat="false" ht="15.75" hidden="false" customHeight="false" outlineLevel="0" collapsed="false">
      <c r="A1532" s="28" t="s">
        <v>1931</v>
      </c>
      <c r="B1532" s="27" t="s">
        <v>438</v>
      </c>
      <c r="C1532" s="27" t="s">
        <v>417</v>
      </c>
      <c r="D1532" s="25"/>
      <c r="E1532" s="25"/>
      <c r="F1532" s="25"/>
      <c r="G1532" s="25"/>
      <c r="H1532" s="25"/>
      <c r="I1532" s="25"/>
      <c r="J1532" s="27" t="s">
        <v>1874</v>
      </c>
      <c r="K1532" s="25" t="str">
        <f aca="false">IFERROR(__xludf.dummyfunction("SPLIT(J1532,"" "")"),"CIF")</f>
        <v>CIF</v>
      </c>
      <c r="L1532" s="28" t="str">
        <f aca="false">IFERROR(__xludf.dummyfunction("""COMPUTED_VALUE"""),"Portugal")</f>
        <v>Portugal</v>
      </c>
      <c r="M1532" s="27" t="str">
        <f aca="false">IFERROR(__xludf.dummyfunction("""COMPUTED_VALUE"""),"(Diff)")</f>
        <v>(Diff)</v>
      </c>
      <c r="N1532" s="25"/>
      <c r="O1532" s="25"/>
      <c r="P1532" s="25"/>
      <c r="Q1532" s="29" t="s">
        <v>424</v>
      </c>
      <c r="R1532" s="8" t="str">
        <f aca="false">B1532&amp;" "&amp;C1532&amp;" "&amp;D1532&amp;" "&amp;E1532&amp;" "&amp;G1532&amp;" "&amp;H1532&amp;" "&amp;J1532&amp;" "&amp;N1532</f>
        <v>Differentials Solvent     CIF Portugal (Diff) </v>
      </c>
      <c r="S1532" s="25"/>
      <c r="T1532" s="8"/>
      <c r="U1532" s="8"/>
      <c r="V1532" s="25"/>
      <c r="W1532" s="25"/>
      <c r="X1532" s="25"/>
      <c r="Y1532" s="25"/>
      <c r="Z1532" s="25"/>
      <c r="AA1532" s="25"/>
      <c r="AB1532" s="25"/>
      <c r="AC1532" s="25"/>
      <c r="AD1532" s="25"/>
    </row>
    <row r="1533" customFormat="false" ht="15.75" hidden="false" customHeight="false" outlineLevel="0" collapsed="false">
      <c r="A1533" s="28" t="s">
        <v>1932</v>
      </c>
      <c r="B1533" s="27" t="s">
        <v>438</v>
      </c>
      <c r="C1533" s="27" t="s">
        <v>417</v>
      </c>
      <c r="D1533" s="25"/>
      <c r="E1533" s="25"/>
      <c r="F1533" s="25"/>
      <c r="G1533" s="25"/>
      <c r="H1533" s="25"/>
      <c r="I1533" s="25"/>
      <c r="J1533" s="27" t="s">
        <v>1874</v>
      </c>
      <c r="K1533" s="25" t="str">
        <f aca="false">IFERROR(__xludf.dummyfunction("SPLIT(J1533,"" "")"),"CIF")</f>
        <v>CIF</v>
      </c>
      <c r="L1533" s="28" t="str">
        <f aca="false">IFERROR(__xludf.dummyfunction("""COMPUTED_VALUE"""),"Portugal")</f>
        <v>Portugal</v>
      </c>
      <c r="M1533" s="27" t="str">
        <f aca="false">IFERROR(__xludf.dummyfunction("""COMPUTED_VALUE"""),"(Diff)")</f>
        <v>(Diff)</v>
      </c>
      <c r="N1533" s="25"/>
      <c r="O1533" s="25"/>
      <c r="P1533" s="25"/>
      <c r="Q1533" s="29" t="s">
        <v>422</v>
      </c>
      <c r="R1533" s="8" t="str">
        <f aca="false">B1533&amp;" "&amp;C1533&amp;" "&amp;D1533&amp;" "&amp;E1533&amp;" "&amp;G1533&amp;" "&amp;H1533&amp;" "&amp;J1533&amp;" "&amp;N1533</f>
        <v>Differentials Solvent     CIF Portugal (Diff) </v>
      </c>
      <c r="S1533" s="25"/>
      <c r="T1533" s="8"/>
      <c r="U1533" s="8"/>
      <c r="V1533" s="25"/>
      <c r="W1533" s="25"/>
      <c r="X1533" s="25"/>
      <c r="Y1533" s="25"/>
      <c r="Z1533" s="25"/>
      <c r="AA1533" s="25"/>
      <c r="AB1533" s="25"/>
      <c r="AC1533" s="25"/>
      <c r="AD1533" s="25"/>
    </row>
    <row r="1534" customFormat="false" ht="15.75" hidden="false" customHeight="false" outlineLevel="0" collapsed="false">
      <c r="A1534" s="28" t="s">
        <v>1933</v>
      </c>
      <c r="B1534" s="27" t="s">
        <v>438</v>
      </c>
      <c r="C1534" s="27" t="s">
        <v>417</v>
      </c>
      <c r="D1534" s="25"/>
      <c r="E1534" s="25"/>
      <c r="F1534" s="25"/>
      <c r="G1534" s="25"/>
      <c r="H1534" s="25"/>
      <c r="I1534" s="25"/>
      <c r="J1534" s="27" t="s">
        <v>1874</v>
      </c>
      <c r="K1534" s="25" t="str">
        <f aca="false">IFERROR(__xludf.dummyfunction("SPLIT(J1534,"" "")"),"CIF")</f>
        <v>CIF</v>
      </c>
      <c r="L1534" s="28" t="str">
        <f aca="false">IFERROR(__xludf.dummyfunction("""COMPUTED_VALUE"""),"Portugal")</f>
        <v>Portugal</v>
      </c>
      <c r="M1534" s="27" t="str">
        <f aca="false">IFERROR(__xludf.dummyfunction("""COMPUTED_VALUE"""),"(Diff)")</f>
        <v>(Diff)</v>
      </c>
      <c r="N1534" s="25"/>
      <c r="O1534" s="25"/>
      <c r="P1534" s="25"/>
      <c r="Q1534" s="29" t="s">
        <v>420</v>
      </c>
      <c r="R1534" s="8" t="str">
        <f aca="false">B1534&amp;" "&amp;C1534&amp;" "&amp;D1534&amp;" "&amp;E1534&amp;" "&amp;G1534&amp;" "&amp;H1534&amp;" "&amp;J1534&amp;" "&amp;N1534</f>
        <v>Differentials Solvent     CIF Portugal (Diff) </v>
      </c>
      <c r="S1534" s="25"/>
      <c r="T1534" s="8"/>
      <c r="U1534" s="8"/>
      <c r="V1534" s="25"/>
      <c r="W1534" s="25"/>
      <c r="X1534" s="25"/>
      <c r="Y1534" s="25"/>
      <c r="Z1534" s="25"/>
      <c r="AA1534" s="25"/>
      <c r="AB1534" s="25"/>
      <c r="AC1534" s="25"/>
      <c r="AD1534" s="25"/>
    </row>
    <row r="1535" customFormat="false" ht="15.75" hidden="false" customHeight="false" outlineLevel="0" collapsed="false">
      <c r="A1535" s="28" t="s">
        <v>1934</v>
      </c>
      <c r="B1535" s="27" t="s">
        <v>438</v>
      </c>
      <c r="C1535" s="27" t="s">
        <v>417</v>
      </c>
      <c r="D1535" s="25"/>
      <c r="E1535" s="25"/>
      <c r="F1535" s="25"/>
      <c r="G1535" s="25"/>
      <c r="H1535" s="25"/>
      <c r="I1535" s="25"/>
      <c r="J1535" s="27" t="s">
        <v>1874</v>
      </c>
      <c r="K1535" s="25" t="str">
        <f aca="false">IFERROR(__xludf.dummyfunction("SPLIT(J1535,"" "")"),"CIF")</f>
        <v>CIF</v>
      </c>
      <c r="L1535" s="28" t="str">
        <f aca="false">IFERROR(__xludf.dummyfunction("""COMPUTED_VALUE"""),"Portugal")</f>
        <v>Portugal</v>
      </c>
      <c r="M1535" s="27" t="str">
        <f aca="false">IFERROR(__xludf.dummyfunction("""COMPUTED_VALUE"""),"(Diff)")</f>
        <v>(Diff)</v>
      </c>
      <c r="N1535" s="25"/>
      <c r="O1535" s="25"/>
      <c r="P1535" s="25"/>
      <c r="Q1535" s="29" t="s">
        <v>418</v>
      </c>
      <c r="R1535" s="8" t="str">
        <f aca="false">B1535&amp;" "&amp;C1535&amp;" "&amp;D1535&amp;" "&amp;E1535&amp;" "&amp;G1535&amp;" "&amp;H1535&amp;" "&amp;J1535&amp;" "&amp;N1535</f>
        <v>Differentials Solvent     CIF Portugal (Diff) </v>
      </c>
      <c r="S1535" s="25"/>
      <c r="T1535" s="8"/>
      <c r="U1535" s="8"/>
      <c r="V1535" s="25"/>
      <c r="W1535" s="25"/>
      <c r="X1535" s="25"/>
      <c r="Y1535" s="25"/>
      <c r="Z1535" s="25"/>
      <c r="AA1535" s="25"/>
      <c r="AB1535" s="25"/>
      <c r="AC1535" s="25"/>
      <c r="AD1535" s="25"/>
    </row>
    <row r="1536" customFormat="false" ht="15.75" hidden="false" customHeight="false" outlineLevel="0" collapsed="false">
      <c r="A1536" s="28" t="s">
        <v>1935</v>
      </c>
      <c r="B1536" s="27" t="s">
        <v>438</v>
      </c>
      <c r="C1536" s="27" t="s">
        <v>177</v>
      </c>
      <c r="D1536" s="25"/>
      <c r="E1536" s="25"/>
      <c r="F1536" s="25"/>
      <c r="G1536" s="25"/>
      <c r="H1536" s="25"/>
      <c r="I1536" s="25"/>
      <c r="J1536" s="27" t="s">
        <v>1936</v>
      </c>
      <c r="K1536" s="25" t="str">
        <f aca="false">IFERROR(__xludf.dummyfunction("SPLIT(J1536,"" "")"),"CIF")</f>
        <v>CIF</v>
      </c>
      <c r="L1536" s="28" t="str">
        <f aca="false">IFERROR(__xludf.dummyfunction("""COMPUTED_VALUE"""),"Russia")</f>
        <v>Russia</v>
      </c>
      <c r="M1536" s="27" t="str">
        <f aca="false">IFERROR(__xludf.dummyfunction("""COMPUTED_VALUE"""),"(Diff)")</f>
        <v>(Diff)</v>
      </c>
      <c r="N1536" s="25"/>
      <c r="O1536" s="25"/>
      <c r="P1536" s="25"/>
      <c r="Q1536" s="29" t="s">
        <v>209</v>
      </c>
      <c r="R1536" s="8" t="str">
        <f aca="false">B1536&amp;" "&amp;C1536&amp;" "&amp;D1536&amp;" "&amp;E1536&amp;" "&amp;G1536&amp;" "&amp;H1536&amp;" "&amp;J1536&amp;" "&amp;N1536</f>
        <v>Differentials Anode     CIF Russia (Diff) </v>
      </c>
      <c r="S1536" s="25"/>
      <c r="T1536" s="8"/>
      <c r="U1536" s="8"/>
      <c r="V1536" s="25"/>
      <c r="W1536" s="25"/>
      <c r="X1536" s="25"/>
      <c r="Y1536" s="25"/>
      <c r="Z1536" s="25"/>
      <c r="AA1536" s="25"/>
      <c r="AB1536" s="25"/>
      <c r="AC1536" s="25"/>
      <c r="AD1536" s="25"/>
    </row>
    <row r="1537" customFormat="false" ht="15.75" hidden="false" customHeight="false" outlineLevel="0" collapsed="false">
      <c r="A1537" s="28" t="s">
        <v>1937</v>
      </c>
      <c r="B1537" s="27" t="s">
        <v>438</v>
      </c>
      <c r="C1537" s="27" t="s">
        <v>177</v>
      </c>
      <c r="D1537" s="25"/>
      <c r="E1537" s="25"/>
      <c r="F1537" s="25"/>
      <c r="G1537" s="25"/>
      <c r="H1537" s="25"/>
      <c r="I1537" s="25"/>
      <c r="J1537" s="27" t="s">
        <v>1936</v>
      </c>
      <c r="K1537" s="25" t="str">
        <f aca="false">IFERROR(__xludf.dummyfunction("SPLIT(J1537,"" "")"),"CIF")</f>
        <v>CIF</v>
      </c>
      <c r="L1537" s="28" t="str">
        <f aca="false">IFERROR(__xludf.dummyfunction("""COMPUTED_VALUE"""),"Russia")</f>
        <v>Russia</v>
      </c>
      <c r="M1537" s="27" t="str">
        <f aca="false">IFERROR(__xludf.dummyfunction("""COMPUTED_VALUE"""),"(Diff)")</f>
        <v>(Diff)</v>
      </c>
      <c r="N1537" s="25"/>
      <c r="O1537" s="25"/>
      <c r="P1537" s="25"/>
      <c r="Q1537" s="29" t="s">
        <v>205</v>
      </c>
      <c r="R1537" s="8" t="str">
        <f aca="false">B1537&amp;" "&amp;C1537&amp;" "&amp;D1537&amp;" "&amp;E1537&amp;" "&amp;G1537&amp;" "&amp;H1537&amp;" "&amp;J1537&amp;" "&amp;N1537</f>
        <v>Differentials Anode     CIF Russia (Diff) </v>
      </c>
      <c r="S1537" s="25"/>
      <c r="T1537" s="8"/>
      <c r="U1537" s="8"/>
      <c r="V1537" s="25"/>
      <c r="W1537" s="25"/>
      <c r="X1537" s="25"/>
      <c r="Y1537" s="25"/>
      <c r="Z1537" s="25"/>
      <c r="AA1537" s="25"/>
      <c r="AB1537" s="25"/>
      <c r="AC1537" s="25"/>
      <c r="AD1537" s="25"/>
    </row>
    <row r="1538" customFormat="false" ht="15.75" hidden="false" customHeight="false" outlineLevel="0" collapsed="false">
      <c r="A1538" s="28" t="s">
        <v>1938</v>
      </c>
      <c r="B1538" s="27" t="s">
        <v>438</v>
      </c>
      <c r="C1538" s="27" t="s">
        <v>177</v>
      </c>
      <c r="D1538" s="25"/>
      <c r="E1538" s="25"/>
      <c r="F1538" s="25"/>
      <c r="G1538" s="25"/>
      <c r="H1538" s="25"/>
      <c r="I1538" s="25"/>
      <c r="J1538" s="27" t="s">
        <v>1936</v>
      </c>
      <c r="K1538" s="25" t="str">
        <f aca="false">IFERROR(__xludf.dummyfunction("SPLIT(J1538,"" "")"),"CIF")</f>
        <v>CIF</v>
      </c>
      <c r="L1538" s="28" t="str">
        <f aca="false">IFERROR(__xludf.dummyfunction("""COMPUTED_VALUE"""),"Russia")</f>
        <v>Russia</v>
      </c>
      <c r="M1538" s="27" t="str">
        <f aca="false">IFERROR(__xludf.dummyfunction("""COMPUTED_VALUE"""),"(Diff)")</f>
        <v>(Diff)</v>
      </c>
      <c r="N1538" s="25"/>
      <c r="O1538" s="25"/>
      <c r="P1538" s="25"/>
      <c r="Q1538" s="29" t="s">
        <v>202</v>
      </c>
      <c r="R1538" s="8" t="str">
        <f aca="false">B1538&amp;" "&amp;C1538&amp;" "&amp;D1538&amp;" "&amp;E1538&amp;" "&amp;G1538&amp;" "&amp;H1538&amp;" "&amp;J1538&amp;" "&amp;N1538</f>
        <v>Differentials Anode     CIF Russia (Diff) </v>
      </c>
      <c r="S1538" s="25"/>
      <c r="T1538" s="8"/>
      <c r="U1538" s="8"/>
      <c r="V1538" s="25"/>
      <c r="W1538" s="25"/>
      <c r="X1538" s="25"/>
      <c r="Y1538" s="25"/>
      <c r="Z1538" s="25"/>
      <c r="AA1538" s="25"/>
      <c r="AB1538" s="25"/>
      <c r="AC1538" s="25"/>
      <c r="AD1538" s="25"/>
    </row>
    <row r="1539" customFormat="false" ht="15.75" hidden="false" customHeight="false" outlineLevel="0" collapsed="false">
      <c r="A1539" s="28" t="s">
        <v>1939</v>
      </c>
      <c r="B1539" s="27" t="s">
        <v>438</v>
      </c>
      <c r="C1539" s="27" t="s">
        <v>177</v>
      </c>
      <c r="D1539" s="25"/>
      <c r="E1539" s="25"/>
      <c r="F1539" s="25"/>
      <c r="G1539" s="25"/>
      <c r="H1539" s="25"/>
      <c r="I1539" s="25"/>
      <c r="J1539" s="27" t="s">
        <v>1936</v>
      </c>
      <c r="K1539" s="25" t="str">
        <f aca="false">IFERROR(__xludf.dummyfunction("SPLIT(J1539,"" "")"),"CIF")</f>
        <v>CIF</v>
      </c>
      <c r="L1539" s="28" t="str">
        <f aca="false">IFERROR(__xludf.dummyfunction("""COMPUTED_VALUE"""),"Russia")</f>
        <v>Russia</v>
      </c>
      <c r="M1539" s="27" t="str">
        <f aca="false">IFERROR(__xludf.dummyfunction("""COMPUTED_VALUE"""),"(Diff)")</f>
        <v>(Diff)</v>
      </c>
      <c r="N1539" s="25"/>
      <c r="O1539" s="25"/>
      <c r="P1539" s="25"/>
      <c r="Q1539" s="29" t="s">
        <v>197</v>
      </c>
      <c r="R1539" s="8" t="str">
        <f aca="false">B1539&amp;" "&amp;C1539&amp;" "&amp;D1539&amp;" "&amp;E1539&amp;" "&amp;G1539&amp;" "&amp;H1539&amp;" "&amp;J1539&amp;" "&amp;N1539</f>
        <v>Differentials Anode     CIF Russia (Diff) </v>
      </c>
      <c r="S1539" s="25"/>
      <c r="T1539" s="8"/>
      <c r="U1539" s="8"/>
      <c r="V1539" s="25"/>
      <c r="W1539" s="25"/>
      <c r="X1539" s="25"/>
      <c r="Y1539" s="25"/>
      <c r="Z1539" s="25"/>
      <c r="AA1539" s="25"/>
      <c r="AB1539" s="25"/>
      <c r="AC1539" s="25"/>
      <c r="AD1539" s="25"/>
    </row>
    <row r="1540" customFormat="false" ht="15.75" hidden="false" customHeight="false" outlineLevel="0" collapsed="false">
      <c r="A1540" s="28" t="s">
        <v>1940</v>
      </c>
      <c r="B1540" s="27" t="s">
        <v>438</v>
      </c>
      <c r="C1540" s="27" t="s">
        <v>177</v>
      </c>
      <c r="D1540" s="25"/>
      <c r="E1540" s="25"/>
      <c r="F1540" s="25"/>
      <c r="G1540" s="25"/>
      <c r="H1540" s="25"/>
      <c r="I1540" s="25"/>
      <c r="J1540" s="27" t="s">
        <v>1936</v>
      </c>
      <c r="K1540" s="25" t="str">
        <f aca="false">IFERROR(__xludf.dummyfunction("SPLIT(J1540,"" "")"),"CIF")</f>
        <v>CIF</v>
      </c>
      <c r="L1540" s="28" t="str">
        <f aca="false">IFERROR(__xludf.dummyfunction("""COMPUTED_VALUE"""),"Russia")</f>
        <v>Russia</v>
      </c>
      <c r="M1540" s="27" t="str">
        <f aca="false">IFERROR(__xludf.dummyfunction("""COMPUTED_VALUE"""),"(Diff)")</f>
        <v>(Diff)</v>
      </c>
      <c r="N1540" s="25"/>
      <c r="O1540" s="25"/>
      <c r="P1540" s="25"/>
      <c r="Q1540" s="29" t="s">
        <v>193</v>
      </c>
      <c r="R1540" s="8" t="str">
        <f aca="false">B1540&amp;" "&amp;C1540&amp;" "&amp;D1540&amp;" "&amp;E1540&amp;" "&amp;G1540&amp;" "&amp;H1540&amp;" "&amp;J1540&amp;" "&amp;N1540</f>
        <v>Differentials Anode     CIF Russia (Diff) </v>
      </c>
      <c r="S1540" s="25"/>
      <c r="T1540" s="8"/>
      <c r="U1540" s="8"/>
      <c r="V1540" s="25"/>
      <c r="W1540" s="25"/>
      <c r="X1540" s="25"/>
      <c r="Y1540" s="25"/>
      <c r="Z1540" s="25"/>
      <c r="AA1540" s="25"/>
      <c r="AB1540" s="25"/>
      <c r="AC1540" s="25"/>
      <c r="AD1540" s="25"/>
    </row>
    <row r="1541" customFormat="false" ht="15.75" hidden="false" customHeight="false" outlineLevel="0" collapsed="false">
      <c r="A1541" s="28" t="s">
        <v>1941</v>
      </c>
      <c r="B1541" s="27" t="s">
        <v>438</v>
      </c>
      <c r="C1541" s="27" t="s">
        <v>177</v>
      </c>
      <c r="D1541" s="25"/>
      <c r="E1541" s="25"/>
      <c r="F1541" s="25"/>
      <c r="G1541" s="25"/>
      <c r="H1541" s="25"/>
      <c r="I1541" s="25"/>
      <c r="J1541" s="27" t="s">
        <v>1936</v>
      </c>
      <c r="K1541" s="25" t="str">
        <f aca="false">IFERROR(__xludf.dummyfunction("SPLIT(J1541,"" "")"),"CIF")</f>
        <v>CIF</v>
      </c>
      <c r="L1541" s="28" t="str">
        <f aca="false">IFERROR(__xludf.dummyfunction("""COMPUTED_VALUE"""),"Russia")</f>
        <v>Russia</v>
      </c>
      <c r="M1541" s="27" t="str">
        <f aca="false">IFERROR(__xludf.dummyfunction("""COMPUTED_VALUE"""),"(Diff)")</f>
        <v>(Diff)</v>
      </c>
      <c r="N1541" s="25"/>
      <c r="O1541" s="25"/>
      <c r="P1541" s="25"/>
      <c r="Q1541" s="29" t="s">
        <v>188</v>
      </c>
      <c r="R1541" s="8" t="str">
        <f aca="false">B1541&amp;" "&amp;C1541&amp;" "&amp;D1541&amp;" "&amp;E1541&amp;" "&amp;G1541&amp;" "&amp;H1541&amp;" "&amp;J1541&amp;" "&amp;N1541</f>
        <v>Differentials Anode     CIF Russia (Diff) </v>
      </c>
      <c r="S1541" s="25"/>
      <c r="T1541" s="8"/>
      <c r="U1541" s="8"/>
      <c r="V1541" s="25"/>
      <c r="W1541" s="25"/>
      <c r="X1541" s="25"/>
      <c r="Y1541" s="25"/>
      <c r="Z1541" s="25"/>
      <c r="AA1541" s="25"/>
      <c r="AB1541" s="25"/>
      <c r="AC1541" s="25"/>
      <c r="AD1541" s="25"/>
    </row>
    <row r="1542" customFormat="false" ht="15.75" hidden="false" customHeight="false" outlineLevel="0" collapsed="false">
      <c r="A1542" s="28" t="s">
        <v>1942</v>
      </c>
      <c r="B1542" s="27" t="s">
        <v>438</v>
      </c>
      <c r="C1542" s="27" t="s">
        <v>177</v>
      </c>
      <c r="D1542" s="25"/>
      <c r="E1542" s="25"/>
      <c r="F1542" s="25"/>
      <c r="G1542" s="25"/>
      <c r="H1542" s="25"/>
      <c r="I1542" s="25"/>
      <c r="J1542" s="27" t="s">
        <v>1936</v>
      </c>
      <c r="K1542" s="25" t="str">
        <f aca="false">IFERROR(__xludf.dummyfunction("SPLIT(J1542,"" "")"),"CIF")</f>
        <v>CIF</v>
      </c>
      <c r="L1542" s="28" t="str">
        <f aca="false">IFERROR(__xludf.dummyfunction("""COMPUTED_VALUE"""),"Russia")</f>
        <v>Russia</v>
      </c>
      <c r="M1542" s="27" t="str">
        <f aca="false">IFERROR(__xludf.dummyfunction("""COMPUTED_VALUE"""),"(Diff)")</f>
        <v>(Diff)</v>
      </c>
      <c r="N1542" s="25"/>
      <c r="O1542" s="25"/>
      <c r="P1542" s="25"/>
      <c r="Q1542" s="29" t="s">
        <v>180</v>
      </c>
      <c r="R1542" s="8" t="str">
        <f aca="false">B1542&amp;" "&amp;C1542&amp;" "&amp;D1542&amp;" "&amp;E1542&amp;" "&amp;G1542&amp;" "&amp;H1542&amp;" "&amp;J1542&amp;" "&amp;N1542</f>
        <v>Differentials Anode     CIF Russia (Diff) </v>
      </c>
      <c r="S1542" s="25"/>
      <c r="T1542" s="8"/>
      <c r="U1542" s="8"/>
      <c r="V1542" s="25"/>
      <c r="W1542" s="25"/>
      <c r="X1542" s="25"/>
      <c r="Y1542" s="25"/>
      <c r="Z1542" s="25"/>
      <c r="AA1542" s="25"/>
      <c r="AB1542" s="25"/>
      <c r="AC1542" s="25"/>
      <c r="AD1542" s="25"/>
    </row>
    <row r="1543" customFormat="false" ht="15.75" hidden="false" customHeight="false" outlineLevel="0" collapsed="false">
      <c r="A1543" s="28" t="s">
        <v>1943</v>
      </c>
      <c r="B1543" s="27" t="s">
        <v>438</v>
      </c>
      <c r="C1543" s="27" t="s">
        <v>211</v>
      </c>
      <c r="D1543" s="25"/>
      <c r="E1543" s="25"/>
      <c r="F1543" s="25"/>
      <c r="G1543" s="25"/>
      <c r="H1543" s="25"/>
      <c r="I1543" s="25"/>
      <c r="J1543" s="27" t="s">
        <v>1936</v>
      </c>
      <c r="K1543" s="25" t="str">
        <f aca="false">IFERROR(__xludf.dummyfunction("SPLIT(J1543,"" "")"),"CIF")</f>
        <v>CIF</v>
      </c>
      <c r="L1543" s="28" t="str">
        <f aca="false">IFERROR(__xludf.dummyfunction("""COMPUTED_VALUE"""),"Russia")</f>
        <v>Russia</v>
      </c>
      <c r="M1543" s="27" t="str">
        <f aca="false">IFERROR(__xludf.dummyfunction("""COMPUTED_VALUE"""),"(Diff)")</f>
        <v>(Diff)</v>
      </c>
      <c r="N1543" s="25"/>
      <c r="O1543" s="25"/>
      <c r="P1543" s="25"/>
      <c r="Q1543" s="29" t="s">
        <v>234</v>
      </c>
      <c r="R1543" s="8" t="str">
        <f aca="false">B1543&amp;" "&amp;C1543&amp;" "&amp;D1543&amp;" "&amp;E1543&amp;" "&amp;G1543&amp;" "&amp;H1543&amp;" "&amp;J1543&amp;" "&amp;N1543</f>
        <v>Differentials Binders &amp; Additives     CIF Russia (Diff) </v>
      </c>
      <c r="S1543" s="25"/>
      <c r="T1543" s="8"/>
      <c r="U1543" s="8"/>
      <c r="V1543" s="25"/>
      <c r="W1543" s="25"/>
      <c r="X1543" s="25"/>
      <c r="Y1543" s="25"/>
      <c r="Z1543" s="25"/>
      <c r="AA1543" s="25"/>
      <c r="AB1543" s="25"/>
      <c r="AC1543" s="25"/>
      <c r="AD1543" s="25"/>
    </row>
    <row r="1544" customFormat="false" ht="15.75" hidden="false" customHeight="false" outlineLevel="0" collapsed="false">
      <c r="A1544" s="28" t="s">
        <v>1944</v>
      </c>
      <c r="B1544" s="27" t="s">
        <v>438</v>
      </c>
      <c r="C1544" s="27" t="s">
        <v>211</v>
      </c>
      <c r="D1544" s="25"/>
      <c r="E1544" s="25"/>
      <c r="F1544" s="25"/>
      <c r="G1544" s="25"/>
      <c r="H1544" s="25"/>
      <c r="I1544" s="25"/>
      <c r="J1544" s="27" t="s">
        <v>1936</v>
      </c>
      <c r="K1544" s="25" t="str">
        <f aca="false">IFERROR(__xludf.dummyfunction("SPLIT(J1544,"" "")"),"CIF")</f>
        <v>CIF</v>
      </c>
      <c r="L1544" s="28" t="str">
        <f aca="false">IFERROR(__xludf.dummyfunction("""COMPUTED_VALUE"""),"Russia")</f>
        <v>Russia</v>
      </c>
      <c r="M1544" s="27" t="str">
        <f aca="false">IFERROR(__xludf.dummyfunction("""COMPUTED_VALUE"""),"(Diff)")</f>
        <v>(Diff)</v>
      </c>
      <c r="N1544" s="25"/>
      <c r="O1544" s="25"/>
      <c r="P1544" s="25"/>
      <c r="Q1544" s="29" t="s">
        <v>232</v>
      </c>
      <c r="R1544" s="8" t="str">
        <f aca="false">B1544&amp;" "&amp;C1544&amp;" "&amp;D1544&amp;" "&amp;E1544&amp;" "&amp;G1544&amp;" "&amp;H1544&amp;" "&amp;J1544&amp;" "&amp;N1544</f>
        <v>Differentials Binders &amp; Additives     CIF Russia (Diff) </v>
      </c>
      <c r="S1544" s="25"/>
      <c r="T1544" s="8"/>
      <c r="U1544" s="8"/>
      <c r="V1544" s="25"/>
      <c r="W1544" s="25"/>
      <c r="X1544" s="25"/>
      <c r="Y1544" s="25"/>
      <c r="Z1544" s="25"/>
      <c r="AA1544" s="25"/>
      <c r="AB1544" s="25"/>
      <c r="AC1544" s="25"/>
      <c r="AD1544" s="25"/>
    </row>
    <row r="1545" customFormat="false" ht="15.75" hidden="false" customHeight="false" outlineLevel="0" collapsed="false">
      <c r="A1545" s="28" t="s">
        <v>1945</v>
      </c>
      <c r="B1545" s="27" t="s">
        <v>438</v>
      </c>
      <c r="C1545" s="27" t="s">
        <v>211</v>
      </c>
      <c r="D1545" s="25"/>
      <c r="E1545" s="25"/>
      <c r="F1545" s="25"/>
      <c r="G1545" s="25"/>
      <c r="H1545" s="25"/>
      <c r="I1545" s="25"/>
      <c r="J1545" s="27" t="s">
        <v>1936</v>
      </c>
      <c r="K1545" s="25" t="str">
        <f aca="false">IFERROR(__xludf.dummyfunction("SPLIT(J1545,"" "")"),"CIF")</f>
        <v>CIF</v>
      </c>
      <c r="L1545" s="28" t="str">
        <f aca="false">IFERROR(__xludf.dummyfunction("""COMPUTED_VALUE"""),"Russia")</f>
        <v>Russia</v>
      </c>
      <c r="M1545" s="27" t="str">
        <f aca="false">IFERROR(__xludf.dummyfunction("""COMPUTED_VALUE"""),"(Diff)")</f>
        <v>(Diff)</v>
      </c>
      <c r="N1545" s="25"/>
      <c r="O1545" s="25"/>
      <c r="P1545" s="25"/>
      <c r="Q1545" s="29" t="s">
        <v>230</v>
      </c>
      <c r="R1545" s="8" t="str">
        <f aca="false">B1545&amp;" "&amp;C1545&amp;" "&amp;D1545&amp;" "&amp;E1545&amp;" "&amp;G1545&amp;" "&amp;H1545&amp;" "&amp;J1545&amp;" "&amp;N1545</f>
        <v>Differentials Binders &amp; Additives     CIF Russia (Diff) </v>
      </c>
      <c r="S1545" s="25"/>
      <c r="T1545" s="8"/>
      <c r="U1545" s="8"/>
      <c r="V1545" s="25"/>
      <c r="W1545" s="25"/>
      <c r="X1545" s="25"/>
      <c r="Y1545" s="25"/>
      <c r="Z1545" s="25"/>
      <c r="AA1545" s="25"/>
      <c r="AB1545" s="25"/>
      <c r="AC1545" s="25"/>
      <c r="AD1545" s="25"/>
    </row>
    <row r="1546" customFormat="false" ht="15.75" hidden="false" customHeight="false" outlineLevel="0" collapsed="false">
      <c r="A1546" s="28" t="s">
        <v>1946</v>
      </c>
      <c r="B1546" s="27" t="s">
        <v>438</v>
      </c>
      <c r="C1546" s="27" t="s">
        <v>211</v>
      </c>
      <c r="D1546" s="25"/>
      <c r="E1546" s="25"/>
      <c r="F1546" s="25"/>
      <c r="G1546" s="25"/>
      <c r="H1546" s="25"/>
      <c r="I1546" s="25"/>
      <c r="J1546" s="27" t="s">
        <v>1936</v>
      </c>
      <c r="K1546" s="25" t="str">
        <f aca="false">IFERROR(__xludf.dummyfunction("SPLIT(J1546,"" "")"),"CIF")</f>
        <v>CIF</v>
      </c>
      <c r="L1546" s="28" t="str">
        <f aca="false">IFERROR(__xludf.dummyfunction("""COMPUTED_VALUE"""),"Russia")</f>
        <v>Russia</v>
      </c>
      <c r="M1546" s="27" t="str">
        <f aca="false">IFERROR(__xludf.dummyfunction("""COMPUTED_VALUE"""),"(Diff)")</f>
        <v>(Diff)</v>
      </c>
      <c r="N1546" s="25"/>
      <c r="O1546" s="25"/>
      <c r="P1546" s="25"/>
      <c r="Q1546" s="29" t="s">
        <v>228</v>
      </c>
      <c r="R1546" s="8" t="str">
        <f aca="false">B1546&amp;" "&amp;C1546&amp;" "&amp;D1546&amp;" "&amp;E1546&amp;" "&amp;G1546&amp;" "&amp;H1546&amp;" "&amp;J1546&amp;" "&amp;N1546</f>
        <v>Differentials Binders &amp; Additives     CIF Russia (Diff) </v>
      </c>
      <c r="S1546" s="25"/>
      <c r="T1546" s="8"/>
      <c r="U1546" s="8"/>
      <c r="V1546" s="25"/>
      <c r="W1546" s="25"/>
      <c r="X1546" s="25"/>
      <c r="Y1546" s="25"/>
      <c r="Z1546" s="25"/>
      <c r="AA1546" s="25"/>
      <c r="AB1546" s="25"/>
      <c r="AC1546" s="25"/>
      <c r="AD1546" s="25"/>
    </row>
    <row r="1547" customFormat="false" ht="15.75" hidden="false" customHeight="false" outlineLevel="0" collapsed="false">
      <c r="A1547" s="28" t="s">
        <v>1947</v>
      </c>
      <c r="B1547" s="27" t="s">
        <v>438</v>
      </c>
      <c r="C1547" s="27" t="s">
        <v>211</v>
      </c>
      <c r="D1547" s="25"/>
      <c r="E1547" s="25"/>
      <c r="F1547" s="25"/>
      <c r="G1547" s="25"/>
      <c r="H1547" s="25"/>
      <c r="I1547" s="25"/>
      <c r="J1547" s="27" t="s">
        <v>1936</v>
      </c>
      <c r="K1547" s="25" t="str">
        <f aca="false">IFERROR(__xludf.dummyfunction("SPLIT(J1547,"" "")"),"CIF")</f>
        <v>CIF</v>
      </c>
      <c r="L1547" s="28" t="str">
        <f aca="false">IFERROR(__xludf.dummyfunction("""COMPUTED_VALUE"""),"Russia")</f>
        <v>Russia</v>
      </c>
      <c r="M1547" s="27" t="str">
        <f aca="false">IFERROR(__xludf.dummyfunction("""COMPUTED_VALUE"""),"(Diff)")</f>
        <v>(Diff)</v>
      </c>
      <c r="N1547" s="25"/>
      <c r="O1547" s="25"/>
      <c r="P1547" s="25"/>
      <c r="Q1547" s="29" t="s">
        <v>226</v>
      </c>
      <c r="R1547" s="8" t="str">
        <f aca="false">B1547&amp;" "&amp;C1547&amp;" "&amp;D1547&amp;" "&amp;E1547&amp;" "&amp;G1547&amp;" "&amp;H1547&amp;" "&amp;J1547&amp;" "&amp;N1547</f>
        <v>Differentials Binders &amp; Additives     CIF Russia (Diff) </v>
      </c>
      <c r="S1547" s="25"/>
      <c r="T1547" s="8"/>
      <c r="U1547" s="8"/>
      <c r="V1547" s="25"/>
      <c r="W1547" s="25"/>
      <c r="X1547" s="25"/>
      <c r="Y1547" s="25"/>
      <c r="Z1547" s="25"/>
      <c r="AA1547" s="25"/>
      <c r="AB1547" s="25"/>
      <c r="AC1547" s="25"/>
      <c r="AD1547" s="25"/>
    </row>
    <row r="1548" customFormat="false" ht="15.75" hidden="false" customHeight="false" outlineLevel="0" collapsed="false">
      <c r="A1548" s="28" t="s">
        <v>1948</v>
      </c>
      <c r="B1548" s="27" t="s">
        <v>438</v>
      </c>
      <c r="C1548" s="27" t="s">
        <v>211</v>
      </c>
      <c r="D1548" s="25"/>
      <c r="E1548" s="25"/>
      <c r="F1548" s="25"/>
      <c r="G1548" s="25"/>
      <c r="H1548" s="25"/>
      <c r="I1548" s="25"/>
      <c r="J1548" s="27" t="s">
        <v>1936</v>
      </c>
      <c r="K1548" s="25" t="str">
        <f aca="false">IFERROR(__xludf.dummyfunction("SPLIT(J1548,"" "")"),"CIF")</f>
        <v>CIF</v>
      </c>
      <c r="L1548" s="28" t="str">
        <f aca="false">IFERROR(__xludf.dummyfunction("""COMPUTED_VALUE"""),"Russia")</f>
        <v>Russia</v>
      </c>
      <c r="M1548" s="27" t="str">
        <f aca="false">IFERROR(__xludf.dummyfunction("""COMPUTED_VALUE"""),"(Diff)")</f>
        <v>(Diff)</v>
      </c>
      <c r="N1548" s="25"/>
      <c r="O1548" s="25"/>
      <c r="P1548" s="25"/>
      <c r="Q1548" s="29" t="s">
        <v>224</v>
      </c>
      <c r="R1548" s="8" t="str">
        <f aca="false">B1548&amp;" "&amp;C1548&amp;" "&amp;D1548&amp;" "&amp;E1548&amp;" "&amp;G1548&amp;" "&amp;H1548&amp;" "&amp;J1548&amp;" "&amp;N1548</f>
        <v>Differentials Binders &amp; Additives     CIF Russia (Diff) </v>
      </c>
      <c r="S1548" s="25"/>
      <c r="T1548" s="8"/>
      <c r="U1548" s="8"/>
      <c r="V1548" s="25"/>
      <c r="W1548" s="25"/>
      <c r="X1548" s="25"/>
      <c r="Y1548" s="25"/>
      <c r="Z1548" s="25"/>
      <c r="AA1548" s="25"/>
      <c r="AB1548" s="25"/>
      <c r="AC1548" s="25"/>
      <c r="AD1548" s="25"/>
    </row>
    <row r="1549" customFormat="false" ht="15.75" hidden="false" customHeight="false" outlineLevel="0" collapsed="false">
      <c r="A1549" s="28" t="s">
        <v>1949</v>
      </c>
      <c r="B1549" s="27" t="s">
        <v>438</v>
      </c>
      <c r="C1549" s="27" t="s">
        <v>211</v>
      </c>
      <c r="D1549" s="25"/>
      <c r="E1549" s="25"/>
      <c r="F1549" s="25"/>
      <c r="G1549" s="25"/>
      <c r="H1549" s="25"/>
      <c r="I1549" s="25"/>
      <c r="J1549" s="27" t="s">
        <v>1936</v>
      </c>
      <c r="K1549" s="25" t="str">
        <f aca="false">IFERROR(__xludf.dummyfunction("SPLIT(J1549,"" "")"),"CIF")</f>
        <v>CIF</v>
      </c>
      <c r="L1549" s="28" t="str">
        <f aca="false">IFERROR(__xludf.dummyfunction("""COMPUTED_VALUE"""),"Russia")</f>
        <v>Russia</v>
      </c>
      <c r="M1549" s="27" t="str">
        <f aca="false">IFERROR(__xludf.dummyfunction("""COMPUTED_VALUE"""),"(Diff)")</f>
        <v>(Diff)</v>
      </c>
      <c r="N1549" s="25"/>
      <c r="O1549" s="25"/>
      <c r="P1549" s="25"/>
      <c r="Q1549" s="29" t="s">
        <v>222</v>
      </c>
      <c r="R1549" s="8" t="str">
        <f aca="false">B1549&amp;" "&amp;C1549&amp;" "&amp;D1549&amp;" "&amp;E1549&amp;" "&amp;G1549&amp;" "&amp;H1549&amp;" "&amp;J1549&amp;" "&amp;N1549</f>
        <v>Differentials Binders &amp; Additives     CIF Russia (Diff) </v>
      </c>
      <c r="S1549" s="25"/>
      <c r="T1549" s="8"/>
      <c r="U1549" s="8"/>
      <c r="V1549" s="25"/>
      <c r="W1549" s="25"/>
      <c r="X1549" s="25"/>
      <c r="Y1549" s="25"/>
      <c r="Z1549" s="25"/>
      <c r="AA1549" s="25"/>
      <c r="AB1549" s="25"/>
      <c r="AC1549" s="25"/>
      <c r="AD1549" s="25"/>
    </row>
    <row r="1550" customFormat="false" ht="15.75" hidden="false" customHeight="false" outlineLevel="0" collapsed="false">
      <c r="A1550" s="28" t="s">
        <v>1950</v>
      </c>
      <c r="B1550" s="27" t="s">
        <v>438</v>
      </c>
      <c r="C1550" s="27" t="s">
        <v>211</v>
      </c>
      <c r="D1550" s="25"/>
      <c r="E1550" s="25"/>
      <c r="F1550" s="25"/>
      <c r="G1550" s="25"/>
      <c r="H1550" s="25"/>
      <c r="I1550" s="25"/>
      <c r="J1550" s="27" t="s">
        <v>1936</v>
      </c>
      <c r="K1550" s="25" t="str">
        <f aca="false">IFERROR(__xludf.dummyfunction("SPLIT(J1550,"" "")"),"CIF")</f>
        <v>CIF</v>
      </c>
      <c r="L1550" s="28" t="str">
        <f aca="false">IFERROR(__xludf.dummyfunction("""COMPUTED_VALUE"""),"Russia")</f>
        <v>Russia</v>
      </c>
      <c r="M1550" s="27" t="str">
        <f aca="false">IFERROR(__xludf.dummyfunction("""COMPUTED_VALUE"""),"(Diff)")</f>
        <v>(Diff)</v>
      </c>
      <c r="N1550" s="25"/>
      <c r="O1550" s="25"/>
      <c r="P1550" s="25"/>
      <c r="Q1550" s="29" t="s">
        <v>220</v>
      </c>
      <c r="R1550" s="8" t="str">
        <f aca="false">B1550&amp;" "&amp;C1550&amp;" "&amp;D1550&amp;" "&amp;E1550&amp;" "&amp;G1550&amp;" "&amp;H1550&amp;" "&amp;J1550&amp;" "&amp;N1550</f>
        <v>Differentials Binders &amp; Additives     CIF Russia (Diff) </v>
      </c>
      <c r="S1550" s="25"/>
      <c r="T1550" s="8"/>
      <c r="U1550" s="8"/>
      <c r="V1550" s="25"/>
      <c r="W1550" s="25"/>
      <c r="X1550" s="25"/>
      <c r="Y1550" s="25"/>
      <c r="Z1550" s="25"/>
      <c r="AA1550" s="25"/>
      <c r="AB1550" s="25"/>
      <c r="AC1550" s="25"/>
      <c r="AD1550" s="25"/>
    </row>
    <row r="1551" customFormat="false" ht="15.75" hidden="false" customHeight="false" outlineLevel="0" collapsed="false">
      <c r="A1551" s="28" t="s">
        <v>1951</v>
      </c>
      <c r="B1551" s="27" t="s">
        <v>438</v>
      </c>
      <c r="C1551" s="27" t="s">
        <v>211</v>
      </c>
      <c r="D1551" s="25"/>
      <c r="E1551" s="25"/>
      <c r="F1551" s="25"/>
      <c r="G1551" s="25"/>
      <c r="H1551" s="25"/>
      <c r="I1551" s="25"/>
      <c r="J1551" s="27" t="s">
        <v>1936</v>
      </c>
      <c r="K1551" s="25" t="str">
        <f aca="false">IFERROR(__xludf.dummyfunction("SPLIT(J1551,"" "")"),"CIF")</f>
        <v>CIF</v>
      </c>
      <c r="L1551" s="28" t="str">
        <f aca="false">IFERROR(__xludf.dummyfunction("""COMPUTED_VALUE"""),"Russia")</f>
        <v>Russia</v>
      </c>
      <c r="M1551" s="27" t="str">
        <f aca="false">IFERROR(__xludf.dummyfunction("""COMPUTED_VALUE"""),"(Diff)")</f>
        <v>(Diff)</v>
      </c>
      <c r="N1551" s="25"/>
      <c r="O1551" s="25"/>
      <c r="P1551" s="25"/>
      <c r="Q1551" s="29" t="s">
        <v>218</v>
      </c>
      <c r="R1551" s="8" t="str">
        <f aca="false">B1551&amp;" "&amp;C1551&amp;" "&amp;D1551&amp;" "&amp;E1551&amp;" "&amp;G1551&amp;" "&amp;H1551&amp;" "&amp;J1551&amp;" "&amp;N1551</f>
        <v>Differentials Binders &amp; Additives     CIF Russia (Diff) </v>
      </c>
      <c r="S1551" s="25"/>
      <c r="T1551" s="8"/>
      <c r="U1551" s="8"/>
      <c r="V1551" s="25"/>
      <c r="W1551" s="25"/>
      <c r="X1551" s="25"/>
      <c r="Y1551" s="25"/>
      <c r="Z1551" s="25"/>
      <c r="AA1551" s="25"/>
      <c r="AB1551" s="25"/>
      <c r="AC1551" s="25"/>
      <c r="AD1551" s="25"/>
    </row>
    <row r="1552" customFormat="false" ht="15.75" hidden="false" customHeight="false" outlineLevel="0" collapsed="false">
      <c r="A1552" s="28" t="s">
        <v>1952</v>
      </c>
      <c r="B1552" s="27" t="s">
        <v>438</v>
      </c>
      <c r="C1552" s="27" t="s">
        <v>211</v>
      </c>
      <c r="D1552" s="25"/>
      <c r="E1552" s="25"/>
      <c r="F1552" s="25"/>
      <c r="G1552" s="25"/>
      <c r="H1552" s="25"/>
      <c r="I1552" s="25"/>
      <c r="J1552" s="27" t="s">
        <v>1936</v>
      </c>
      <c r="K1552" s="25" t="str">
        <f aca="false">IFERROR(__xludf.dummyfunction("SPLIT(J1552,"" "")"),"CIF")</f>
        <v>CIF</v>
      </c>
      <c r="L1552" s="28" t="str">
        <f aca="false">IFERROR(__xludf.dummyfunction("""COMPUTED_VALUE"""),"Russia")</f>
        <v>Russia</v>
      </c>
      <c r="M1552" s="27" t="str">
        <f aca="false">IFERROR(__xludf.dummyfunction("""COMPUTED_VALUE"""),"(Diff)")</f>
        <v>(Diff)</v>
      </c>
      <c r="N1552" s="25"/>
      <c r="O1552" s="25"/>
      <c r="P1552" s="25"/>
      <c r="Q1552" s="29" t="s">
        <v>215</v>
      </c>
      <c r="R1552" s="8" t="str">
        <f aca="false">B1552&amp;" "&amp;C1552&amp;" "&amp;D1552&amp;" "&amp;E1552&amp;" "&amp;G1552&amp;" "&amp;H1552&amp;" "&amp;J1552&amp;" "&amp;N1552</f>
        <v>Differentials Binders &amp; Additives     CIF Russia (Diff) </v>
      </c>
      <c r="S1552" s="25"/>
      <c r="T1552" s="8"/>
      <c r="U1552" s="8"/>
      <c r="V1552" s="25"/>
      <c r="W1552" s="25"/>
      <c r="X1552" s="25"/>
      <c r="Y1552" s="25"/>
      <c r="Z1552" s="25"/>
      <c r="AA1552" s="25"/>
      <c r="AB1552" s="25"/>
      <c r="AC1552" s="25"/>
      <c r="AD1552" s="25"/>
    </row>
    <row r="1553" customFormat="false" ht="15.75" hidden="false" customHeight="false" outlineLevel="0" collapsed="false">
      <c r="A1553" s="28" t="s">
        <v>1953</v>
      </c>
      <c r="B1553" s="27" t="s">
        <v>438</v>
      </c>
      <c r="C1553" s="27" t="s">
        <v>211</v>
      </c>
      <c r="D1553" s="25"/>
      <c r="E1553" s="25"/>
      <c r="F1553" s="25"/>
      <c r="G1553" s="25"/>
      <c r="H1553" s="25"/>
      <c r="I1553" s="25"/>
      <c r="J1553" s="27" t="s">
        <v>1936</v>
      </c>
      <c r="K1553" s="25" t="str">
        <f aca="false">IFERROR(__xludf.dummyfunction("SPLIT(J1553,"" "")"),"CIF")</f>
        <v>CIF</v>
      </c>
      <c r="L1553" s="28" t="str">
        <f aca="false">IFERROR(__xludf.dummyfunction("""COMPUTED_VALUE"""),"Russia")</f>
        <v>Russia</v>
      </c>
      <c r="M1553" s="27" t="str">
        <f aca="false">IFERROR(__xludf.dummyfunction("""COMPUTED_VALUE"""),"(Diff)")</f>
        <v>(Diff)</v>
      </c>
      <c r="N1553" s="25"/>
      <c r="O1553" s="25"/>
      <c r="P1553" s="25"/>
      <c r="Q1553" s="29" t="s">
        <v>213</v>
      </c>
      <c r="R1553" s="8" t="str">
        <f aca="false">B1553&amp;" "&amp;C1553&amp;" "&amp;D1553&amp;" "&amp;E1553&amp;" "&amp;G1553&amp;" "&amp;H1553&amp;" "&amp;J1553&amp;" "&amp;N1553</f>
        <v>Differentials Binders &amp; Additives     CIF Russia (Diff) </v>
      </c>
      <c r="S1553" s="25"/>
      <c r="T1553" s="8"/>
      <c r="U1553" s="8"/>
      <c r="V1553" s="25"/>
      <c r="W1553" s="25"/>
      <c r="X1553" s="25"/>
      <c r="Y1553" s="25"/>
      <c r="Z1553" s="25"/>
      <c r="AA1553" s="25"/>
      <c r="AB1553" s="25"/>
      <c r="AC1553" s="25"/>
      <c r="AD1553" s="25"/>
    </row>
    <row r="1554" customFormat="false" ht="15.75" hidden="false" customHeight="false" outlineLevel="0" collapsed="false">
      <c r="A1554" s="28" t="s">
        <v>1954</v>
      </c>
      <c r="B1554" s="27" t="s">
        <v>438</v>
      </c>
      <c r="C1554" s="27" t="s">
        <v>236</v>
      </c>
      <c r="D1554" s="25"/>
      <c r="E1554" s="25"/>
      <c r="F1554" s="25"/>
      <c r="G1554" s="25"/>
      <c r="H1554" s="25"/>
      <c r="I1554" s="25"/>
      <c r="J1554" s="27" t="s">
        <v>1936</v>
      </c>
      <c r="K1554" s="25" t="str">
        <f aca="false">IFERROR(__xludf.dummyfunction("SPLIT(J1554,"" "")"),"CIF")</f>
        <v>CIF</v>
      </c>
      <c r="L1554" s="28" t="str">
        <f aca="false">IFERROR(__xludf.dummyfunction("""COMPUTED_VALUE"""),"Russia")</f>
        <v>Russia</v>
      </c>
      <c r="M1554" s="27" t="str">
        <f aca="false">IFERROR(__xludf.dummyfunction("""COMPUTED_VALUE"""),"(Diff)")</f>
        <v>(Diff)</v>
      </c>
      <c r="N1554" s="25"/>
      <c r="O1554" s="25"/>
      <c r="P1554" s="25"/>
      <c r="Q1554" s="29" t="s">
        <v>271</v>
      </c>
      <c r="R1554" s="8" t="str">
        <f aca="false">B1554&amp;" "&amp;C1554&amp;" "&amp;D1554&amp;" "&amp;E1554&amp;" "&amp;G1554&amp;" "&amp;H1554&amp;" "&amp;J1554&amp;" "&amp;N1554</f>
        <v>Differentials Cathode     CIF Russia (Diff) </v>
      </c>
      <c r="S1554" s="25"/>
      <c r="T1554" s="8"/>
      <c r="U1554" s="8"/>
      <c r="V1554" s="25"/>
      <c r="W1554" s="25"/>
      <c r="X1554" s="25"/>
      <c r="Y1554" s="25"/>
      <c r="Z1554" s="25"/>
      <c r="AA1554" s="25"/>
      <c r="AB1554" s="25"/>
      <c r="AC1554" s="25"/>
      <c r="AD1554" s="25"/>
    </row>
    <row r="1555" customFormat="false" ht="15.75" hidden="false" customHeight="false" outlineLevel="0" collapsed="false">
      <c r="A1555" s="28" t="s">
        <v>1955</v>
      </c>
      <c r="B1555" s="27" t="s">
        <v>438</v>
      </c>
      <c r="C1555" s="27" t="s">
        <v>236</v>
      </c>
      <c r="D1555" s="25"/>
      <c r="E1555" s="25"/>
      <c r="F1555" s="25"/>
      <c r="G1555" s="25"/>
      <c r="H1555" s="25"/>
      <c r="I1555" s="25"/>
      <c r="J1555" s="27" t="s">
        <v>1936</v>
      </c>
      <c r="K1555" s="25" t="str">
        <f aca="false">IFERROR(__xludf.dummyfunction("SPLIT(J1555,"" "")"),"CIF")</f>
        <v>CIF</v>
      </c>
      <c r="L1555" s="28" t="str">
        <f aca="false">IFERROR(__xludf.dummyfunction("""COMPUTED_VALUE"""),"Russia")</f>
        <v>Russia</v>
      </c>
      <c r="M1555" s="27" t="str">
        <f aca="false">IFERROR(__xludf.dummyfunction("""COMPUTED_VALUE"""),"(Diff)")</f>
        <v>(Diff)</v>
      </c>
      <c r="N1555" s="25"/>
      <c r="O1555" s="25"/>
      <c r="P1555" s="25"/>
      <c r="Q1555" s="29" t="s">
        <v>266</v>
      </c>
      <c r="R1555" s="8" t="str">
        <f aca="false">B1555&amp;" "&amp;C1555&amp;" "&amp;D1555&amp;" "&amp;E1555&amp;" "&amp;G1555&amp;" "&amp;H1555&amp;" "&amp;J1555&amp;" "&amp;N1555</f>
        <v>Differentials Cathode     CIF Russia (Diff) </v>
      </c>
      <c r="S1555" s="25"/>
      <c r="T1555" s="8"/>
      <c r="U1555" s="8"/>
      <c r="V1555" s="25"/>
      <c r="W1555" s="25"/>
      <c r="X1555" s="25"/>
      <c r="Y1555" s="25"/>
      <c r="Z1555" s="25"/>
      <c r="AA1555" s="25"/>
      <c r="AB1555" s="25"/>
      <c r="AC1555" s="25"/>
      <c r="AD1555" s="25"/>
    </row>
    <row r="1556" customFormat="false" ht="15.75" hidden="false" customHeight="false" outlineLevel="0" collapsed="false">
      <c r="A1556" s="28" t="s">
        <v>1956</v>
      </c>
      <c r="B1556" s="27" t="s">
        <v>438</v>
      </c>
      <c r="C1556" s="27" t="s">
        <v>236</v>
      </c>
      <c r="D1556" s="25"/>
      <c r="E1556" s="25"/>
      <c r="F1556" s="25"/>
      <c r="G1556" s="25"/>
      <c r="H1556" s="25"/>
      <c r="I1556" s="25"/>
      <c r="J1556" s="27" t="s">
        <v>1936</v>
      </c>
      <c r="K1556" s="25" t="str">
        <f aca="false">IFERROR(__xludf.dummyfunction("SPLIT(J1556,"" "")"),"CIF")</f>
        <v>CIF</v>
      </c>
      <c r="L1556" s="28" t="str">
        <f aca="false">IFERROR(__xludf.dummyfunction("""COMPUTED_VALUE"""),"Russia")</f>
        <v>Russia</v>
      </c>
      <c r="M1556" s="27" t="str">
        <f aca="false">IFERROR(__xludf.dummyfunction("""COMPUTED_VALUE"""),"(Diff)")</f>
        <v>(Diff)</v>
      </c>
      <c r="N1556" s="25"/>
      <c r="O1556" s="25"/>
      <c r="P1556" s="25"/>
      <c r="Q1556" s="29" t="s">
        <v>261</v>
      </c>
      <c r="R1556" s="8" t="str">
        <f aca="false">B1556&amp;" "&amp;C1556&amp;" "&amp;D1556&amp;" "&amp;E1556&amp;" "&amp;G1556&amp;" "&amp;H1556&amp;" "&amp;J1556&amp;" "&amp;N1556</f>
        <v>Differentials Cathode     CIF Russia (Diff) </v>
      </c>
      <c r="S1556" s="25"/>
      <c r="T1556" s="8"/>
      <c r="U1556" s="8"/>
      <c r="V1556" s="25"/>
      <c r="W1556" s="25"/>
      <c r="X1556" s="25"/>
      <c r="Y1556" s="25"/>
      <c r="Z1556" s="25"/>
      <c r="AA1556" s="25"/>
      <c r="AB1556" s="25"/>
      <c r="AC1556" s="25"/>
      <c r="AD1556" s="25"/>
    </row>
    <row r="1557" customFormat="false" ht="15.75" hidden="false" customHeight="false" outlineLevel="0" collapsed="false">
      <c r="A1557" s="28" t="s">
        <v>1957</v>
      </c>
      <c r="B1557" s="27" t="s">
        <v>438</v>
      </c>
      <c r="C1557" s="27" t="s">
        <v>236</v>
      </c>
      <c r="D1557" s="25"/>
      <c r="E1557" s="25"/>
      <c r="F1557" s="25"/>
      <c r="G1557" s="25"/>
      <c r="H1557" s="25"/>
      <c r="I1557" s="25"/>
      <c r="J1557" s="27" t="s">
        <v>1936</v>
      </c>
      <c r="K1557" s="25" t="str">
        <f aca="false">IFERROR(__xludf.dummyfunction("SPLIT(J1557,"" "")"),"CIF")</f>
        <v>CIF</v>
      </c>
      <c r="L1557" s="28" t="str">
        <f aca="false">IFERROR(__xludf.dummyfunction("""COMPUTED_VALUE"""),"Russia")</f>
        <v>Russia</v>
      </c>
      <c r="M1557" s="27" t="str">
        <f aca="false">IFERROR(__xludf.dummyfunction("""COMPUTED_VALUE"""),"(Diff)")</f>
        <v>(Diff)</v>
      </c>
      <c r="N1557" s="25"/>
      <c r="O1557" s="25"/>
      <c r="P1557" s="25"/>
      <c r="Q1557" s="29" t="s">
        <v>256</v>
      </c>
      <c r="R1557" s="8" t="str">
        <f aca="false">B1557&amp;" "&amp;C1557&amp;" "&amp;D1557&amp;" "&amp;E1557&amp;" "&amp;G1557&amp;" "&amp;H1557&amp;" "&amp;J1557&amp;" "&amp;N1557</f>
        <v>Differentials Cathode     CIF Russia (Diff) </v>
      </c>
      <c r="S1557" s="25"/>
      <c r="T1557" s="8"/>
      <c r="U1557" s="8"/>
      <c r="V1557" s="25"/>
      <c r="W1557" s="25"/>
      <c r="X1557" s="25"/>
      <c r="Y1557" s="25"/>
      <c r="Z1557" s="25"/>
      <c r="AA1557" s="25"/>
      <c r="AB1557" s="25"/>
      <c r="AC1557" s="25"/>
      <c r="AD1557" s="25"/>
    </row>
    <row r="1558" customFormat="false" ht="15.75" hidden="false" customHeight="false" outlineLevel="0" collapsed="false">
      <c r="A1558" s="28" t="s">
        <v>1958</v>
      </c>
      <c r="B1558" s="27" t="s">
        <v>438</v>
      </c>
      <c r="C1558" s="27" t="s">
        <v>236</v>
      </c>
      <c r="D1558" s="25"/>
      <c r="E1558" s="25"/>
      <c r="F1558" s="25"/>
      <c r="G1558" s="25"/>
      <c r="H1558" s="25"/>
      <c r="I1558" s="25"/>
      <c r="J1558" s="27" t="s">
        <v>1936</v>
      </c>
      <c r="K1558" s="25" t="str">
        <f aca="false">IFERROR(__xludf.dummyfunction("SPLIT(J1558,"" "")"),"CIF")</f>
        <v>CIF</v>
      </c>
      <c r="L1558" s="28" t="str">
        <f aca="false">IFERROR(__xludf.dummyfunction("""COMPUTED_VALUE"""),"Russia")</f>
        <v>Russia</v>
      </c>
      <c r="M1558" s="27" t="str">
        <f aca="false">IFERROR(__xludf.dummyfunction("""COMPUTED_VALUE"""),"(Diff)")</f>
        <v>(Diff)</v>
      </c>
      <c r="N1558" s="25"/>
      <c r="O1558" s="25"/>
      <c r="P1558" s="25"/>
      <c r="Q1558" s="29" t="s">
        <v>251</v>
      </c>
      <c r="R1558" s="8" t="str">
        <f aca="false">B1558&amp;" "&amp;C1558&amp;" "&amp;D1558&amp;" "&amp;E1558&amp;" "&amp;G1558&amp;" "&amp;H1558&amp;" "&amp;J1558&amp;" "&amp;N1558</f>
        <v>Differentials Cathode     CIF Russia (Diff) </v>
      </c>
      <c r="S1558" s="25"/>
      <c r="T1558" s="8"/>
      <c r="U1558" s="8"/>
      <c r="V1558" s="25"/>
      <c r="W1558" s="25"/>
      <c r="X1558" s="25"/>
      <c r="Y1558" s="25"/>
      <c r="Z1558" s="25"/>
      <c r="AA1558" s="25"/>
      <c r="AB1558" s="25"/>
      <c r="AC1558" s="25"/>
      <c r="AD1558" s="25"/>
    </row>
    <row r="1559" customFormat="false" ht="15.75" hidden="false" customHeight="false" outlineLevel="0" collapsed="false">
      <c r="A1559" s="28" t="s">
        <v>1959</v>
      </c>
      <c r="B1559" s="27" t="s">
        <v>438</v>
      </c>
      <c r="C1559" s="27" t="s">
        <v>236</v>
      </c>
      <c r="D1559" s="25"/>
      <c r="E1559" s="25"/>
      <c r="F1559" s="25"/>
      <c r="G1559" s="25"/>
      <c r="H1559" s="25"/>
      <c r="I1559" s="25"/>
      <c r="J1559" s="27" t="s">
        <v>1936</v>
      </c>
      <c r="K1559" s="25" t="str">
        <f aca="false">IFERROR(__xludf.dummyfunction("SPLIT(J1559,"" "")"),"CIF")</f>
        <v>CIF</v>
      </c>
      <c r="L1559" s="28" t="str">
        <f aca="false">IFERROR(__xludf.dummyfunction("""COMPUTED_VALUE"""),"Russia")</f>
        <v>Russia</v>
      </c>
      <c r="M1559" s="27" t="str">
        <f aca="false">IFERROR(__xludf.dummyfunction("""COMPUTED_VALUE"""),"(Diff)")</f>
        <v>(Diff)</v>
      </c>
      <c r="N1559" s="25"/>
      <c r="O1559" s="25"/>
      <c r="P1559" s="25"/>
      <c r="Q1559" s="29" t="s">
        <v>247</v>
      </c>
      <c r="R1559" s="8" t="str">
        <f aca="false">B1559&amp;" "&amp;C1559&amp;" "&amp;D1559&amp;" "&amp;E1559&amp;" "&amp;G1559&amp;" "&amp;H1559&amp;" "&amp;J1559&amp;" "&amp;N1559</f>
        <v>Differentials Cathode     CIF Russia (Diff) </v>
      </c>
      <c r="S1559" s="25"/>
      <c r="T1559" s="8"/>
      <c r="U1559" s="8"/>
      <c r="V1559" s="25"/>
      <c r="W1559" s="25"/>
      <c r="X1559" s="25"/>
      <c r="Y1559" s="25"/>
      <c r="Z1559" s="25"/>
      <c r="AA1559" s="25"/>
      <c r="AB1559" s="25"/>
      <c r="AC1559" s="25"/>
      <c r="AD1559" s="25"/>
    </row>
    <row r="1560" customFormat="false" ht="15.75" hidden="false" customHeight="false" outlineLevel="0" collapsed="false">
      <c r="A1560" s="28" t="s">
        <v>1960</v>
      </c>
      <c r="B1560" s="27" t="s">
        <v>438</v>
      </c>
      <c r="C1560" s="27" t="s">
        <v>236</v>
      </c>
      <c r="D1560" s="25"/>
      <c r="E1560" s="25"/>
      <c r="F1560" s="25"/>
      <c r="G1560" s="25"/>
      <c r="H1560" s="25"/>
      <c r="I1560" s="25"/>
      <c r="J1560" s="27" t="s">
        <v>1936</v>
      </c>
      <c r="K1560" s="25" t="str">
        <f aca="false">IFERROR(__xludf.dummyfunction("SPLIT(J1560,"" "")"),"CIF")</f>
        <v>CIF</v>
      </c>
      <c r="L1560" s="28" t="str">
        <f aca="false">IFERROR(__xludf.dummyfunction("""COMPUTED_VALUE"""),"Russia")</f>
        <v>Russia</v>
      </c>
      <c r="M1560" s="27" t="str">
        <f aca="false">IFERROR(__xludf.dummyfunction("""COMPUTED_VALUE"""),"(Diff)")</f>
        <v>(Diff)</v>
      </c>
      <c r="N1560" s="25"/>
      <c r="O1560" s="25"/>
      <c r="P1560" s="25"/>
      <c r="Q1560" s="29" t="s">
        <v>243</v>
      </c>
      <c r="R1560" s="8" t="str">
        <f aca="false">B1560&amp;" "&amp;C1560&amp;" "&amp;D1560&amp;" "&amp;E1560&amp;" "&amp;G1560&amp;" "&amp;H1560&amp;" "&amp;J1560&amp;" "&amp;N1560</f>
        <v>Differentials Cathode     CIF Russia (Diff) </v>
      </c>
      <c r="S1560" s="25"/>
      <c r="T1560" s="8"/>
      <c r="U1560" s="8"/>
      <c r="V1560" s="25"/>
      <c r="W1560" s="25"/>
      <c r="X1560" s="25"/>
      <c r="Y1560" s="25"/>
      <c r="Z1560" s="25"/>
      <c r="AA1560" s="25"/>
      <c r="AB1560" s="25"/>
      <c r="AC1560" s="25"/>
      <c r="AD1560" s="25"/>
    </row>
    <row r="1561" customFormat="false" ht="15.75" hidden="false" customHeight="false" outlineLevel="0" collapsed="false">
      <c r="A1561" s="28" t="s">
        <v>1961</v>
      </c>
      <c r="B1561" s="27" t="s">
        <v>438</v>
      </c>
      <c r="C1561" s="27" t="s">
        <v>236</v>
      </c>
      <c r="D1561" s="25"/>
      <c r="E1561" s="25"/>
      <c r="F1561" s="25"/>
      <c r="G1561" s="25"/>
      <c r="H1561" s="25"/>
      <c r="I1561" s="25"/>
      <c r="J1561" s="27" t="s">
        <v>1936</v>
      </c>
      <c r="K1561" s="25" t="str">
        <f aca="false">IFERROR(__xludf.dummyfunction("SPLIT(J1561,"" "")"),"CIF")</f>
        <v>CIF</v>
      </c>
      <c r="L1561" s="28" t="str">
        <f aca="false">IFERROR(__xludf.dummyfunction("""COMPUTED_VALUE"""),"Russia")</f>
        <v>Russia</v>
      </c>
      <c r="M1561" s="27" t="str">
        <f aca="false">IFERROR(__xludf.dummyfunction("""COMPUTED_VALUE"""),"(Diff)")</f>
        <v>(Diff)</v>
      </c>
      <c r="N1561" s="25"/>
      <c r="O1561" s="25"/>
      <c r="P1561" s="25"/>
      <c r="Q1561" s="29" t="s">
        <v>239</v>
      </c>
      <c r="R1561" s="8" t="str">
        <f aca="false">B1561&amp;" "&amp;C1561&amp;" "&amp;D1561&amp;" "&amp;E1561&amp;" "&amp;G1561&amp;" "&amp;H1561&amp;" "&amp;J1561&amp;" "&amp;N1561</f>
        <v>Differentials Cathode     CIF Russia (Diff) </v>
      </c>
      <c r="S1561" s="25"/>
      <c r="T1561" s="8"/>
      <c r="U1561" s="8"/>
      <c r="V1561" s="25"/>
      <c r="W1561" s="25"/>
      <c r="X1561" s="25"/>
      <c r="Y1561" s="25"/>
      <c r="Z1561" s="25"/>
      <c r="AA1561" s="25"/>
      <c r="AB1561" s="25"/>
      <c r="AC1561" s="25"/>
      <c r="AD1561" s="25"/>
    </row>
    <row r="1562" customFormat="false" ht="15.75" hidden="false" customHeight="false" outlineLevel="0" collapsed="false">
      <c r="A1562" s="28" t="s">
        <v>1962</v>
      </c>
      <c r="B1562" s="27" t="s">
        <v>438</v>
      </c>
      <c r="C1562" s="27" t="s">
        <v>289</v>
      </c>
      <c r="D1562" s="25"/>
      <c r="E1562" s="25"/>
      <c r="F1562" s="25"/>
      <c r="G1562" s="25"/>
      <c r="H1562" s="25"/>
      <c r="I1562" s="25"/>
      <c r="J1562" s="27" t="s">
        <v>1936</v>
      </c>
      <c r="K1562" s="25" t="str">
        <f aca="false">IFERROR(__xludf.dummyfunction("SPLIT(J1562,"" "")"),"CIF")</f>
        <v>CIF</v>
      </c>
      <c r="L1562" s="28" t="str">
        <f aca="false">IFERROR(__xludf.dummyfunction("""COMPUTED_VALUE"""),"Russia")</f>
        <v>Russia</v>
      </c>
      <c r="M1562" s="27" t="str">
        <f aca="false">IFERROR(__xludf.dummyfunction("""COMPUTED_VALUE"""),"(Diff)")</f>
        <v>(Diff)</v>
      </c>
      <c r="N1562" s="25"/>
      <c r="O1562" s="25"/>
      <c r="P1562" s="25"/>
      <c r="Q1562" s="29" t="s">
        <v>306</v>
      </c>
      <c r="R1562" s="8" t="str">
        <f aca="false">B1562&amp;" "&amp;C1562&amp;" "&amp;D1562&amp;" "&amp;E1562&amp;" "&amp;G1562&amp;" "&amp;H1562&amp;" "&amp;J1562&amp;" "&amp;N1562</f>
        <v>Differentials Electrolyte     CIF Russia (Diff) </v>
      </c>
      <c r="S1562" s="25"/>
      <c r="T1562" s="8"/>
      <c r="U1562" s="8"/>
      <c r="V1562" s="25"/>
      <c r="W1562" s="25"/>
      <c r="X1562" s="25"/>
      <c r="Y1562" s="25"/>
      <c r="Z1562" s="25"/>
      <c r="AA1562" s="25"/>
      <c r="AB1562" s="25"/>
      <c r="AC1562" s="25"/>
      <c r="AD1562" s="25"/>
    </row>
    <row r="1563" customFormat="false" ht="15.75" hidden="false" customHeight="false" outlineLevel="0" collapsed="false">
      <c r="A1563" s="28" t="s">
        <v>1963</v>
      </c>
      <c r="B1563" s="27" t="s">
        <v>438</v>
      </c>
      <c r="C1563" s="27" t="s">
        <v>289</v>
      </c>
      <c r="D1563" s="25"/>
      <c r="E1563" s="25"/>
      <c r="F1563" s="25"/>
      <c r="G1563" s="25"/>
      <c r="H1563" s="25"/>
      <c r="I1563" s="25"/>
      <c r="J1563" s="27" t="s">
        <v>1936</v>
      </c>
      <c r="K1563" s="25" t="str">
        <f aca="false">IFERROR(__xludf.dummyfunction("SPLIT(J1563,"" "")"),"CIF")</f>
        <v>CIF</v>
      </c>
      <c r="L1563" s="28" t="str">
        <f aca="false">IFERROR(__xludf.dummyfunction("""COMPUTED_VALUE"""),"Russia")</f>
        <v>Russia</v>
      </c>
      <c r="M1563" s="27" t="str">
        <f aca="false">IFERROR(__xludf.dummyfunction("""COMPUTED_VALUE"""),"(Diff)")</f>
        <v>(Diff)</v>
      </c>
      <c r="N1563" s="25"/>
      <c r="O1563" s="25"/>
      <c r="P1563" s="25"/>
      <c r="Q1563" s="29" t="s">
        <v>304</v>
      </c>
      <c r="R1563" s="8" t="str">
        <f aca="false">B1563&amp;" "&amp;C1563&amp;" "&amp;D1563&amp;" "&amp;E1563&amp;" "&amp;G1563&amp;" "&amp;H1563&amp;" "&amp;J1563&amp;" "&amp;N1563</f>
        <v>Differentials Electrolyte     CIF Russia (Diff) </v>
      </c>
      <c r="S1563" s="25"/>
      <c r="T1563" s="8"/>
      <c r="U1563" s="8"/>
      <c r="V1563" s="25"/>
      <c r="W1563" s="25"/>
      <c r="X1563" s="25"/>
      <c r="Y1563" s="25"/>
      <c r="Z1563" s="25"/>
      <c r="AA1563" s="25"/>
      <c r="AB1563" s="25"/>
      <c r="AC1563" s="25"/>
      <c r="AD1563" s="25"/>
    </row>
    <row r="1564" customFormat="false" ht="15.75" hidden="false" customHeight="false" outlineLevel="0" collapsed="false">
      <c r="A1564" s="28" t="s">
        <v>1964</v>
      </c>
      <c r="B1564" s="27" t="s">
        <v>438</v>
      </c>
      <c r="C1564" s="27" t="s">
        <v>289</v>
      </c>
      <c r="D1564" s="25"/>
      <c r="E1564" s="25"/>
      <c r="F1564" s="25"/>
      <c r="G1564" s="25"/>
      <c r="H1564" s="25"/>
      <c r="I1564" s="25"/>
      <c r="J1564" s="27" t="s">
        <v>1936</v>
      </c>
      <c r="K1564" s="25" t="str">
        <f aca="false">IFERROR(__xludf.dummyfunction("SPLIT(J1564,"" "")"),"CIF")</f>
        <v>CIF</v>
      </c>
      <c r="L1564" s="28" t="str">
        <f aca="false">IFERROR(__xludf.dummyfunction("""COMPUTED_VALUE"""),"Russia")</f>
        <v>Russia</v>
      </c>
      <c r="M1564" s="27" t="str">
        <f aca="false">IFERROR(__xludf.dummyfunction("""COMPUTED_VALUE"""),"(Diff)")</f>
        <v>(Diff)</v>
      </c>
      <c r="N1564" s="25"/>
      <c r="O1564" s="25"/>
      <c r="P1564" s="25"/>
      <c r="Q1564" s="29" t="s">
        <v>302</v>
      </c>
      <c r="R1564" s="8" t="str">
        <f aca="false">B1564&amp;" "&amp;C1564&amp;" "&amp;D1564&amp;" "&amp;E1564&amp;" "&amp;G1564&amp;" "&amp;H1564&amp;" "&amp;J1564&amp;" "&amp;N1564</f>
        <v>Differentials Electrolyte     CIF Russia (Diff) </v>
      </c>
      <c r="S1564" s="25"/>
      <c r="T1564" s="8"/>
      <c r="U1564" s="8"/>
      <c r="V1564" s="25"/>
      <c r="W1564" s="25"/>
      <c r="X1564" s="25"/>
      <c r="Y1564" s="25"/>
      <c r="Z1564" s="25"/>
      <c r="AA1564" s="25"/>
      <c r="AB1564" s="25"/>
      <c r="AC1564" s="25"/>
      <c r="AD1564" s="25"/>
    </row>
    <row r="1565" customFormat="false" ht="15.75" hidden="false" customHeight="false" outlineLevel="0" collapsed="false">
      <c r="A1565" s="28" t="s">
        <v>1965</v>
      </c>
      <c r="B1565" s="27" t="s">
        <v>438</v>
      </c>
      <c r="C1565" s="27" t="s">
        <v>289</v>
      </c>
      <c r="D1565" s="25"/>
      <c r="E1565" s="25"/>
      <c r="F1565" s="25"/>
      <c r="G1565" s="25"/>
      <c r="H1565" s="25"/>
      <c r="I1565" s="25"/>
      <c r="J1565" s="27" t="s">
        <v>1936</v>
      </c>
      <c r="K1565" s="25" t="str">
        <f aca="false">IFERROR(__xludf.dummyfunction("SPLIT(J1565,"" "")"),"CIF")</f>
        <v>CIF</v>
      </c>
      <c r="L1565" s="28" t="str">
        <f aca="false">IFERROR(__xludf.dummyfunction("""COMPUTED_VALUE"""),"Russia")</f>
        <v>Russia</v>
      </c>
      <c r="M1565" s="27" t="str">
        <f aca="false">IFERROR(__xludf.dummyfunction("""COMPUTED_VALUE"""),"(Diff)")</f>
        <v>(Diff)</v>
      </c>
      <c r="N1565" s="25"/>
      <c r="O1565" s="25"/>
      <c r="P1565" s="25"/>
      <c r="Q1565" s="29" t="s">
        <v>300</v>
      </c>
      <c r="R1565" s="8" t="str">
        <f aca="false">B1565&amp;" "&amp;C1565&amp;" "&amp;D1565&amp;" "&amp;E1565&amp;" "&amp;G1565&amp;" "&amp;H1565&amp;" "&amp;J1565&amp;" "&amp;N1565</f>
        <v>Differentials Electrolyte     CIF Russia (Diff) </v>
      </c>
      <c r="S1565" s="25"/>
      <c r="T1565" s="8"/>
      <c r="U1565" s="8"/>
      <c r="V1565" s="25"/>
      <c r="W1565" s="25"/>
      <c r="X1565" s="25"/>
      <c r="Y1565" s="25"/>
      <c r="Z1565" s="25"/>
      <c r="AA1565" s="25"/>
      <c r="AB1565" s="25"/>
      <c r="AC1565" s="25"/>
      <c r="AD1565" s="25"/>
    </row>
    <row r="1566" customFormat="false" ht="15.75" hidden="false" customHeight="false" outlineLevel="0" collapsed="false">
      <c r="A1566" s="28" t="s">
        <v>1966</v>
      </c>
      <c r="B1566" s="27" t="s">
        <v>438</v>
      </c>
      <c r="C1566" s="27" t="s">
        <v>289</v>
      </c>
      <c r="D1566" s="25"/>
      <c r="E1566" s="25"/>
      <c r="F1566" s="25"/>
      <c r="G1566" s="25"/>
      <c r="H1566" s="25"/>
      <c r="I1566" s="25"/>
      <c r="J1566" s="27" t="s">
        <v>1936</v>
      </c>
      <c r="K1566" s="25" t="str">
        <f aca="false">IFERROR(__xludf.dummyfunction("SPLIT(J1566,"" "")"),"CIF")</f>
        <v>CIF</v>
      </c>
      <c r="L1566" s="28" t="str">
        <f aca="false">IFERROR(__xludf.dummyfunction("""COMPUTED_VALUE"""),"Russia")</f>
        <v>Russia</v>
      </c>
      <c r="M1566" s="27" t="str">
        <f aca="false">IFERROR(__xludf.dummyfunction("""COMPUTED_VALUE"""),"(Diff)")</f>
        <v>(Diff)</v>
      </c>
      <c r="N1566" s="25"/>
      <c r="O1566" s="25"/>
      <c r="P1566" s="25"/>
      <c r="Q1566" s="29" t="s">
        <v>298</v>
      </c>
      <c r="R1566" s="8" t="str">
        <f aca="false">B1566&amp;" "&amp;C1566&amp;" "&amp;D1566&amp;" "&amp;E1566&amp;" "&amp;G1566&amp;" "&amp;H1566&amp;" "&amp;J1566&amp;" "&amp;N1566</f>
        <v>Differentials Electrolyte     CIF Russia (Diff) </v>
      </c>
      <c r="S1566" s="25"/>
      <c r="T1566" s="8"/>
      <c r="U1566" s="8"/>
      <c r="V1566" s="25"/>
      <c r="W1566" s="25"/>
      <c r="X1566" s="25"/>
      <c r="Y1566" s="25"/>
      <c r="Z1566" s="25"/>
      <c r="AA1566" s="25"/>
      <c r="AB1566" s="25"/>
      <c r="AC1566" s="25"/>
      <c r="AD1566" s="25"/>
    </row>
    <row r="1567" customFormat="false" ht="15.75" hidden="false" customHeight="false" outlineLevel="0" collapsed="false">
      <c r="A1567" s="28" t="s">
        <v>1967</v>
      </c>
      <c r="B1567" s="27" t="s">
        <v>438</v>
      </c>
      <c r="C1567" s="27" t="s">
        <v>289</v>
      </c>
      <c r="D1567" s="25"/>
      <c r="E1567" s="25"/>
      <c r="F1567" s="25"/>
      <c r="G1567" s="25"/>
      <c r="H1567" s="25"/>
      <c r="I1567" s="25"/>
      <c r="J1567" s="27" t="s">
        <v>1936</v>
      </c>
      <c r="K1567" s="25" t="str">
        <f aca="false">IFERROR(__xludf.dummyfunction("SPLIT(J1567,"" "")"),"CIF")</f>
        <v>CIF</v>
      </c>
      <c r="L1567" s="28" t="str">
        <f aca="false">IFERROR(__xludf.dummyfunction("""COMPUTED_VALUE"""),"Russia")</f>
        <v>Russia</v>
      </c>
      <c r="M1567" s="27" t="str">
        <f aca="false">IFERROR(__xludf.dummyfunction("""COMPUTED_VALUE"""),"(Diff)")</f>
        <v>(Diff)</v>
      </c>
      <c r="N1567" s="25"/>
      <c r="O1567" s="25"/>
      <c r="P1567" s="25"/>
      <c r="Q1567" s="29" t="s">
        <v>296</v>
      </c>
      <c r="R1567" s="8" t="str">
        <f aca="false">B1567&amp;" "&amp;C1567&amp;" "&amp;D1567&amp;" "&amp;E1567&amp;" "&amp;G1567&amp;" "&amp;H1567&amp;" "&amp;J1567&amp;" "&amp;N1567</f>
        <v>Differentials Electrolyte     CIF Russia (Diff) </v>
      </c>
      <c r="S1567" s="25"/>
      <c r="T1567" s="8"/>
      <c r="U1567" s="8"/>
      <c r="V1567" s="25"/>
      <c r="W1567" s="25"/>
      <c r="X1567" s="25"/>
      <c r="Y1567" s="25"/>
      <c r="Z1567" s="25"/>
      <c r="AA1567" s="25"/>
      <c r="AB1567" s="25"/>
      <c r="AC1567" s="25"/>
      <c r="AD1567" s="25"/>
    </row>
    <row r="1568" customFormat="false" ht="15.75" hidden="false" customHeight="false" outlineLevel="0" collapsed="false">
      <c r="A1568" s="28" t="s">
        <v>1968</v>
      </c>
      <c r="B1568" s="27" t="s">
        <v>438</v>
      </c>
      <c r="C1568" s="27" t="s">
        <v>289</v>
      </c>
      <c r="D1568" s="25"/>
      <c r="E1568" s="25"/>
      <c r="F1568" s="25"/>
      <c r="G1568" s="25"/>
      <c r="H1568" s="25"/>
      <c r="I1568" s="25"/>
      <c r="J1568" s="27" t="s">
        <v>1936</v>
      </c>
      <c r="K1568" s="25" t="str">
        <f aca="false">IFERROR(__xludf.dummyfunction("SPLIT(J1568,"" "")"),"CIF")</f>
        <v>CIF</v>
      </c>
      <c r="L1568" s="28" t="str">
        <f aca="false">IFERROR(__xludf.dummyfunction("""COMPUTED_VALUE"""),"Russia")</f>
        <v>Russia</v>
      </c>
      <c r="M1568" s="27" t="str">
        <f aca="false">IFERROR(__xludf.dummyfunction("""COMPUTED_VALUE"""),"(Diff)")</f>
        <v>(Diff)</v>
      </c>
      <c r="N1568" s="25"/>
      <c r="O1568" s="25"/>
      <c r="P1568" s="25"/>
      <c r="Q1568" s="29" t="s">
        <v>294</v>
      </c>
      <c r="R1568" s="8" t="str">
        <f aca="false">B1568&amp;" "&amp;C1568&amp;" "&amp;D1568&amp;" "&amp;E1568&amp;" "&amp;G1568&amp;" "&amp;H1568&amp;" "&amp;J1568&amp;" "&amp;N1568</f>
        <v>Differentials Electrolyte     CIF Russia (Diff) </v>
      </c>
      <c r="S1568" s="25"/>
      <c r="T1568" s="8"/>
      <c r="U1568" s="8"/>
      <c r="V1568" s="25"/>
      <c r="W1568" s="25"/>
      <c r="X1568" s="25"/>
      <c r="Y1568" s="25"/>
      <c r="Z1568" s="25"/>
      <c r="AA1568" s="25"/>
      <c r="AB1568" s="25"/>
      <c r="AC1568" s="25"/>
      <c r="AD1568" s="25"/>
    </row>
    <row r="1569" customFormat="false" ht="15.75" hidden="false" customHeight="false" outlineLevel="0" collapsed="false">
      <c r="A1569" s="28" t="s">
        <v>1969</v>
      </c>
      <c r="B1569" s="27" t="s">
        <v>438</v>
      </c>
      <c r="C1569" s="27" t="s">
        <v>289</v>
      </c>
      <c r="D1569" s="25"/>
      <c r="E1569" s="25"/>
      <c r="F1569" s="25"/>
      <c r="G1569" s="25"/>
      <c r="H1569" s="25"/>
      <c r="I1569" s="25"/>
      <c r="J1569" s="27" t="s">
        <v>1936</v>
      </c>
      <c r="K1569" s="25" t="str">
        <f aca="false">IFERROR(__xludf.dummyfunction("SPLIT(J1569,"" "")"),"CIF")</f>
        <v>CIF</v>
      </c>
      <c r="L1569" s="28" t="str">
        <f aca="false">IFERROR(__xludf.dummyfunction("""COMPUTED_VALUE"""),"Russia")</f>
        <v>Russia</v>
      </c>
      <c r="M1569" s="27" t="str">
        <f aca="false">IFERROR(__xludf.dummyfunction("""COMPUTED_VALUE"""),"(Diff)")</f>
        <v>(Diff)</v>
      </c>
      <c r="N1569" s="25"/>
      <c r="O1569" s="25"/>
      <c r="P1569" s="25"/>
      <c r="Q1569" s="29" t="s">
        <v>291</v>
      </c>
      <c r="R1569" s="8" t="str">
        <f aca="false">B1569&amp;" "&amp;C1569&amp;" "&amp;D1569&amp;" "&amp;E1569&amp;" "&amp;G1569&amp;" "&amp;H1569&amp;" "&amp;J1569&amp;" "&amp;N1569</f>
        <v>Differentials Electrolyte     CIF Russia (Diff) </v>
      </c>
      <c r="S1569" s="25"/>
      <c r="T1569" s="8"/>
      <c r="U1569" s="8"/>
      <c r="V1569" s="25"/>
      <c r="W1569" s="25"/>
      <c r="X1569" s="25"/>
      <c r="Y1569" s="25"/>
      <c r="Z1569" s="25"/>
      <c r="AA1569" s="25"/>
      <c r="AB1569" s="25"/>
      <c r="AC1569" s="25"/>
      <c r="AD1569" s="25"/>
    </row>
    <row r="1570" customFormat="false" ht="15.75" hidden="false" customHeight="false" outlineLevel="0" collapsed="false">
      <c r="A1570" s="28" t="s">
        <v>1970</v>
      </c>
      <c r="B1570" s="27" t="s">
        <v>438</v>
      </c>
      <c r="C1570" s="27" t="s">
        <v>308</v>
      </c>
      <c r="D1570" s="25"/>
      <c r="E1570" s="25"/>
      <c r="F1570" s="25"/>
      <c r="G1570" s="25"/>
      <c r="H1570" s="25"/>
      <c r="I1570" s="25"/>
      <c r="J1570" s="27" t="s">
        <v>1936</v>
      </c>
      <c r="K1570" s="25" t="str">
        <f aca="false">IFERROR(__xludf.dummyfunction("SPLIT(J1570,"" "")"),"CIF")</f>
        <v>CIF</v>
      </c>
      <c r="L1570" s="28" t="str">
        <f aca="false">IFERROR(__xludf.dummyfunction("""COMPUTED_VALUE"""),"Russia")</f>
        <v>Russia</v>
      </c>
      <c r="M1570" s="27" t="str">
        <f aca="false">IFERROR(__xludf.dummyfunction("""COMPUTED_VALUE"""),"(Diff)")</f>
        <v>(Diff)</v>
      </c>
      <c r="N1570" s="25"/>
      <c r="O1570" s="25"/>
      <c r="P1570" s="25"/>
      <c r="Q1570" s="29" t="s">
        <v>358</v>
      </c>
      <c r="R1570" s="8" t="str">
        <f aca="false">B1570&amp;" "&amp;C1570&amp;" "&amp;D1570&amp;" "&amp;E1570&amp;" "&amp;G1570&amp;" "&amp;H1570&amp;" "&amp;J1570&amp;" "&amp;N1570</f>
        <v>Differentials Graphite     CIF Russia (Diff) </v>
      </c>
      <c r="S1570" s="25"/>
      <c r="T1570" s="8"/>
      <c r="U1570" s="8"/>
      <c r="V1570" s="25"/>
      <c r="W1570" s="25"/>
      <c r="X1570" s="25"/>
      <c r="Y1570" s="25"/>
      <c r="Z1570" s="25"/>
      <c r="AA1570" s="25"/>
      <c r="AB1570" s="25"/>
      <c r="AC1570" s="25"/>
      <c r="AD1570" s="25"/>
    </row>
    <row r="1571" customFormat="false" ht="15.75" hidden="false" customHeight="false" outlineLevel="0" collapsed="false">
      <c r="A1571" s="28" t="s">
        <v>1971</v>
      </c>
      <c r="B1571" s="27" t="s">
        <v>438</v>
      </c>
      <c r="C1571" s="27" t="s">
        <v>308</v>
      </c>
      <c r="D1571" s="25"/>
      <c r="E1571" s="25"/>
      <c r="F1571" s="25"/>
      <c r="G1571" s="25"/>
      <c r="H1571" s="25"/>
      <c r="I1571" s="25"/>
      <c r="J1571" s="27" t="s">
        <v>1936</v>
      </c>
      <c r="K1571" s="25" t="str">
        <f aca="false">IFERROR(__xludf.dummyfunction("SPLIT(J1571,"" "")"),"CIF")</f>
        <v>CIF</v>
      </c>
      <c r="L1571" s="28" t="str">
        <f aca="false">IFERROR(__xludf.dummyfunction("""COMPUTED_VALUE"""),"Russia")</f>
        <v>Russia</v>
      </c>
      <c r="M1571" s="27" t="str">
        <f aca="false">IFERROR(__xludf.dummyfunction("""COMPUTED_VALUE"""),"(Diff)")</f>
        <v>(Diff)</v>
      </c>
      <c r="N1571" s="25"/>
      <c r="O1571" s="25"/>
      <c r="P1571" s="25"/>
      <c r="Q1571" s="29" t="s">
        <v>356</v>
      </c>
      <c r="R1571" s="8" t="str">
        <f aca="false">B1571&amp;" "&amp;C1571&amp;" "&amp;D1571&amp;" "&amp;E1571&amp;" "&amp;G1571&amp;" "&amp;H1571&amp;" "&amp;J1571&amp;" "&amp;N1571</f>
        <v>Differentials Graphite     CIF Russia (Diff) </v>
      </c>
      <c r="S1571" s="25"/>
      <c r="T1571" s="8"/>
      <c r="U1571" s="8"/>
      <c r="V1571" s="25"/>
      <c r="W1571" s="25"/>
      <c r="X1571" s="25"/>
      <c r="Y1571" s="25"/>
      <c r="Z1571" s="25"/>
      <c r="AA1571" s="25"/>
      <c r="AB1571" s="25"/>
      <c r="AC1571" s="25"/>
      <c r="AD1571" s="25"/>
    </row>
    <row r="1572" customFormat="false" ht="15.75" hidden="false" customHeight="false" outlineLevel="0" collapsed="false">
      <c r="A1572" s="28" t="s">
        <v>1972</v>
      </c>
      <c r="B1572" s="27" t="s">
        <v>438</v>
      </c>
      <c r="C1572" s="27" t="s">
        <v>308</v>
      </c>
      <c r="D1572" s="25"/>
      <c r="E1572" s="25"/>
      <c r="F1572" s="25"/>
      <c r="G1572" s="25"/>
      <c r="H1572" s="25"/>
      <c r="I1572" s="25"/>
      <c r="J1572" s="27" t="s">
        <v>1936</v>
      </c>
      <c r="K1572" s="25" t="str">
        <f aca="false">IFERROR(__xludf.dummyfunction("SPLIT(J1572,"" "")"),"CIF")</f>
        <v>CIF</v>
      </c>
      <c r="L1572" s="28" t="str">
        <f aca="false">IFERROR(__xludf.dummyfunction("""COMPUTED_VALUE"""),"Russia")</f>
        <v>Russia</v>
      </c>
      <c r="M1572" s="27" t="str">
        <f aca="false">IFERROR(__xludf.dummyfunction("""COMPUTED_VALUE"""),"(Diff)")</f>
        <v>(Diff)</v>
      </c>
      <c r="N1572" s="25"/>
      <c r="O1572" s="25"/>
      <c r="P1572" s="25"/>
      <c r="Q1572" s="29" t="s">
        <v>354</v>
      </c>
      <c r="R1572" s="8" t="str">
        <f aca="false">B1572&amp;" "&amp;C1572&amp;" "&amp;D1572&amp;" "&amp;E1572&amp;" "&amp;G1572&amp;" "&amp;H1572&amp;" "&amp;J1572&amp;" "&amp;N1572</f>
        <v>Differentials Graphite     CIF Russia (Diff) </v>
      </c>
      <c r="S1572" s="25"/>
      <c r="T1572" s="8"/>
      <c r="U1572" s="8"/>
      <c r="V1572" s="25"/>
      <c r="W1572" s="25"/>
      <c r="X1572" s="25"/>
      <c r="Y1572" s="25"/>
      <c r="Z1572" s="25"/>
      <c r="AA1572" s="25"/>
      <c r="AB1572" s="25"/>
      <c r="AC1572" s="25"/>
      <c r="AD1572" s="25"/>
    </row>
    <row r="1573" customFormat="false" ht="15.75" hidden="false" customHeight="false" outlineLevel="0" collapsed="false">
      <c r="A1573" s="28" t="s">
        <v>1973</v>
      </c>
      <c r="B1573" s="27" t="s">
        <v>438</v>
      </c>
      <c r="C1573" s="27" t="s">
        <v>308</v>
      </c>
      <c r="D1573" s="25"/>
      <c r="E1573" s="25"/>
      <c r="F1573" s="25"/>
      <c r="G1573" s="25"/>
      <c r="H1573" s="25"/>
      <c r="I1573" s="25"/>
      <c r="J1573" s="27" t="s">
        <v>1936</v>
      </c>
      <c r="K1573" s="25" t="str">
        <f aca="false">IFERROR(__xludf.dummyfunction("SPLIT(J1573,"" "")"),"CIF")</f>
        <v>CIF</v>
      </c>
      <c r="L1573" s="28" t="str">
        <f aca="false">IFERROR(__xludf.dummyfunction("""COMPUTED_VALUE"""),"Russia")</f>
        <v>Russia</v>
      </c>
      <c r="M1573" s="27" t="str">
        <f aca="false">IFERROR(__xludf.dummyfunction("""COMPUTED_VALUE"""),"(Diff)")</f>
        <v>(Diff)</v>
      </c>
      <c r="N1573" s="25"/>
      <c r="O1573" s="25"/>
      <c r="P1573" s="25"/>
      <c r="Q1573" s="29" t="s">
        <v>352</v>
      </c>
      <c r="R1573" s="8" t="str">
        <f aca="false">B1573&amp;" "&amp;C1573&amp;" "&amp;D1573&amp;" "&amp;E1573&amp;" "&amp;G1573&amp;" "&amp;H1573&amp;" "&amp;J1573&amp;" "&amp;N1573</f>
        <v>Differentials Graphite     CIF Russia (Diff) </v>
      </c>
      <c r="S1573" s="25"/>
      <c r="T1573" s="8"/>
      <c r="U1573" s="8"/>
      <c r="V1573" s="25"/>
      <c r="W1573" s="25"/>
      <c r="X1573" s="25"/>
      <c r="Y1573" s="25"/>
      <c r="Z1573" s="25"/>
      <c r="AA1573" s="25"/>
      <c r="AB1573" s="25"/>
      <c r="AC1573" s="25"/>
      <c r="AD1573" s="25"/>
    </row>
    <row r="1574" customFormat="false" ht="15.75" hidden="false" customHeight="false" outlineLevel="0" collapsed="false">
      <c r="A1574" s="28" t="s">
        <v>1974</v>
      </c>
      <c r="B1574" s="27" t="s">
        <v>438</v>
      </c>
      <c r="C1574" s="27" t="s">
        <v>308</v>
      </c>
      <c r="D1574" s="25"/>
      <c r="E1574" s="25"/>
      <c r="F1574" s="25"/>
      <c r="G1574" s="25"/>
      <c r="H1574" s="25"/>
      <c r="I1574" s="25"/>
      <c r="J1574" s="27" t="s">
        <v>1936</v>
      </c>
      <c r="K1574" s="25" t="str">
        <f aca="false">IFERROR(__xludf.dummyfunction("SPLIT(J1574,"" "")"),"CIF")</f>
        <v>CIF</v>
      </c>
      <c r="L1574" s="28" t="str">
        <f aca="false">IFERROR(__xludf.dummyfunction("""COMPUTED_VALUE"""),"Russia")</f>
        <v>Russia</v>
      </c>
      <c r="M1574" s="27" t="str">
        <f aca="false">IFERROR(__xludf.dummyfunction("""COMPUTED_VALUE"""),"(Diff)")</f>
        <v>(Diff)</v>
      </c>
      <c r="N1574" s="25"/>
      <c r="O1574" s="25"/>
      <c r="P1574" s="25"/>
      <c r="Q1574" s="29" t="s">
        <v>350</v>
      </c>
      <c r="R1574" s="8" t="str">
        <f aca="false">B1574&amp;" "&amp;C1574&amp;" "&amp;D1574&amp;" "&amp;E1574&amp;" "&amp;G1574&amp;" "&amp;H1574&amp;" "&amp;J1574&amp;" "&amp;N1574</f>
        <v>Differentials Graphite     CIF Russia (Diff) </v>
      </c>
      <c r="S1574" s="25"/>
      <c r="T1574" s="8"/>
      <c r="U1574" s="8"/>
      <c r="V1574" s="25"/>
      <c r="W1574" s="25"/>
      <c r="X1574" s="25"/>
      <c r="Y1574" s="25"/>
      <c r="Z1574" s="25"/>
      <c r="AA1574" s="25"/>
      <c r="AB1574" s="25"/>
      <c r="AC1574" s="25"/>
      <c r="AD1574" s="25"/>
    </row>
    <row r="1575" customFormat="false" ht="15.75" hidden="false" customHeight="false" outlineLevel="0" collapsed="false">
      <c r="A1575" s="28" t="s">
        <v>1975</v>
      </c>
      <c r="B1575" s="27" t="s">
        <v>438</v>
      </c>
      <c r="C1575" s="27" t="s">
        <v>308</v>
      </c>
      <c r="D1575" s="25"/>
      <c r="E1575" s="25"/>
      <c r="F1575" s="25"/>
      <c r="G1575" s="25"/>
      <c r="H1575" s="25"/>
      <c r="I1575" s="25"/>
      <c r="J1575" s="27" t="s">
        <v>1936</v>
      </c>
      <c r="K1575" s="25" t="str">
        <f aca="false">IFERROR(__xludf.dummyfunction("SPLIT(J1575,"" "")"),"CIF")</f>
        <v>CIF</v>
      </c>
      <c r="L1575" s="28" t="str">
        <f aca="false">IFERROR(__xludf.dummyfunction("""COMPUTED_VALUE"""),"Russia")</f>
        <v>Russia</v>
      </c>
      <c r="M1575" s="27" t="str">
        <f aca="false">IFERROR(__xludf.dummyfunction("""COMPUTED_VALUE"""),"(Diff)")</f>
        <v>(Diff)</v>
      </c>
      <c r="N1575" s="25"/>
      <c r="O1575" s="25"/>
      <c r="P1575" s="25"/>
      <c r="Q1575" s="29" t="s">
        <v>347</v>
      </c>
      <c r="R1575" s="8" t="str">
        <f aca="false">B1575&amp;" "&amp;C1575&amp;" "&amp;D1575&amp;" "&amp;E1575&amp;" "&amp;G1575&amp;" "&amp;H1575&amp;" "&amp;J1575&amp;" "&amp;N1575</f>
        <v>Differentials Graphite     CIF Russia (Diff) </v>
      </c>
      <c r="S1575" s="25"/>
      <c r="T1575" s="8"/>
      <c r="U1575" s="8"/>
      <c r="V1575" s="25"/>
      <c r="W1575" s="25"/>
      <c r="X1575" s="25"/>
      <c r="Y1575" s="25"/>
      <c r="Z1575" s="25"/>
      <c r="AA1575" s="25"/>
      <c r="AB1575" s="25"/>
      <c r="AC1575" s="25"/>
      <c r="AD1575" s="25"/>
    </row>
    <row r="1576" customFormat="false" ht="15.75" hidden="false" customHeight="false" outlineLevel="0" collapsed="false">
      <c r="A1576" s="28" t="s">
        <v>1976</v>
      </c>
      <c r="B1576" s="27" t="s">
        <v>438</v>
      </c>
      <c r="C1576" s="27" t="s">
        <v>308</v>
      </c>
      <c r="D1576" s="25"/>
      <c r="E1576" s="25"/>
      <c r="F1576" s="25"/>
      <c r="G1576" s="25"/>
      <c r="H1576" s="25"/>
      <c r="I1576" s="25"/>
      <c r="J1576" s="27" t="s">
        <v>1936</v>
      </c>
      <c r="K1576" s="25" t="str">
        <f aca="false">IFERROR(__xludf.dummyfunction("SPLIT(J1576,"" "")"),"CIF")</f>
        <v>CIF</v>
      </c>
      <c r="L1576" s="28" t="str">
        <f aca="false">IFERROR(__xludf.dummyfunction("""COMPUTED_VALUE"""),"Russia")</f>
        <v>Russia</v>
      </c>
      <c r="M1576" s="27" t="str">
        <f aca="false">IFERROR(__xludf.dummyfunction("""COMPUTED_VALUE"""),"(Diff)")</f>
        <v>(Diff)</v>
      </c>
      <c r="N1576" s="25"/>
      <c r="O1576" s="25"/>
      <c r="P1576" s="25"/>
      <c r="Q1576" s="29" t="s">
        <v>344</v>
      </c>
      <c r="R1576" s="8" t="str">
        <f aca="false">B1576&amp;" "&amp;C1576&amp;" "&amp;D1576&amp;" "&amp;E1576&amp;" "&amp;G1576&amp;" "&amp;H1576&amp;" "&amp;J1576&amp;" "&amp;N1576</f>
        <v>Differentials Graphite     CIF Russia (Diff) </v>
      </c>
      <c r="S1576" s="25"/>
      <c r="T1576" s="8"/>
      <c r="U1576" s="8"/>
      <c r="V1576" s="25"/>
      <c r="W1576" s="25"/>
      <c r="X1576" s="25"/>
      <c r="Y1576" s="25"/>
      <c r="Z1576" s="25"/>
      <c r="AA1576" s="25"/>
      <c r="AB1576" s="25"/>
      <c r="AC1576" s="25"/>
      <c r="AD1576" s="25"/>
    </row>
    <row r="1577" customFormat="false" ht="15.75" hidden="false" customHeight="false" outlineLevel="0" collapsed="false">
      <c r="A1577" s="28" t="s">
        <v>1977</v>
      </c>
      <c r="B1577" s="27" t="s">
        <v>438</v>
      </c>
      <c r="C1577" s="27" t="s">
        <v>308</v>
      </c>
      <c r="D1577" s="25"/>
      <c r="E1577" s="25"/>
      <c r="F1577" s="25"/>
      <c r="G1577" s="25"/>
      <c r="H1577" s="25"/>
      <c r="I1577" s="25"/>
      <c r="J1577" s="27" t="s">
        <v>1936</v>
      </c>
      <c r="K1577" s="25" t="str">
        <f aca="false">IFERROR(__xludf.dummyfunction("SPLIT(J1577,"" "")"),"CIF")</f>
        <v>CIF</v>
      </c>
      <c r="L1577" s="28" t="str">
        <f aca="false">IFERROR(__xludf.dummyfunction("""COMPUTED_VALUE"""),"Russia")</f>
        <v>Russia</v>
      </c>
      <c r="M1577" s="27" t="str">
        <f aca="false">IFERROR(__xludf.dummyfunction("""COMPUTED_VALUE"""),"(Diff)")</f>
        <v>(Diff)</v>
      </c>
      <c r="N1577" s="25"/>
      <c r="O1577" s="25"/>
      <c r="P1577" s="25"/>
      <c r="Q1577" s="29" t="s">
        <v>340</v>
      </c>
      <c r="R1577" s="8" t="str">
        <f aca="false">B1577&amp;" "&amp;C1577&amp;" "&amp;D1577&amp;" "&amp;E1577&amp;" "&amp;G1577&amp;" "&amp;H1577&amp;" "&amp;J1577&amp;" "&amp;N1577</f>
        <v>Differentials Graphite     CIF Russia (Diff) </v>
      </c>
      <c r="S1577" s="25"/>
      <c r="T1577" s="8"/>
      <c r="U1577" s="8"/>
      <c r="V1577" s="25"/>
      <c r="W1577" s="25"/>
      <c r="X1577" s="25"/>
      <c r="Y1577" s="25"/>
      <c r="Z1577" s="25"/>
      <c r="AA1577" s="25"/>
      <c r="AB1577" s="25"/>
      <c r="AC1577" s="25"/>
      <c r="AD1577" s="25"/>
    </row>
    <row r="1578" customFormat="false" ht="15.75" hidden="false" customHeight="false" outlineLevel="0" collapsed="false">
      <c r="A1578" s="28" t="s">
        <v>1978</v>
      </c>
      <c r="B1578" s="27" t="s">
        <v>438</v>
      </c>
      <c r="C1578" s="27" t="s">
        <v>308</v>
      </c>
      <c r="D1578" s="25"/>
      <c r="E1578" s="25"/>
      <c r="F1578" s="25"/>
      <c r="G1578" s="25"/>
      <c r="H1578" s="25"/>
      <c r="I1578" s="25"/>
      <c r="J1578" s="27" t="s">
        <v>1936</v>
      </c>
      <c r="K1578" s="25" t="str">
        <f aca="false">IFERROR(__xludf.dummyfunction("SPLIT(J1578,"" "")"),"CIF")</f>
        <v>CIF</v>
      </c>
      <c r="L1578" s="28" t="str">
        <f aca="false">IFERROR(__xludf.dummyfunction("""COMPUTED_VALUE"""),"Russia")</f>
        <v>Russia</v>
      </c>
      <c r="M1578" s="27" t="str">
        <f aca="false">IFERROR(__xludf.dummyfunction("""COMPUTED_VALUE"""),"(Diff)")</f>
        <v>(Diff)</v>
      </c>
      <c r="N1578" s="25"/>
      <c r="O1578" s="25"/>
      <c r="P1578" s="25"/>
      <c r="Q1578" s="29" t="s">
        <v>338</v>
      </c>
      <c r="R1578" s="8" t="str">
        <f aca="false">B1578&amp;" "&amp;C1578&amp;" "&amp;D1578&amp;" "&amp;E1578&amp;" "&amp;G1578&amp;" "&amp;H1578&amp;" "&amp;J1578&amp;" "&amp;N1578</f>
        <v>Differentials Graphite     CIF Russia (Diff) </v>
      </c>
      <c r="S1578" s="25"/>
      <c r="T1578" s="8"/>
      <c r="U1578" s="8"/>
      <c r="V1578" s="25"/>
      <c r="W1578" s="25"/>
      <c r="X1578" s="25"/>
      <c r="Y1578" s="25"/>
      <c r="Z1578" s="25"/>
      <c r="AA1578" s="25"/>
      <c r="AB1578" s="25"/>
      <c r="AC1578" s="25"/>
      <c r="AD1578" s="25"/>
    </row>
    <row r="1579" customFormat="false" ht="15.75" hidden="false" customHeight="false" outlineLevel="0" collapsed="false">
      <c r="A1579" s="28" t="s">
        <v>1979</v>
      </c>
      <c r="B1579" s="27" t="s">
        <v>438</v>
      </c>
      <c r="C1579" s="27" t="s">
        <v>308</v>
      </c>
      <c r="D1579" s="25"/>
      <c r="E1579" s="25"/>
      <c r="F1579" s="25"/>
      <c r="G1579" s="25"/>
      <c r="H1579" s="25"/>
      <c r="I1579" s="25"/>
      <c r="J1579" s="27" t="s">
        <v>1936</v>
      </c>
      <c r="K1579" s="25" t="str">
        <f aca="false">IFERROR(__xludf.dummyfunction("SPLIT(J1579,"" "")"),"CIF")</f>
        <v>CIF</v>
      </c>
      <c r="L1579" s="28" t="str">
        <f aca="false">IFERROR(__xludf.dummyfunction("""COMPUTED_VALUE"""),"Russia")</f>
        <v>Russia</v>
      </c>
      <c r="M1579" s="27" t="str">
        <f aca="false">IFERROR(__xludf.dummyfunction("""COMPUTED_VALUE"""),"(Diff)")</f>
        <v>(Diff)</v>
      </c>
      <c r="N1579" s="25"/>
      <c r="O1579" s="25"/>
      <c r="P1579" s="25"/>
      <c r="Q1579" s="29" t="s">
        <v>335</v>
      </c>
      <c r="R1579" s="8" t="str">
        <f aca="false">B1579&amp;" "&amp;C1579&amp;" "&amp;D1579&amp;" "&amp;E1579&amp;" "&amp;G1579&amp;" "&amp;H1579&amp;" "&amp;J1579&amp;" "&amp;N1579</f>
        <v>Differentials Graphite     CIF Russia (Diff) </v>
      </c>
      <c r="S1579" s="25"/>
      <c r="T1579" s="8"/>
      <c r="U1579" s="8"/>
      <c r="V1579" s="25"/>
      <c r="W1579" s="25"/>
      <c r="X1579" s="25"/>
      <c r="Y1579" s="25"/>
      <c r="Z1579" s="25"/>
      <c r="AA1579" s="25"/>
      <c r="AB1579" s="25"/>
      <c r="AC1579" s="25"/>
      <c r="AD1579" s="25"/>
    </row>
    <row r="1580" customFormat="false" ht="15.75" hidden="false" customHeight="false" outlineLevel="0" collapsed="false">
      <c r="A1580" s="28" t="s">
        <v>1980</v>
      </c>
      <c r="B1580" s="27" t="s">
        <v>438</v>
      </c>
      <c r="C1580" s="27" t="s">
        <v>308</v>
      </c>
      <c r="D1580" s="25"/>
      <c r="E1580" s="25"/>
      <c r="F1580" s="25"/>
      <c r="G1580" s="25"/>
      <c r="H1580" s="25"/>
      <c r="I1580" s="25"/>
      <c r="J1580" s="27" t="s">
        <v>1936</v>
      </c>
      <c r="K1580" s="25" t="str">
        <f aca="false">IFERROR(__xludf.dummyfunction("SPLIT(J1580,"" "")"),"CIF")</f>
        <v>CIF</v>
      </c>
      <c r="L1580" s="28" t="str">
        <f aca="false">IFERROR(__xludf.dummyfunction("""COMPUTED_VALUE"""),"Russia")</f>
        <v>Russia</v>
      </c>
      <c r="M1580" s="27" t="str">
        <f aca="false">IFERROR(__xludf.dummyfunction("""COMPUTED_VALUE"""),"(Diff)")</f>
        <v>(Diff)</v>
      </c>
      <c r="N1580" s="25"/>
      <c r="O1580" s="25"/>
      <c r="P1580" s="25"/>
      <c r="Q1580" s="29" t="s">
        <v>332</v>
      </c>
      <c r="R1580" s="8" t="str">
        <f aca="false">B1580&amp;" "&amp;C1580&amp;" "&amp;D1580&amp;" "&amp;E1580&amp;" "&amp;G1580&amp;" "&amp;H1580&amp;" "&amp;J1580&amp;" "&amp;N1580</f>
        <v>Differentials Graphite     CIF Russia (Diff) </v>
      </c>
      <c r="S1580" s="25"/>
      <c r="T1580" s="8"/>
      <c r="U1580" s="8"/>
      <c r="V1580" s="25"/>
      <c r="W1580" s="25"/>
      <c r="X1580" s="25"/>
      <c r="Y1580" s="25"/>
      <c r="Z1580" s="25"/>
      <c r="AA1580" s="25"/>
      <c r="AB1580" s="25"/>
      <c r="AC1580" s="25"/>
      <c r="AD1580" s="25"/>
    </row>
    <row r="1581" customFormat="false" ht="15.75" hidden="false" customHeight="false" outlineLevel="0" collapsed="false">
      <c r="A1581" s="28" t="s">
        <v>1981</v>
      </c>
      <c r="B1581" s="27" t="s">
        <v>438</v>
      </c>
      <c r="C1581" s="27" t="s">
        <v>308</v>
      </c>
      <c r="D1581" s="25"/>
      <c r="E1581" s="25"/>
      <c r="F1581" s="25"/>
      <c r="G1581" s="25"/>
      <c r="H1581" s="25"/>
      <c r="I1581" s="25"/>
      <c r="J1581" s="27" t="s">
        <v>1936</v>
      </c>
      <c r="K1581" s="25" t="str">
        <f aca="false">IFERROR(__xludf.dummyfunction("SPLIT(J1581,"" "")"),"CIF")</f>
        <v>CIF</v>
      </c>
      <c r="L1581" s="28" t="str">
        <f aca="false">IFERROR(__xludf.dummyfunction("""COMPUTED_VALUE"""),"Russia")</f>
        <v>Russia</v>
      </c>
      <c r="M1581" s="27" t="str">
        <f aca="false">IFERROR(__xludf.dummyfunction("""COMPUTED_VALUE"""),"(Diff)")</f>
        <v>(Diff)</v>
      </c>
      <c r="N1581" s="25"/>
      <c r="O1581" s="25"/>
      <c r="P1581" s="25"/>
      <c r="Q1581" s="29" t="s">
        <v>329</v>
      </c>
      <c r="R1581" s="8" t="str">
        <f aca="false">B1581&amp;" "&amp;C1581&amp;" "&amp;D1581&amp;" "&amp;E1581&amp;" "&amp;G1581&amp;" "&amp;H1581&amp;" "&amp;J1581&amp;" "&amp;N1581</f>
        <v>Differentials Graphite     CIF Russia (Diff) </v>
      </c>
      <c r="S1581" s="25"/>
      <c r="T1581" s="8"/>
      <c r="U1581" s="8"/>
      <c r="V1581" s="25"/>
      <c r="W1581" s="25"/>
      <c r="X1581" s="25"/>
      <c r="Y1581" s="25"/>
      <c r="Z1581" s="25"/>
      <c r="AA1581" s="25"/>
      <c r="AB1581" s="25"/>
      <c r="AC1581" s="25"/>
      <c r="AD1581" s="25"/>
    </row>
    <row r="1582" customFormat="false" ht="15.75" hidden="false" customHeight="false" outlineLevel="0" collapsed="false">
      <c r="A1582" s="28" t="s">
        <v>1982</v>
      </c>
      <c r="B1582" s="27" t="s">
        <v>438</v>
      </c>
      <c r="C1582" s="27" t="s">
        <v>308</v>
      </c>
      <c r="D1582" s="25"/>
      <c r="E1582" s="25"/>
      <c r="F1582" s="25"/>
      <c r="G1582" s="25"/>
      <c r="H1582" s="25"/>
      <c r="I1582" s="25"/>
      <c r="J1582" s="27" t="s">
        <v>1936</v>
      </c>
      <c r="K1582" s="25" t="str">
        <f aca="false">IFERROR(__xludf.dummyfunction("SPLIT(J1582,"" "")"),"CIF")</f>
        <v>CIF</v>
      </c>
      <c r="L1582" s="28" t="str">
        <f aca="false">IFERROR(__xludf.dummyfunction("""COMPUTED_VALUE"""),"Russia")</f>
        <v>Russia</v>
      </c>
      <c r="M1582" s="27" t="str">
        <f aca="false">IFERROR(__xludf.dummyfunction("""COMPUTED_VALUE"""),"(Diff)")</f>
        <v>(Diff)</v>
      </c>
      <c r="N1582" s="25"/>
      <c r="O1582" s="25"/>
      <c r="P1582" s="25"/>
      <c r="Q1582" s="29" t="s">
        <v>326</v>
      </c>
      <c r="R1582" s="8" t="str">
        <f aca="false">B1582&amp;" "&amp;C1582&amp;" "&amp;D1582&amp;" "&amp;E1582&amp;" "&amp;G1582&amp;" "&amp;H1582&amp;" "&amp;J1582&amp;" "&amp;N1582</f>
        <v>Differentials Graphite     CIF Russia (Diff) </v>
      </c>
      <c r="S1582" s="25"/>
      <c r="T1582" s="8"/>
      <c r="U1582" s="8"/>
      <c r="V1582" s="25"/>
      <c r="W1582" s="25"/>
      <c r="X1582" s="25"/>
      <c r="Y1582" s="25"/>
      <c r="Z1582" s="25"/>
      <c r="AA1582" s="25"/>
      <c r="AB1582" s="25"/>
      <c r="AC1582" s="25"/>
      <c r="AD1582" s="25"/>
    </row>
    <row r="1583" customFormat="false" ht="15.75" hidden="false" customHeight="false" outlineLevel="0" collapsed="false">
      <c r="A1583" s="28" t="s">
        <v>1983</v>
      </c>
      <c r="B1583" s="27" t="s">
        <v>438</v>
      </c>
      <c r="C1583" s="27" t="s">
        <v>308</v>
      </c>
      <c r="D1583" s="25"/>
      <c r="E1583" s="25"/>
      <c r="F1583" s="25"/>
      <c r="G1583" s="25"/>
      <c r="H1583" s="25"/>
      <c r="I1583" s="25"/>
      <c r="J1583" s="27" t="s">
        <v>1936</v>
      </c>
      <c r="K1583" s="25" t="str">
        <f aca="false">IFERROR(__xludf.dummyfunction("SPLIT(J1583,"" "")"),"CIF")</f>
        <v>CIF</v>
      </c>
      <c r="L1583" s="28" t="str">
        <f aca="false">IFERROR(__xludf.dummyfunction("""COMPUTED_VALUE"""),"Russia")</f>
        <v>Russia</v>
      </c>
      <c r="M1583" s="27" t="str">
        <f aca="false">IFERROR(__xludf.dummyfunction("""COMPUTED_VALUE"""),"(Diff)")</f>
        <v>(Diff)</v>
      </c>
      <c r="N1583" s="25"/>
      <c r="O1583" s="25"/>
      <c r="P1583" s="25"/>
      <c r="Q1583" s="29" t="s">
        <v>323</v>
      </c>
      <c r="R1583" s="8" t="str">
        <f aca="false">B1583&amp;" "&amp;C1583&amp;" "&amp;D1583&amp;" "&amp;E1583&amp;" "&amp;G1583&amp;" "&amp;H1583&amp;" "&amp;J1583&amp;" "&amp;N1583</f>
        <v>Differentials Graphite     CIF Russia (Diff) </v>
      </c>
      <c r="S1583" s="25"/>
      <c r="T1583" s="8"/>
      <c r="U1583" s="8"/>
      <c r="V1583" s="25"/>
      <c r="W1583" s="25"/>
      <c r="X1583" s="25"/>
      <c r="Y1583" s="25"/>
      <c r="Z1583" s="25"/>
      <c r="AA1583" s="25"/>
      <c r="AB1583" s="25"/>
      <c r="AC1583" s="25"/>
      <c r="AD1583" s="25"/>
    </row>
    <row r="1584" customFormat="false" ht="15.75" hidden="false" customHeight="false" outlineLevel="0" collapsed="false">
      <c r="A1584" s="28" t="s">
        <v>1984</v>
      </c>
      <c r="B1584" s="27" t="s">
        <v>438</v>
      </c>
      <c r="C1584" s="27" t="s">
        <v>308</v>
      </c>
      <c r="D1584" s="25"/>
      <c r="E1584" s="25"/>
      <c r="F1584" s="25"/>
      <c r="G1584" s="25"/>
      <c r="H1584" s="25"/>
      <c r="I1584" s="25"/>
      <c r="J1584" s="27" t="s">
        <v>1936</v>
      </c>
      <c r="K1584" s="25" t="str">
        <f aca="false">IFERROR(__xludf.dummyfunction("SPLIT(J1584,"" "")"),"CIF")</f>
        <v>CIF</v>
      </c>
      <c r="L1584" s="28" t="str">
        <f aca="false">IFERROR(__xludf.dummyfunction("""COMPUTED_VALUE"""),"Russia")</f>
        <v>Russia</v>
      </c>
      <c r="M1584" s="27" t="str">
        <f aca="false">IFERROR(__xludf.dummyfunction("""COMPUTED_VALUE"""),"(Diff)")</f>
        <v>(Diff)</v>
      </c>
      <c r="N1584" s="25"/>
      <c r="O1584" s="25"/>
      <c r="P1584" s="25"/>
      <c r="Q1584" s="29" t="s">
        <v>319</v>
      </c>
      <c r="R1584" s="8" t="str">
        <f aca="false">B1584&amp;" "&amp;C1584&amp;" "&amp;D1584&amp;" "&amp;E1584&amp;" "&amp;G1584&amp;" "&amp;H1584&amp;" "&amp;J1584&amp;" "&amp;N1584</f>
        <v>Differentials Graphite     CIF Russia (Diff) </v>
      </c>
      <c r="S1584" s="25"/>
      <c r="T1584" s="8"/>
      <c r="U1584" s="8"/>
      <c r="V1584" s="25"/>
      <c r="W1584" s="25"/>
      <c r="X1584" s="25"/>
      <c r="Y1584" s="25"/>
      <c r="Z1584" s="25"/>
      <c r="AA1584" s="25"/>
      <c r="AB1584" s="25"/>
      <c r="AC1584" s="25"/>
      <c r="AD1584" s="25"/>
    </row>
    <row r="1585" customFormat="false" ht="15.75" hidden="false" customHeight="false" outlineLevel="0" collapsed="false">
      <c r="A1585" s="28" t="s">
        <v>1985</v>
      </c>
      <c r="B1585" s="27" t="s">
        <v>438</v>
      </c>
      <c r="C1585" s="27" t="s">
        <v>308</v>
      </c>
      <c r="D1585" s="25"/>
      <c r="E1585" s="25"/>
      <c r="F1585" s="25"/>
      <c r="G1585" s="25"/>
      <c r="H1585" s="25"/>
      <c r="I1585" s="25"/>
      <c r="J1585" s="27" t="s">
        <v>1936</v>
      </c>
      <c r="K1585" s="25" t="str">
        <f aca="false">IFERROR(__xludf.dummyfunction("SPLIT(J1585,"" "")"),"CIF")</f>
        <v>CIF</v>
      </c>
      <c r="L1585" s="28" t="str">
        <f aca="false">IFERROR(__xludf.dummyfunction("""COMPUTED_VALUE"""),"Russia")</f>
        <v>Russia</v>
      </c>
      <c r="M1585" s="27" t="str">
        <f aca="false">IFERROR(__xludf.dummyfunction("""COMPUTED_VALUE"""),"(Diff)")</f>
        <v>(Diff)</v>
      </c>
      <c r="N1585" s="25"/>
      <c r="O1585" s="25"/>
      <c r="P1585" s="25"/>
      <c r="Q1585" s="29" t="s">
        <v>315</v>
      </c>
      <c r="R1585" s="8" t="str">
        <f aca="false">B1585&amp;" "&amp;C1585&amp;" "&amp;D1585&amp;" "&amp;E1585&amp;" "&amp;G1585&amp;" "&amp;H1585&amp;" "&amp;J1585&amp;" "&amp;N1585</f>
        <v>Differentials Graphite     CIF Russia (Diff) </v>
      </c>
      <c r="S1585" s="25"/>
      <c r="T1585" s="8"/>
      <c r="U1585" s="8"/>
      <c r="V1585" s="25"/>
      <c r="W1585" s="25"/>
      <c r="X1585" s="25"/>
      <c r="Y1585" s="25"/>
      <c r="Z1585" s="25"/>
      <c r="AA1585" s="25"/>
      <c r="AB1585" s="25"/>
      <c r="AC1585" s="25"/>
      <c r="AD1585" s="25"/>
    </row>
    <row r="1586" customFormat="false" ht="15.75" hidden="false" customHeight="false" outlineLevel="0" collapsed="false">
      <c r="A1586" s="28" t="s">
        <v>1986</v>
      </c>
      <c r="B1586" s="27" t="s">
        <v>438</v>
      </c>
      <c r="C1586" s="27" t="s">
        <v>308</v>
      </c>
      <c r="D1586" s="25"/>
      <c r="E1586" s="25"/>
      <c r="F1586" s="25"/>
      <c r="G1586" s="25"/>
      <c r="H1586" s="25"/>
      <c r="I1586" s="25"/>
      <c r="J1586" s="27" t="s">
        <v>1936</v>
      </c>
      <c r="K1586" s="25" t="str">
        <f aca="false">IFERROR(__xludf.dummyfunction("SPLIT(J1586,"" "")"),"CIF")</f>
        <v>CIF</v>
      </c>
      <c r="L1586" s="28" t="str">
        <f aca="false">IFERROR(__xludf.dummyfunction("""COMPUTED_VALUE"""),"Russia")</f>
        <v>Russia</v>
      </c>
      <c r="M1586" s="27" t="str">
        <f aca="false">IFERROR(__xludf.dummyfunction("""COMPUTED_VALUE"""),"(Diff)")</f>
        <v>(Diff)</v>
      </c>
      <c r="N1586" s="25"/>
      <c r="O1586" s="25"/>
      <c r="P1586" s="25"/>
      <c r="Q1586" s="29" t="s">
        <v>311</v>
      </c>
      <c r="R1586" s="8" t="str">
        <f aca="false">B1586&amp;" "&amp;C1586&amp;" "&amp;D1586&amp;" "&amp;E1586&amp;" "&amp;G1586&amp;" "&amp;H1586&amp;" "&amp;J1586&amp;" "&amp;N1586</f>
        <v>Differentials Graphite     CIF Russia (Diff) </v>
      </c>
      <c r="S1586" s="25"/>
      <c r="T1586" s="8"/>
      <c r="U1586" s="8"/>
      <c r="V1586" s="25"/>
      <c r="W1586" s="25"/>
      <c r="X1586" s="25"/>
      <c r="Y1586" s="25"/>
      <c r="Z1586" s="25"/>
      <c r="AA1586" s="25"/>
      <c r="AB1586" s="25"/>
      <c r="AC1586" s="25"/>
      <c r="AD1586" s="25"/>
    </row>
    <row r="1587" customFormat="false" ht="15.75" hidden="false" customHeight="false" outlineLevel="0" collapsed="false">
      <c r="A1587" s="28" t="s">
        <v>1987</v>
      </c>
      <c r="B1587" s="27" t="s">
        <v>438</v>
      </c>
      <c r="C1587" s="27" t="s">
        <v>417</v>
      </c>
      <c r="D1587" s="25"/>
      <c r="E1587" s="25"/>
      <c r="F1587" s="25"/>
      <c r="G1587" s="25"/>
      <c r="H1587" s="25"/>
      <c r="I1587" s="25"/>
      <c r="J1587" s="27" t="s">
        <v>1936</v>
      </c>
      <c r="K1587" s="25" t="str">
        <f aca="false">IFERROR(__xludf.dummyfunction("SPLIT(J1587,"" "")"),"CIF")</f>
        <v>CIF</v>
      </c>
      <c r="L1587" s="28" t="str">
        <f aca="false">IFERROR(__xludf.dummyfunction("""COMPUTED_VALUE"""),"Russia")</f>
        <v>Russia</v>
      </c>
      <c r="M1587" s="27" t="str">
        <f aca="false">IFERROR(__xludf.dummyfunction("""COMPUTED_VALUE"""),"(Diff)")</f>
        <v>(Diff)</v>
      </c>
      <c r="N1587" s="25"/>
      <c r="O1587" s="25"/>
      <c r="P1587" s="25"/>
      <c r="Q1587" s="29" t="s">
        <v>436</v>
      </c>
      <c r="R1587" s="8" t="str">
        <f aca="false">B1587&amp;" "&amp;C1587&amp;" "&amp;D1587&amp;" "&amp;E1587&amp;" "&amp;G1587&amp;" "&amp;H1587&amp;" "&amp;J1587&amp;" "&amp;N1587</f>
        <v>Differentials Solvent     CIF Russia (Diff) </v>
      </c>
      <c r="S1587" s="25"/>
      <c r="T1587" s="8"/>
      <c r="U1587" s="8"/>
      <c r="V1587" s="25"/>
      <c r="W1587" s="25"/>
      <c r="X1587" s="25"/>
      <c r="Y1587" s="25"/>
      <c r="Z1587" s="25"/>
      <c r="AA1587" s="25"/>
      <c r="AB1587" s="25"/>
      <c r="AC1587" s="25"/>
      <c r="AD1587" s="25"/>
    </row>
    <row r="1588" customFormat="false" ht="15.75" hidden="false" customHeight="false" outlineLevel="0" collapsed="false">
      <c r="A1588" s="28" t="s">
        <v>1988</v>
      </c>
      <c r="B1588" s="27" t="s">
        <v>438</v>
      </c>
      <c r="C1588" s="27" t="s">
        <v>417</v>
      </c>
      <c r="D1588" s="25"/>
      <c r="E1588" s="25"/>
      <c r="F1588" s="25"/>
      <c r="G1588" s="25"/>
      <c r="H1588" s="25"/>
      <c r="I1588" s="25"/>
      <c r="J1588" s="27" t="s">
        <v>1936</v>
      </c>
      <c r="K1588" s="25" t="str">
        <f aca="false">IFERROR(__xludf.dummyfunction("SPLIT(J1588,"" "")"),"CIF")</f>
        <v>CIF</v>
      </c>
      <c r="L1588" s="28" t="str">
        <f aca="false">IFERROR(__xludf.dummyfunction("""COMPUTED_VALUE"""),"Russia")</f>
        <v>Russia</v>
      </c>
      <c r="M1588" s="27" t="str">
        <f aca="false">IFERROR(__xludf.dummyfunction("""COMPUTED_VALUE"""),"(Diff)")</f>
        <v>(Diff)</v>
      </c>
      <c r="N1588" s="25"/>
      <c r="O1588" s="25"/>
      <c r="P1588" s="25"/>
      <c r="Q1588" s="29" t="s">
        <v>434</v>
      </c>
      <c r="R1588" s="8" t="str">
        <f aca="false">B1588&amp;" "&amp;C1588&amp;" "&amp;D1588&amp;" "&amp;E1588&amp;" "&amp;G1588&amp;" "&amp;H1588&amp;" "&amp;J1588&amp;" "&amp;N1588</f>
        <v>Differentials Solvent     CIF Russia (Diff) </v>
      </c>
      <c r="S1588" s="25"/>
      <c r="T1588" s="8"/>
      <c r="U1588" s="8"/>
      <c r="V1588" s="25"/>
      <c r="W1588" s="25"/>
      <c r="X1588" s="25"/>
      <c r="Y1588" s="25"/>
      <c r="Z1588" s="25"/>
      <c r="AA1588" s="25"/>
      <c r="AB1588" s="25"/>
      <c r="AC1588" s="25"/>
      <c r="AD1588" s="25"/>
    </row>
    <row r="1589" customFormat="false" ht="15.75" hidden="false" customHeight="false" outlineLevel="0" collapsed="false">
      <c r="A1589" s="28" t="s">
        <v>1989</v>
      </c>
      <c r="B1589" s="27" t="s">
        <v>438</v>
      </c>
      <c r="C1589" s="27" t="s">
        <v>417</v>
      </c>
      <c r="D1589" s="25"/>
      <c r="E1589" s="25"/>
      <c r="F1589" s="25"/>
      <c r="G1589" s="25"/>
      <c r="H1589" s="25"/>
      <c r="I1589" s="25"/>
      <c r="J1589" s="27" t="s">
        <v>1936</v>
      </c>
      <c r="K1589" s="25" t="str">
        <f aca="false">IFERROR(__xludf.dummyfunction("SPLIT(J1589,"" "")"),"CIF")</f>
        <v>CIF</v>
      </c>
      <c r="L1589" s="28" t="str">
        <f aca="false">IFERROR(__xludf.dummyfunction("""COMPUTED_VALUE"""),"Russia")</f>
        <v>Russia</v>
      </c>
      <c r="M1589" s="27" t="str">
        <f aca="false">IFERROR(__xludf.dummyfunction("""COMPUTED_VALUE"""),"(Diff)")</f>
        <v>(Diff)</v>
      </c>
      <c r="N1589" s="25"/>
      <c r="O1589" s="25"/>
      <c r="P1589" s="25"/>
      <c r="Q1589" s="29" t="s">
        <v>432</v>
      </c>
      <c r="R1589" s="8" t="str">
        <f aca="false">B1589&amp;" "&amp;C1589&amp;" "&amp;D1589&amp;" "&amp;E1589&amp;" "&amp;G1589&amp;" "&amp;H1589&amp;" "&amp;J1589&amp;" "&amp;N1589</f>
        <v>Differentials Solvent     CIF Russia (Diff) </v>
      </c>
      <c r="S1589" s="25"/>
      <c r="T1589" s="8"/>
      <c r="U1589" s="8"/>
      <c r="V1589" s="25"/>
      <c r="W1589" s="25"/>
      <c r="X1589" s="25"/>
      <c r="Y1589" s="25"/>
      <c r="Z1589" s="25"/>
      <c r="AA1589" s="25"/>
      <c r="AB1589" s="25"/>
      <c r="AC1589" s="25"/>
      <c r="AD1589" s="25"/>
    </row>
    <row r="1590" customFormat="false" ht="15.75" hidden="false" customHeight="false" outlineLevel="0" collapsed="false">
      <c r="A1590" s="28" t="s">
        <v>1990</v>
      </c>
      <c r="B1590" s="27" t="s">
        <v>438</v>
      </c>
      <c r="C1590" s="27" t="s">
        <v>417</v>
      </c>
      <c r="D1590" s="25"/>
      <c r="E1590" s="25"/>
      <c r="F1590" s="25"/>
      <c r="G1590" s="25"/>
      <c r="H1590" s="25"/>
      <c r="I1590" s="25"/>
      <c r="J1590" s="27" t="s">
        <v>1936</v>
      </c>
      <c r="K1590" s="25" t="str">
        <f aca="false">IFERROR(__xludf.dummyfunction("SPLIT(J1590,"" "")"),"CIF")</f>
        <v>CIF</v>
      </c>
      <c r="L1590" s="28" t="str">
        <f aca="false">IFERROR(__xludf.dummyfunction("""COMPUTED_VALUE"""),"Russia")</f>
        <v>Russia</v>
      </c>
      <c r="M1590" s="27" t="str">
        <f aca="false">IFERROR(__xludf.dummyfunction("""COMPUTED_VALUE"""),"(Diff)")</f>
        <v>(Diff)</v>
      </c>
      <c r="N1590" s="25"/>
      <c r="O1590" s="25"/>
      <c r="P1590" s="25"/>
      <c r="Q1590" s="29" t="s">
        <v>430</v>
      </c>
      <c r="R1590" s="8" t="str">
        <f aca="false">B1590&amp;" "&amp;C1590&amp;" "&amp;D1590&amp;" "&amp;E1590&amp;" "&amp;G1590&amp;" "&amp;H1590&amp;" "&amp;J1590&amp;" "&amp;N1590</f>
        <v>Differentials Solvent     CIF Russia (Diff) </v>
      </c>
      <c r="S1590" s="25"/>
      <c r="T1590" s="8"/>
      <c r="U1590" s="8"/>
      <c r="V1590" s="25"/>
      <c r="W1590" s="25"/>
      <c r="X1590" s="25"/>
      <c r="Y1590" s="25"/>
      <c r="Z1590" s="25"/>
      <c r="AA1590" s="25"/>
      <c r="AB1590" s="25"/>
      <c r="AC1590" s="25"/>
      <c r="AD1590" s="25"/>
    </row>
    <row r="1591" customFormat="false" ht="15.75" hidden="false" customHeight="false" outlineLevel="0" collapsed="false">
      <c r="A1591" s="28" t="s">
        <v>1991</v>
      </c>
      <c r="B1591" s="27" t="s">
        <v>438</v>
      </c>
      <c r="C1591" s="27" t="s">
        <v>417</v>
      </c>
      <c r="D1591" s="25"/>
      <c r="E1591" s="25"/>
      <c r="F1591" s="25"/>
      <c r="G1591" s="25"/>
      <c r="H1591" s="25"/>
      <c r="I1591" s="25"/>
      <c r="J1591" s="27" t="s">
        <v>1936</v>
      </c>
      <c r="K1591" s="25" t="str">
        <f aca="false">IFERROR(__xludf.dummyfunction("SPLIT(J1591,"" "")"),"CIF")</f>
        <v>CIF</v>
      </c>
      <c r="L1591" s="28" t="str">
        <f aca="false">IFERROR(__xludf.dummyfunction("""COMPUTED_VALUE"""),"Russia")</f>
        <v>Russia</v>
      </c>
      <c r="M1591" s="27" t="str">
        <f aca="false">IFERROR(__xludf.dummyfunction("""COMPUTED_VALUE"""),"(Diff)")</f>
        <v>(Diff)</v>
      </c>
      <c r="N1591" s="25"/>
      <c r="O1591" s="25"/>
      <c r="P1591" s="25"/>
      <c r="Q1591" s="29" t="s">
        <v>428</v>
      </c>
      <c r="R1591" s="8" t="str">
        <f aca="false">B1591&amp;" "&amp;C1591&amp;" "&amp;D1591&amp;" "&amp;E1591&amp;" "&amp;G1591&amp;" "&amp;H1591&amp;" "&amp;J1591&amp;" "&amp;N1591</f>
        <v>Differentials Solvent     CIF Russia (Diff) </v>
      </c>
      <c r="S1591" s="25"/>
      <c r="T1591" s="8"/>
      <c r="U1591" s="8"/>
      <c r="V1591" s="25"/>
      <c r="W1591" s="25"/>
      <c r="X1591" s="25"/>
      <c r="Y1591" s="25"/>
      <c r="Z1591" s="25"/>
      <c r="AA1591" s="25"/>
      <c r="AB1591" s="25"/>
      <c r="AC1591" s="25"/>
      <c r="AD1591" s="25"/>
    </row>
    <row r="1592" customFormat="false" ht="15.75" hidden="false" customHeight="false" outlineLevel="0" collapsed="false">
      <c r="A1592" s="28" t="s">
        <v>1992</v>
      </c>
      <c r="B1592" s="27" t="s">
        <v>438</v>
      </c>
      <c r="C1592" s="27" t="s">
        <v>417</v>
      </c>
      <c r="D1592" s="25"/>
      <c r="E1592" s="25"/>
      <c r="F1592" s="25"/>
      <c r="G1592" s="25"/>
      <c r="H1592" s="25"/>
      <c r="I1592" s="25"/>
      <c r="J1592" s="27" t="s">
        <v>1936</v>
      </c>
      <c r="K1592" s="25" t="str">
        <f aca="false">IFERROR(__xludf.dummyfunction("SPLIT(J1592,"" "")"),"CIF")</f>
        <v>CIF</v>
      </c>
      <c r="L1592" s="28" t="str">
        <f aca="false">IFERROR(__xludf.dummyfunction("""COMPUTED_VALUE"""),"Russia")</f>
        <v>Russia</v>
      </c>
      <c r="M1592" s="27" t="str">
        <f aca="false">IFERROR(__xludf.dummyfunction("""COMPUTED_VALUE"""),"(Diff)")</f>
        <v>(Diff)</v>
      </c>
      <c r="N1592" s="25"/>
      <c r="O1592" s="25"/>
      <c r="P1592" s="25"/>
      <c r="Q1592" s="29" t="s">
        <v>426</v>
      </c>
      <c r="R1592" s="8" t="str">
        <f aca="false">B1592&amp;" "&amp;C1592&amp;" "&amp;D1592&amp;" "&amp;E1592&amp;" "&amp;G1592&amp;" "&amp;H1592&amp;" "&amp;J1592&amp;" "&amp;N1592</f>
        <v>Differentials Solvent     CIF Russia (Diff) </v>
      </c>
      <c r="S1592" s="25"/>
      <c r="T1592" s="8"/>
      <c r="U1592" s="8"/>
      <c r="V1592" s="25"/>
      <c r="W1592" s="25"/>
      <c r="X1592" s="25"/>
      <c r="Y1592" s="25"/>
      <c r="Z1592" s="25"/>
      <c r="AA1592" s="25"/>
      <c r="AB1592" s="25"/>
      <c r="AC1592" s="25"/>
      <c r="AD1592" s="25"/>
    </row>
    <row r="1593" customFormat="false" ht="15.75" hidden="false" customHeight="false" outlineLevel="0" collapsed="false">
      <c r="A1593" s="28" t="s">
        <v>1993</v>
      </c>
      <c r="B1593" s="27" t="s">
        <v>438</v>
      </c>
      <c r="C1593" s="27" t="s">
        <v>417</v>
      </c>
      <c r="D1593" s="25"/>
      <c r="E1593" s="25"/>
      <c r="F1593" s="25"/>
      <c r="G1593" s="25"/>
      <c r="H1593" s="25"/>
      <c r="I1593" s="25"/>
      <c r="J1593" s="27" t="s">
        <v>1936</v>
      </c>
      <c r="K1593" s="25" t="str">
        <f aca="false">IFERROR(__xludf.dummyfunction("SPLIT(J1593,"" "")"),"CIF")</f>
        <v>CIF</v>
      </c>
      <c r="L1593" s="28" t="str">
        <f aca="false">IFERROR(__xludf.dummyfunction("""COMPUTED_VALUE"""),"Russia")</f>
        <v>Russia</v>
      </c>
      <c r="M1593" s="27" t="str">
        <f aca="false">IFERROR(__xludf.dummyfunction("""COMPUTED_VALUE"""),"(Diff)")</f>
        <v>(Diff)</v>
      </c>
      <c r="N1593" s="25"/>
      <c r="O1593" s="25"/>
      <c r="P1593" s="25"/>
      <c r="Q1593" s="29" t="s">
        <v>424</v>
      </c>
      <c r="R1593" s="8" t="str">
        <f aca="false">B1593&amp;" "&amp;C1593&amp;" "&amp;D1593&amp;" "&amp;E1593&amp;" "&amp;G1593&amp;" "&amp;H1593&amp;" "&amp;J1593&amp;" "&amp;N1593</f>
        <v>Differentials Solvent     CIF Russia (Diff) </v>
      </c>
      <c r="S1593" s="25"/>
      <c r="T1593" s="8"/>
      <c r="U1593" s="8"/>
      <c r="V1593" s="25"/>
      <c r="W1593" s="25"/>
      <c r="X1593" s="25"/>
      <c r="Y1593" s="25"/>
      <c r="Z1593" s="25"/>
      <c r="AA1593" s="25"/>
      <c r="AB1593" s="25"/>
      <c r="AC1593" s="25"/>
      <c r="AD1593" s="25"/>
    </row>
    <row r="1594" customFormat="false" ht="15.75" hidden="false" customHeight="false" outlineLevel="0" collapsed="false">
      <c r="A1594" s="28" t="s">
        <v>1994</v>
      </c>
      <c r="B1594" s="27" t="s">
        <v>438</v>
      </c>
      <c r="C1594" s="27" t="s">
        <v>417</v>
      </c>
      <c r="D1594" s="25"/>
      <c r="E1594" s="25"/>
      <c r="F1594" s="25"/>
      <c r="G1594" s="25"/>
      <c r="H1594" s="25"/>
      <c r="I1594" s="25"/>
      <c r="J1594" s="27" t="s">
        <v>1936</v>
      </c>
      <c r="K1594" s="25" t="str">
        <f aca="false">IFERROR(__xludf.dummyfunction("SPLIT(J1594,"" "")"),"CIF")</f>
        <v>CIF</v>
      </c>
      <c r="L1594" s="28" t="str">
        <f aca="false">IFERROR(__xludf.dummyfunction("""COMPUTED_VALUE"""),"Russia")</f>
        <v>Russia</v>
      </c>
      <c r="M1594" s="27" t="str">
        <f aca="false">IFERROR(__xludf.dummyfunction("""COMPUTED_VALUE"""),"(Diff)")</f>
        <v>(Diff)</v>
      </c>
      <c r="N1594" s="25"/>
      <c r="O1594" s="25"/>
      <c r="P1594" s="25"/>
      <c r="Q1594" s="29" t="s">
        <v>422</v>
      </c>
      <c r="R1594" s="8" t="str">
        <f aca="false">B1594&amp;" "&amp;C1594&amp;" "&amp;D1594&amp;" "&amp;E1594&amp;" "&amp;G1594&amp;" "&amp;H1594&amp;" "&amp;J1594&amp;" "&amp;N1594</f>
        <v>Differentials Solvent     CIF Russia (Diff) </v>
      </c>
      <c r="S1594" s="25"/>
      <c r="T1594" s="8"/>
      <c r="U1594" s="8"/>
      <c r="V1594" s="25"/>
      <c r="W1594" s="25"/>
      <c r="X1594" s="25"/>
      <c r="Y1594" s="25"/>
      <c r="Z1594" s="25"/>
      <c r="AA1594" s="25"/>
      <c r="AB1594" s="25"/>
      <c r="AC1594" s="25"/>
      <c r="AD1594" s="25"/>
    </row>
    <row r="1595" customFormat="false" ht="15.75" hidden="false" customHeight="false" outlineLevel="0" collapsed="false">
      <c r="A1595" s="28" t="s">
        <v>1995</v>
      </c>
      <c r="B1595" s="27" t="s">
        <v>438</v>
      </c>
      <c r="C1595" s="27" t="s">
        <v>417</v>
      </c>
      <c r="D1595" s="25"/>
      <c r="E1595" s="25"/>
      <c r="F1595" s="25"/>
      <c r="G1595" s="25"/>
      <c r="H1595" s="25"/>
      <c r="I1595" s="25"/>
      <c r="J1595" s="27" t="s">
        <v>1936</v>
      </c>
      <c r="K1595" s="25" t="str">
        <f aca="false">IFERROR(__xludf.dummyfunction("SPLIT(J1595,"" "")"),"CIF")</f>
        <v>CIF</v>
      </c>
      <c r="L1595" s="28" t="str">
        <f aca="false">IFERROR(__xludf.dummyfunction("""COMPUTED_VALUE"""),"Russia")</f>
        <v>Russia</v>
      </c>
      <c r="M1595" s="27" t="str">
        <f aca="false">IFERROR(__xludf.dummyfunction("""COMPUTED_VALUE"""),"(Diff)")</f>
        <v>(Diff)</v>
      </c>
      <c r="N1595" s="25"/>
      <c r="O1595" s="25"/>
      <c r="P1595" s="25"/>
      <c r="Q1595" s="29" t="s">
        <v>420</v>
      </c>
      <c r="R1595" s="8" t="str">
        <f aca="false">B1595&amp;" "&amp;C1595&amp;" "&amp;D1595&amp;" "&amp;E1595&amp;" "&amp;G1595&amp;" "&amp;H1595&amp;" "&amp;J1595&amp;" "&amp;N1595</f>
        <v>Differentials Solvent     CIF Russia (Diff) </v>
      </c>
      <c r="S1595" s="25"/>
      <c r="T1595" s="8"/>
      <c r="U1595" s="8"/>
      <c r="V1595" s="25"/>
      <c r="W1595" s="25"/>
      <c r="X1595" s="25"/>
      <c r="Y1595" s="25"/>
      <c r="Z1595" s="25"/>
      <c r="AA1595" s="25"/>
      <c r="AB1595" s="25"/>
      <c r="AC1595" s="25"/>
      <c r="AD1595" s="25"/>
    </row>
    <row r="1596" customFormat="false" ht="15.75" hidden="false" customHeight="false" outlineLevel="0" collapsed="false">
      <c r="A1596" s="28" t="s">
        <v>1996</v>
      </c>
      <c r="B1596" s="27" t="s">
        <v>438</v>
      </c>
      <c r="C1596" s="27" t="s">
        <v>417</v>
      </c>
      <c r="D1596" s="25"/>
      <c r="E1596" s="25"/>
      <c r="F1596" s="25"/>
      <c r="G1596" s="25"/>
      <c r="H1596" s="25"/>
      <c r="I1596" s="25"/>
      <c r="J1596" s="27" t="s">
        <v>1936</v>
      </c>
      <c r="K1596" s="25" t="str">
        <f aca="false">IFERROR(__xludf.dummyfunction("SPLIT(J1596,"" "")"),"CIF")</f>
        <v>CIF</v>
      </c>
      <c r="L1596" s="28" t="str">
        <f aca="false">IFERROR(__xludf.dummyfunction("""COMPUTED_VALUE"""),"Russia")</f>
        <v>Russia</v>
      </c>
      <c r="M1596" s="27" t="str">
        <f aca="false">IFERROR(__xludf.dummyfunction("""COMPUTED_VALUE"""),"(Diff)")</f>
        <v>(Diff)</v>
      </c>
      <c r="N1596" s="25"/>
      <c r="O1596" s="25"/>
      <c r="P1596" s="25"/>
      <c r="Q1596" s="29" t="s">
        <v>418</v>
      </c>
      <c r="R1596" s="8" t="str">
        <f aca="false">B1596&amp;" "&amp;C1596&amp;" "&amp;D1596&amp;" "&amp;E1596&amp;" "&amp;G1596&amp;" "&amp;H1596&amp;" "&amp;J1596&amp;" "&amp;N1596</f>
        <v>Differentials Solvent     CIF Russia (Diff) </v>
      </c>
      <c r="S1596" s="25"/>
      <c r="T1596" s="8"/>
      <c r="U1596" s="8"/>
      <c r="V1596" s="25"/>
      <c r="W1596" s="25"/>
      <c r="X1596" s="25"/>
      <c r="Y1596" s="25"/>
      <c r="Z1596" s="25"/>
      <c r="AA1596" s="25"/>
      <c r="AB1596" s="25"/>
      <c r="AC1596" s="25"/>
      <c r="AD1596" s="25"/>
    </row>
    <row r="1597" customFormat="false" ht="15.75" hidden="false" customHeight="false" outlineLevel="0" collapsed="false">
      <c r="A1597" s="28" t="s">
        <v>1997</v>
      </c>
      <c r="B1597" s="27" t="s">
        <v>438</v>
      </c>
      <c r="C1597" s="27" t="s">
        <v>177</v>
      </c>
      <c r="D1597" s="25"/>
      <c r="E1597" s="25"/>
      <c r="F1597" s="25"/>
      <c r="G1597" s="25"/>
      <c r="H1597" s="25"/>
      <c r="I1597" s="25"/>
      <c r="J1597" s="27" t="s">
        <v>1998</v>
      </c>
      <c r="K1597" s="25" t="str">
        <f aca="false">IFERROR(__xludf.dummyfunction("SPLIT(J1597,"" "")"),"CIF")</f>
        <v>CIF</v>
      </c>
      <c r="L1597" s="28" t="str">
        <f aca="false">IFERROR(__xludf.dummyfunction("""COMPUTED_VALUE"""),"Serbia")</f>
        <v>Serbia</v>
      </c>
      <c r="M1597" s="27" t="str">
        <f aca="false">IFERROR(__xludf.dummyfunction("""COMPUTED_VALUE"""),"(Diff)")</f>
        <v>(Diff)</v>
      </c>
      <c r="N1597" s="25"/>
      <c r="O1597" s="25"/>
      <c r="P1597" s="25"/>
      <c r="Q1597" s="29" t="s">
        <v>209</v>
      </c>
      <c r="R1597" s="8" t="str">
        <f aca="false">B1597&amp;" "&amp;C1597&amp;" "&amp;D1597&amp;" "&amp;E1597&amp;" "&amp;G1597&amp;" "&amp;H1597&amp;" "&amp;J1597&amp;" "&amp;N1597</f>
        <v>Differentials Anode     CIF Serbia (Diff) </v>
      </c>
      <c r="S1597" s="25"/>
      <c r="T1597" s="8"/>
      <c r="U1597" s="8"/>
      <c r="V1597" s="25"/>
      <c r="W1597" s="25"/>
      <c r="X1597" s="25"/>
      <c r="Y1597" s="25"/>
      <c r="Z1597" s="25"/>
      <c r="AA1597" s="25"/>
      <c r="AB1597" s="25"/>
      <c r="AC1597" s="25"/>
      <c r="AD1597" s="25"/>
    </row>
    <row r="1598" customFormat="false" ht="15.75" hidden="false" customHeight="false" outlineLevel="0" collapsed="false">
      <c r="A1598" s="28" t="s">
        <v>1999</v>
      </c>
      <c r="B1598" s="27" t="s">
        <v>438</v>
      </c>
      <c r="C1598" s="27" t="s">
        <v>177</v>
      </c>
      <c r="D1598" s="25"/>
      <c r="E1598" s="25"/>
      <c r="F1598" s="25"/>
      <c r="G1598" s="25"/>
      <c r="H1598" s="25"/>
      <c r="I1598" s="25"/>
      <c r="J1598" s="27" t="s">
        <v>1998</v>
      </c>
      <c r="K1598" s="25" t="str">
        <f aca="false">IFERROR(__xludf.dummyfunction("SPLIT(J1598,"" "")"),"CIF")</f>
        <v>CIF</v>
      </c>
      <c r="L1598" s="28" t="str">
        <f aca="false">IFERROR(__xludf.dummyfunction("""COMPUTED_VALUE"""),"Serbia")</f>
        <v>Serbia</v>
      </c>
      <c r="M1598" s="27" t="str">
        <f aca="false">IFERROR(__xludf.dummyfunction("""COMPUTED_VALUE"""),"(Diff)")</f>
        <v>(Diff)</v>
      </c>
      <c r="N1598" s="25"/>
      <c r="O1598" s="25"/>
      <c r="P1598" s="25"/>
      <c r="Q1598" s="29" t="s">
        <v>205</v>
      </c>
      <c r="R1598" s="8" t="str">
        <f aca="false">B1598&amp;" "&amp;C1598&amp;" "&amp;D1598&amp;" "&amp;E1598&amp;" "&amp;G1598&amp;" "&amp;H1598&amp;" "&amp;J1598&amp;" "&amp;N1598</f>
        <v>Differentials Anode     CIF Serbia (Diff) </v>
      </c>
      <c r="S1598" s="25"/>
      <c r="T1598" s="8"/>
      <c r="U1598" s="8"/>
      <c r="V1598" s="25"/>
      <c r="W1598" s="25"/>
      <c r="X1598" s="25"/>
      <c r="Y1598" s="25"/>
      <c r="Z1598" s="25"/>
      <c r="AA1598" s="25"/>
      <c r="AB1598" s="25"/>
      <c r="AC1598" s="25"/>
      <c r="AD1598" s="25"/>
    </row>
    <row r="1599" customFormat="false" ht="15.75" hidden="false" customHeight="false" outlineLevel="0" collapsed="false">
      <c r="A1599" s="28" t="s">
        <v>2000</v>
      </c>
      <c r="B1599" s="27" t="s">
        <v>438</v>
      </c>
      <c r="C1599" s="27" t="s">
        <v>177</v>
      </c>
      <c r="D1599" s="25"/>
      <c r="E1599" s="25"/>
      <c r="F1599" s="25"/>
      <c r="G1599" s="25"/>
      <c r="H1599" s="25"/>
      <c r="I1599" s="25"/>
      <c r="J1599" s="27" t="s">
        <v>1998</v>
      </c>
      <c r="K1599" s="25" t="str">
        <f aca="false">IFERROR(__xludf.dummyfunction("SPLIT(J1599,"" "")"),"CIF")</f>
        <v>CIF</v>
      </c>
      <c r="L1599" s="28" t="str">
        <f aca="false">IFERROR(__xludf.dummyfunction("""COMPUTED_VALUE"""),"Serbia")</f>
        <v>Serbia</v>
      </c>
      <c r="M1599" s="27" t="str">
        <f aca="false">IFERROR(__xludf.dummyfunction("""COMPUTED_VALUE"""),"(Diff)")</f>
        <v>(Diff)</v>
      </c>
      <c r="N1599" s="25"/>
      <c r="O1599" s="25"/>
      <c r="P1599" s="25"/>
      <c r="Q1599" s="29" t="s">
        <v>202</v>
      </c>
      <c r="R1599" s="8" t="str">
        <f aca="false">B1599&amp;" "&amp;C1599&amp;" "&amp;D1599&amp;" "&amp;E1599&amp;" "&amp;G1599&amp;" "&amp;H1599&amp;" "&amp;J1599&amp;" "&amp;N1599</f>
        <v>Differentials Anode     CIF Serbia (Diff) </v>
      </c>
      <c r="S1599" s="25"/>
      <c r="T1599" s="8"/>
      <c r="U1599" s="8"/>
      <c r="V1599" s="25"/>
      <c r="W1599" s="25"/>
      <c r="X1599" s="25"/>
      <c r="Y1599" s="25"/>
      <c r="Z1599" s="25"/>
      <c r="AA1599" s="25"/>
      <c r="AB1599" s="25"/>
      <c r="AC1599" s="25"/>
      <c r="AD1599" s="25"/>
    </row>
    <row r="1600" customFormat="false" ht="15.75" hidden="false" customHeight="false" outlineLevel="0" collapsed="false">
      <c r="A1600" s="28" t="s">
        <v>2001</v>
      </c>
      <c r="B1600" s="27" t="s">
        <v>438</v>
      </c>
      <c r="C1600" s="27" t="s">
        <v>177</v>
      </c>
      <c r="D1600" s="25"/>
      <c r="E1600" s="25"/>
      <c r="F1600" s="25"/>
      <c r="G1600" s="25"/>
      <c r="H1600" s="25"/>
      <c r="I1600" s="25"/>
      <c r="J1600" s="27" t="s">
        <v>1998</v>
      </c>
      <c r="K1600" s="25" t="str">
        <f aca="false">IFERROR(__xludf.dummyfunction("SPLIT(J1600,"" "")"),"CIF")</f>
        <v>CIF</v>
      </c>
      <c r="L1600" s="28" t="str">
        <f aca="false">IFERROR(__xludf.dummyfunction("""COMPUTED_VALUE"""),"Serbia")</f>
        <v>Serbia</v>
      </c>
      <c r="M1600" s="27" t="str">
        <f aca="false">IFERROR(__xludf.dummyfunction("""COMPUTED_VALUE"""),"(Diff)")</f>
        <v>(Diff)</v>
      </c>
      <c r="N1600" s="25"/>
      <c r="O1600" s="25"/>
      <c r="P1600" s="25"/>
      <c r="Q1600" s="29" t="s">
        <v>197</v>
      </c>
      <c r="R1600" s="8" t="str">
        <f aca="false">B1600&amp;" "&amp;C1600&amp;" "&amp;D1600&amp;" "&amp;E1600&amp;" "&amp;G1600&amp;" "&amp;H1600&amp;" "&amp;J1600&amp;" "&amp;N1600</f>
        <v>Differentials Anode     CIF Serbia (Diff) </v>
      </c>
      <c r="S1600" s="25"/>
      <c r="T1600" s="8"/>
      <c r="U1600" s="8"/>
      <c r="V1600" s="25"/>
      <c r="W1600" s="25"/>
      <c r="X1600" s="25"/>
      <c r="Y1600" s="25"/>
      <c r="Z1600" s="25"/>
      <c r="AA1600" s="25"/>
      <c r="AB1600" s="25"/>
      <c r="AC1600" s="25"/>
      <c r="AD1600" s="25"/>
    </row>
    <row r="1601" customFormat="false" ht="15.75" hidden="false" customHeight="false" outlineLevel="0" collapsed="false">
      <c r="A1601" s="28" t="s">
        <v>2002</v>
      </c>
      <c r="B1601" s="27" t="s">
        <v>438</v>
      </c>
      <c r="C1601" s="27" t="s">
        <v>177</v>
      </c>
      <c r="D1601" s="25"/>
      <c r="E1601" s="25"/>
      <c r="F1601" s="25"/>
      <c r="G1601" s="25"/>
      <c r="H1601" s="25"/>
      <c r="I1601" s="25"/>
      <c r="J1601" s="27" t="s">
        <v>1998</v>
      </c>
      <c r="K1601" s="25" t="str">
        <f aca="false">IFERROR(__xludf.dummyfunction("SPLIT(J1601,"" "")"),"CIF")</f>
        <v>CIF</v>
      </c>
      <c r="L1601" s="28" t="str">
        <f aca="false">IFERROR(__xludf.dummyfunction("""COMPUTED_VALUE"""),"Serbia")</f>
        <v>Serbia</v>
      </c>
      <c r="M1601" s="27" t="str">
        <f aca="false">IFERROR(__xludf.dummyfunction("""COMPUTED_VALUE"""),"(Diff)")</f>
        <v>(Diff)</v>
      </c>
      <c r="N1601" s="25"/>
      <c r="O1601" s="25"/>
      <c r="P1601" s="25"/>
      <c r="Q1601" s="29" t="s">
        <v>193</v>
      </c>
      <c r="R1601" s="8" t="str">
        <f aca="false">B1601&amp;" "&amp;C1601&amp;" "&amp;D1601&amp;" "&amp;E1601&amp;" "&amp;G1601&amp;" "&amp;H1601&amp;" "&amp;J1601&amp;" "&amp;N1601</f>
        <v>Differentials Anode     CIF Serbia (Diff) </v>
      </c>
      <c r="S1601" s="25"/>
      <c r="T1601" s="8"/>
      <c r="U1601" s="8"/>
      <c r="V1601" s="25"/>
      <c r="W1601" s="25"/>
      <c r="X1601" s="25"/>
      <c r="Y1601" s="25"/>
      <c r="Z1601" s="25"/>
      <c r="AA1601" s="25"/>
      <c r="AB1601" s="25"/>
      <c r="AC1601" s="25"/>
      <c r="AD1601" s="25"/>
    </row>
    <row r="1602" customFormat="false" ht="15.75" hidden="false" customHeight="false" outlineLevel="0" collapsed="false">
      <c r="A1602" s="28" t="s">
        <v>2003</v>
      </c>
      <c r="B1602" s="27" t="s">
        <v>438</v>
      </c>
      <c r="C1602" s="27" t="s">
        <v>177</v>
      </c>
      <c r="D1602" s="25"/>
      <c r="E1602" s="25"/>
      <c r="F1602" s="25"/>
      <c r="G1602" s="25"/>
      <c r="H1602" s="25"/>
      <c r="I1602" s="25"/>
      <c r="J1602" s="27" t="s">
        <v>1998</v>
      </c>
      <c r="K1602" s="25" t="str">
        <f aca="false">IFERROR(__xludf.dummyfunction("SPLIT(J1602,"" "")"),"CIF")</f>
        <v>CIF</v>
      </c>
      <c r="L1602" s="28" t="str">
        <f aca="false">IFERROR(__xludf.dummyfunction("""COMPUTED_VALUE"""),"Serbia")</f>
        <v>Serbia</v>
      </c>
      <c r="M1602" s="27" t="str">
        <f aca="false">IFERROR(__xludf.dummyfunction("""COMPUTED_VALUE"""),"(Diff)")</f>
        <v>(Diff)</v>
      </c>
      <c r="N1602" s="25"/>
      <c r="O1602" s="25"/>
      <c r="P1602" s="25"/>
      <c r="Q1602" s="29" t="s">
        <v>188</v>
      </c>
      <c r="R1602" s="8" t="str">
        <f aca="false">B1602&amp;" "&amp;C1602&amp;" "&amp;D1602&amp;" "&amp;E1602&amp;" "&amp;G1602&amp;" "&amp;H1602&amp;" "&amp;J1602&amp;" "&amp;N1602</f>
        <v>Differentials Anode     CIF Serbia (Diff) </v>
      </c>
      <c r="S1602" s="25"/>
      <c r="T1602" s="8"/>
      <c r="U1602" s="8"/>
      <c r="V1602" s="25"/>
      <c r="W1602" s="25"/>
      <c r="X1602" s="25"/>
      <c r="Y1602" s="25"/>
      <c r="Z1602" s="25"/>
      <c r="AA1602" s="25"/>
      <c r="AB1602" s="25"/>
      <c r="AC1602" s="25"/>
      <c r="AD1602" s="25"/>
    </row>
    <row r="1603" customFormat="false" ht="15.75" hidden="false" customHeight="false" outlineLevel="0" collapsed="false">
      <c r="A1603" s="28" t="s">
        <v>2004</v>
      </c>
      <c r="B1603" s="27" t="s">
        <v>438</v>
      </c>
      <c r="C1603" s="27" t="s">
        <v>177</v>
      </c>
      <c r="D1603" s="25"/>
      <c r="E1603" s="25"/>
      <c r="F1603" s="25"/>
      <c r="G1603" s="25"/>
      <c r="H1603" s="25"/>
      <c r="I1603" s="25"/>
      <c r="J1603" s="27" t="s">
        <v>1998</v>
      </c>
      <c r="K1603" s="25" t="str">
        <f aca="false">IFERROR(__xludf.dummyfunction("SPLIT(J1603,"" "")"),"CIF")</f>
        <v>CIF</v>
      </c>
      <c r="L1603" s="28" t="str">
        <f aca="false">IFERROR(__xludf.dummyfunction("""COMPUTED_VALUE"""),"Serbia")</f>
        <v>Serbia</v>
      </c>
      <c r="M1603" s="27" t="str">
        <f aca="false">IFERROR(__xludf.dummyfunction("""COMPUTED_VALUE"""),"(Diff)")</f>
        <v>(Diff)</v>
      </c>
      <c r="N1603" s="25"/>
      <c r="O1603" s="25"/>
      <c r="P1603" s="25"/>
      <c r="Q1603" s="29" t="s">
        <v>180</v>
      </c>
      <c r="R1603" s="8" t="str">
        <f aca="false">B1603&amp;" "&amp;C1603&amp;" "&amp;D1603&amp;" "&amp;E1603&amp;" "&amp;G1603&amp;" "&amp;H1603&amp;" "&amp;J1603&amp;" "&amp;N1603</f>
        <v>Differentials Anode     CIF Serbia (Diff) </v>
      </c>
      <c r="S1603" s="25"/>
      <c r="T1603" s="8"/>
      <c r="U1603" s="8"/>
      <c r="V1603" s="25"/>
      <c r="W1603" s="25"/>
      <c r="X1603" s="25"/>
      <c r="Y1603" s="25"/>
      <c r="Z1603" s="25"/>
      <c r="AA1603" s="25"/>
      <c r="AB1603" s="25"/>
      <c r="AC1603" s="25"/>
      <c r="AD1603" s="25"/>
    </row>
    <row r="1604" customFormat="false" ht="15.75" hidden="false" customHeight="false" outlineLevel="0" collapsed="false">
      <c r="A1604" s="28" t="s">
        <v>2005</v>
      </c>
      <c r="B1604" s="27" t="s">
        <v>438</v>
      </c>
      <c r="C1604" s="27" t="s">
        <v>211</v>
      </c>
      <c r="D1604" s="25"/>
      <c r="E1604" s="25"/>
      <c r="F1604" s="25"/>
      <c r="G1604" s="25"/>
      <c r="H1604" s="25"/>
      <c r="I1604" s="25"/>
      <c r="J1604" s="27" t="s">
        <v>1998</v>
      </c>
      <c r="K1604" s="25" t="str">
        <f aca="false">IFERROR(__xludf.dummyfunction("SPLIT(J1604,"" "")"),"CIF")</f>
        <v>CIF</v>
      </c>
      <c r="L1604" s="28" t="str">
        <f aca="false">IFERROR(__xludf.dummyfunction("""COMPUTED_VALUE"""),"Serbia")</f>
        <v>Serbia</v>
      </c>
      <c r="M1604" s="27" t="str">
        <f aca="false">IFERROR(__xludf.dummyfunction("""COMPUTED_VALUE"""),"(Diff)")</f>
        <v>(Diff)</v>
      </c>
      <c r="N1604" s="25"/>
      <c r="O1604" s="25"/>
      <c r="P1604" s="25"/>
      <c r="Q1604" s="29" t="s">
        <v>234</v>
      </c>
      <c r="R1604" s="8" t="str">
        <f aca="false">B1604&amp;" "&amp;C1604&amp;" "&amp;D1604&amp;" "&amp;E1604&amp;" "&amp;G1604&amp;" "&amp;H1604&amp;" "&amp;J1604&amp;" "&amp;N1604</f>
        <v>Differentials Binders &amp; Additives     CIF Serbia (Diff) </v>
      </c>
      <c r="S1604" s="25"/>
      <c r="T1604" s="8"/>
      <c r="U1604" s="8"/>
      <c r="V1604" s="25"/>
      <c r="W1604" s="25"/>
      <c r="X1604" s="25"/>
      <c r="Y1604" s="25"/>
      <c r="Z1604" s="25"/>
      <c r="AA1604" s="25"/>
      <c r="AB1604" s="25"/>
      <c r="AC1604" s="25"/>
      <c r="AD1604" s="25"/>
    </row>
    <row r="1605" customFormat="false" ht="15.75" hidden="false" customHeight="false" outlineLevel="0" collapsed="false">
      <c r="A1605" s="28" t="s">
        <v>2006</v>
      </c>
      <c r="B1605" s="27" t="s">
        <v>438</v>
      </c>
      <c r="C1605" s="27" t="s">
        <v>211</v>
      </c>
      <c r="D1605" s="25"/>
      <c r="E1605" s="25"/>
      <c r="F1605" s="25"/>
      <c r="G1605" s="25"/>
      <c r="H1605" s="25"/>
      <c r="I1605" s="25"/>
      <c r="J1605" s="27" t="s">
        <v>1998</v>
      </c>
      <c r="K1605" s="25" t="str">
        <f aca="false">IFERROR(__xludf.dummyfunction("SPLIT(J1605,"" "")"),"CIF")</f>
        <v>CIF</v>
      </c>
      <c r="L1605" s="28" t="str">
        <f aca="false">IFERROR(__xludf.dummyfunction("""COMPUTED_VALUE"""),"Serbia")</f>
        <v>Serbia</v>
      </c>
      <c r="M1605" s="27" t="str">
        <f aca="false">IFERROR(__xludf.dummyfunction("""COMPUTED_VALUE"""),"(Diff)")</f>
        <v>(Diff)</v>
      </c>
      <c r="N1605" s="25"/>
      <c r="O1605" s="25"/>
      <c r="P1605" s="25"/>
      <c r="Q1605" s="29" t="s">
        <v>232</v>
      </c>
      <c r="R1605" s="8" t="str">
        <f aca="false">B1605&amp;" "&amp;C1605&amp;" "&amp;D1605&amp;" "&amp;E1605&amp;" "&amp;G1605&amp;" "&amp;H1605&amp;" "&amp;J1605&amp;" "&amp;N1605</f>
        <v>Differentials Binders &amp; Additives     CIF Serbia (Diff) </v>
      </c>
      <c r="S1605" s="25"/>
      <c r="T1605" s="8"/>
      <c r="U1605" s="8"/>
      <c r="V1605" s="25"/>
      <c r="W1605" s="25"/>
      <c r="X1605" s="25"/>
      <c r="Y1605" s="25"/>
      <c r="Z1605" s="25"/>
      <c r="AA1605" s="25"/>
      <c r="AB1605" s="25"/>
      <c r="AC1605" s="25"/>
      <c r="AD1605" s="25"/>
    </row>
    <row r="1606" customFormat="false" ht="15.75" hidden="false" customHeight="false" outlineLevel="0" collapsed="false">
      <c r="A1606" s="28" t="s">
        <v>2007</v>
      </c>
      <c r="B1606" s="27" t="s">
        <v>438</v>
      </c>
      <c r="C1606" s="27" t="s">
        <v>211</v>
      </c>
      <c r="D1606" s="25"/>
      <c r="E1606" s="25"/>
      <c r="F1606" s="25"/>
      <c r="G1606" s="25"/>
      <c r="H1606" s="25"/>
      <c r="I1606" s="25"/>
      <c r="J1606" s="27" t="s">
        <v>1998</v>
      </c>
      <c r="K1606" s="25" t="str">
        <f aca="false">IFERROR(__xludf.dummyfunction("SPLIT(J1606,"" "")"),"CIF")</f>
        <v>CIF</v>
      </c>
      <c r="L1606" s="28" t="str">
        <f aca="false">IFERROR(__xludf.dummyfunction("""COMPUTED_VALUE"""),"Serbia")</f>
        <v>Serbia</v>
      </c>
      <c r="M1606" s="27" t="str">
        <f aca="false">IFERROR(__xludf.dummyfunction("""COMPUTED_VALUE"""),"(Diff)")</f>
        <v>(Diff)</v>
      </c>
      <c r="N1606" s="25"/>
      <c r="O1606" s="25"/>
      <c r="P1606" s="25"/>
      <c r="Q1606" s="29" t="s">
        <v>230</v>
      </c>
      <c r="R1606" s="8" t="str">
        <f aca="false">B1606&amp;" "&amp;C1606&amp;" "&amp;D1606&amp;" "&amp;E1606&amp;" "&amp;G1606&amp;" "&amp;H1606&amp;" "&amp;J1606&amp;" "&amp;N1606</f>
        <v>Differentials Binders &amp; Additives     CIF Serbia (Diff) </v>
      </c>
      <c r="S1606" s="25"/>
      <c r="T1606" s="8"/>
      <c r="U1606" s="8"/>
      <c r="V1606" s="25"/>
      <c r="W1606" s="25"/>
      <c r="X1606" s="25"/>
      <c r="Y1606" s="25"/>
      <c r="Z1606" s="25"/>
      <c r="AA1606" s="25"/>
      <c r="AB1606" s="25"/>
      <c r="AC1606" s="25"/>
      <c r="AD1606" s="25"/>
    </row>
    <row r="1607" customFormat="false" ht="15.75" hidden="false" customHeight="false" outlineLevel="0" collapsed="false">
      <c r="A1607" s="28" t="s">
        <v>2008</v>
      </c>
      <c r="B1607" s="27" t="s">
        <v>438</v>
      </c>
      <c r="C1607" s="27" t="s">
        <v>211</v>
      </c>
      <c r="D1607" s="25"/>
      <c r="E1607" s="25"/>
      <c r="F1607" s="25"/>
      <c r="G1607" s="25"/>
      <c r="H1607" s="25"/>
      <c r="I1607" s="25"/>
      <c r="J1607" s="27" t="s">
        <v>1998</v>
      </c>
      <c r="K1607" s="25" t="str">
        <f aca="false">IFERROR(__xludf.dummyfunction("SPLIT(J1607,"" "")"),"CIF")</f>
        <v>CIF</v>
      </c>
      <c r="L1607" s="28" t="str">
        <f aca="false">IFERROR(__xludf.dummyfunction("""COMPUTED_VALUE"""),"Serbia")</f>
        <v>Serbia</v>
      </c>
      <c r="M1607" s="27" t="str">
        <f aca="false">IFERROR(__xludf.dummyfunction("""COMPUTED_VALUE"""),"(Diff)")</f>
        <v>(Diff)</v>
      </c>
      <c r="N1607" s="25"/>
      <c r="O1607" s="25"/>
      <c r="P1607" s="25"/>
      <c r="Q1607" s="29" t="s">
        <v>228</v>
      </c>
      <c r="R1607" s="8" t="str">
        <f aca="false">B1607&amp;" "&amp;C1607&amp;" "&amp;D1607&amp;" "&amp;E1607&amp;" "&amp;G1607&amp;" "&amp;H1607&amp;" "&amp;J1607&amp;" "&amp;N1607</f>
        <v>Differentials Binders &amp; Additives     CIF Serbia (Diff) </v>
      </c>
      <c r="S1607" s="25"/>
      <c r="T1607" s="8"/>
      <c r="U1607" s="8"/>
      <c r="V1607" s="25"/>
      <c r="W1607" s="25"/>
      <c r="X1607" s="25"/>
      <c r="Y1607" s="25"/>
      <c r="Z1607" s="25"/>
      <c r="AA1607" s="25"/>
      <c r="AB1607" s="25"/>
      <c r="AC1607" s="25"/>
      <c r="AD1607" s="25"/>
    </row>
    <row r="1608" customFormat="false" ht="15.75" hidden="false" customHeight="false" outlineLevel="0" collapsed="false">
      <c r="A1608" s="28" t="s">
        <v>2009</v>
      </c>
      <c r="B1608" s="27" t="s">
        <v>438</v>
      </c>
      <c r="C1608" s="27" t="s">
        <v>211</v>
      </c>
      <c r="D1608" s="25"/>
      <c r="E1608" s="25"/>
      <c r="F1608" s="25"/>
      <c r="G1608" s="25"/>
      <c r="H1608" s="25"/>
      <c r="I1608" s="25"/>
      <c r="J1608" s="27" t="s">
        <v>1998</v>
      </c>
      <c r="K1608" s="25" t="str">
        <f aca="false">IFERROR(__xludf.dummyfunction("SPLIT(J1608,"" "")"),"CIF")</f>
        <v>CIF</v>
      </c>
      <c r="L1608" s="28" t="str">
        <f aca="false">IFERROR(__xludf.dummyfunction("""COMPUTED_VALUE"""),"Serbia")</f>
        <v>Serbia</v>
      </c>
      <c r="M1608" s="27" t="str">
        <f aca="false">IFERROR(__xludf.dummyfunction("""COMPUTED_VALUE"""),"(Diff)")</f>
        <v>(Diff)</v>
      </c>
      <c r="N1608" s="25"/>
      <c r="O1608" s="25"/>
      <c r="P1608" s="25"/>
      <c r="Q1608" s="29" t="s">
        <v>226</v>
      </c>
      <c r="R1608" s="8" t="str">
        <f aca="false">B1608&amp;" "&amp;C1608&amp;" "&amp;D1608&amp;" "&amp;E1608&amp;" "&amp;G1608&amp;" "&amp;H1608&amp;" "&amp;J1608&amp;" "&amp;N1608</f>
        <v>Differentials Binders &amp; Additives     CIF Serbia (Diff) </v>
      </c>
      <c r="S1608" s="25"/>
      <c r="T1608" s="8"/>
      <c r="U1608" s="8"/>
      <c r="V1608" s="25"/>
      <c r="W1608" s="25"/>
      <c r="X1608" s="25"/>
      <c r="Y1608" s="25"/>
      <c r="Z1608" s="25"/>
      <c r="AA1608" s="25"/>
      <c r="AB1608" s="25"/>
      <c r="AC1608" s="25"/>
      <c r="AD1608" s="25"/>
    </row>
    <row r="1609" customFormat="false" ht="15.75" hidden="false" customHeight="false" outlineLevel="0" collapsed="false">
      <c r="A1609" s="28" t="s">
        <v>2010</v>
      </c>
      <c r="B1609" s="27" t="s">
        <v>438</v>
      </c>
      <c r="C1609" s="27" t="s">
        <v>211</v>
      </c>
      <c r="D1609" s="25"/>
      <c r="E1609" s="25"/>
      <c r="F1609" s="25"/>
      <c r="G1609" s="25"/>
      <c r="H1609" s="25"/>
      <c r="I1609" s="25"/>
      <c r="J1609" s="27" t="s">
        <v>1998</v>
      </c>
      <c r="K1609" s="25" t="str">
        <f aca="false">IFERROR(__xludf.dummyfunction("SPLIT(J1609,"" "")"),"CIF")</f>
        <v>CIF</v>
      </c>
      <c r="L1609" s="28" t="str">
        <f aca="false">IFERROR(__xludf.dummyfunction("""COMPUTED_VALUE"""),"Serbia")</f>
        <v>Serbia</v>
      </c>
      <c r="M1609" s="27" t="str">
        <f aca="false">IFERROR(__xludf.dummyfunction("""COMPUTED_VALUE"""),"(Diff)")</f>
        <v>(Diff)</v>
      </c>
      <c r="N1609" s="25"/>
      <c r="O1609" s="25"/>
      <c r="P1609" s="25"/>
      <c r="Q1609" s="29" t="s">
        <v>224</v>
      </c>
      <c r="R1609" s="8" t="str">
        <f aca="false">B1609&amp;" "&amp;C1609&amp;" "&amp;D1609&amp;" "&amp;E1609&amp;" "&amp;G1609&amp;" "&amp;H1609&amp;" "&amp;J1609&amp;" "&amp;N1609</f>
        <v>Differentials Binders &amp; Additives     CIF Serbia (Diff) </v>
      </c>
      <c r="S1609" s="25"/>
      <c r="T1609" s="8"/>
      <c r="U1609" s="8"/>
      <c r="V1609" s="25"/>
      <c r="W1609" s="25"/>
      <c r="X1609" s="25"/>
      <c r="Y1609" s="25"/>
      <c r="Z1609" s="25"/>
      <c r="AA1609" s="25"/>
      <c r="AB1609" s="25"/>
      <c r="AC1609" s="25"/>
      <c r="AD1609" s="25"/>
    </row>
    <row r="1610" customFormat="false" ht="15.75" hidden="false" customHeight="false" outlineLevel="0" collapsed="false">
      <c r="A1610" s="28" t="s">
        <v>2011</v>
      </c>
      <c r="B1610" s="27" t="s">
        <v>438</v>
      </c>
      <c r="C1610" s="27" t="s">
        <v>211</v>
      </c>
      <c r="D1610" s="25"/>
      <c r="E1610" s="25"/>
      <c r="F1610" s="25"/>
      <c r="G1610" s="25"/>
      <c r="H1610" s="25"/>
      <c r="I1610" s="25"/>
      <c r="J1610" s="27" t="s">
        <v>1998</v>
      </c>
      <c r="K1610" s="25" t="str">
        <f aca="false">IFERROR(__xludf.dummyfunction("SPLIT(J1610,"" "")"),"CIF")</f>
        <v>CIF</v>
      </c>
      <c r="L1610" s="28" t="str">
        <f aca="false">IFERROR(__xludf.dummyfunction("""COMPUTED_VALUE"""),"Serbia")</f>
        <v>Serbia</v>
      </c>
      <c r="M1610" s="27" t="str">
        <f aca="false">IFERROR(__xludf.dummyfunction("""COMPUTED_VALUE"""),"(Diff)")</f>
        <v>(Diff)</v>
      </c>
      <c r="N1610" s="25"/>
      <c r="O1610" s="25"/>
      <c r="P1610" s="25"/>
      <c r="Q1610" s="29" t="s">
        <v>222</v>
      </c>
      <c r="R1610" s="8" t="str">
        <f aca="false">B1610&amp;" "&amp;C1610&amp;" "&amp;D1610&amp;" "&amp;E1610&amp;" "&amp;G1610&amp;" "&amp;H1610&amp;" "&amp;J1610&amp;" "&amp;N1610</f>
        <v>Differentials Binders &amp; Additives     CIF Serbia (Diff) </v>
      </c>
      <c r="S1610" s="25"/>
      <c r="T1610" s="8"/>
      <c r="U1610" s="8"/>
      <c r="V1610" s="25"/>
      <c r="W1610" s="25"/>
      <c r="X1610" s="25"/>
      <c r="Y1610" s="25"/>
      <c r="Z1610" s="25"/>
      <c r="AA1610" s="25"/>
      <c r="AB1610" s="25"/>
      <c r="AC1610" s="25"/>
      <c r="AD1610" s="25"/>
    </row>
    <row r="1611" customFormat="false" ht="15.75" hidden="false" customHeight="false" outlineLevel="0" collapsed="false">
      <c r="A1611" s="28" t="s">
        <v>2012</v>
      </c>
      <c r="B1611" s="27" t="s">
        <v>438</v>
      </c>
      <c r="C1611" s="27" t="s">
        <v>211</v>
      </c>
      <c r="D1611" s="25"/>
      <c r="E1611" s="25"/>
      <c r="F1611" s="25"/>
      <c r="G1611" s="25"/>
      <c r="H1611" s="25"/>
      <c r="I1611" s="25"/>
      <c r="J1611" s="27" t="s">
        <v>1998</v>
      </c>
      <c r="K1611" s="25" t="str">
        <f aca="false">IFERROR(__xludf.dummyfunction("SPLIT(J1611,"" "")"),"CIF")</f>
        <v>CIF</v>
      </c>
      <c r="L1611" s="28" t="str">
        <f aca="false">IFERROR(__xludf.dummyfunction("""COMPUTED_VALUE"""),"Serbia")</f>
        <v>Serbia</v>
      </c>
      <c r="M1611" s="27" t="str">
        <f aca="false">IFERROR(__xludf.dummyfunction("""COMPUTED_VALUE"""),"(Diff)")</f>
        <v>(Diff)</v>
      </c>
      <c r="N1611" s="25"/>
      <c r="O1611" s="25"/>
      <c r="P1611" s="25"/>
      <c r="Q1611" s="29" t="s">
        <v>220</v>
      </c>
      <c r="R1611" s="8" t="str">
        <f aca="false">B1611&amp;" "&amp;C1611&amp;" "&amp;D1611&amp;" "&amp;E1611&amp;" "&amp;G1611&amp;" "&amp;H1611&amp;" "&amp;J1611&amp;" "&amp;N1611</f>
        <v>Differentials Binders &amp; Additives     CIF Serbia (Diff) </v>
      </c>
      <c r="S1611" s="25"/>
      <c r="T1611" s="8"/>
      <c r="U1611" s="8"/>
      <c r="V1611" s="25"/>
      <c r="W1611" s="25"/>
      <c r="X1611" s="25"/>
      <c r="Y1611" s="25"/>
      <c r="Z1611" s="25"/>
      <c r="AA1611" s="25"/>
      <c r="AB1611" s="25"/>
      <c r="AC1611" s="25"/>
      <c r="AD1611" s="25"/>
    </row>
    <row r="1612" customFormat="false" ht="15.75" hidden="false" customHeight="false" outlineLevel="0" collapsed="false">
      <c r="A1612" s="28" t="s">
        <v>2013</v>
      </c>
      <c r="B1612" s="27" t="s">
        <v>438</v>
      </c>
      <c r="C1612" s="27" t="s">
        <v>211</v>
      </c>
      <c r="D1612" s="25"/>
      <c r="E1612" s="25"/>
      <c r="F1612" s="25"/>
      <c r="G1612" s="25"/>
      <c r="H1612" s="25"/>
      <c r="I1612" s="25"/>
      <c r="J1612" s="27" t="s">
        <v>1998</v>
      </c>
      <c r="K1612" s="25" t="str">
        <f aca="false">IFERROR(__xludf.dummyfunction("SPLIT(J1612,"" "")"),"CIF")</f>
        <v>CIF</v>
      </c>
      <c r="L1612" s="28" t="str">
        <f aca="false">IFERROR(__xludf.dummyfunction("""COMPUTED_VALUE"""),"Serbia")</f>
        <v>Serbia</v>
      </c>
      <c r="M1612" s="27" t="str">
        <f aca="false">IFERROR(__xludf.dummyfunction("""COMPUTED_VALUE"""),"(Diff)")</f>
        <v>(Diff)</v>
      </c>
      <c r="N1612" s="25"/>
      <c r="O1612" s="25"/>
      <c r="P1612" s="25"/>
      <c r="Q1612" s="29" t="s">
        <v>218</v>
      </c>
      <c r="R1612" s="8" t="str">
        <f aca="false">B1612&amp;" "&amp;C1612&amp;" "&amp;D1612&amp;" "&amp;E1612&amp;" "&amp;G1612&amp;" "&amp;H1612&amp;" "&amp;J1612&amp;" "&amp;N1612</f>
        <v>Differentials Binders &amp; Additives     CIF Serbia (Diff) </v>
      </c>
      <c r="S1612" s="25"/>
      <c r="T1612" s="8"/>
      <c r="U1612" s="8"/>
      <c r="V1612" s="25"/>
      <c r="W1612" s="25"/>
      <c r="X1612" s="25"/>
      <c r="Y1612" s="25"/>
      <c r="Z1612" s="25"/>
      <c r="AA1612" s="25"/>
      <c r="AB1612" s="25"/>
      <c r="AC1612" s="25"/>
      <c r="AD1612" s="25"/>
    </row>
    <row r="1613" customFormat="false" ht="15.75" hidden="false" customHeight="false" outlineLevel="0" collapsed="false">
      <c r="A1613" s="28" t="s">
        <v>2014</v>
      </c>
      <c r="B1613" s="27" t="s">
        <v>438</v>
      </c>
      <c r="C1613" s="27" t="s">
        <v>211</v>
      </c>
      <c r="D1613" s="25"/>
      <c r="E1613" s="25"/>
      <c r="F1613" s="25"/>
      <c r="G1613" s="25"/>
      <c r="H1613" s="25"/>
      <c r="I1613" s="25"/>
      <c r="J1613" s="27" t="s">
        <v>1998</v>
      </c>
      <c r="K1613" s="25" t="str">
        <f aca="false">IFERROR(__xludf.dummyfunction("SPLIT(J1613,"" "")"),"CIF")</f>
        <v>CIF</v>
      </c>
      <c r="L1613" s="28" t="str">
        <f aca="false">IFERROR(__xludf.dummyfunction("""COMPUTED_VALUE"""),"Serbia")</f>
        <v>Serbia</v>
      </c>
      <c r="M1613" s="27" t="str">
        <f aca="false">IFERROR(__xludf.dummyfunction("""COMPUTED_VALUE"""),"(Diff)")</f>
        <v>(Diff)</v>
      </c>
      <c r="N1613" s="25"/>
      <c r="O1613" s="25"/>
      <c r="P1613" s="25"/>
      <c r="Q1613" s="29" t="s">
        <v>215</v>
      </c>
      <c r="R1613" s="8" t="str">
        <f aca="false">B1613&amp;" "&amp;C1613&amp;" "&amp;D1613&amp;" "&amp;E1613&amp;" "&amp;G1613&amp;" "&amp;H1613&amp;" "&amp;J1613&amp;" "&amp;N1613</f>
        <v>Differentials Binders &amp; Additives     CIF Serbia (Diff) </v>
      </c>
      <c r="S1613" s="25"/>
      <c r="T1613" s="8"/>
      <c r="U1613" s="8"/>
      <c r="V1613" s="25"/>
      <c r="W1613" s="25"/>
      <c r="X1613" s="25"/>
      <c r="Y1613" s="25"/>
      <c r="Z1613" s="25"/>
      <c r="AA1613" s="25"/>
      <c r="AB1613" s="25"/>
      <c r="AC1613" s="25"/>
      <c r="AD1613" s="25"/>
    </row>
    <row r="1614" customFormat="false" ht="15.75" hidden="false" customHeight="false" outlineLevel="0" collapsed="false">
      <c r="A1614" s="28" t="s">
        <v>2015</v>
      </c>
      <c r="B1614" s="27" t="s">
        <v>438</v>
      </c>
      <c r="C1614" s="27" t="s">
        <v>211</v>
      </c>
      <c r="D1614" s="25"/>
      <c r="E1614" s="25"/>
      <c r="F1614" s="25"/>
      <c r="G1614" s="25"/>
      <c r="H1614" s="25"/>
      <c r="I1614" s="25"/>
      <c r="J1614" s="27" t="s">
        <v>1998</v>
      </c>
      <c r="K1614" s="25" t="str">
        <f aca="false">IFERROR(__xludf.dummyfunction("SPLIT(J1614,"" "")"),"CIF")</f>
        <v>CIF</v>
      </c>
      <c r="L1614" s="28" t="str">
        <f aca="false">IFERROR(__xludf.dummyfunction("""COMPUTED_VALUE"""),"Serbia")</f>
        <v>Serbia</v>
      </c>
      <c r="M1614" s="27" t="str">
        <f aca="false">IFERROR(__xludf.dummyfunction("""COMPUTED_VALUE"""),"(Diff)")</f>
        <v>(Diff)</v>
      </c>
      <c r="N1614" s="25"/>
      <c r="O1614" s="25"/>
      <c r="P1614" s="25"/>
      <c r="Q1614" s="29" t="s">
        <v>213</v>
      </c>
      <c r="R1614" s="8" t="str">
        <f aca="false">B1614&amp;" "&amp;C1614&amp;" "&amp;D1614&amp;" "&amp;E1614&amp;" "&amp;G1614&amp;" "&amp;H1614&amp;" "&amp;J1614&amp;" "&amp;N1614</f>
        <v>Differentials Binders &amp; Additives     CIF Serbia (Diff) </v>
      </c>
      <c r="S1614" s="25"/>
      <c r="T1614" s="8"/>
      <c r="U1614" s="8"/>
      <c r="V1614" s="25"/>
      <c r="W1614" s="25"/>
      <c r="X1614" s="25"/>
      <c r="Y1614" s="25"/>
      <c r="Z1614" s="25"/>
      <c r="AA1614" s="25"/>
      <c r="AB1614" s="25"/>
      <c r="AC1614" s="25"/>
      <c r="AD1614" s="25"/>
    </row>
    <row r="1615" customFormat="false" ht="15.75" hidden="false" customHeight="false" outlineLevel="0" collapsed="false">
      <c r="A1615" s="28" t="s">
        <v>2016</v>
      </c>
      <c r="B1615" s="27" t="s">
        <v>438</v>
      </c>
      <c r="C1615" s="27" t="s">
        <v>236</v>
      </c>
      <c r="D1615" s="25"/>
      <c r="E1615" s="25"/>
      <c r="F1615" s="25"/>
      <c r="G1615" s="25"/>
      <c r="H1615" s="25"/>
      <c r="I1615" s="25"/>
      <c r="J1615" s="27" t="s">
        <v>1998</v>
      </c>
      <c r="K1615" s="25" t="str">
        <f aca="false">IFERROR(__xludf.dummyfunction("SPLIT(J1615,"" "")"),"CIF")</f>
        <v>CIF</v>
      </c>
      <c r="L1615" s="28" t="str">
        <f aca="false">IFERROR(__xludf.dummyfunction("""COMPUTED_VALUE"""),"Serbia")</f>
        <v>Serbia</v>
      </c>
      <c r="M1615" s="27" t="str">
        <f aca="false">IFERROR(__xludf.dummyfunction("""COMPUTED_VALUE"""),"(Diff)")</f>
        <v>(Diff)</v>
      </c>
      <c r="N1615" s="25"/>
      <c r="O1615" s="25"/>
      <c r="P1615" s="25"/>
      <c r="Q1615" s="29" t="s">
        <v>271</v>
      </c>
      <c r="R1615" s="8" t="str">
        <f aca="false">B1615&amp;" "&amp;C1615&amp;" "&amp;D1615&amp;" "&amp;E1615&amp;" "&amp;G1615&amp;" "&amp;H1615&amp;" "&amp;J1615&amp;" "&amp;N1615</f>
        <v>Differentials Cathode     CIF Serbia (Diff) </v>
      </c>
      <c r="S1615" s="25"/>
      <c r="T1615" s="8"/>
      <c r="U1615" s="8"/>
      <c r="V1615" s="25"/>
      <c r="W1615" s="25"/>
      <c r="X1615" s="25"/>
      <c r="Y1615" s="25"/>
      <c r="Z1615" s="25"/>
      <c r="AA1615" s="25"/>
      <c r="AB1615" s="25"/>
      <c r="AC1615" s="25"/>
      <c r="AD1615" s="25"/>
    </row>
    <row r="1616" customFormat="false" ht="15.75" hidden="false" customHeight="false" outlineLevel="0" collapsed="false">
      <c r="A1616" s="28" t="s">
        <v>2017</v>
      </c>
      <c r="B1616" s="27" t="s">
        <v>438</v>
      </c>
      <c r="C1616" s="27" t="s">
        <v>236</v>
      </c>
      <c r="D1616" s="25"/>
      <c r="E1616" s="25"/>
      <c r="F1616" s="25"/>
      <c r="G1616" s="25"/>
      <c r="H1616" s="25"/>
      <c r="I1616" s="25"/>
      <c r="J1616" s="27" t="s">
        <v>1998</v>
      </c>
      <c r="K1616" s="25" t="str">
        <f aca="false">IFERROR(__xludf.dummyfunction("SPLIT(J1616,"" "")"),"CIF")</f>
        <v>CIF</v>
      </c>
      <c r="L1616" s="28" t="str">
        <f aca="false">IFERROR(__xludf.dummyfunction("""COMPUTED_VALUE"""),"Serbia")</f>
        <v>Serbia</v>
      </c>
      <c r="M1616" s="27" t="str">
        <f aca="false">IFERROR(__xludf.dummyfunction("""COMPUTED_VALUE"""),"(Diff)")</f>
        <v>(Diff)</v>
      </c>
      <c r="N1616" s="25"/>
      <c r="O1616" s="25"/>
      <c r="P1616" s="25"/>
      <c r="Q1616" s="29" t="s">
        <v>266</v>
      </c>
      <c r="R1616" s="8" t="str">
        <f aca="false">B1616&amp;" "&amp;C1616&amp;" "&amp;D1616&amp;" "&amp;E1616&amp;" "&amp;G1616&amp;" "&amp;H1616&amp;" "&amp;J1616&amp;" "&amp;N1616</f>
        <v>Differentials Cathode     CIF Serbia (Diff) </v>
      </c>
      <c r="S1616" s="25"/>
      <c r="T1616" s="8"/>
      <c r="U1616" s="8"/>
      <c r="V1616" s="25"/>
      <c r="W1616" s="25"/>
      <c r="X1616" s="25"/>
      <c r="Y1616" s="25"/>
      <c r="Z1616" s="25"/>
      <c r="AA1616" s="25"/>
      <c r="AB1616" s="25"/>
      <c r="AC1616" s="25"/>
      <c r="AD1616" s="25"/>
    </row>
    <row r="1617" customFormat="false" ht="15.75" hidden="false" customHeight="false" outlineLevel="0" collapsed="false">
      <c r="A1617" s="28" t="s">
        <v>2018</v>
      </c>
      <c r="B1617" s="27" t="s">
        <v>438</v>
      </c>
      <c r="C1617" s="27" t="s">
        <v>236</v>
      </c>
      <c r="D1617" s="25"/>
      <c r="E1617" s="25"/>
      <c r="F1617" s="25"/>
      <c r="G1617" s="25"/>
      <c r="H1617" s="25"/>
      <c r="I1617" s="25"/>
      <c r="J1617" s="27" t="s">
        <v>1998</v>
      </c>
      <c r="K1617" s="25" t="str">
        <f aca="false">IFERROR(__xludf.dummyfunction("SPLIT(J1617,"" "")"),"CIF")</f>
        <v>CIF</v>
      </c>
      <c r="L1617" s="28" t="str">
        <f aca="false">IFERROR(__xludf.dummyfunction("""COMPUTED_VALUE"""),"Serbia")</f>
        <v>Serbia</v>
      </c>
      <c r="M1617" s="27" t="str">
        <f aca="false">IFERROR(__xludf.dummyfunction("""COMPUTED_VALUE"""),"(Diff)")</f>
        <v>(Diff)</v>
      </c>
      <c r="N1617" s="25"/>
      <c r="O1617" s="25"/>
      <c r="P1617" s="25"/>
      <c r="Q1617" s="29" t="s">
        <v>261</v>
      </c>
      <c r="R1617" s="8" t="str">
        <f aca="false">B1617&amp;" "&amp;C1617&amp;" "&amp;D1617&amp;" "&amp;E1617&amp;" "&amp;G1617&amp;" "&amp;H1617&amp;" "&amp;J1617&amp;" "&amp;N1617</f>
        <v>Differentials Cathode     CIF Serbia (Diff) </v>
      </c>
      <c r="S1617" s="25"/>
      <c r="T1617" s="8"/>
      <c r="U1617" s="8"/>
      <c r="V1617" s="25"/>
      <c r="W1617" s="25"/>
      <c r="X1617" s="25"/>
      <c r="Y1617" s="25"/>
      <c r="Z1617" s="25"/>
      <c r="AA1617" s="25"/>
      <c r="AB1617" s="25"/>
      <c r="AC1617" s="25"/>
      <c r="AD1617" s="25"/>
    </row>
    <row r="1618" customFormat="false" ht="15.75" hidden="false" customHeight="false" outlineLevel="0" collapsed="false">
      <c r="A1618" s="28" t="s">
        <v>2019</v>
      </c>
      <c r="B1618" s="27" t="s">
        <v>438</v>
      </c>
      <c r="C1618" s="27" t="s">
        <v>236</v>
      </c>
      <c r="D1618" s="25"/>
      <c r="E1618" s="25"/>
      <c r="F1618" s="25"/>
      <c r="G1618" s="25"/>
      <c r="H1618" s="25"/>
      <c r="I1618" s="25"/>
      <c r="J1618" s="27" t="s">
        <v>1998</v>
      </c>
      <c r="K1618" s="25" t="str">
        <f aca="false">IFERROR(__xludf.dummyfunction("SPLIT(J1618,"" "")"),"CIF")</f>
        <v>CIF</v>
      </c>
      <c r="L1618" s="28" t="str">
        <f aca="false">IFERROR(__xludf.dummyfunction("""COMPUTED_VALUE"""),"Serbia")</f>
        <v>Serbia</v>
      </c>
      <c r="M1618" s="27" t="str">
        <f aca="false">IFERROR(__xludf.dummyfunction("""COMPUTED_VALUE"""),"(Diff)")</f>
        <v>(Diff)</v>
      </c>
      <c r="N1618" s="25"/>
      <c r="O1618" s="25"/>
      <c r="P1618" s="25"/>
      <c r="Q1618" s="29" t="s">
        <v>256</v>
      </c>
      <c r="R1618" s="8" t="str">
        <f aca="false">B1618&amp;" "&amp;C1618&amp;" "&amp;D1618&amp;" "&amp;E1618&amp;" "&amp;G1618&amp;" "&amp;H1618&amp;" "&amp;J1618&amp;" "&amp;N1618</f>
        <v>Differentials Cathode     CIF Serbia (Diff) </v>
      </c>
      <c r="S1618" s="25"/>
      <c r="T1618" s="8"/>
      <c r="U1618" s="8"/>
      <c r="V1618" s="25"/>
      <c r="W1618" s="25"/>
      <c r="X1618" s="25"/>
      <c r="Y1618" s="25"/>
      <c r="Z1618" s="25"/>
      <c r="AA1618" s="25"/>
      <c r="AB1618" s="25"/>
      <c r="AC1618" s="25"/>
      <c r="AD1618" s="25"/>
    </row>
    <row r="1619" customFormat="false" ht="15.75" hidden="false" customHeight="false" outlineLevel="0" collapsed="false">
      <c r="A1619" s="28" t="s">
        <v>2020</v>
      </c>
      <c r="B1619" s="27" t="s">
        <v>438</v>
      </c>
      <c r="C1619" s="27" t="s">
        <v>236</v>
      </c>
      <c r="D1619" s="25"/>
      <c r="E1619" s="25"/>
      <c r="F1619" s="25"/>
      <c r="G1619" s="25"/>
      <c r="H1619" s="25"/>
      <c r="I1619" s="25"/>
      <c r="J1619" s="27" t="s">
        <v>1998</v>
      </c>
      <c r="K1619" s="25" t="str">
        <f aca="false">IFERROR(__xludf.dummyfunction("SPLIT(J1619,"" "")"),"CIF")</f>
        <v>CIF</v>
      </c>
      <c r="L1619" s="28" t="str">
        <f aca="false">IFERROR(__xludf.dummyfunction("""COMPUTED_VALUE"""),"Serbia")</f>
        <v>Serbia</v>
      </c>
      <c r="M1619" s="27" t="str">
        <f aca="false">IFERROR(__xludf.dummyfunction("""COMPUTED_VALUE"""),"(Diff)")</f>
        <v>(Diff)</v>
      </c>
      <c r="N1619" s="25"/>
      <c r="O1619" s="25"/>
      <c r="P1619" s="25"/>
      <c r="Q1619" s="29" t="s">
        <v>251</v>
      </c>
      <c r="R1619" s="8" t="str">
        <f aca="false">B1619&amp;" "&amp;C1619&amp;" "&amp;D1619&amp;" "&amp;E1619&amp;" "&amp;G1619&amp;" "&amp;H1619&amp;" "&amp;J1619&amp;" "&amp;N1619</f>
        <v>Differentials Cathode     CIF Serbia (Diff) </v>
      </c>
      <c r="S1619" s="25"/>
      <c r="T1619" s="8"/>
      <c r="U1619" s="8"/>
      <c r="V1619" s="25"/>
      <c r="W1619" s="25"/>
      <c r="X1619" s="25"/>
      <c r="Y1619" s="25"/>
      <c r="Z1619" s="25"/>
      <c r="AA1619" s="25"/>
      <c r="AB1619" s="25"/>
      <c r="AC1619" s="25"/>
      <c r="AD1619" s="25"/>
    </row>
    <row r="1620" customFormat="false" ht="15.75" hidden="false" customHeight="false" outlineLevel="0" collapsed="false">
      <c r="A1620" s="28" t="s">
        <v>2021</v>
      </c>
      <c r="B1620" s="27" t="s">
        <v>438</v>
      </c>
      <c r="C1620" s="27" t="s">
        <v>236</v>
      </c>
      <c r="D1620" s="25"/>
      <c r="E1620" s="25"/>
      <c r="F1620" s="25"/>
      <c r="G1620" s="25"/>
      <c r="H1620" s="25"/>
      <c r="I1620" s="25"/>
      <c r="J1620" s="27" t="s">
        <v>1998</v>
      </c>
      <c r="K1620" s="25" t="str">
        <f aca="false">IFERROR(__xludf.dummyfunction("SPLIT(J1620,"" "")"),"CIF")</f>
        <v>CIF</v>
      </c>
      <c r="L1620" s="28" t="str">
        <f aca="false">IFERROR(__xludf.dummyfunction("""COMPUTED_VALUE"""),"Serbia")</f>
        <v>Serbia</v>
      </c>
      <c r="M1620" s="27" t="str">
        <f aca="false">IFERROR(__xludf.dummyfunction("""COMPUTED_VALUE"""),"(Diff)")</f>
        <v>(Diff)</v>
      </c>
      <c r="N1620" s="25"/>
      <c r="O1620" s="25"/>
      <c r="P1620" s="25"/>
      <c r="Q1620" s="29" t="s">
        <v>247</v>
      </c>
      <c r="R1620" s="8" t="str">
        <f aca="false">B1620&amp;" "&amp;C1620&amp;" "&amp;D1620&amp;" "&amp;E1620&amp;" "&amp;G1620&amp;" "&amp;H1620&amp;" "&amp;J1620&amp;" "&amp;N1620</f>
        <v>Differentials Cathode     CIF Serbia (Diff) </v>
      </c>
      <c r="S1620" s="25"/>
      <c r="T1620" s="8"/>
      <c r="U1620" s="8"/>
      <c r="V1620" s="25"/>
      <c r="W1620" s="25"/>
      <c r="X1620" s="25"/>
      <c r="Y1620" s="25"/>
      <c r="Z1620" s="25"/>
      <c r="AA1620" s="25"/>
      <c r="AB1620" s="25"/>
      <c r="AC1620" s="25"/>
      <c r="AD1620" s="25"/>
    </row>
    <row r="1621" customFormat="false" ht="15.75" hidden="false" customHeight="false" outlineLevel="0" collapsed="false">
      <c r="A1621" s="28" t="s">
        <v>2022</v>
      </c>
      <c r="B1621" s="27" t="s">
        <v>438</v>
      </c>
      <c r="C1621" s="27" t="s">
        <v>236</v>
      </c>
      <c r="D1621" s="25"/>
      <c r="E1621" s="25"/>
      <c r="F1621" s="25"/>
      <c r="G1621" s="25"/>
      <c r="H1621" s="25"/>
      <c r="I1621" s="25"/>
      <c r="J1621" s="27" t="s">
        <v>1998</v>
      </c>
      <c r="K1621" s="25" t="str">
        <f aca="false">IFERROR(__xludf.dummyfunction("SPLIT(J1621,"" "")"),"CIF")</f>
        <v>CIF</v>
      </c>
      <c r="L1621" s="28" t="str">
        <f aca="false">IFERROR(__xludf.dummyfunction("""COMPUTED_VALUE"""),"Serbia")</f>
        <v>Serbia</v>
      </c>
      <c r="M1621" s="27" t="str">
        <f aca="false">IFERROR(__xludf.dummyfunction("""COMPUTED_VALUE"""),"(Diff)")</f>
        <v>(Diff)</v>
      </c>
      <c r="N1621" s="25"/>
      <c r="O1621" s="25"/>
      <c r="P1621" s="25"/>
      <c r="Q1621" s="29" t="s">
        <v>243</v>
      </c>
      <c r="R1621" s="8" t="str">
        <f aca="false">B1621&amp;" "&amp;C1621&amp;" "&amp;D1621&amp;" "&amp;E1621&amp;" "&amp;G1621&amp;" "&amp;H1621&amp;" "&amp;J1621&amp;" "&amp;N1621</f>
        <v>Differentials Cathode     CIF Serbia (Diff) </v>
      </c>
      <c r="S1621" s="25"/>
      <c r="T1621" s="8"/>
      <c r="U1621" s="8"/>
      <c r="V1621" s="25"/>
      <c r="W1621" s="25"/>
      <c r="X1621" s="25"/>
      <c r="Y1621" s="25"/>
      <c r="Z1621" s="25"/>
      <c r="AA1621" s="25"/>
      <c r="AB1621" s="25"/>
      <c r="AC1621" s="25"/>
      <c r="AD1621" s="25"/>
    </row>
    <row r="1622" customFormat="false" ht="15.75" hidden="false" customHeight="false" outlineLevel="0" collapsed="false">
      <c r="A1622" s="28" t="s">
        <v>2023</v>
      </c>
      <c r="B1622" s="27" t="s">
        <v>438</v>
      </c>
      <c r="C1622" s="27" t="s">
        <v>236</v>
      </c>
      <c r="D1622" s="25"/>
      <c r="E1622" s="25"/>
      <c r="F1622" s="25"/>
      <c r="G1622" s="25"/>
      <c r="H1622" s="25"/>
      <c r="I1622" s="25"/>
      <c r="J1622" s="27" t="s">
        <v>1998</v>
      </c>
      <c r="K1622" s="25" t="str">
        <f aca="false">IFERROR(__xludf.dummyfunction("SPLIT(J1622,"" "")"),"CIF")</f>
        <v>CIF</v>
      </c>
      <c r="L1622" s="28" t="str">
        <f aca="false">IFERROR(__xludf.dummyfunction("""COMPUTED_VALUE"""),"Serbia")</f>
        <v>Serbia</v>
      </c>
      <c r="M1622" s="27" t="str">
        <f aca="false">IFERROR(__xludf.dummyfunction("""COMPUTED_VALUE"""),"(Diff)")</f>
        <v>(Diff)</v>
      </c>
      <c r="N1622" s="25"/>
      <c r="O1622" s="25"/>
      <c r="P1622" s="25"/>
      <c r="Q1622" s="29" t="s">
        <v>239</v>
      </c>
      <c r="R1622" s="8" t="str">
        <f aca="false">B1622&amp;" "&amp;C1622&amp;" "&amp;D1622&amp;" "&amp;E1622&amp;" "&amp;G1622&amp;" "&amp;H1622&amp;" "&amp;J1622&amp;" "&amp;N1622</f>
        <v>Differentials Cathode     CIF Serbia (Diff) </v>
      </c>
      <c r="S1622" s="25"/>
      <c r="T1622" s="8"/>
      <c r="U1622" s="8"/>
      <c r="V1622" s="25"/>
      <c r="W1622" s="25"/>
      <c r="X1622" s="25"/>
      <c r="Y1622" s="25"/>
      <c r="Z1622" s="25"/>
      <c r="AA1622" s="25"/>
      <c r="AB1622" s="25"/>
      <c r="AC1622" s="25"/>
      <c r="AD1622" s="25"/>
    </row>
    <row r="1623" customFormat="false" ht="15.75" hidden="false" customHeight="false" outlineLevel="0" collapsed="false">
      <c r="A1623" s="28" t="s">
        <v>2024</v>
      </c>
      <c r="B1623" s="27" t="s">
        <v>438</v>
      </c>
      <c r="C1623" s="27" t="s">
        <v>289</v>
      </c>
      <c r="D1623" s="25"/>
      <c r="E1623" s="25"/>
      <c r="F1623" s="25"/>
      <c r="G1623" s="25"/>
      <c r="H1623" s="25"/>
      <c r="I1623" s="25"/>
      <c r="J1623" s="27" t="s">
        <v>1998</v>
      </c>
      <c r="K1623" s="25" t="str">
        <f aca="false">IFERROR(__xludf.dummyfunction("SPLIT(J1623,"" "")"),"CIF")</f>
        <v>CIF</v>
      </c>
      <c r="L1623" s="28" t="str">
        <f aca="false">IFERROR(__xludf.dummyfunction("""COMPUTED_VALUE"""),"Serbia")</f>
        <v>Serbia</v>
      </c>
      <c r="M1623" s="27" t="str">
        <f aca="false">IFERROR(__xludf.dummyfunction("""COMPUTED_VALUE"""),"(Diff)")</f>
        <v>(Diff)</v>
      </c>
      <c r="N1623" s="25"/>
      <c r="O1623" s="25"/>
      <c r="P1623" s="25"/>
      <c r="Q1623" s="29" t="s">
        <v>306</v>
      </c>
      <c r="R1623" s="8" t="str">
        <f aca="false">B1623&amp;" "&amp;C1623&amp;" "&amp;D1623&amp;" "&amp;E1623&amp;" "&amp;G1623&amp;" "&amp;H1623&amp;" "&amp;J1623&amp;" "&amp;N1623</f>
        <v>Differentials Electrolyte     CIF Serbia (Diff) </v>
      </c>
      <c r="S1623" s="25"/>
      <c r="T1623" s="8"/>
      <c r="U1623" s="8"/>
      <c r="V1623" s="25"/>
      <c r="W1623" s="25"/>
      <c r="X1623" s="25"/>
      <c r="Y1623" s="25"/>
      <c r="Z1623" s="25"/>
      <c r="AA1623" s="25"/>
      <c r="AB1623" s="25"/>
      <c r="AC1623" s="25"/>
      <c r="AD1623" s="25"/>
    </row>
    <row r="1624" customFormat="false" ht="15.75" hidden="false" customHeight="false" outlineLevel="0" collapsed="false">
      <c r="A1624" s="28" t="s">
        <v>2025</v>
      </c>
      <c r="B1624" s="27" t="s">
        <v>438</v>
      </c>
      <c r="C1624" s="27" t="s">
        <v>289</v>
      </c>
      <c r="D1624" s="25"/>
      <c r="E1624" s="25"/>
      <c r="F1624" s="25"/>
      <c r="G1624" s="25"/>
      <c r="H1624" s="25"/>
      <c r="I1624" s="25"/>
      <c r="J1624" s="27" t="s">
        <v>1998</v>
      </c>
      <c r="K1624" s="25" t="str">
        <f aca="false">IFERROR(__xludf.dummyfunction("SPLIT(J1624,"" "")"),"CIF")</f>
        <v>CIF</v>
      </c>
      <c r="L1624" s="28" t="str">
        <f aca="false">IFERROR(__xludf.dummyfunction("""COMPUTED_VALUE"""),"Serbia")</f>
        <v>Serbia</v>
      </c>
      <c r="M1624" s="27" t="str">
        <f aca="false">IFERROR(__xludf.dummyfunction("""COMPUTED_VALUE"""),"(Diff)")</f>
        <v>(Diff)</v>
      </c>
      <c r="N1624" s="25"/>
      <c r="O1624" s="25"/>
      <c r="P1624" s="25"/>
      <c r="Q1624" s="29" t="s">
        <v>304</v>
      </c>
      <c r="R1624" s="8" t="str">
        <f aca="false">B1624&amp;" "&amp;C1624&amp;" "&amp;D1624&amp;" "&amp;E1624&amp;" "&amp;G1624&amp;" "&amp;H1624&amp;" "&amp;J1624&amp;" "&amp;N1624</f>
        <v>Differentials Electrolyte     CIF Serbia (Diff) </v>
      </c>
      <c r="S1624" s="25"/>
      <c r="T1624" s="8"/>
      <c r="U1624" s="8"/>
      <c r="V1624" s="25"/>
      <c r="W1624" s="25"/>
      <c r="X1624" s="25"/>
      <c r="Y1624" s="25"/>
      <c r="Z1624" s="25"/>
      <c r="AA1624" s="25"/>
      <c r="AB1624" s="25"/>
      <c r="AC1624" s="25"/>
      <c r="AD1624" s="25"/>
    </row>
    <row r="1625" customFormat="false" ht="15.75" hidden="false" customHeight="false" outlineLevel="0" collapsed="false">
      <c r="A1625" s="28" t="s">
        <v>2026</v>
      </c>
      <c r="B1625" s="27" t="s">
        <v>438</v>
      </c>
      <c r="C1625" s="27" t="s">
        <v>289</v>
      </c>
      <c r="D1625" s="25"/>
      <c r="E1625" s="25"/>
      <c r="F1625" s="25"/>
      <c r="G1625" s="25"/>
      <c r="H1625" s="25"/>
      <c r="I1625" s="25"/>
      <c r="J1625" s="27" t="s">
        <v>1998</v>
      </c>
      <c r="K1625" s="25" t="str">
        <f aca="false">IFERROR(__xludf.dummyfunction("SPLIT(J1625,"" "")"),"CIF")</f>
        <v>CIF</v>
      </c>
      <c r="L1625" s="28" t="str">
        <f aca="false">IFERROR(__xludf.dummyfunction("""COMPUTED_VALUE"""),"Serbia")</f>
        <v>Serbia</v>
      </c>
      <c r="M1625" s="27" t="str">
        <f aca="false">IFERROR(__xludf.dummyfunction("""COMPUTED_VALUE"""),"(Diff)")</f>
        <v>(Diff)</v>
      </c>
      <c r="N1625" s="25"/>
      <c r="O1625" s="25"/>
      <c r="P1625" s="25"/>
      <c r="Q1625" s="29" t="s">
        <v>302</v>
      </c>
      <c r="R1625" s="8" t="str">
        <f aca="false">B1625&amp;" "&amp;C1625&amp;" "&amp;D1625&amp;" "&amp;E1625&amp;" "&amp;G1625&amp;" "&amp;H1625&amp;" "&amp;J1625&amp;" "&amp;N1625</f>
        <v>Differentials Electrolyte     CIF Serbia (Diff) </v>
      </c>
      <c r="S1625" s="25"/>
      <c r="T1625" s="8"/>
      <c r="U1625" s="8"/>
      <c r="V1625" s="25"/>
      <c r="W1625" s="25"/>
      <c r="X1625" s="25"/>
      <c r="Y1625" s="25"/>
      <c r="Z1625" s="25"/>
      <c r="AA1625" s="25"/>
      <c r="AB1625" s="25"/>
      <c r="AC1625" s="25"/>
      <c r="AD1625" s="25"/>
    </row>
    <row r="1626" customFormat="false" ht="15.75" hidden="false" customHeight="false" outlineLevel="0" collapsed="false">
      <c r="A1626" s="28" t="s">
        <v>2027</v>
      </c>
      <c r="B1626" s="27" t="s">
        <v>438</v>
      </c>
      <c r="C1626" s="27" t="s">
        <v>289</v>
      </c>
      <c r="D1626" s="25"/>
      <c r="E1626" s="25"/>
      <c r="F1626" s="25"/>
      <c r="G1626" s="25"/>
      <c r="H1626" s="25"/>
      <c r="I1626" s="25"/>
      <c r="J1626" s="27" t="s">
        <v>1998</v>
      </c>
      <c r="K1626" s="25" t="str">
        <f aca="false">IFERROR(__xludf.dummyfunction("SPLIT(J1626,"" "")"),"CIF")</f>
        <v>CIF</v>
      </c>
      <c r="L1626" s="28" t="str">
        <f aca="false">IFERROR(__xludf.dummyfunction("""COMPUTED_VALUE"""),"Serbia")</f>
        <v>Serbia</v>
      </c>
      <c r="M1626" s="27" t="str">
        <f aca="false">IFERROR(__xludf.dummyfunction("""COMPUTED_VALUE"""),"(Diff)")</f>
        <v>(Diff)</v>
      </c>
      <c r="N1626" s="25"/>
      <c r="O1626" s="25"/>
      <c r="P1626" s="25"/>
      <c r="Q1626" s="29" t="s">
        <v>300</v>
      </c>
      <c r="R1626" s="8" t="str">
        <f aca="false">B1626&amp;" "&amp;C1626&amp;" "&amp;D1626&amp;" "&amp;E1626&amp;" "&amp;G1626&amp;" "&amp;H1626&amp;" "&amp;J1626&amp;" "&amp;N1626</f>
        <v>Differentials Electrolyte     CIF Serbia (Diff) </v>
      </c>
      <c r="S1626" s="25"/>
      <c r="T1626" s="8"/>
      <c r="U1626" s="8"/>
      <c r="V1626" s="25"/>
      <c r="W1626" s="25"/>
      <c r="X1626" s="25"/>
      <c r="Y1626" s="25"/>
      <c r="Z1626" s="25"/>
      <c r="AA1626" s="25"/>
      <c r="AB1626" s="25"/>
      <c r="AC1626" s="25"/>
      <c r="AD1626" s="25"/>
    </row>
    <row r="1627" customFormat="false" ht="15.75" hidden="false" customHeight="false" outlineLevel="0" collapsed="false">
      <c r="A1627" s="28" t="s">
        <v>2028</v>
      </c>
      <c r="B1627" s="27" t="s">
        <v>438</v>
      </c>
      <c r="C1627" s="27" t="s">
        <v>289</v>
      </c>
      <c r="D1627" s="25"/>
      <c r="E1627" s="25"/>
      <c r="F1627" s="25"/>
      <c r="G1627" s="25"/>
      <c r="H1627" s="25"/>
      <c r="I1627" s="25"/>
      <c r="J1627" s="27" t="s">
        <v>1998</v>
      </c>
      <c r="K1627" s="25" t="str">
        <f aca="false">IFERROR(__xludf.dummyfunction("SPLIT(J1627,"" "")"),"CIF")</f>
        <v>CIF</v>
      </c>
      <c r="L1627" s="28" t="str">
        <f aca="false">IFERROR(__xludf.dummyfunction("""COMPUTED_VALUE"""),"Serbia")</f>
        <v>Serbia</v>
      </c>
      <c r="M1627" s="27" t="str">
        <f aca="false">IFERROR(__xludf.dummyfunction("""COMPUTED_VALUE"""),"(Diff)")</f>
        <v>(Diff)</v>
      </c>
      <c r="N1627" s="25"/>
      <c r="O1627" s="25"/>
      <c r="P1627" s="25"/>
      <c r="Q1627" s="29" t="s">
        <v>298</v>
      </c>
      <c r="R1627" s="8" t="str">
        <f aca="false">B1627&amp;" "&amp;C1627&amp;" "&amp;D1627&amp;" "&amp;E1627&amp;" "&amp;G1627&amp;" "&amp;H1627&amp;" "&amp;J1627&amp;" "&amp;N1627</f>
        <v>Differentials Electrolyte     CIF Serbia (Diff) </v>
      </c>
      <c r="S1627" s="25"/>
      <c r="T1627" s="8"/>
      <c r="U1627" s="8"/>
      <c r="V1627" s="25"/>
      <c r="W1627" s="25"/>
      <c r="X1627" s="25"/>
      <c r="Y1627" s="25"/>
      <c r="Z1627" s="25"/>
      <c r="AA1627" s="25"/>
      <c r="AB1627" s="25"/>
      <c r="AC1627" s="25"/>
      <c r="AD1627" s="25"/>
    </row>
    <row r="1628" customFormat="false" ht="15.75" hidden="false" customHeight="false" outlineLevel="0" collapsed="false">
      <c r="A1628" s="28" t="s">
        <v>2029</v>
      </c>
      <c r="B1628" s="27" t="s">
        <v>438</v>
      </c>
      <c r="C1628" s="27" t="s">
        <v>289</v>
      </c>
      <c r="D1628" s="25"/>
      <c r="E1628" s="25"/>
      <c r="F1628" s="25"/>
      <c r="G1628" s="25"/>
      <c r="H1628" s="25"/>
      <c r="I1628" s="25"/>
      <c r="J1628" s="27" t="s">
        <v>1998</v>
      </c>
      <c r="K1628" s="25" t="str">
        <f aca="false">IFERROR(__xludf.dummyfunction("SPLIT(J1628,"" "")"),"CIF")</f>
        <v>CIF</v>
      </c>
      <c r="L1628" s="28" t="str">
        <f aca="false">IFERROR(__xludf.dummyfunction("""COMPUTED_VALUE"""),"Serbia")</f>
        <v>Serbia</v>
      </c>
      <c r="M1628" s="27" t="str">
        <f aca="false">IFERROR(__xludf.dummyfunction("""COMPUTED_VALUE"""),"(Diff)")</f>
        <v>(Diff)</v>
      </c>
      <c r="N1628" s="25"/>
      <c r="O1628" s="25"/>
      <c r="P1628" s="25"/>
      <c r="Q1628" s="29" t="s">
        <v>296</v>
      </c>
      <c r="R1628" s="8" t="str">
        <f aca="false">B1628&amp;" "&amp;C1628&amp;" "&amp;D1628&amp;" "&amp;E1628&amp;" "&amp;G1628&amp;" "&amp;H1628&amp;" "&amp;J1628&amp;" "&amp;N1628</f>
        <v>Differentials Electrolyte     CIF Serbia (Diff) </v>
      </c>
      <c r="S1628" s="25"/>
      <c r="T1628" s="8"/>
      <c r="U1628" s="8"/>
      <c r="V1628" s="25"/>
      <c r="W1628" s="25"/>
      <c r="X1628" s="25"/>
      <c r="Y1628" s="25"/>
      <c r="Z1628" s="25"/>
      <c r="AA1628" s="25"/>
      <c r="AB1628" s="25"/>
      <c r="AC1628" s="25"/>
      <c r="AD1628" s="25"/>
    </row>
    <row r="1629" customFormat="false" ht="15.75" hidden="false" customHeight="false" outlineLevel="0" collapsed="false">
      <c r="A1629" s="28" t="s">
        <v>2030</v>
      </c>
      <c r="B1629" s="27" t="s">
        <v>438</v>
      </c>
      <c r="C1629" s="27" t="s">
        <v>289</v>
      </c>
      <c r="D1629" s="25"/>
      <c r="E1629" s="25"/>
      <c r="F1629" s="25"/>
      <c r="G1629" s="25"/>
      <c r="H1629" s="25"/>
      <c r="I1629" s="25"/>
      <c r="J1629" s="27" t="s">
        <v>1998</v>
      </c>
      <c r="K1629" s="25" t="str">
        <f aca="false">IFERROR(__xludf.dummyfunction("SPLIT(J1629,"" "")"),"CIF")</f>
        <v>CIF</v>
      </c>
      <c r="L1629" s="28" t="str">
        <f aca="false">IFERROR(__xludf.dummyfunction("""COMPUTED_VALUE"""),"Serbia")</f>
        <v>Serbia</v>
      </c>
      <c r="M1629" s="27" t="str">
        <f aca="false">IFERROR(__xludf.dummyfunction("""COMPUTED_VALUE"""),"(Diff)")</f>
        <v>(Diff)</v>
      </c>
      <c r="N1629" s="25"/>
      <c r="O1629" s="25"/>
      <c r="P1629" s="25"/>
      <c r="Q1629" s="29" t="s">
        <v>294</v>
      </c>
      <c r="R1629" s="8" t="str">
        <f aca="false">B1629&amp;" "&amp;C1629&amp;" "&amp;D1629&amp;" "&amp;E1629&amp;" "&amp;G1629&amp;" "&amp;H1629&amp;" "&amp;J1629&amp;" "&amp;N1629</f>
        <v>Differentials Electrolyte     CIF Serbia (Diff) </v>
      </c>
      <c r="S1629" s="25"/>
      <c r="T1629" s="8"/>
      <c r="U1629" s="8"/>
      <c r="V1629" s="25"/>
      <c r="W1629" s="25"/>
      <c r="X1629" s="25"/>
      <c r="Y1629" s="25"/>
      <c r="Z1629" s="25"/>
      <c r="AA1629" s="25"/>
      <c r="AB1629" s="25"/>
      <c r="AC1629" s="25"/>
      <c r="AD1629" s="25"/>
    </row>
    <row r="1630" customFormat="false" ht="15.75" hidden="false" customHeight="false" outlineLevel="0" collapsed="false">
      <c r="A1630" s="28" t="s">
        <v>2031</v>
      </c>
      <c r="B1630" s="27" t="s">
        <v>438</v>
      </c>
      <c r="C1630" s="27" t="s">
        <v>289</v>
      </c>
      <c r="D1630" s="25"/>
      <c r="E1630" s="25"/>
      <c r="F1630" s="25"/>
      <c r="G1630" s="25"/>
      <c r="H1630" s="25"/>
      <c r="I1630" s="25"/>
      <c r="J1630" s="27" t="s">
        <v>1998</v>
      </c>
      <c r="K1630" s="25" t="str">
        <f aca="false">IFERROR(__xludf.dummyfunction("SPLIT(J1630,"" "")"),"CIF")</f>
        <v>CIF</v>
      </c>
      <c r="L1630" s="28" t="str">
        <f aca="false">IFERROR(__xludf.dummyfunction("""COMPUTED_VALUE"""),"Serbia")</f>
        <v>Serbia</v>
      </c>
      <c r="M1630" s="27" t="str">
        <f aca="false">IFERROR(__xludf.dummyfunction("""COMPUTED_VALUE"""),"(Diff)")</f>
        <v>(Diff)</v>
      </c>
      <c r="N1630" s="25"/>
      <c r="O1630" s="25"/>
      <c r="P1630" s="25"/>
      <c r="Q1630" s="29" t="s">
        <v>291</v>
      </c>
      <c r="R1630" s="8" t="str">
        <f aca="false">B1630&amp;" "&amp;C1630&amp;" "&amp;D1630&amp;" "&amp;E1630&amp;" "&amp;G1630&amp;" "&amp;H1630&amp;" "&amp;J1630&amp;" "&amp;N1630</f>
        <v>Differentials Electrolyte     CIF Serbia (Diff) </v>
      </c>
      <c r="S1630" s="25"/>
      <c r="T1630" s="8"/>
      <c r="U1630" s="8"/>
      <c r="V1630" s="25"/>
      <c r="W1630" s="25"/>
      <c r="X1630" s="25"/>
      <c r="Y1630" s="25"/>
      <c r="Z1630" s="25"/>
      <c r="AA1630" s="25"/>
      <c r="AB1630" s="25"/>
      <c r="AC1630" s="25"/>
      <c r="AD1630" s="25"/>
    </row>
    <row r="1631" customFormat="false" ht="15.75" hidden="false" customHeight="false" outlineLevel="0" collapsed="false">
      <c r="A1631" s="28" t="s">
        <v>2032</v>
      </c>
      <c r="B1631" s="27" t="s">
        <v>438</v>
      </c>
      <c r="C1631" s="27" t="s">
        <v>308</v>
      </c>
      <c r="D1631" s="25"/>
      <c r="E1631" s="25"/>
      <c r="F1631" s="25"/>
      <c r="G1631" s="25"/>
      <c r="H1631" s="25"/>
      <c r="I1631" s="25"/>
      <c r="J1631" s="27" t="s">
        <v>1998</v>
      </c>
      <c r="K1631" s="25" t="str">
        <f aca="false">IFERROR(__xludf.dummyfunction("SPLIT(J1631,"" "")"),"CIF")</f>
        <v>CIF</v>
      </c>
      <c r="L1631" s="28" t="str">
        <f aca="false">IFERROR(__xludf.dummyfunction("""COMPUTED_VALUE"""),"Serbia")</f>
        <v>Serbia</v>
      </c>
      <c r="M1631" s="27" t="str">
        <f aca="false">IFERROR(__xludf.dummyfunction("""COMPUTED_VALUE"""),"(Diff)")</f>
        <v>(Diff)</v>
      </c>
      <c r="N1631" s="25"/>
      <c r="O1631" s="25"/>
      <c r="P1631" s="25"/>
      <c r="Q1631" s="29" t="s">
        <v>358</v>
      </c>
      <c r="R1631" s="8" t="str">
        <f aca="false">B1631&amp;" "&amp;C1631&amp;" "&amp;D1631&amp;" "&amp;E1631&amp;" "&amp;G1631&amp;" "&amp;H1631&amp;" "&amp;J1631&amp;" "&amp;N1631</f>
        <v>Differentials Graphite     CIF Serbia (Diff) </v>
      </c>
      <c r="S1631" s="25"/>
      <c r="T1631" s="8"/>
      <c r="U1631" s="8"/>
      <c r="V1631" s="25"/>
      <c r="W1631" s="25"/>
      <c r="X1631" s="25"/>
      <c r="Y1631" s="25"/>
      <c r="Z1631" s="25"/>
      <c r="AA1631" s="25"/>
      <c r="AB1631" s="25"/>
      <c r="AC1631" s="25"/>
      <c r="AD1631" s="25"/>
    </row>
    <row r="1632" customFormat="false" ht="15.75" hidden="false" customHeight="false" outlineLevel="0" collapsed="false">
      <c r="A1632" s="28" t="s">
        <v>2033</v>
      </c>
      <c r="B1632" s="27" t="s">
        <v>438</v>
      </c>
      <c r="C1632" s="27" t="s">
        <v>308</v>
      </c>
      <c r="D1632" s="25"/>
      <c r="E1632" s="25"/>
      <c r="F1632" s="25"/>
      <c r="G1632" s="25"/>
      <c r="H1632" s="25"/>
      <c r="I1632" s="25"/>
      <c r="J1632" s="27" t="s">
        <v>1998</v>
      </c>
      <c r="K1632" s="25" t="str">
        <f aca="false">IFERROR(__xludf.dummyfunction("SPLIT(J1632,"" "")"),"CIF")</f>
        <v>CIF</v>
      </c>
      <c r="L1632" s="28" t="str">
        <f aca="false">IFERROR(__xludf.dummyfunction("""COMPUTED_VALUE"""),"Serbia")</f>
        <v>Serbia</v>
      </c>
      <c r="M1632" s="27" t="str">
        <f aca="false">IFERROR(__xludf.dummyfunction("""COMPUTED_VALUE"""),"(Diff)")</f>
        <v>(Diff)</v>
      </c>
      <c r="N1632" s="25"/>
      <c r="O1632" s="25"/>
      <c r="P1632" s="25"/>
      <c r="Q1632" s="29" t="s">
        <v>356</v>
      </c>
      <c r="R1632" s="8" t="str">
        <f aca="false">B1632&amp;" "&amp;C1632&amp;" "&amp;D1632&amp;" "&amp;E1632&amp;" "&amp;G1632&amp;" "&amp;H1632&amp;" "&amp;J1632&amp;" "&amp;N1632</f>
        <v>Differentials Graphite     CIF Serbia (Diff) </v>
      </c>
      <c r="S1632" s="25"/>
      <c r="T1632" s="8"/>
      <c r="U1632" s="8"/>
      <c r="V1632" s="25"/>
      <c r="W1632" s="25"/>
      <c r="X1632" s="25"/>
      <c r="Y1632" s="25"/>
      <c r="Z1632" s="25"/>
      <c r="AA1632" s="25"/>
      <c r="AB1632" s="25"/>
      <c r="AC1632" s="25"/>
      <c r="AD1632" s="25"/>
    </row>
    <row r="1633" customFormat="false" ht="15.75" hidden="false" customHeight="false" outlineLevel="0" collapsed="false">
      <c r="A1633" s="28" t="s">
        <v>2034</v>
      </c>
      <c r="B1633" s="27" t="s">
        <v>438</v>
      </c>
      <c r="C1633" s="27" t="s">
        <v>308</v>
      </c>
      <c r="D1633" s="25"/>
      <c r="E1633" s="25"/>
      <c r="F1633" s="25"/>
      <c r="G1633" s="25"/>
      <c r="H1633" s="25"/>
      <c r="I1633" s="25"/>
      <c r="J1633" s="27" t="s">
        <v>1998</v>
      </c>
      <c r="K1633" s="25" t="str">
        <f aca="false">IFERROR(__xludf.dummyfunction("SPLIT(J1633,"" "")"),"CIF")</f>
        <v>CIF</v>
      </c>
      <c r="L1633" s="28" t="str">
        <f aca="false">IFERROR(__xludf.dummyfunction("""COMPUTED_VALUE"""),"Serbia")</f>
        <v>Serbia</v>
      </c>
      <c r="M1633" s="27" t="str">
        <f aca="false">IFERROR(__xludf.dummyfunction("""COMPUTED_VALUE"""),"(Diff)")</f>
        <v>(Diff)</v>
      </c>
      <c r="N1633" s="25"/>
      <c r="O1633" s="25"/>
      <c r="P1633" s="25"/>
      <c r="Q1633" s="29" t="s">
        <v>354</v>
      </c>
      <c r="R1633" s="8" t="str">
        <f aca="false">B1633&amp;" "&amp;C1633&amp;" "&amp;D1633&amp;" "&amp;E1633&amp;" "&amp;G1633&amp;" "&amp;H1633&amp;" "&amp;J1633&amp;" "&amp;N1633</f>
        <v>Differentials Graphite     CIF Serbia (Diff) </v>
      </c>
      <c r="S1633" s="25"/>
      <c r="T1633" s="8"/>
      <c r="U1633" s="8"/>
      <c r="V1633" s="25"/>
      <c r="W1633" s="25"/>
      <c r="X1633" s="25"/>
      <c r="Y1633" s="25"/>
      <c r="Z1633" s="25"/>
      <c r="AA1633" s="25"/>
      <c r="AB1633" s="25"/>
      <c r="AC1633" s="25"/>
      <c r="AD1633" s="25"/>
    </row>
    <row r="1634" customFormat="false" ht="15.75" hidden="false" customHeight="false" outlineLevel="0" collapsed="false">
      <c r="A1634" s="28" t="s">
        <v>2035</v>
      </c>
      <c r="B1634" s="27" t="s">
        <v>438</v>
      </c>
      <c r="C1634" s="27" t="s">
        <v>308</v>
      </c>
      <c r="D1634" s="25"/>
      <c r="E1634" s="25"/>
      <c r="F1634" s="25"/>
      <c r="G1634" s="25"/>
      <c r="H1634" s="25"/>
      <c r="I1634" s="25"/>
      <c r="J1634" s="27" t="s">
        <v>1998</v>
      </c>
      <c r="K1634" s="25" t="str">
        <f aca="false">IFERROR(__xludf.dummyfunction("SPLIT(J1634,"" "")"),"CIF")</f>
        <v>CIF</v>
      </c>
      <c r="L1634" s="28" t="str">
        <f aca="false">IFERROR(__xludf.dummyfunction("""COMPUTED_VALUE"""),"Serbia")</f>
        <v>Serbia</v>
      </c>
      <c r="M1634" s="27" t="str">
        <f aca="false">IFERROR(__xludf.dummyfunction("""COMPUTED_VALUE"""),"(Diff)")</f>
        <v>(Diff)</v>
      </c>
      <c r="N1634" s="25"/>
      <c r="O1634" s="25"/>
      <c r="P1634" s="25"/>
      <c r="Q1634" s="29" t="s">
        <v>352</v>
      </c>
      <c r="R1634" s="8" t="str">
        <f aca="false">B1634&amp;" "&amp;C1634&amp;" "&amp;D1634&amp;" "&amp;E1634&amp;" "&amp;G1634&amp;" "&amp;H1634&amp;" "&amp;J1634&amp;" "&amp;N1634</f>
        <v>Differentials Graphite     CIF Serbia (Diff) </v>
      </c>
      <c r="S1634" s="25"/>
      <c r="T1634" s="8"/>
      <c r="U1634" s="8"/>
      <c r="V1634" s="25"/>
      <c r="W1634" s="25"/>
      <c r="X1634" s="25"/>
      <c r="Y1634" s="25"/>
      <c r="Z1634" s="25"/>
      <c r="AA1634" s="25"/>
      <c r="AB1634" s="25"/>
      <c r="AC1634" s="25"/>
      <c r="AD1634" s="25"/>
    </row>
    <row r="1635" customFormat="false" ht="15.75" hidden="false" customHeight="false" outlineLevel="0" collapsed="false">
      <c r="A1635" s="28" t="s">
        <v>2036</v>
      </c>
      <c r="B1635" s="27" t="s">
        <v>438</v>
      </c>
      <c r="C1635" s="27" t="s">
        <v>308</v>
      </c>
      <c r="D1635" s="25"/>
      <c r="E1635" s="25"/>
      <c r="F1635" s="25"/>
      <c r="G1635" s="25"/>
      <c r="H1635" s="25"/>
      <c r="I1635" s="25"/>
      <c r="J1635" s="27" t="s">
        <v>1998</v>
      </c>
      <c r="K1635" s="25" t="str">
        <f aca="false">IFERROR(__xludf.dummyfunction("SPLIT(J1635,"" "")"),"CIF")</f>
        <v>CIF</v>
      </c>
      <c r="L1635" s="28" t="str">
        <f aca="false">IFERROR(__xludf.dummyfunction("""COMPUTED_VALUE"""),"Serbia")</f>
        <v>Serbia</v>
      </c>
      <c r="M1635" s="27" t="str">
        <f aca="false">IFERROR(__xludf.dummyfunction("""COMPUTED_VALUE"""),"(Diff)")</f>
        <v>(Diff)</v>
      </c>
      <c r="N1635" s="25"/>
      <c r="O1635" s="25"/>
      <c r="P1635" s="25"/>
      <c r="Q1635" s="29" t="s">
        <v>350</v>
      </c>
      <c r="R1635" s="8" t="str">
        <f aca="false">B1635&amp;" "&amp;C1635&amp;" "&amp;D1635&amp;" "&amp;E1635&amp;" "&amp;G1635&amp;" "&amp;H1635&amp;" "&amp;J1635&amp;" "&amp;N1635</f>
        <v>Differentials Graphite     CIF Serbia (Diff) </v>
      </c>
      <c r="S1635" s="25"/>
      <c r="T1635" s="8"/>
      <c r="U1635" s="8"/>
      <c r="V1635" s="25"/>
      <c r="W1635" s="25"/>
      <c r="X1635" s="25"/>
      <c r="Y1635" s="25"/>
      <c r="Z1635" s="25"/>
      <c r="AA1635" s="25"/>
      <c r="AB1635" s="25"/>
      <c r="AC1635" s="25"/>
      <c r="AD1635" s="25"/>
    </row>
    <row r="1636" customFormat="false" ht="15.75" hidden="false" customHeight="false" outlineLevel="0" collapsed="false">
      <c r="A1636" s="28" t="s">
        <v>2037</v>
      </c>
      <c r="B1636" s="27" t="s">
        <v>438</v>
      </c>
      <c r="C1636" s="27" t="s">
        <v>308</v>
      </c>
      <c r="D1636" s="25"/>
      <c r="E1636" s="25"/>
      <c r="F1636" s="25"/>
      <c r="G1636" s="25"/>
      <c r="H1636" s="25"/>
      <c r="I1636" s="25"/>
      <c r="J1636" s="27" t="s">
        <v>1998</v>
      </c>
      <c r="K1636" s="25" t="str">
        <f aca="false">IFERROR(__xludf.dummyfunction("SPLIT(J1636,"" "")"),"CIF")</f>
        <v>CIF</v>
      </c>
      <c r="L1636" s="28" t="str">
        <f aca="false">IFERROR(__xludf.dummyfunction("""COMPUTED_VALUE"""),"Serbia")</f>
        <v>Serbia</v>
      </c>
      <c r="M1636" s="27" t="str">
        <f aca="false">IFERROR(__xludf.dummyfunction("""COMPUTED_VALUE"""),"(Diff)")</f>
        <v>(Diff)</v>
      </c>
      <c r="N1636" s="25"/>
      <c r="O1636" s="25"/>
      <c r="P1636" s="25"/>
      <c r="Q1636" s="29" t="s">
        <v>347</v>
      </c>
      <c r="R1636" s="8" t="str">
        <f aca="false">B1636&amp;" "&amp;C1636&amp;" "&amp;D1636&amp;" "&amp;E1636&amp;" "&amp;G1636&amp;" "&amp;H1636&amp;" "&amp;J1636&amp;" "&amp;N1636</f>
        <v>Differentials Graphite     CIF Serbia (Diff) </v>
      </c>
      <c r="S1636" s="25"/>
      <c r="T1636" s="8"/>
      <c r="U1636" s="8"/>
      <c r="V1636" s="25"/>
      <c r="W1636" s="25"/>
      <c r="X1636" s="25"/>
      <c r="Y1636" s="25"/>
      <c r="Z1636" s="25"/>
      <c r="AA1636" s="25"/>
      <c r="AB1636" s="25"/>
      <c r="AC1636" s="25"/>
      <c r="AD1636" s="25"/>
    </row>
    <row r="1637" customFormat="false" ht="15.75" hidden="false" customHeight="false" outlineLevel="0" collapsed="false">
      <c r="A1637" s="28" t="s">
        <v>2038</v>
      </c>
      <c r="B1637" s="27" t="s">
        <v>438</v>
      </c>
      <c r="C1637" s="27" t="s">
        <v>308</v>
      </c>
      <c r="D1637" s="25"/>
      <c r="E1637" s="25"/>
      <c r="F1637" s="25"/>
      <c r="G1637" s="25"/>
      <c r="H1637" s="25"/>
      <c r="I1637" s="25"/>
      <c r="J1637" s="27" t="s">
        <v>1998</v>
      </c>
      <c r="K1637" s="25" t="str">
        <f aca="false">IFERROR(__xludf.dummyfunction("SPLIT(J1637,"" "")"),"CIF")</f>
        <v>CIF</v>
      </c>
      <c r="L1637" s="28" t="str">
        <f aca="false">IFERROR(__xludf.dummyfunction("""COMPUTED_VALUE"""),"Serbia")</f>
        <v>Serbia</v>
      </c>
      <c r="M1637" s="27" t="str">
        <f aca="false">IFERROR(__xludf.dummyfunction("""COMPUTED_VALUE"""),"(Diff)")</f>
        <v>(Diff)</v>
      </c>
      <c r="N1637" s="25"/>
      <c r="O1637" s="25"/>
      <c r="P1637" s="25"/>
      <c r="Q1637" s="29" t="s">
        <v>344</v>
      </c>
      <c r="R1637" s="8" t="str">
        <f aca="false">B1637&amp;" "&amp;C1637&amp;" "&amp;D1637&amp;" "&amp;E1637&amp;" "&amp;G1637&amp;" "&amp;H1637&amp;" "&amp;J1637&amp;" "&amp;N1637</f>
        <v>Differentials Graphite     CIF Serbia (Diff) </v>
      </c>
      <c r="S1637" s="25"/>
      <c r="T1637" s="8"/>
      <c r="U1637" s="8"/>
      <c r="V1637" s="25"/>
      <c r="W1637" s="25"/>
      <c r="X1637" s="25"/>
      <c r="Y1637" s="25"/>
      <c r="Z1637" s="25"/>
      <c r="AA1637" s="25"/>
      <c r="AB1637" s="25"/>
      <c r="AC1637" s="25"/>
      <c r="AD1637" s="25"/>
    </row>
    <row r="1638" customFormat="false" ht="15.75" hidden="false" customHeight="false" outlineLevel="0" collapsed="false">
      <c r="A1638" s="28" t="s">
        <v>2039</v>
      </c>
      <c r="B1638" s="27" t="s">
        <v>438</v>
      </c>
      <c r="C1638" s="27" t="s">
        <v>308</v>
      </c>
      <c r="D1638" s="25"/>
      <c r="E1638" s="25"/>
      <c r="F1638" s="25"/>
      <c r="G1638" s="25"/>
      <c r="H1638" s="25"/>
      <c r="I1638" s="25"/>
      <c r="J1638" s="27" t="s">
        <v>1998</v>
      </c>
      <c r="K1638" s="25" t="str">
        <f aca="false">IFERROR(__xludf.dummyfunction("SPLIT(J1638,"" "")"),"CIF")</f>
        <v>CIF</v>
      </c>
      <c r="L1638" s="28" t="str">
        <f aca="false">IFERROR(__xludf.dummyfunction("""COMPUTED_VALUE"""),"Serbia")</f>
        <v>Serbia</v>
      </c>
      <c r="M1638" s="27" t="str">
        <f aca="false">IFERROR(__xludf.dummyfunction("""COMPUTED_VALUE"""),"(Diff)")</f>
        <v>(Diff)</v>
      </c>
      <c r="N1638" s="25"/>
      <c r="O1638" s="25"/>
      <c r="P1638" s="25"/>
      <c r="Q1638" s="29" t="s">
        <v>340</v>
      </c>
      <c r="R1638" s="8" t="str">
        <f aca="false">B1638&amp;" "&amp;C1638&amp;" "&amp;D1638&amp;" "&amp;E1638&amp;" "&amp;G1638&amp;" "&amp;H1638&amp;" "&amp;J1638&amp;" "&amp;N1638</f>
        <v>Differentials Graphite     CIF Serbia (Diff) </v>
      </c>
      <c r="S1638" s="25"/>
      <c r="T1638" s="8"/>
      <c r="U1638" s="8"/>
      <c r="V1638" s="25"/>
      <c r="W1638" s="25"/>
      <c r="X1638" s="25"/>
      <c r="Y1638" s="25"/>
      <c r="Z1638" s="25"/>
      <c r="AA1638" s="25"/>
      <c r="AB1638" s="25"/>
      <c r="AC1638" s="25"/>
      <c r="AD1638" s="25"/>
    </row>
    <row r="1639" customFormat="false" ht="15.75" hidden="false" customHeight="false" outlineLevel="0" collapsed="false">
      <c r="A1639" s="28" t="s">
        <v>2040</v>
      </c>
      <c r="B1639" s="27" t="s">
        <v>438</v>
      </c>
      <c r="C1639" s="27" t="s">
        <v>308</v>
      </c>
      <c r="D1639" s="25"/>
      <c r="E1639" s="25"/>
      <c r="F1639" s="25"/>
      <c r="G1639" s="25"/>
      <c r="H1639" s="25"/>
      <c r="I1639" s="25"/>
      <c r="J1639" s="27" t="s">
        <v>1998</v>
      </c>
      <c r="K1639" s="25" t="str">
        <f aca="false">IFERROR(__xludf.dummyfunction("SPLIT(J1639,"" "")"),"CIF")</f>
        <v>CIF</v>
      </c>
      <c r="L1639" s="28" t="str">
        <f aca="false">IFERROR(__xludf.dummyfunction("""COMPUTED_VALUE"""),"Serbia")</f>
        <v>Serbia</v>
      </c>
      <c r="M1639" s="27" t="str">
        <f aca="false">IFERROR(__xludf.dummyfunction("""COMPUTED_VALUE"""),"(Diff)")</f>
        <v>(Diff)</v>
      </c>
      <c r="N1639" s="25"/>
      <c r="O1639" s="25"/>
      <c r="P1639" s="25"/>
      <c r="Q1639" s="29" t="s">
        <v>338</v>
      </c>
      <c r="R1639" s="8" t="str">
        <f aca="false">B1639&amp;" "&amp;C1639&amp;" "&amp;D1639&amp;" "&amp;E1639&amp;" "&amp;G1639&amp;" "&amp;H1639&amp;" "&amp;J1639&amp;" "&amp;N1639</f>
        <v>Differentials Graphite     CIF Serbia (Diff) </v>
      </c>
      <c r="S1639" s="25"/>
      <c r="T1639" s="8"/>
      <c r="U1639" s="8"/>
      <c r="V1639" s="25"/>
      <c r="W1639" s="25"/>
      <c r="X1639" s="25"/>
      <c r="Y1639" s="25"/>
      <c r="Z1639" s="25"/>
      <c r="AA1639" s="25"/>
      <c r="AB1639" s="25"/>
      <c r="AC1639" s="25"/>
      <c r="AD1639" s="25"/>
    </row>
    <row r="1640" customFormat="false" ht="15.75" hidden="false" customHeight="false" outlineLevel="0" collapsed="false">
      <c r="A1640" s="28" t="s">
        <v>2041</v>
      </c>
      <c r="B1640" s="27" t="s">
        <v>438</v>
      </c>
      <c r="C1640" s="27" t="s">
        <v>308</v>
      </c>
      <c r="D1640" s="25"/>
      <c r="E1640" s="25"/>
      <c r="F1640" s="25"/>
      <c r="G1640" s="25"/>
      <c r="H1640" s="25"/>
      <c r="I1640" s="25"/>
      <c r="J1640" s="27" t="s">
        <v>1998</v>
      </c>
      <c r="K1640" s="25" t="str">
        <f aca="false">IFERROR(__xludf.dummyfunction("SPLIT(J1640,"" "")"),"CIF")</f>
        <v>CIF</v>
      </c>
      <c r="L1640" s="28" t="str">
        <f aca="false">IFERROR(__xludf.dummyfunction("""COMPUTED_VALUE"""),"Serbia")</f>
        <v>Serbia</v>
      </c>
      <c r="M1640" s="27" t="str">
        <f aca="false">IFERROR(__xludf.dummyfunction("""COMPUTED_VALUE"""),"(Diff)")</f>
        <v>(Diff)</v>
      </c>
      <c r="N1640" s="25"/>
      <c r="O1640" s="25"/>
      <c r="P1640" s="25"/>
      <c r="Q1640" s="29" t="s">
        <v>335</v>
      </c>
      <c r="R1640" s="8" t="str">
        <f aca="false">B1640&amp;" "&amp;C1640&amp;" "&amp;D1640&amp;" "&amp;E1640&amp;" "&amp;G1640&amp;" "&amp;H1640&amp;" "&amp;J1640&amp;" "&amp;N1640</f>
        <v>Differentials Graphite     CIF Serbia (Diff) </v>
      </c>
      <c r="S1640" s="25"/>
      <c r="T1640" s="8"/>
      <c r="U1640" s="8"/>
      <c r="V1640" s="25"/>
      <c r="W1640" s="25"/>
      <c r="X1640" s="25"/>
      <c r="Y1640" s="25"/>
      <c r="Z1640" s="25"/>
      <c r="AA1640" s="25"/>
      <c r="AB1640" s="25"/>
      <c r="AC1640" s="25"/>
      <c r="AD1640" s="25"/>
    </row>
    <row r="1641" customFormat="false" ht="15.75" hidden="false" customHeight="false" outlineLevel="0" collapsed="false">
      <c r="A1641" s="28" t="s">
        <v>2042</v>
      </c>
      <c r="B1641" s="27" t="s">
        <v>438</v>
      </c>
      <c r="C1641" s="27" t="s">
        <v>308</v>
      </c>
      <c r="D1641" s="25"/>
      <c r="E1641" s="25"/>
      <c r="F1641" s="25"/>
      <c r="G1641" s="25"/>
      <c r="H1641" s="25"/>
      <c r="I1641" s="25"/>
      <c r="J1641" s="27" t="s">
        <v>1998</v>
      </c>
      <c r="K1641" s="25" t="str">
        <f aca="false">IFERROR(__xludf.dummyfunction("SPLIT(J1641,"" "")"),"CIF")</f>
        <v>CIF</v>
      </c>
      <c r="L1641" s="28" t="str">
        <f aca="false">IFERROR(__xludf.dummyfunction("""COMPUTED_VALUE"""),"Serbia")</f>
        <v>Serbia</v>
      </c>
      <c r="M1641" s="27" t="str">
        <f aca="false">IFERROR(__xludf.dummyfunction("""COMPUTED_VALUE"""),"(Diff)")</f>
        <v>(Diff)</v>
      </c>
      <c r="N1641" s="25"/>
      <c r="O1641" s="25"/>
      <c r="P1641" s="25"/>
      <c r="Q1641" s="29" t="s">
        <v>332</v>
      </c>
      <c r="R1641" s="8" t="str">
        <f aca="false">B1641&amp;" "&amp;C1641&amp;" "&amp;D1641&amp;" "&amp;E1641&amp;" "&amp;G1641&amp;" "&amp;H1641&amp;" "&amp;J1641&amp;" "&amp;N1641</f>
        <v>Differentials Graphite     CIF Serbia (Diff) </v>
      </c>
      <c r="S1641" s="25"/>
      <c r="T1641" s="8"/>
      <c r="U1641" s="8"/>
      <c r="V1641" s="25"/>
      <c r="W1641" s="25"/>
      <c r="X1641" s="25"/>
      <c r="Y1641" s="25"/>
      <c r="Z1641" s="25"/>
      <c r="AA1641" s="25"/>
      <c r="AB1641" s="25"/>
      <c r="AC1641" s="25"/>
      <c r="AD1641" s="25"/>
    </row>
    <row r="1642" customFormat="false" ht="15.75" hidden="false" customHeight="false" outlineLevel="0" collapsed="false">
      <c r="A1642" s="28" t="s">
        <v>2043</v>
      </c>
      <c r="B1642" s="27" t="s">
        <v>438</v>
      </c>
      <c r="C1642" s="27" t="s">
        <v>308</v>
      </c>
      <c r="D1642" s="25"/>
      <c r="E1642" s="25"/>
      <c r="F1642" s="25"/>
      <c r="G1642" s="25"/>
      <c r="H1642" s="25"/>
      <c r="I1642" s="25"/>
      <c r="J1642" s="27" t="s">
        <v>1998</v>
      </c>
      <c r="K1642" s="25" t="str">
        <f aca="false">IFERROR(__xludf.dummyfunction("SPLIT(J1642,"" "")"),"CIF")</f>
        <v>CIF</v>
      </c>
      <c r="L1642" s="28" t="str">
        <f aca="false">IFERROR(__xludf.dummyfunction("""COMPUTED_VALUE"""),"Serbia")</f>
        <v>Serbia</v>
      </c>
      <c r="M1642" s="27" t="str">
        <f aca="false">IFERROR(__xludf.dummyfunction("""COMPUTED_VALUE"""),"(Diff)")</f>
        <v>(Diff)</v>
      </c>
      <c r="N1642" s="25"/>
      <c r="O1642" s="25"/>
      <c r="P1642" s="25"/>
      <c r="Q1642" s="29" t="s">
        <v>329</v>
      </c>
      <c r="R1642" s="8" t="str">
        <f aca="false">B1642&amp;" "&amp;C1642&amp;" "&amp;D1642&amp;" "&amp;E1642&amp;" "&amp;G1642&amp;" "&amp;H1642&amp;" "&amp;J1642&amp;" "&amp;N1642</f>
        <v>Differentials Graphite     CIF Serbia (Diff) </v>
      </c>
      <c r="S1642" s="25"/>
      <c r="T1642" s="8"/>
      <c r="U1642" s="8"/>
      <c r="V1642" s="25"/>
      <c r="W1642" s="25"/>
      <c r="X1642" s="25"/>
      <c r="Y1642" s="25"/>
      <c r="Z1642" s="25"/>
      <c r="AA1642" s="25"/>
      <c r="AB1642" s="25"/>
      <c r="AC1642" s="25"/>
      <c r="AD1642" s="25"/>
    </row>
    <row r="1643" customFormat="false" ht="15.75" hidden="false" customHeight="false" outlineLevel="0" collapsed="false">
      <c r="A1643" s="28" t="s">
        <v>2044</v>
      </c>
      <c r="B1643" s="27" t="s">
        <v>438</v>
      </c>
      <c r="C1643" s="27" t="s">
        <v>308</v>
      </c>
      <c r="D1643" s="25"/>
      <c r="E1643" s="25"/>
      <c r="F1643" s="25"/>
      <c r="G1643" s="25"/>
      <c r="H1643" s="25"/>
      <c r="I1643" s="25"/>
      <c r="J1643" s="27" t="s">
        <v>1998</v>
      </c>
      <c r="K1643" s="25" t="str">
        <f aca="false">IFERROR(__xludf.dummyfunction("SPLIT(J1643,"" "")"),"CIF")</f>
        <v>CIF</v>
      </c>
      <c r="L1643" s="28" t="str">
        <f aca="false">IFERROR(__xludf.dummyfunction("""COMPUTED_VALUE"""),"Serbia")</f>
        <v>Serbia</v>
      </c>
      <c r="M1643" s="27" t="str">
        <f aca="false">IFERROR(__xludf.dummyfunction("""COMPUTED_VALUE"""),"(Diff)")</f>
        <v>(Diff)</v>
      </c>
      <c r="N1643" s="25"/>
      <c r="O1643" s="25"/>
      <c r="P1643" s="25"/>
      <c r="Q1643" s="29" t="s">
        <v>326</v>
      </c>
      <c r="R1643" s="8" t="str">
        <f aca="false">B1643&amp;" "&amp;C1643&amp;" "&amp;D1643&amp;" "&amp;E1643&amp;" "&amp;G1643&amp;" "&amp;H1643&amp;" "&amp;J1643&amp;" "&amp;N1643</f>
        <v>Differentials Graphite     CIF Serbia (Diff) </v>
      </c>
      <c r="S1643" s="25"/>
      <c r="T1643" s="8"/>
      <c r="U1643" s="8"/>
      <c r="V1643" s="25"/>
      <c r="W1643" s="25"/>
      <c r="X1643" s="25"/>
      <c r="Y1643" s="25"/>
      <c r="Z1643" s="25"/>
      <c r="AA1643" s="25"/>
      <c r="AB1643" s="25"/>
      <c r="AC1643" s="25"/>
      <c r="AD1643" s="25"/>
    </row>
    <row r="1644" customFormat="false" ht="15.75" hidden="false" customHeight="false" outlineLevel="0" collapsed="false">
      <c r="A1644" s="28" t="s">
        <v>2045</v>
      </c>
      <c r="B1644" s="27" t="s">
        <v>438</v>
      </c>
      <c r="C1644" s="27" t="s">
        <v>308</v>
      </c>
      <c r="D1644" s="25"/>
      <c r="E1644" s="25"/>
      <c r="F1644" s="25"/>
      <c r="G1644" s="25"/>
      <c r="H1644" s="25"/>
      <c r="I1644" s="25"/>
      <c r="J1644" s="27" t="s">
        <v>1998</v>
      </c>
      <c r="K1644" s="25" t="str">
        <f aca="false">IFERROR(__xludf.dummyfunction("SPLIT(J1644,"" "")"),"CIF")</f>
        <v>CIF</v>
      </c>
      <c r="L1644" s="28" t="str">
        <f aca="false">IFERROR(__xludf.dummyfunction("""COMPUTED_VALUE"""),"Serbia")</f>
        <v>Serbia</v>
      </c>
      <c r="M1644" s="27" t="str">
        <f aca="false">IFERROR(__xludf.dummyfunction("""COMPUTED_VALUE"""),"(Diff)")</f>
        <v>(Diff)</v>
      </c>
      <c r="N1644" s="25"/>
      <c r="O1644" s="25"/>
      <c r="P1644" s="25"/>
      <c r="Q1644" s="29" t="s">
        <v>323</v>
      </c>
      <c r="R1644" s="8" t="str">
        <f aca="false">B1644&amp;" "&amp;C1644&amp;" "&amp;D1644&amp;" "&amp;E1644&amp;" "&amp;G1644&amp;" "&amp;H1644&amp;" "&amp;J1644&amp;" "&amp;N1644</f>
        <v>Differentials Graphite     CIF Serbia (Diff) </v>
      </c>
      <c r="S1644" s="25"/>
      <c r="T1644" s="8"/>
      <c r="U1644" s="8"/>
      <c r="V1644" s="25"/>
      <c r="W1644" s="25"/>
      <c r="X1644" s="25"/>
      <c r="Y1644" s="25"/>
      <c r="Z1644" s="25"/>
      <c r="AA1644" s="25"/>
      <c r="AB1644" s="25"/>
      <c r="AC1644" s="25"/>
      <c r="AD1644" s="25"/>
    </row>
    <row r="1645" customFormat="false" ht="15.75" hidden="false" customHeight="false" outlineLevel="0" collapsed="false">
      <c r="A1645" s="28" t="s">
        <v>2046</v>
      </c>
      <c r="B1645" s="27" t="s">
        <v>438</v>
      </c>
      <c r="C1645" s="27" t="s">
        <v>308</v>
      </c>
      <c r="D1645" s="25"/>
      <c r="E1645" s="25"/>
      <c r="F1645" s="25"/>
      <c r="G1645" s="25"/>
      <c r="H1645" s="25"/>
      <c r="I1645" s="25"/>
      <c r="J1645" s="27" t="s">
        <v>1998</v>
      </c>
      <c r="K1645" s="25" t="str">
        <f aca="false">IFERROR(__xludf.dummyfunction("SPLIT(J1645,"" "")"),"CIF")</f>
        <v>CIF</v>
      </c>
      <c r="L1645" s="28" t="str">
        <f aca="false">IFERROR(__xludf.dummyfunction("""COMPUTED_VALUE"""),"Serbia")</f>
        <v>Serbia</v>
      </c>
      <c r="M1645" s="27" t="str">
        <f aca="false">IFERROR(__xludf.dummyfunction("""COMPUTED_VALUE"""),"(Diff)")</f>
        <v>(Diff)</v>
      </c>
      <c r="N1645" s="25"/>
      <c r="O1645" s="25"/>
      <c r="P1645" s="25"/>
      <c r="Q1645" s="29" t="s">
        <v>319</v>
      </c>
      <c r="R1645" s="8" t="str">
        <f aca="false">B1645&amp;" "&amp;C1645&amp;" "&amp;D1645&amp;" "&amp;E1645&amp;" "&amp;G1645&amp;" "&amp;H1645&amp;" "&amp;J1645&amp;" "&amp;N1645</f>
        <v>Differentials Graphite     CIF Serbia (Diff) </v>
      </c>
      <c r="S1645" s="25"/>
      <c r="T1645" s="8"/>
      <c r="U1645" s="8"/>
      <c r="V1645" s="25"/>
      <c r="W1645" s="25"/>
      <c r="X1645" s="25"/>
      <c r="Y1645" s="25"/>
      <c r="Z1645" s="25"/>
      <c r="AA1645" s="25"/>
      <c r="AB1645" s="25"/>
      <c r="AC1645" s="25"/>
      <c r="AD1645" s="25"/>
    </row>
    <row r="1646" customFormat="false" ht="15.75" hidden="false" customHeight="false" outlineLevel="0" collapsed="false">
      <c r="A1646" s="28" t="s">
        <v>2047</v>
      </c>
      <c r="B1646" s="27" t="s">
        <v>438</v>
      </c>
      <c r="C1646" s="27" t="s">
        <v>308</v>
      </c>
      <c r="D1646" s="25"/>
      <c r="E1646" s="25"/>
      <c r="F1646" s="25"/>
      <c r="G1646" s="25"/>
      <c r="H1646" s="25"/>
      <c r="I1646" s="25"/>
      <c r="J1646" s="27" t="s">
        <v>1998</v>
      </c>
      <c r="K1646" s="25" t="str">
        <f aca="false">IFERROR(__xludf.dummyfunction("SPLIT(J1646,"" "")"),"CIF")</f>
        <v>CIF</v>
      </c>
      <c r="L1646" s="28" t="str">
        <f aca="false">IFERROR(__xludf.dummyfunction("""COMPUTED_VALUE"""),"Serbia")</f>
        <v>Serbia</v>
      </c>
      <c r="M1646" s="27" t="str">
        <f aca="false">IFERROR(__xludf.dummyfunction("""COMPUTED_VALUE"""),"(Diff)")</f>
        <v>(Diff)</v>
      </c>
      <c r="N1646" s="25"/>
      <c r="O1646" s="25"/>
      <c r="P1646" s="25"/>
      <c r="Q1646" s="29" t="s">
        <v>315</v>
      </c>
      <c r="R1646" s="8" t="str">
        <f aca="false">B1646&amp;" "&amp;C1646&amp;" "&amp;D1646&amp;" "&amp;E1646&amp;" "&amp;G1646&amp;" "&amp;H1646&amp;" "&amp;J1646&amp;" "&amp;N1646</f>
        <v>Differentials Graphite     CIF Serbia (Diff) </v>
      </c>
      <c r="S1646" s="25"/>
      <c r="T1646" s="8"/>
      <c r="U1646" s="8"/>
      <c r="V1646" s="25"/>
      <c r="W1646" s="25"/>
      <c r="X1646" s="25"/>
      <c r="Y1646" s="25"/>
      <c r="Z1646" s="25"/>
      <c r="AA1646" s="25"/>
      <c r="AB1646" s="25"/>
      <c r="AC1646" s="25"/>
      <c r="AD1646" s="25"/>
    </row>
    <row r="1647" customFormat="false" ht="15.75" hidden="false" customHeight="false" outlineLevel="0" collapsed="false">
      <c r="A1647" s="28" t="s">
        <v>2048</v>
      </c>
      <c r="B1647" s="27" t="s">
        <v>438</v>
      </c>
      <c r="C1647" s="27" t="s">
        <v>308</v>
      </c>
      <c r="D1647" s="25"/>
      <c r="E1647" s="25"/>
      <c r="F1647" s="25"/>
      <c r="G1647" s="25"/>
      <c r="H1647" s="25"/>
      <c r="I1647" s="25"/>
      <c r="J1647" s="27" t="s">
        <v>1998</v>
      </c>
      <c r="K1647" s="25" t="str">
        <f aca="false">IFERROR(__xludf.dummyfunction("SPLIT(J1647,"" "")"),"CIF")</f>
        <v>CIF</v>
      </c>
      <c r="L1647" s="28" t="str">
        <f aca="false">IFERROR(__xludf.dummyfunction("""COMPUTED_VALUE"""),"Serbia")</f>
        <v>Serbia</v>
      </c>
      <c r="M1647" s="27" t="str">
        <f aca="false">IFERROR(__xludf.dummyfunction("""COMPUTED_VALUE"""),"(Diff)")</f>
        <v>(Diff)</v>
      </c>
      <c r="N1647" s="25"/>
      <c r="O1647" s="25"/>
      <c r="P1647" s="25"/>
      <c r="Q1647" s="29" t="s">
        <v>311</v>
      </c>
      <c r="R1647" s="8" t="str">
        <f aca="false">B1647&amp;" "&amp;C1647&amp;" "&amp;D1647&amp;" "&amp;E1647&amp;" "&amp;G1647&amp;" "&amp;H1647&amp;" "&amp;J1647&amp;" "&amp;N1647</f>
        <v>Differentials Graphite     CIF Serbia (Diff) </v>
      </c>
      <c r="S1647" s="25"/>
      <c r="T1647" s="8"/>
      <c r="U1647" s="8"/>
      <c r="V1647" s="25"/>
      <c r="W1647" s="25"/>
      <c r="X1647" s="25"/>
      <c r="Y1647" s="25"/>
      <c r="Z1647" s="25"/>
      <c r="AA1647" s="25"/>
      <c r="AB1647" s="25"/>
      <c r="AC1647" s="25"/>
      <c r="AD1647" s="25"/>
    </row>
    <row r="1648" customFormat="false" ht="15.75" hidden="false" customHeight="false" outlineLevel="0" collapsed="false">
      <c r="A1648" s="28" t="s">
        <v>2049</v>
      </c>
      <c r="B1648" s="27" t="s">
        <v>438</v>
      </c>
      <c r="C1648" s="27" t="s">
        <v>417</v>
      </c>
      <c r="D1648" s="25"/>
      <c r="E1648" s="25"/>
      <c r="F1648" s="25"/>
      <c r="G1648" s="25"/>
      <c r="H1648" s="25"/>
      <c r="I1648" s="25"/>
      <c r="J1648" s="27" t="s">
        <v>1998</v>
      </c>
      <c r="K1648" s="25" t="str">
        <f aca="false">IFERROR(__xludf.dummyfunction("SPLIT(J1648,"" "")"),"CIF")</f>
        <v>CIF</v>
      </c>
      <c r="L1648" s="28" t="str">
        <f aca="false">IFERROR(__xludf.dummyfunction("""COMPUTED_VALUE"""),"Serbia")</f>
        <v>Serbia</v>
      </c>
      <c r="M1648" s="27" t="str">
        <f aca="false">IFERROR(__xludf.dummyfunction("""COMPUTED_VALUE"""),"(Diff)")</f>
        <v>(Diff)</v>
      </c>
      <c r="N1648" s="25"/>
      <c r="O1648" s="25"/>
      <c r="P1648" s="25"/>
      <c r="Q1648" s="29" t="s">
        <v>436</v>
      </c>
      <c r="R1648" s="8" t="str">
        <f aca="false">B1648&amp;" "&amp;C1648&amp;" "&amp;D1648&amp;" "&amp;E1648&amp;" "&amp;G1648&amp;" "&amp;H1648&amp;" "&amp;J1648&amp;" "&amp;N1648</f>
        <v>Differentials Solvent     CIF Serbia (Diff) </v>
      </c>
      <c r="S1648" s="25"/>
      <c r="T1648" s="8"/>
      <c r="U1648" s="8"/>
      <c r="V1648" s="25"/>
      <c r="W1648" s="25"/>
      <c r="X1648" s="25"/>
      <c r="Y1648" s="25"/>
      <c r="Z1648" s="25"/>
      <c r="AA1648" s="25"/>
      <c r="AB1648" s="25"/>
      <c r="AC1648" s="25"/>
      <c r="AD1648" s="25"/>
    </row>
    <row r="1649" customFormat="false" ht="15.75" hidden="false" customHeight="false" outlineLevel="0" collapsed="false">
      <c r="A1649" s="28" t="s">
        <v>2050</v>
      </c>
      <c r="B1649" s="27" t="s">
        <v>438</v>
      </c>
      <c r="C1649" s="27" t="s">
        <v>417</v>
      </c>
      <c r="D1649" s="25"/>
      <c r="E1649" s="25"/>
      <c r="F1649" s="25"/>
      <c r="G1649" s="25"/>
      <c r="H1649" s="25"/>
      <c r="I1649" s="25"/>
      <c r="J1649" s="27" t="s">
        <v>1998</v>
      </c>
      <c r="K1649" s="25" t="str">
        <f aca="false">IFERROR(__xludf.dummyfunction("SPLIT(J1649,"" "")"),"CIF")</f>
        <v>CIF</v>
      </c>
      <c r="L1649" s="28" t="str">
        <f aca="false">IFERROR(__xludf.dummyfunction("""COMPUTED_VALUE"""),"Serbia")</f>
        <v>Serbia</v>
      </c>
      <c r="M1649" s="27" t="str">
        <f aca="false">IFERROR(__xludf.dummyfunction("""COMPUTED_VALUE"""),"(Diff)")</f>
        <v>(Diff)</v>
      </c>
      <c r="N1649" s="25"/>
      <c r="O1649" s="25"/>
      <c r="P1649" s="25"/>
      <c r="Q1649" s="29" t="s">
        <v>434</v>
      </c>
      <c r="R1649" s="8" t="str">
        <f aca="false">B1649&amp;" "&amp;C1649&amp;" "&amp;D1649&amp;" "&amp;E1649&amp;" "&amp;G1649&amp;" "&amp;H1649&amp;" "&amp;J1649&amp;" "&amp;N1649</f>
        <v>Differentials Solvent     CIF Serbia (Diff) </v>
      </c>
      <c r="S1649" s="25"/>
      <c r="T1649" s="8"/>
      <c r="U1649" s="8"/>
      <c r="V1649" s="25"/>
      <c r="W1649" s="25"/>
      <c r="X1649" s="25"/>
      <c r="Y1649" s="25"/>
      <c r="Z1649" s="25"/>
      <c r="AA1649" s="25"/>
      <c r="AB1649" s="25"/>
      <c r="AC1649" s="25"/>
      <c r="AD1649" s="25"/>
    </row>
    <row r="1650" customFormat="false" ht="15.75" hidden="false" customHeight="false" outlineLevel="0" collapsed="false">
      <c r="A1650" s="28" t="s">
        <v>2051</v>
      </c>
      <c r="B1650" s="27" t="s">
        <v>438</v>
      </c>
      <c r="C1650" s="27" t="s">
        <v>417</v>
      </c>
      <c r="D1650" s="25"/>
      <c r="E1650" s="25"/>
      <c r="F1650" s="25"/>
      <c r="G1650" s="25"/>
      <c r="H1650" s="25"/>
      <c r="I1650" s="25"/>
      <c r="J1650" s="27" t="s">
        <v>1998</v>
      </c>
      <c r="K1650" s="25" t="str">
        <f aca="false">IFERROR(__xludf.dummyfunction("SPLIT(J1650,"" "")"),"CIF")</f>
        <v>CIF</v>
      </c>
      <c r="L1650" s="28" t="str">
        <f aca="false">IFERROR(__xludf.dummyfunction("""COMPUTED_VALUE"""),"Serbia")</f>
        <v>Serbia</v>
      </c>
      <c r="M1650" s="27" t="str">
        <f aca="false">IFERROR(__xludf.dummyfunction("""COMPUTED_VALUE"""),"(Diff)")</f>
        <v>(Diff)</v>
      </c>
      <c r="N1650" s="25"/>
      <c r="O1650" s="25"/>
      <c r="P1650" s="25"/>
      <c r="Q1650" s="29" t="s">
        <v>432</v>
      </c>
      <c r="R1650" s="8" t="str">
        <f aca="false">B1650&amp;" "&amp;C1650&amp;" "&amp;D1650&amp;" "&amp;E1650&amp;" "&amp;G1650&amp;" "&amp;H1650&amp;" "&amp;J1650&amp;" "&amp;N1650</f>
        <v>Differentials Solvent     CIF Serbia (Diff) </v>
      </c>
      <c r="S1650" s="25"/>
      <c r="T1650" s="8"/>
      <c r="U1650" s="8"/>
      <c r="V1650" s="25"/>
      <c r="W1650" s="25"/>
      <c r="X1650" s="25"/>
      <c r="Y1650" s="25"/>
      <c r="Z1650" s="25"/>
      <c r="AA1650" s="25"/>
      <c r="AB1650" s="25"/>
      <c r="AC1650" s="25"/>
      <c r="AD1650" s="25"/>
    </row>
    <row r="1651" customFormat="false" ht="15.75" hidden="false" customHeight="false" outlineLevel="0" collapsed="false">
      <c r="A1651" s="28" t="s">
        <v>2052</v>
      </c>
      <c r="B1651" s="27" t="s">
        <v>438</v>
      </c>
      <c r="C1651" s="27" t="s">
        <v>417</v>
      </c>
      <c r="D1651" s="25"/>
      <c r="E1651" s="25"/>
      <c r="F1651" s="25"/>
      <c r="G1651" s="25"/>
      <c r="H1651" s="25"/>
      <c r="I1651" s="25"/>
      <c r="J1651" s="27" t="s">
        <v>1998</v>
      </c>
      <c r="K1651" s="25" t="str">
        <f aca="false">IFERROR(__xludf.dummyfunction("SPLIT(J1651,"" "")"),"CIF")</f>
        <v>CIF</v>
      </c>
      <c r="L1651" s="28" t="str">
        <f aca="false">IFERROR(__xludf.dummyfunction("""COMPUTED_VALUE"""),"Serbia")</f>
        <v>Serbia</v>
      </c>
      <c r="M1651" s="27" t="str">
        <f aca="false">IFERROR(__xludf.dummyfunction("""COMPUTED_VALUE"""),"(Diff)")</f>
        <v>(Diff)</v>
      </c>
      <c r="N1651" s="25"/>
      <c r="O1651" s="25"/>
      <c r="P1651" s="25"/>
      <c r="Q1651" s="29" t="s">
        <v>430</v>
      </c>
      <c r="R1651" s="8" t="str">
        <f aca="false">B1651&amp;" "&amp;C1651&amp;" "&amp;D1651&amp;" "&amp;E1651&amp;" "&amp;G1651&amp;" "&amp;H1651&amp;" "&amp;J1651&amp;" "&amp;N1651</f>
        <v>Differentials Solvent     CIF Serbia (Diff) </v>
      </c>
      <c r="S1651" s="25"/>
      <c r="T1651" s="8"/>
      <c r="U1651" s="8"/>
      <c r="V1651" s="25"/>
      <c r="W1651" s="25"/>
      <c r="X1651" s="25"/>
      <c r="Y1651" s="25"/>
      <c r="Z1651" s="25"/>
      <c r="AA1651" s="25"/>
      <c r="AB1651" s="25"/>
      <c r="AC1651" s="25"/>
      <c r="AD1651" s="25"/>
    </row>
    <row r="1652" customFormat="false" ht="15.75" hidden="false" customHeight="false" outlineLevel="0" collapsed="false">
      <c r="A1652" s="28" t="s">
        <v>2053</v>
      </c>
      <c r="B1652" s="27" t="s">
        <v>438</v>
      </c>
      <c r="C1652" s="27" t="s">
        <v>417</v>
      </c>
      <c r="D1652" s="25"/>
      <c r="E1652" s="25"/>
      <c r="F1652" s="25"/>
      <c r="G1652" s="25"/>
      <c r="H1652" s="25"/>
      <c r="I1652" s="25"/>
      <c r="J1652" s="27" t="s">
        <v>1998</v>
      </c>
      <c r="K1652" s="25" t="str">
        <f aca="false">IFERROR(__xludf.dummyfunction("SPLIT(J1652,"" "")"),"CIF")</f>
        <v>CIF</v>
      </c>
      <c r="L1652" s="28" t="str">
        <f aca="false">IFERROR(__xludf.dummyfunction("""COMPUTED_VALUE"""),"Serbia")</f>
        <v>Serbia</v>
      </c>
      <c r="M1652" s="27" t="str">
        <f aca="false">IFERROR(__xludf.dummyfunction("""COMPUTED_VALUE"""),"(Diff)")</f>
        <v>(Diff)</v>
      </c>
      <c r="N1652" s="25"/>
      <c r="O1652" s="25"/>
      <c r="P1652" s="25"/>
      <c r="Q1652" s="29" t="s">
        <v>428</v>
      </c>
      <c r="R1652" s="8" t="str">
        <f aca="false">B1652&amp;" "&amp;C1652&amp;" "&amp;D1652&amp;" "&amp;E1652&amp;" "&amp;G1652&amp;" "&amp;H1652&amp;" "&amp;J1652&amp;" "&amp;N1652</f>
        <v>Differentials Solvent     CIF Serbia (Diff) </v>
      </c>
      <c r="S1652" s="25"/>
      <c r="T1652" s="8"/>
      <c r="U1652" s="8"/>
      <c r="V1652" s="25"/>
      <c r="W1652" s="25"/>
      <c r="X1652" s="25"/>
      <c r="Y1652" s="25"/>
      <c r="Z1652" s="25"/>
      <c r="AA1652" s="25"/>
      <c r="AB1652" s="25"/>
      <c r="AC1652" s="25"/>
      <c r="AD1652" s="25"/>
    </row>
    <row r="1653" customFormat="false" ht="15.75" hidden="false" customHeight="false" outlineLevel="0" collapsed="false">
      <c r="A1653" s="28" t="s">
        <v>2054</v>
      </c>
      <c r="B1653" s="27" t="s">
        <v>438</v>
      </c>
      <c r="C1653" s="27" t="s">
        <v>417</v>
      </c>
      <c r="D1653" s="25"/>
      <c r="E1653" s="25"/>
      <c r="F1653" s="25"/>
      <c r="G1653" s="25"/>
      <c r="H1653" s="25"/>
      <c r="I1653" s="25"/>
      <c r="J1653" s="27" t="s">
        <v>1998</v>
      </c>
      <c r="K1653" s="25" t="str">
        <f aca="false">IFERROR(__xludf.dummyfunction("SPLIT(J1653,"" "")"),"CIF")</f>
        <v>CIF</v>
      </c>
      <c r="L1653" s="28" t="str">
        <f aca="false">IFERROR(__xludf.dummyfunction("""COMPUTED_VALUE"""),"Serbia")</f>
        <v>Serbia</v>
      </c>
      <c r="M1653" s="27" t="str">
        <f aca="false">IFERROR(__xludf.dummyfunction("""COMPUTED_VALUE"""),"(Diff)")</f>
        <v>(Diff)</v>
      </c>
      <c r="N1653" s="25"/>
      <c r="O1653" s="25"/>
      <c r="P1653" s="25"/>
      <c r="Q1653" s="29" t="s">
        <v>426</v>
      </c>
      <c r="R1653" s="8" t="str">
        <f aca="false">B1653&amp;" "&amp;C1653&amp;" "&amp;D1653&amp;" "&amp;E1653&amp;" "&amp;G1653&amp;" "&amp;H1653&amp;" "&amp;J1653&amp;" "&amp;N1653</f>
        <v>Differentials Solvent     CIF Serbia (Diff) </v>
      </c>
      <c r="S1653" s="25"/>
      <c r="T1653" s="8"/>
      <c r="U1653" s="8"/>
      <c r="V1653" s="25"/>
      <c r="W1653" s="25"/>
      <c r="X1653" s="25"/>
      <c r="Y1653" s="25"/>
      <c r="Z1653" s="25"/>
      <c r="AA1653" s="25"/>
      <c r="AB1653" s="25"/>
      <c r="AC1653" s="25"/>
      <c r="AD1653" s="25"/>
    </row>
    <row r="1654" customFormat="false" ht="15.75" hidden="false" customHeight="false" outlineLevel="0" collapsed="false">
      <c r="A1654" s="28" t="s">
        <v>2055</v>
      </c>
      <c r="B1654" s="27" t="s">
        <v>438</v>
      </c>
      <c r="C1654" s="27" t="s">
        <v>417</v>
      </c>
      <c r="D1654" s="25"/>
      <c r="E1654" s="25"/>
      <c r="F1654" s="25"/>
      <c r="G1654" s="25"/>
      <c r="H1654" s="25"/>
      <c r="I1654" s="25"/>
      <c r="J1654" s="27" t="s">
        <v>1998</v>
      </c>
      <c r="K1654" s="25" t="str">
        <f aca="false">IFERROR(__xludf.dummyfunction("SPLIT(J1654,"" "")"),"CIF")</f>
        <v>CIF</v>
      </c>
      <c r="L1654" s="28" t="str">
        <f aca="false">IFERROR(__xludf.dummyfunction("""COMPUTED_VALUE"""),"Serbia")</f>
        <v>Serbia</v>
      </c>
      <c r="M1654" s="27" t="str">
        <f aca="false">IFERROR(__xludf.dummyfunction("""COMPUTED_VALUE"""),"(Diff)")</f>
        <v>(Diff)</v>
      </c>
      <c r="N1654" s="25"/>
      <c r="O1654" s="25"/>
      <c r="P1654" s="25"/>
      <c r="Q1654" s="29" t="s">
        <v>424</v>
      </c>
      <c r="R1654" s="8" t="str">
        <f aca="false">B1654&amp;" "&amp;C1654&amp;" "&amp;D1654&amp;" "&amp;E1654&amp;" "&amp;G1654&amp;" "&amp;H1654&amp;" "&amp;J1654&amp;" "&amp;N1654</f>
        <v>Differentials Solvent     CIF Serbia (Diff) </v>
      </c>
      <c r="S1654" s="25"/>
      <c r="T1654" s="8"/>
      <c r="U1654" s="8"/>
      <c r="V1654" s="25"/>
      <c r="W1654" s="25"/>
      <c r="X1654" s="25"/>
      <c r="Y1654" s="25"/>
      <c r="Z1654" s="25"/>
      <c r="AA1654" s="25"/>
      <c r="AB1654" s="25"/>
      <c r="AC1654" s="25"/>
      <c r="AD1654" s="25"/>
    </row>
    <row r="1655" customFormat="false" ht="15.75" hidden="false" customHeight="false" outlineLevel="0" collapsed="false">
      <c r="A1655" s="28" t="s">
        <v>2056</v>
      </c>
      <c r="B1655" s="27" t="s">
        <v>438</v>
      </c>
      <c r="C1655" s="27" t="s">
        <v>417</v>
      </c>
      <c r="D1655" s="25"/>
      <c r="E1655" s="25"/>
      <c r="F1655" s="25"/>
      <c r="G1655" s="25"/>
      <c r="H1655" s="25"/>
      <c r="I1655" s="25"/>
      <c r="J1655" s="27" t="s">
        <v>1998</v>
      </c>
      <c r="K1655" s="25" t="str">
        <f aca="false">IFERROR(__xludf.dummyfunction("SPLIT(J1655,"" "")"),"CIF")</f>
        <v>CIF</v>
      </c>
      <c r="L1655" s="28" t="str">
        <f aca="false">IFERROR(__xludf.dummyfunction("""COMPUTED_VALUE"""),"Serbia")</f>
        <v>Serbia</v>
      </c>
      <c r="M1655" s="27" t="str">
        <f aca="false">IFERROR(__xludf.dummyfunction("""COMPUTED_VALUE"""),"(Diff)")</f>
        <v>(Diff)</v>
      </c>
      <c r="N1655" s="25"/>
      <c r="O1655" s="25"/>
      <c r="P1655" s="25"/>
      <c r="Q1655" s="29" t="s">
        <v>422</v>
      </c>
      <c r="R1655" s="8" t="str">
        <f aca="false">B1655&amp;" "&amp;C1655&amp;" "&amp;D1655&amp;" "&amp;E1655&amp;" "&amp;G1655&amp;" "&amp;H1655&amp;" "&amp;J1655&amp;" "&amp;N1655</f>
        <v>Differentials Solvent     CIF Serbia (Diff) </v>
      </c>
      <c r="S1655" s="25"/>
      <c r="T1655" s="8"/>
      <c r="U1655" s="8"/>
      <c r="V1655" s="25"/>
      <c r="W1655" s="25"/>
      <c r="X1655" s="25"/>
      <c r="Y1655" s="25"/>
      <c r="Z1655" s="25"/>
      <c r="AA1655" s="25"/>
      <c r="AB1655" s="25"/>
      <c r="AC1655" s="25"/>
      <c r="AD1655" s="25"/>
    </row>
    <row r="1656" customFormat="false" ht="15.75" hidden="false" customHeight="false" outlineLevel="0" collapsed="false">
      <c r="A1656" s="28" t="s">
        <v>2057</v>
      </c>
      <c r="B1656" s="27" t="s">
        <v>438</v>
      </c>
      <c r="C1656" s="27" t="s">
        <v>417</v>
      </c>
      <c r="D1656" s="25"/>
      <c r="E1656" s="25"/>
      <c r="F1656" s="25"/>
      <c r="G1656" s="25"/>
      <c r="H1656" s="25"/>
      <c r="I1656" s="25"/>
      <c r="J1656" s="27" t="s">
        <v>1998</v>
      </c>
      <c r="K1656" s="25" t="str">
        <f aca="false">IFERROR(__xludf.dummyfunction("SPLIT(J1656,"" "")"),"CIF")</f>
        <v>CIF</v>
      </c>
      <c r="L1656" s="28" t="str">
        <f aca="false">IFERROR(__xludf.dummyfunction("""COMPUTED_VALUE"""),"Serbia")</f>
        <v>Serbia</v>
      </c>
      <c r="M1656" s="27" t="str">
        <f aca="false">IFERROR(__xludf.dummyfunction("""COMPUTED_VALUE"""),"(Diff)")</f>
        <v>(Diff)</v>
      </c>
      <c r="N1656" s="25"/>
      <c r="O1656" s="25"/>
      <c r="P1656" s="25"/>
      <c r="Q1656" s="29" t="s">
        <v>420</v>
      </c>
      <c r="R1656" s="8" t="str">
        <f aca="false">B1656&amp;" "&amp;C1656&amp;" "&amp;D1656&amp;" "&amp;E1656&amp;" "&amp;G1656&amp;" "&amp;H1656&amp;" "&amp;J1656&amp;" "&amp;N1656</f>
        <v>Differentials Solvent     CIF Serbia (Diff) </v>
      </c>
      <c r="S1656" s="25"/>
      <c r="T1656" s="8"/>
      <c r="U1656" s="8"/>
      <c r="V1656" s="25"/>
      <c r="W1656" s="25"/>
      <c r="X1656" s="25"/>
      <c r="Y1656" s="25"/>
      <c r="Z1656" s="25"/>
      <c r="AA1656" s="25"/>
      <c r="AB1656" s="25"/>
      <c r="AC1656" s="25"/>
      <c r="AD1656" s="25"/>
    </row>
    <row r="1657" customFormat="false" ht="15.75" hidden="false" customHeight="false" outlineLevel="0" collapsed="false">
      <c r="A1657" s="28" t="s">
        <v>2058</v>
      </c>
      <c r="B1657" s="27" t="s">
        <v>438</v>
      </c>
      <c r="C1657" s="27" t="s">
        <v>417</v>
      </c>
      <c r="D1657" s="25"/>
      <c r="E1657" s="25"/>
      <c r="F1657" s="25"/>
      <c r="G1657" s="25"/>
      <c r="H1657" s="25"/>
      <c r="I1657" s="25"/>
      <c r="J1657" s="27" t="s">
        <v>1998</v>
      </c>
      <c r="K1657" s="25" t="str">
        <f aca="false">IFERROR(__xludf.dummyfunction("SPLIT(J1657,"" "")"),"CIF")</f>
        <v>CIF</v>
      </c>
      <c r="L1657" s="28" t="str">
        <f aca="false">IFERROR(__xludf.dummyfunction("""COMPUTED_VALUE"""),"Serbia")</f>
        <v>Serbia</v>
      </c>
      <c r="M1657" s="27" t="str">
        <f aca="false">IFERROR(__xludf.dummyfunction("""COMPUTED_VALUE"""),"(Diff)")</f>
        <v>(Diff)</v>
      </c>
      <c r="N1657" s="25"/>
      <c r="O1657" s="25"/>
      <c r="P1657" s="25"/>
      <c r="Q1657" s="29" t="s">
        <v>418</v>
      </c>
      <c r="R1657" s="8" t="str">
        <f aca="false">B1657&amp;" "&amp;C1657&amp;" "&amp;D1657&amp;" "&amp;E1657&amp;" "&amp;G1657&amp;" "&amp;H1657&amp;" "&amp;J1657&amp;" "&amp;N1657</f>
        <v>Differentials Solvent     CIF Serbia (Diff) </v>
      </c>
      <c r="S1657" s="25"/>
      <c r="T1657" s="8"/>
      <c r="U1657" s="8"/>
      <c r="V1657" s="25"/>
      <c r="W1657" s="25"/>
      <c r="X1657" s="25"/>
      <c r="Y1657" s="25"/>
      <c r="Z1657" s="25"/>
      <c r="AA1657" s="25"/>
      <c r="AB1657" s="25"/>
      <c r="AC1657" s="25"/>
      <c r="AD1657" s="25"/>
    </row>
    <row r="1658" customFormat="false" ht="15.75" hidden="false" customHeight="false" outlineLevel="0" collapsed="false">
      <c r="A1658" s="28" t="s">
        <v>2059</v>
      </c>
      <c r="B1658" s="27" t="s">
        <v>438</v>
      </c>
      <c r="C1658" s="27" t="s">
        <v>177</v>
      </c>
      <c r="D1658" s="25"/>
      <c r="E1658" s="25"/>
      <c r="F1658" s="25"/>
      <c r="G1658" s="25"/>
      <c r="H1658" s="25"/>
      <c r="I1658" s="25"/>
      <c r="J1658" s="27" t="s">
        <v>2060</v>
      </c>
      <c r="K1658" s="25" t="str">
        <f aca="false">IFERROR(__xludf.dummyfunction("SPLIT(J1658,"" "")"),"CIF")</f>
        <v>CIF</v>
      </c>
      <c r="L1658" s="28" t="str">
        <f aca="false">IFERROR(__xludf.dummyfunction("""COMPUTED_VALUE"""),"Singapore")</f>
        <v>Singapore</v>
      </c>
      <c r="M1658" s="27" t="str">
        <f aca="false">IFERROR(__xludf.dummyfunction("""COMPUTED_VALUE"""),"(Diff)")</f>
        <v>(Diff)</v>
      </c>
      <c r="N1658" s="25"/>
      <c r="O1658" s="25"/>
      <c r="P1658" s="25"/>
      <c r="Q1658" s="29" t="s">
        <v>209</v>
      </c>
      <c r="R1658" s="8" t="str">
        <f aca="false">B1658&amp;" "&amp;C1658&amp;" "&amp;D1658&amp;" "&amp;E1658&amp;" "&amp;G1658&amp;" "&amp;H1658&amp;" "&amp;J1658&amp;" "&amp;N1658</f>
        <v>Differentials Anode     CIF Singapore (Diff) </v>
      </c>
      <c r="S1658" s="25"/>
      <c r="T1658" s="8"/>
      <c r="U1658" s="8"/>
      <c r="V1658" s="25"/>
      <c r="W1658" s="25"/>
      <c r="X1658" s="25"/>
      <c r="Y1658" s="25"/>
      <c r="Z1658" s="25"/>
      <c r="AA1658" s="25"/>
      <c r="AB1658" s="25"/>
      <c r="AC1658" s="25"/>
      <c r="AD1658" s="25"/>
    </row>
    <row r="1659" customFormat="false" ht="15.75" hidden="false" customHeight="false" outlineLevel="0" collapsed="false">
      <c r="A1659" s="28" t="s">
        <v>2061</v>
      </c>
      <c r="B1659" s="27" t="s">
        <v>438</v>
      </c>
      <c r="C1659" s="27" t="s">
        <v>177</v>
      </c>
      <c r="D1659" s="25"/>
      <c r="E1659" s="25"/>
      <c r="F1659" s="25"/>
      <c r="G1659" s="25"/>
      <c r="H1659" s="25"/>
      <c r="I1659" s="25"/>
      <c r="J1659" s="27" t="s">
        <v>2060</v>
      </c>
      <c r="K1659" s="25" t="str">
        <f aca="false">IFERROR(__xludf.dummyfunction("SPLIT(J1659,"" "")"),"CIF")</f>
        <v>CIF</v>
      </c>
      <c r="L1659" s="28" t="str">
        <f aca="false">IFERROR(__xludf.dummyfunction("""COMPUTED_VALUE"""),"Singapore")</f>
        <v>Singapore</v>
      </c>
      <c r="M1659" s="27" t="str">
        <f aca="false">IFERROR(__xludf.dummyfunction("""COMPUTED_VALUE"""),"(Diff)")</f>
        <v>(Diff)</v>
      </c>
      <c r="N1659" s="25"/>
      <c r="O1659" s="25"/>
      <c r="P1659" s="25"/>
      <c r="Q1659" s="29" t="s">
        <v>205</v>
      </c>
      <c r="R1659" s="8" t="str">
        <f aca="false">B1659&amp;" "&amp;C1659&amp;" "&amp;D1659&amp;" "&amp;E1659&amp;" "&amp;G1659&amp;" "&amp;H1659&amp;" "&amp;J1659&amp;" "&amp;N1659</f>
        <v>Differentials Anode     CIF Singapore (Diff) </v>
      </c>
      <c r="S1659" s="25"/>
      <c r="T1659" s="8"/>
      <c r="U1659" s="8"/>
      <c r="V1659" s="25"/>
      <c r="W1659" s="25"/>
      <c r="X1659" s="25"/>
      <c r="Y1659" s="25"/>
      <c r="Z1659" s="25"/>
      <c r="AA1659" s="25"/>
      <c r="AB1659" s="25"/>
      <c r="AC1659" s="25"/>
      <c r="AD1659" s="25"/>
    </row>
    <row r="1660" customFormat="false" ht="15.75" hidden="false" customHeight="false" outlineLevel="0" collapsed="false">
      <c r="A1660" s="28" t="s">
        <v>2062</v>
      </c>
      <c r="B1660" s="27" t="s">
        <v>438</v>
      </c>
      <c r="C1660" s="27" t="s">
        <v>177</v>
      </c>
      <c r="D1660" s="25"/>
      <c r="E1660" s="25"/>
      <c r="F1660" s="25"/>
      <c r="G1660" s="25"/>
      <c r="H1660" s="25"/>
      <c r="I1660" s="25"/>
      <c r="J1660" s="27" t="s">
        <v>2060</v>
      </c>
      <c r="K1660" s="25" t="str">
        <f aca="false">IFERROR(__xludf.dummyfunction("SPLIT(J1660,"" "")"),"CIF")</f>
        <v>CIF</v>
      </c>
      <c r="L1660" s="28" t="str">
        <f aca="false">IFERROR(__xludf.dummyfunction("""COMPUTED_VALUE"""),"Singapore")</f>
        <v>Singapore</v>
      </c>
      <c r="M1660" s="27" t="str">
        <f aca="false">IFERROR(__xludf.dummyfunction("""COMPUTED_VALUE"""),"(Diff)")</f>
        <v>(Diff)</v>
      </c>
      <c r="N1660" s="25"/>
      <c r="O1660" s="25"/>
      <c r="P1660" s="25"/>
      <c r="Q1660" s="29" t="s">
        <v>202</v>
      </c>
      <c r="R1660" s="8" t="str">
        <f aca="false">B1660&amp;" "&amp;C1660&amp;" "&amp;D1660&amp;" "&amp;E1660&amp;" "&amp;G1660&amp;" "&amp;H1660&amp;" "&amp;J1660&amp;" "&amp;N1660</f>
        <v>Differentials Anode     CIF Singapore (Diff) </v>
      </c>
      <c r="S1660" s="25"/>
      <c r="T1660" s="8"/>
      <c r="U1660" s="8"/>
      <c r="V1660" s="25"/>
      <c r="W1660" s="25"/>
      <c r="X1660" s="25"/>
      <c r="Y1660" s="25"/>
      <c r="Z1660" s="25"/>
      <c r="AA1660" s="25"/>
      <c r="AB1660" s="25"/>
      <c r="AC1660" s="25"/>
      <c r="AD1660" s="25"/>
    </row>
    <row r="1661" customFormat="false" ht="15.75" hidden="false" customHeight="false" outlineLevel="0" collapsed="false">
      <c r="A1661" s="28" t="s">
        <v>2063</v>
      </c>
      <c r="B1661" s="27" t="s">
        <v>438</v>
      </c>
      <c r="C1661" s="27" t="s">
        <v>177</v>
      </c>
      <c r="D1661" s="25"/>
      <c r="E1661" s="25"/>
      <c r="F1661" s="25"/>
      <c r="G1661" s="25"/>
      <c r="H1661" s="25"/>
      <c r="I1661" s="25"/>
      <c r="J1661" s="27" t="s">
        <v>2060</v>
      </c>
      <c r="K1661" s="25" t="str">
        <f aca="false">IFERROR(__xludf.dummyfunction("SPLIT(J1661,"" "")"),"CIF")</f>
        <v>CIF</v>
      </c>
      <c r="L1661" s="28" t="str">
        <f aca="false">IFERROR(__xludf.dummyfunction("""COMPUTED_VALUE"""),"Singapore")</f>
        <v>Singapore</v>
      </c>
      <c r="M1661" s="27" t="str">
        <f aca="false">IFERROR(__xludf.dummyfunction("""COMPUTED_VALUE"""),"(Diff)")</f>
        <v>(Diff)</v>
      </c>
      <c r="N1661" s="25"/>
      <c r="O1661" s="25"/>
      <c r="P1661" s="25"/>
      <c r="Q1661" s="29" t="s">
        <v>197</v>
      </c>
      <c r="R1661" s="8" t="str">
        <f aca="false">B1661&amp;" "&amp;C1661&amp;" "&amp;D1661&amp;" "&amp;E1661&amp;" "&amp;G1661&amp;" "&amp;H1661&amp;" "&amp;J1661&amp;" "&amp;N1661</f>
        <v>Differentials Anode     CIF Singapore (Diff) </v>
      </c>
      <c r="S1661" s="25"/>
      <c r="T1661" s="8"/>
      <c r="U1661" s="8"/>
      <c r="V1661" s="25"/>
      <c r="W1661" s="25"/>
      <c r="X1661" s="25"/>
      <c r="Y1661" s="25"/>
      <c r="Z1661" s="25"/>
      <c r="AA1661" s="25"/>
      <c r="AB1661" s="25"/>
      <c r="AC1661" s="25"/>
      <c r="AD1661" s="25"/>
    </row>
    <row r="1662" customFormat="false" ht="15.75" hidden="false" customHeight="false" outlineLevel="0" collapsed="false">
      <c r="A1662" s="28" t="s">
        <v>2064</v>
      </c>
      <c r="B1662" s="27" t="s">
        <v>438</v>
      </c>
      <c r="C1662" s="27" t="s">
        <v>177</v>
      </c>
      <c r="D1662" s="25"/>
      <c r="E1662" s="25"/>
      <c r="F1662" s="25"/>
      <c r="G1662" s="25"/>
      <c r="H1662" s="25"/>
      <c r="I1662" s="25"/>
      <c r="J1662" s="27" t="s">
        <v>2060</v>
      </c>
      <c r="K1662" s="25" t="str">
        <f aca="false">IFERROR(__xludf.dummyfunction("SPLIT(J1662,"" "")"),"CIF")</f>
        <v>CIF</v>
      </c>
      <c r="L1662" s="28" t="str">
        <f aca="false">IFERROR(__xludf.dummyfunction("""COMPUTED_VALUE"""),"Singapore")</f>
        <v>Singapore</v>
      </c>
      <c r="M1662" s="27" t="str">
        <f aca="false">IFERROR(__xludf.dummyfunction("""COMPUTED_VALUE"""),"(Diff)")</f>
        <v>(Diff)</v>
      </c>
      <c r="N1662" s="25"/>
      <c r="O1662" s="25"/>
      <c r="P1662" s="25"/>
      <c r="Q1662" s="29" t="s">
        <v>193</v>
      </c>
      <c r="R1662" s="8" t="str">
        <f aca="false">B1662&amp;" "&amp;C1662&amp;" "&amp;D1662&amp;" "&amp;E1662&amp;" "&amp;G1662&amp;" "&amp;H1662&amp;" "&amp;J1662&amp;" "&amp;N1662</f>
        <v>Differentials Anode     CIF Singapore (Diff) </v>
      </c>
      <c r="S1662" s="25"/>
      <c r="T1662" s="8"/>
      <c r="U1662" s="8"/>
      <c r="V1662" s="25"/>
      <c r="W1662" s="25"/>
      <c r="X1662" s="25"/>
      <c r="Y1662" s="25"/>
      <c r="Z1662" s="25"/>
      <c r="AA1662" s="25"/>
      <c r="AB1662" s="25"/>
      <c r="AC1662" s="25"/>
      <c r="AD1662" s="25"/>
    </row>
    <row r="1663" customFormat="false" ht="15.75" hidden="false" customHeight="false" outlineLevel="0" collapsed="false">
      <c r="A1663" s="28" t="s">
        <v>2065</v>
      </c>
      <c r="B1663" s="27" t="s">
        <v>438</v>
      </c>
      <c r="C1663" s="27" t="s">
        <v>177</v>
      </c>
      <c r="D1663" s="25"/>
      <c r="E1663" s="25"/>
      <c r="F1663" s="25"/>
      <c r="G1663" s="25"/>
      <c r="H1663" s="25"/>
      <c r="I1663" s="25"/>
      <c r="J1663" s="27" t="s">
        <v>2060</v>
      </c>
      <c r="K1663" s="25" t="str">
        <f aca="false">IFERROR(__xludf.dummyfunction("SPLIT(J1663,"" "")"),"CIF")</f>
        <v>CIF</v>
      </c>
      <c r="L1663" s="28" t="str">
        <f aca="false">IFERROR(__xludf.dummyfunction("""COMPUTED_VALUE"""),"Singapore")</f>
        <v>Singapore</v>
      </c>
      <c r="M1663" s="27" t="str">
        <f aca="false">IFERROR(__xludf.dummyfunction("""COMPUTED_VALUE"""),"(Diff)")</f>
        <v>(Diff)</v>
      </c>
      <c r="N1663" s="25"/>
      <c r="O1663" s="25"/>
      <c r="P1663" s="25"/>
      <c r="Q1663" s="29" t="s">
        <v>188</v>
      </c>
      <c r="R1663" s="8" t="str">
        <f aca="false">B1663&amp;" "&amp;C1663&amp;" "&amp;D1663&amp;" "&amp;E1663&amp;" "&amp;G1663&amp;" "&amp;H1663&amp;" "&amp;J1663&amp;" "&amp;N1663</f>
        <v>Differentials Anode     CIF Singapore (Diff) </v>
      </c>
      <c r="S1663" s="25"/>
      <c r="T1663" s="8"/>
      <c r="U1663" s="8"/>
      <c r="V1663" s="25"/>
      <c r="W1663" s="25"/>
      <c r="X1663" s="25"/>
      <c r="Y1663" s="25"/>
      <c r="Z1663" s="25"/>
      <c r="AA1663" s="25"/>
      <c r="AB1663" s="25"/>
      <c r="AC1663" s="25"/>
      <c r="AD1663" s="25"/>
    </row>
    <row r="1664" customFormat="false" ht="15.75" hidden="false" customHeight="false" outlineLevel="0" collapsed="false">
      <c r="A1664" s="28" t="s">
        <v>2066</v>
      </c>
      <c r="B1664" s="27" t="s">
        <v>438</v>
      </c>
      <c r="C1664" s="27" t="s">
        <v>177</v>
      </c>
      <c r="D1664" s="25"/>
      <c r="E1664" s="25"/>
      <c r="F1664" s="25"/>
      <c r="G1664" s="25"/>
      <c r="H1664" s="25"/>
      <c r="I1664" s="25"/>
      <c r="J1664" s="27" t="s">
        <v>2060</v>
      </c>
      <c r="K1664" s="25" t="str">
        <f aca="false">IFERROR(__xludf.dummyfunction("SPLIT(J1664,"" "")"),"CIF")</f>
        <v>CIF</v>
      </c>
      <c r="L1664" s="28" t="str">
        <f aca="false">IFERROR(__xludf.dummyfunction("""COMPUTED_VALUE"""),"Singapore")</f>
        <v>Singapore</v>
      </c>
      <c r="M1664" s="27" t="str">
        <f aca="false">IFERROR(__xludf.dummyfunction("""COMPUTED_VALUE"""),"(Diff)")</f>
        <v>(Diff)</v>
      </c>
      <c r="N1664" s="25"/>
      <c r="O1664" s="25"/>
      <c r="P1664" s="25"/>
      <c r="Q1664" s="29" t="s">
        <v>180</v>
      </c>
      <c r="R1664" s="8" t="str">
        <f aca="false">B1664&amp;" "&amp;C1664&amp;" "&amp;D1664&amp;" "&amp;E1664&amp;" "&amp;G1664&amp;" "&amp;H1664&amp;" "&amp;J1664&amp;" "&amp;N1664</f>
        <v>Differentials Anode     CIF Singapore (Diff) </v>
      </c>
      <c r="S1664" s="25"/>
      <c r="T1664" s="8"/>
      <c r="U1664" s="8"/>
      <c r="V1664" s="25"/>
      <c r="W1664" s="25"/>
      <c r="X1664" s="25"/>
      <c r="Y1664" s="25"/>
      <c r="Z1664" s="25"/>
      <c r="AA1664" s="25"/>
      <c r="AB1664" s="25"/>
      <c r="AC1664" s="25"/>
      <c r="AD1664" s="25"/>
    </row>
    <row r="1665" customFormat="false" ht="15.75" hidden="false" customHeight="false" outlineLevel="0" collapsed="false">
      <c r="A1665" s="28" t="s">
        <v>2067</v>
      </c>
      <c r="B1665" s="27" t="s">
        <v>438</v>
      </c>
      <c r="C1665" s="27" t="s">
        <v>211</v>
      </c>
      <c r="D1665" s="25"/>
      <c r="E1665" s="25"/>
      <c r="F1665" s="25"/>
      <c r="G1665" s="25"/>
      <c r="H1665" s="25"/>
      <c r="I1665" s="25"/>
      <c r="J1665" s="27" t="s">
        <v>2060</v>
      </c>
      <c r="K1665" s="25" t="str">
        <f aca="false">IFERROR(__xludf.dummyfunction("SPLIT(J1665,"" "")"),"CIF")</f>
        <v>CIF</v>
      </c>
      <c r="L1665" s="28" t="str">
        <f aca="false">IFERROR(__xludf.dummyfunction("""COMPUTED_VALUE"""),"Singapore")</f>
        <v>Singapore</v>
      </c>
      <c r="M1665" s="27" t="str">
        <f aca="false">IFERROR(__xludf.dummyfunction("""COMPUTED_VALUE"""),"(Diff)")</f>
        <v>(Diff)</v>
      </c>
      <c r="N1665" s="25"/>
      <c r="O1665" s="25"/>
      <c r="P1665" s="25"/>
      <c r="Q1665" s="29" t="s">
        <v>234</v>
      </c>
      <c r="R1665" s="8" t="str">
        <f aca="false">B1665&amp;" "&amp;C1665&amp;" "&amp;D1665&amp;" "&amp;E1665&amp;" "&amp;G1665&amp;" "&amp;H1665&amp;" "&amp;J1665&amp;" "&amp;N1665</f>
        <v>Differentials Binders &amp; Additives     CIF Singapore (Diff) </v>
      </c>
      <c r="S1665" s="25"/>
      <c r="T1665" s="8"/>
      <c r="U1665" s="8"/>
      <c r="V1665" s="25"/>
      <c r="W1665" s="25"/>
      <c r="X1665" s="25"/>
      <c r="Y1665" s="25"/>
      <c r="Z1665" s="25"/>
      <c r="AA1665" s="25"/>
      <c r="AB1665" s="25"/>
      <c r="AC1665" s="25"/>
      <c r="AD1665" s="25"/>
    </row>
    <row r="1666" customFormat="false" ht="15.75" hidden="false" customHeight="false" outlineLevel="0" collapsed="false">
      <c r="A1666" s="28" t="s">
        <v>2068</v>
      </c>
      <c r="B1666" s="27" t="s">
        <v>438</v>
      </c>
      <c r="C1666" s="27" t="s">
        <v>211</v>
      </c>
      <c r="D1666" s="25"/>
      <c r="E1666" s="25"/>
      <c r="F1666" s="25"/>
      <c r="G1666" s="25"/>
      <c r="H1666" s="25"/>
      <c r="I1666" s="25"/>
      <c r="J1666" s="27" t="s">
        <v>2060</v>
      </c>
      <c r="K1666" s="25" t="str">
        <f aca="false">IFERROR(__xludf.dummyfunction("SPLIT(J1666,"" "")"),"CIF")</f>
        <v>CIF</v>
      </c>
      <c r="L1666" s="28" t="str">
        <f aca="false">IFERROR(__xludf.dummyfunction("""COMPUTED_VALUE"""),"Singapore")</f>
        <v>Singapore</v>
      </c>
      <c r="M1666" s="27" t="str">
        <f aca="false">IFERROR(__xludf.dummyfunction("""COMPUTED_VALUE"""),"(Diff)")</f>
        <v>(Diff)</v>
      </c>
      <c r="N1666" s="25"/>
      <c r="O1666" s="25"/>
      <c r="P1666" s="25"/>
      <c r="Q1666" s="29" t="s">
        <v>232</v>
      </c>
      <c r="R1666" s="8" t="str">
        <f aca="false">B1666&amp;" "&amp;C1666&amp;" "&amp;D1666&amp;" "&amp;E1666&amp;" "&amp;G1666&amp;" "&amp;H1666&amp;" "&amp;J1666&amp;" "&amp;N1666</f>
        <v>Differentials Binders &amp; Additives     CIF Singapore (Diff) </v>
      </c>
      <c r="S1666" s="25"/>
      <c r="T1666" s="8"/>
      <c r="U1666" s="8"/>
      <c r="V1666" s="25"/>
      <c r="W1666" s="25"/>
      <c r="X1666" s="25"/>
      <c r="Y1666" s="25"/>
      <c r="Z1666" s="25"/>
      <c r="AA1666" s="25"/>
      <c r="AB1666" s="25"/>
      <c r="AC1666" s="25"/>
      <c r="AD1666" s="25"/>
    </row>
    <row r="1667" customFormat="false" ht="15.75" hidden="false" customHeight="false" outlineLevel="0" collapsed="false">
      <c r="A1667" s="28" t="s">
        <v>2069</v>
      </c>
      <c r="B1667" s="27" t="s">
        <v>438</v>
      </c>
      <c r="C1667" s="27" t="s">
        <v>211</v>
      </c>
      <c r="D1667" s="25"/>
      <c r="E1667" s="25"/>
      <c r="F1667" s="25"/>
      <c r="G1667" s="25"/>
      <c r="H1667" s="25"/>
      <c r="I1667" s="25"/>
      <c r="J1667" s="27" t="s">
        <v>2060</v>
      </c>
      <c r="K1667" s="25" t="str">
        <f aca="false">IFERROR(__xludf.dummyfunction("SPLIT(J1667,"" "")"),"CIF")</f>
        <v>CIF</v>
      </c>
      <c r="L1667" s="28" t="str">
        <f aca="false">IFERROR(__xludf.dummyfunction("""COMPUTED_VALUE"""),"Singapore")</f>
        <v>Singapore</v>
      </c>
      <c r="M1667" s="27" t="str">
        <f aca="false">IFERROR(__xludf.dummyfunction("""COMPUTED_VALUE"""),"(Diff)")</f>
        <v>(Diff)</v>
      </c>
      <c r="N1667" s="25"/>
      <c r="O1667" s="25"/>
      <c r="P1667" s="25"/>
      <c r="Q1667" s="29" t="s">
        <v>230</v>
      </c>
      <c r="R1667" s="8" t="str">
        <f aca="false">B1667&amp;" "&amp;C1667&amp;" "&amp;D1667&amp;" "&amp;E1667&amp;" "&amp;G1667&amp;" "&amp;H1667&amp;" "&amp;J1667&amp;" "&amp;N1667</f>
        <v>Differentials Binders &amp; Additives     CIF Singapore (Diff) </v>
      </c>
      <c r="S1667" s="25"/>
      <c r="T1667" s="8"/>
      <c r="U1667" s="8"/>
      <c r="V1667" s="25"/>
      <c r="W1667" s="25"/>
      <c r="X1667" s="25"/>
      <c r="Y1667" s="25"/>
      <c r="Z1667" s="25"/>
      <c r="AA1667" s="25"/>
      <c r="AB1667" s="25"/>
      <c r="AC1667" s="25"/>
      <c r="AD1667" s="25"/>
    </row>
    <row r="1668" customFormat="false" ht="15.75" hidden="false" customHeight="false" outlineLevel="0" collapsed="false">
      <c r="A1668" s="28" t="s">
        <v>2070</v>
      </c>
      <c r="B1668" s="27" t="s">
        <v>438</v>
      </c>
      <c r="C1668" s="27" t="s">
        <v>211</v>
      </c>
      <c r="D1668" s="25"/>
      <c r="E1668" s="25"/>
      <c r="F1668" s="25"/>
      <c r="G1668" s="25"/>
      <c r="H1668" s="25"/>
      <c r="I1668" s="25"/>
      <c r="J1668" s="27" t="s">
        <v>2060</v>
      </c>
      <c r="K1668" s="25" t="str">
        <f aca="false">IFERROR(__xludf.dummyfunction("SPLIT(J1668,"" "")"),"CIF")</f>
        <v>CIF</v>
      </c>
      <c r="L1668" s="28" t="str">
        <f aca="false">IFERROR(__xludf.dummyfunction("""COMPUTED_VALUE"""),"Singapore")</f>
        <v>Singapore</v>
      </c>
      <c r="M1668" s="27" t="str">
        <f aca="false">IFERROR(__xludf.dummyfunction("""COMPUTED_VALUE"""),"(Diff)")</f>
        <v>(Diff)</v>
      </c>
      <c r="N1668" s="25"/>
      <c r="O1668" s="25"/>
      <c r="P1668" s="25"/>
      <c r="Q1668" s="29" t="s">
        <v>228</v>
      </c>
      <c r="R1668" s="8" t="str">
        <f aca="false">B1668&amp;" "&amp;C1668&amp;" "&amp;D1668&amp;" "&amp;E1668&amp;" "&amp;G1668&amp;" "&amp;H1668&amp;" "&amp;J1668&amp;" "&amp;N1668</f>
        <v>Differentials Binders &amp; Additives     CIF Singapore (Diff) </v>
      </c>
      <c r="S1668" s="25"/>
      <c r="T1668" s="8"/>
      <c r="U1668" s="8"/>
      <c r="V1668" s="25"/>
      <c r="W1668" s="25"/>
      <c r="X1668" s="25"/>
      <c r="Y1668" s="25"/>
      <c r="Z1668" s="25"/>
      <c r="AA1668" s="25"/>
      <c r="AB1668" s="25"/>
      <c r="AC1668" s="25"/>
      <c r="AD1668" s="25"/>
    </row>
    <row r="1669" customFormat="false" ht="15.75" hidden="false" customHeight="false" outlineLevel="0" collapsed="false">
      <c r="A1669" s="28" t="s">
        <v>2071</v>
      </c>
      <c r="B1669" s="27" t="s">
        <v>438</v>
      </c>
      <c r="C1669" s="27" t="s">
        <v>211</v>
      </c>
      <c r="D1669" s="25"/>
      <c r="E1669" s="25"/>
      <c r="F1669" s="25"/>
      <c r="G1669" s="25"/>
      <c r="H1669" s="25"/>
      <c r="I1669" s="25"/>
      <c r="J1669" s="27" t="s">
        <v>2060</v>
      </c>
      <c r="K1669" s="25" t="str">
        <f aca="false">IFERROR(__xludf.dummyfunction("SPLIT(J1669,"" "")"),"CIF")</f>
        <v>CIF</v>
      </c>
      <c r="L1669" s="28" t="str">
        <f aca="false">IFERROR(__xludf.dummyfunction("""COMPUTED_VALUE"""),"Singapore")</f>
        <v>Singapore</v>
      </c>
      <c r="M1669" s="27" t="str">
        <f aca="false">IFERROR(__xludf.dummyfunction("""COMPUTED_VALUE"""),"(Diff)")</f>
        <v>(Diff)</v>
      </c>
      <c r="N1669" s="25"/>
      <c r="O1669" s="25"/>
      <c r="P1669" s="25"/>
      <c r="Q1669" s="29" t="s">
        <v>226</v>
      </c>
      <c r="R1669" s="8" t="str">
        <f aca="false">B1669&amp;" "&amp;C1669&amp;" "&amp;D1669&amp;" "&amp;E1669&amp;" "&amp;G1669&amp;" "&amp;H1669&amp;" "&amp;J1669&amp;" "&amp;N1669</f>
        <v>Differentials Binders &amp; Additives     CIF Singapore (Diff) </v>
      </c>
      <c r="S1669" s="25"/>
      <c r="T1669" s="8"/>
      <c r="U1669" s="8"/>
      <c r="V1669" s="25"/>
      <c r="W1669" s="25"/>
      <c r="X1669" s="25"/>
      <c r="Y1669" s="25"/>
      <c r="Z1669" s="25"/>
      <c r="AA1669" s="25"/>
      <c r="AB1669" s="25"/>
      <c r="AC1669" s="25"/>
      <c r="AD1669" s="25"/>
    </row>
    <row r="1670" customFormat="false" ht="15.75" hidden="false" customHeight="false" outlineLevel="0" collapsed="false">
      <c r="A1670" s="28" t="s">
        <v>2072</v>
      </c>
      <c r="B1670" s="27" t="s">
        <v>438</v>
      </c>
      <c r="C1670" s="27" t="s">
        <v>211</v>
      </c>
      <c r="D1670" s="25"/>
      <c r="E1670" s="25"/>
      <c r="F1670" s="25"/>
      <c r="G1670" s="25"/>
      <c r="H1670" s="25"/>
      <c r="I1670" s="25"/>
      <c r="J1670" s="27" t="s">
        <v>2060</v>
      </c>
      <c r="K1670" s="25" t="str">
        <f aca="false">IFERROR(__xludf.dummyfunction("SPLIT(J1670,"" "")"),"CIF")</f>
        <v>CIF</v>
      </c>
      <c r="L1670" s="28" t="str">
        <f aca="false">IFERROR(__xludf.dummyfunction("""COMPUTED_VALUE"""),"Singapore")</f>
        <v>Singapore</v>
      </c>
      <c r="M1670" s="27" t="str">
        <f aca="false">IFERROR(__xludf.dummyfunction("""COMPUTED_VALUE"""),"(Diff)")</f>
        <v>(Diff)</v>
      </c>
      <c r="N1670" s="25"/>
      <c r="O1670" s="25"/>
      <c r="P1670" s="25"/>
      <c r="Q1670" s="29" t="s">
        <v>224</v>
      </c>
      <c r="R1670" s="8" t="str">
        <f aca="false">B1670&amp;" "&amp;C1670&amp;" "&amp;D1670&amp;" "&amp;E1670&amp;" "&amp;G1670&amp;" "&amp;H1670&amp;" "&amp;J1670&amp;" "&amp;N1670</f>
        <v>Differentials Binders &amp; Additives     CIF Singapore (Diff) </v>
      </c>
      <c r="S1670" s="25"/>
      <c r="T1670" s="8"/>
      <c r="U1670" s="8"/>
      <c r="V1670" s="25"/>
      <c r="W1670" s="25"/>
      <c r="X1670" s="25"/>
      <c r="Y1670" s="25"/>
      <c r="Z1670" s="25"/>
      <c r="AA1670" s="25"/>
      <c r="AB1670" s="25"/>
      <c r="AC1670" s="25"/>
      <c r="AD1670" s="25"/>
    </row>
    <row r="1671" customFormat="false" ht="15.75" hidden="false" customHeight="false" outlineLevel="0" collapsed="false">
      <c r="A1671" s="28" t="s">
        <v>2073</v>
      </c>
      <c r="B1671" s="27" t="s">
        <v>438</v>
      </c>
      <c r="C1671" s="27" t="s">
        <v>211</v>
      </c>
      <c r="D1671" s="25"/>
      <c r="E1671" s="25"/>
      <c r="F1671" s="25"/>
      <c r="G1671" s="25"/>
      <c r="H1671" s="25"/>
      <c r="I1671" s="25"/>
      <c r="J1671" s="27" t="s">
        <v>2060</v>
      </c>
      <c r="K1671" s="25" t="str">
        <f aca="false">IFERROR(__xludf.dummyfunction("SPLIT(J1671,"" "")"),"CIF")</f>
        <v>CIF</v>
      </c>
      <c r="L1671" s="28" t="str">
        <f aca="false">IFERROR(__xludf.dummyfunction("""COMPUTED_VALUE"""),"Singapore")</f>
        <v>Singapore</v>
      </c>
      <c r="M1671" s="27" t="str">
        <f aca="false">IFERROR(__xludf.dummyfunction("""COMPUTED_VALUE"""),"(Diff)")</f>
        <v>(Diff)</v>
      </c>
      <c r="N1671" s="25"/>
      <c r="O1671" s="25"/>
      <c r="P1671" s="25"/>
      <c r="Q1671" s="29" t="s">
        <v>222</v>
      </c>
      <c r="R1671" s="8" t="str">
        <f aca="false">B1671&amp;" "&amp;C1671&amp;" "&amp;D1671&amp;" "&amp;E1671&amp;" "&amp;G1671&amp;" "&amp;H1671&amp;" "&amp;J1671&amp;" "&amp;N1671</f>
        <v>Differentials Binders &amp; Additives     CIF Singapore (Diff) </v>
      </c>
      <c r="S1671" s="25"/>
      <c r="T1671" s="8"/>
      <c r="U1671" s="8"/>
      <c r="V1671" s="25"/>
      <c r="W1671" s="25"/>
      <c r="X1671" s="25"/>
      <c r="Y1671" s="25"/>
      <c r="Z1671" s="25"/>
      <c r="AA1671" s="25"/>
      <c r="AB1671" s="25"/>
      <c r="AC1671" s="25"/>
      <c r="AD1671" s="25"/>
    </row>
    <row r="1672" customFormat="false" ht="15.75" hidden="false" customHeight="false" outlineLevel="0" collapsed="false">
      <c r="A1672" s="28" t="s">
        <v>2074</v>
      </c>
      <c r="B1672" s="27" t="s">
        <v>438</v>
      </c>
      <c r="C1672" s="27" t="s">
        <v>211</v>
      </c>
      <c r="D1672" s="25"/>
      <c r="E1672" s="25"/>
      <c r="F1672" s="25"/>
      <c r="G1672" s="25"/>
      <c r="H1672" s="25"/>
      <c r="I1672" s="25"/>
      <c r="J1672" s="27" t="s">
        <v>2060</v>
      </c>
      <c r="K1672" s="25" t="str">
        <f aca="false">IFERROR(__xludf.dummyfunction("SPLIT(J1672,"" "")"),"CIF")</f>
        <v>CIF</v>
      </c>
      <c r="L1672" s="28" t="str">
        <f aca="false">IFERROR(__xludf.dummyfunction("""COMPUTED_VALUE"""),"Singapore")</f>
        <v>Singapore</v>
      </c>
      <c r="M1672" s="27" t="str">
        <f aca="false">IFERROR(__xludf.dummyfunction("""COMPUTED_VALUE"""),"(Diff)")</f>
        <v>(Diff)</v>
      </c>
      <c r="N1672" s="25"/>
      <c r="O1672" s="25"/>
      <c r="P1672" s="25"/>
      <c r="Q1672" s="29" t="s">
        <v>220</v>
      </c>
      <c r="R1672" s="8" t="str">
        <f aca="false">B1672&amp;" "&amp;C1672&amp;" "&amp;D1672&amp;" "&amp;E1672&amp;" "&amp;G1672&amp;" "&amp;H1672&amp;" "&amp;J1672&amp;" "&amp;N1672</f>
        <v>Differentials Binders &amp; Additives     CIF Singapore (Diff) </v>
      </c>
      <c r="S1672" s="25"/>
      <c r="T1672" s="8"/>
      <c r="U1672" s="8"/>
      <c r="V1672" s="25"/>
      <c r="W1672" s="25"/>
      <c r="X1672" s="25"/>
      <c r="Y1672" s="25"/>
      <c r="Z1672" s="25"/>
      <c r="AA1672" s="25"/>
      <c r="AB1672" s="25"/>
      <c r="AC1672" s="25"/>
      <c r="AD1672" s="25"/>
    </row>
    <row r="1673" customFormat="false" ht="15.75" hidden="false" customHeight="false" outlineLevel="0" collapsed="false">
      <c r="A1673" s="28" t="s">
        <v>2075</v>
      </c>
      <c r="B1673" s="27" t="s">
        <v>438</v>
      </c>
      <c r="C1673" s="27" t="s">
        <v>211</v>
      </c>
      <c r="D1673" s="25"/>
      <c r="E1673" s="25"/>
      <c r="F1673" s="25"/>
      <c r="G1673" s="25"/>
      <c r="H1673" s="25"/>
      <c r="I1673" s="25"/>
      <c r="J1673" s="27" t="s">
        <v>2060</v>
      </c>
      <c r="K1673" s="25" t="str">
        <f aca="false">IFERROR(__xludf.dummyfunction("SPLIT(J1673,"" "")"),"CIF")</f>
        <v>CIF</v>
      </c>
      <c r="L1673" s="28" t="str">
        <f aca="false">IFERROR(__xludf.dummyfunction("""COMPUTED_VALUE"""),"Singapore")</f>
        <v>Singapore</v>
      </c>
      <c r="M1673" s="27" t="str">
        <f aca="false">IFERROR(__xludf.dummyfunction("""COMPUTED_VALUE"""),"(Diff)")</f>
        <v>(Diff)</v>
      </c>
      <c r="N1673" s="25"/>
      <c r="O1673" s="25"/>
      <c r="P1673" s="25"/>
      <c r="Q1673" s="29" t="s">
        <v>218</v>
      </c>
      <c r="R1673" s="8" t="str">
        <f aca="false">B1673&amp;" "&amp;C1673&amp;" "&amp;D1673&amp;" "&amp;E1673&amp;" "&amp;G1673&amp;" "&amp;H1673&amp;" "&amp;J1673&amp;" "&amp;N1673</f>
        <v>Differentials Binders &amp; Additives     CIF Singapore (Diff) </v>
      </c>
      <c r="S1673" s="25"/>
      <c r="T1673" s="8"/>
      <c r="U1673" s="8"/>
      <c r="V1673" s="25"/>
      <c r="W1673" s="25"/>
      <c r="X1673" s="25"/>
      <c r="Y1673" s="25"/>
      <c r="Z1673" s="25"/>
      <c r="AA1673" s="25"/>
      <c r="AB1673" s="25"/>
      <c r="AC1673" s="25"/>
      <c r="AD1673" s="25"/>
    </row>
    <row r="1674" customFormat="false" ht="15.75" hidden="false" customHeight="false" outlineLevel="0" collapsed="false">
      <c r="A1674" s="28" t="s">
        <v>2076</v>
      </c>
      <c r="B1674" s="27" t="s">
        <v>438</v>
      </c>
      <c r="C1674" s="27" t="s">
        <v>211</v>
      </c>
      <c r="D1674" s="25"/>
      <c r="E1674" s="25"/>
      <c r="F1674" s="25"/>
      <c r="G1674" s="25"/>
      <c r="H1674" s="25"/>
      <c r="I1674" s="25"/>
      <c r="J1674" s="27" t="s">
        <v>2060</v>
      </c>
      <c r="K1674" s="25" t="str">
        <f aca="false">IFERROR(__xludf.dummyfunction("SPLIT(J1674,"" "")"),"CIF")</f>
        <v>CIF</v>
      </c>
      <c r="L1674" s="28" t="str">
        <f aca="false">IFERROR(__xludf.dummyfunction("""COMPUTED_VALUE"""),"Singapore")</f>
        <v>Singapore</v>
      </c>
      <c r="M1674" s="27" t="str">
        <f aca="false">IFERROR(__xludf.dummyfunction("""COMPUTED_VALUE"""),"(Diff)")</f>
        <v>(Diff)</v>
      </c>
      <c r="N1674" s="25"/>
      <c r="O1674" s="25"/>
      <c r="P1674" s="25"/>
      <c r="Q1674" s="29" t="s">
        <v>215</v>
      </c>
      <c r="R1674" s="8" t="str">
        <f aca="false">B1674&amp;" "&amp;C1674&amp;" "&amp;D1674&amp;" "&amp;E1674&amp;" "&amp;G1674&amp;" "&amp;H1674&amp;" "&amp;J1674&amp;" "&amp;N1674</f>
        <v>Differentials Binders &amp; Additives     CIF Singapore (Diff) </v>
      </c>
      <c r="S1674" s="25"/>
      <c r="T1674" s="8"/>
      <c r="U1674" s="8"/>
      <c r="V1674" s="25"/>
      <c r="W1674" s="25"/>
      <c r="X1674" s="25"/>
      <c r="Y1674" s="25"/>
      <c r="Z1674" s="25"/>
      <c r="AA1674" s="25"/>
      <c r="AB1674" s="25"/>
      <c r="AC1674" s="25"/>
      <c r="AD1674" s="25"/>
    </row>
    <row r="1675" customFormat="false" ht="15.75" hidden="false" customHeight="false" outlineLevel="0" collapsed="false">
      <c r="A1675" s="28" t="s">
        <v>2077</v>
      </c>
      <c r="B1675" s="27" t="s">
        <v>438</v>
      </c>
      <c r="C1675" s="27" t="s">
        <v>211</v>
      </c>
      <c r="D1675" s="25"/>
      <c r="E1675" s="25"/>
      <c r="F1675" s="25"/>
      <c r="G1675" s="25"/>
      <c r="H1675" s="25"/>
      <c r="I1675" s="25"/>
      <c r="J1675" s="27" t="s">
        <v>2060</v>
      </c>
      <c r="K1675" s="25" t="str">
        <f aca="false">IFERROR(__xludf.dummyfunction("SPLIT(J1675,"" "")"),"CIF")</f>
        <v>CIF</v>
      </c>
      <c r="L1675" s="28" t="str">
        <f aca="false">IFERROR(__xludf.dummyfunction("""COMPUTED_VALUE"""),"Singapore")</f>
        <v>Singapore</v>
      </c>
      <c r="M1675" s="27" t="str">
        <f aca="false">IFERROR(__xludf.dummyfunction("""COMPUTED_VALUE"""),"(Diff)")</f>
        <v>(Diff)</v>
      </c>
      <c r="N1675" s="25"/>
      <c r="O1675" s="25"/>
      <c r="P1675" s="25"/>
      <c r="Q1675" s="29" t="s">
        <v>213</v>
      </c>
      <c r="R1675" s="8" t="str">
        <f aca="false">B1675&amp;" "&amp;C1675&amp;" "&amp;D1675&amp;" "&amp;E1675&amp;" "&amp;G1675&amp;" "&amp;H1675&amp;" "&amp;J1675&amp;" "&amp;N1675</f>
        <v>Differentials Binders &amp; Additives     CIF Singapore (Diff) </v>
      </c>
      <c r="S1675" s="25"/>
      <c r="T1675" s="8"/>
      <c r="U1675" s="8"/>
      <c r="V1675" s="25"/>
      <c r="W1675" s="25"/>
      <c r="X1675" s="25"/>
      <c r="Y1675" s="25"/>
      <c r="Z1675" s="25"/>
      <c r="AA1675" s="25"/>
      <c r="AB1675" s="25"/>
      <c r="AC1675" s="25"/>
      <c r="AD1675" s="25"/>
    </row>
    <row r="1676" customFormat="false" ht="15.75" hidden="false" customHeight="false" outlineLevel="0" collapsed="false">
      <c r="A1676" s="28" t="s">
        <v>2078</v>
      </c>
      <c r="B1676" s="27" t="s">
        <v>438</v>
      </c>
      <c r="C1676" s="27" t="s">
        <v>236</v>
      </c>
      <c r="D1676" s="25"/>
      <c r="E1676" s="25"/>
      <c r="F1676" s="25"/>
      <c r="G1676" s="25"/>
      <c r="H1676" s="25"/>
      <c r="I1676" s="25"/>
      <c r="J1676" s="27" t="s">
        <v>2060</v>
      </c>
      <c r="K1676" s="25" t="str">
        <f aca="false">IFERROR(__xludf.dummyfunction("SPLIT(J1676,"" "")"),"CIF")</f>
        <v>CIF</v>
      </c>
      <c r="L1676" s="28" t="str">
        <f aca="false">IFERROR(__xludf.dummyfunction("""COMPUTED_VALUE"""),"Singapore")</f>
        <v>Singapore</v>
      </c>
      <c r="M1676" s="27" t="str">
        <f aca="false">IFERROR(__xludf.dummyfunction("""COMPUTED_VALUE"""),"(Diff)")</f>
        <v>(Diff)</v>
      </c>
      <c r="N1676" s="25"/>
      <c r="O1676" s="25"/>
      <c r="P1676" s="25"/>
      <c r="Q1676" s="29" t="s">
        <v>271</v>
      </c>
      <c r="R1676" s="8" t="str">
        <f aca="false">B1676&amp;" "&amp;C1676&amp;" "&amp;D1676&amp;" "&amp;E1676&amp;" "&amp;G1676&amp;" "&amp;H1676&amp;" "&amp;J1676&amp;" "&amp;N1676</f>
        <v>Differentials Cathode     CIF Singapore (Diff) </v>
      </c>
      <c r="S1676" s="25"/>
      <c r="T1676" s="8"/>
      <c r="U1676" s="8"/>
      <c r="V1676" s="25"/>
      <c r="W1676" s="25"/>
      <c r="X1676" s="25"/>
      <c r="Y1676" s="25"/>
      <c r="Z1676" s="25"/>
      <c r="AA1676" s="25"/>
      <c r="AB1676" s="25"/>
      <c r="AC1676" s="25"/>
      <c r="AD1676" s="25"/>
    </row>
    <row r="1677" customFormat="false" ht="15.75" hidden="false" customHeight="false" outlineLevel="0" collapsed="false">
      <c r="A1677" s="28" t="s">
        <v>2079</v>
      </c>
      <c r="B1677" s="27" t="s">
        <v>438</v>
      </c>
      <c r="C1677" s="27" t="s">
        <v>236</v>
      </c>
      <c r="D1677" s="25"/>
      <c r="E1677" s="25"/>
      <c r="F1677" s="25"/>
      <c r="G1677" s="25"/>
      <c r="H1677" s="25"/>
      <c r="I1677" s="25"/>
      <c r="J1677" s="27" t="s">
        <v>2060</v>
      </c>
      <c r="K1677" s="25" t="str">
        <f aca="false">IFERROR(__xludf.dummyfunction("SPLIT(J1677,"" "")"),"CIF")</f>
        <v>CIF</v>
      </c>
      <c r="L1677" s="28" t="str">
        <f aca="false">IFERROR(__xludf.dummyfunction("""COMPUTED_VALUE"""),"Singapore")</f>
        <v>Singapore</v>
      </c>
      <c r="M1677" s="27" t="str">
        <f aca="false">IFERROR(__xludf.dummyfunction("""COMPUTED_VALUE"""),"(Diff)")</f>
        <v>(Diff)</v>
      </c>
      <c r="N1677" s="25"/>
      <c r="O1677" s="25"/>
      <c r="P1677" s="25"/>
      <c r="Q1677" s="29" t="s">
        <v>266</v>
      </c>
      <c r="R1677" s="8" t="str">
        <f aca="false">B1677&amp;" "&amp;C1677&amp;" "&amp;D1677&amp;" "&amp;E1677&amp;" "&amp;G1677&amp;" "&amp;H1677&amp;" "&amp;J1677&amp;" "&amp;N1677</f>
        <v>Differentials Cathode     CIF Singapore (Diff) </v>
      </c>
      <c r="S1677" s="25"/>
      <c r="T1677" s="8"/>
      <c r="U1677" s="8"/>
      <c r="V1677" s="25"/>
      <c r="W1677" s="25"/>
      <c r="X1677" s="25"/>
      <c r="Y1677" s="25"/>
      <c r="Z1677" s="25"/>
      <c r="AA1677" s="25"/>
      <c r="AB1677" s="25"/>
      <c r="AC1677" s="25"/>
      <c r="AD1677" s="25"/>
    </row>
    <row r="1678" customFormat="false" ht="15.75" hidden="false" customHeight="false" outlineLevel="0" collapsed="false">
      <c r="A1678" s="28" t="s">
        <v>2080</v>
      </c>
      <c r="B1678" s="27" t="s">
        <v>438</v>
      </c>
      <c r="C1678" s="27" t="s">
        <v>236</v>
      </c>
      <c r="D1678" s="25"/>
      <c r="E1678" s="25"/>
      <c r="F1678" s="25"/>
      <c r="G1678" s="25"/>
      <c r="H1678" s="25"/>
      <c r="I1678" s="25"/>
      <c r="J1678" s="27" t="s">
        <v>2060</v>
      </c>
      <c r="K1678" s="25" t="str">
        <f aca="false">IFERROR(__xludf.dummyfunction("SPLIT(J1678,"" "")"),"CIF")</f>
        <v>CIF</v>
      </c>
      <c r="L1678" s="28" t="str">
        <f aca="false">IFERROR(__xludf.dummyfunction("""COMPUTED_VALUE"""),"Singapore")</f>
        <v>Singapore</v>
      </c>
      <c r="M1678" s="27" t="str">
        <f aca="false">IFERROR(__xludf.dummyfunction("""COMPUTED_VALUE"""),"(Diff)")</f>
        <v>(Diff)</v>
      </c>
      <c r="N1678" s="25"/>
      <c r="O1678" s="25"/>
      <c r="P1678" s="25"/>
      <c r="Q1678" s="29" t="s">
        <v>261</v>
      </c>
      <c r="R1678" s="8" t="str">
        <f aca="false">B1678&amp;" "&amp;C1678&amp;" "&amp;D1678&amp;" "&amp;E1678&amp;" "&amp;G1678&amp;" "&amp;H1678&amp;" "&amp;J1678&amp;" "&amp;N1678</f>
        <v>Differentials Cathode     CIF Singapore (Diff) </v>
      </c>
      <c r="S1678" s="25"/>
      <c r="T1678" s="8"/>
      <c r="U1678" s="8"/>
      <c r="V1678" s="25"/>
      <c r="W1678" s="25"/>
      <c r="X1678" s="25"/>
      <c r="Y1678" s="25"/>
      <c r="Z1678" s="25"/>
      <c r="AA1678" s="25"/>
      <c r="AB1678" s="25"/>
      <c r="AC1678" s="25"/>
      <c r="AD1678" s="25"/>
    </row>
    <row r="1679" customFormat="false" ht="15.75" hidden="false" customHeight="false" outlineLevel="0" collapsed="false">
      <c r="A1679" s="28" t="s">
        <v>2081</v>
      </c>
      <c r="B1679" s="27" t="s">
        <v>438</v>
      </c>
      <c r="C1679" s="27" t="s">
        <v>236</v>
      </c>
      <c r="D1679" s="25"/>
      <c r="E1679" s="25"/>
      <c r="F1679" s="25"/>
      <c r="G1679" s="25"/>
      <c r="H1679" s="25"/>
      <c r="I1679" s="25"/>
      <c r="J1679" s="27" t="s">
        <v>2060</v>
      </c>
      <c r="K1679" s="25" t="str">
        <f aca="false">IFERROR(__xludf.dummyfunction("SPLIT(J1679,"" "")"),"CIF")</f>
        <v>CIF</v>
      </c>
      <c r="L1679" s="28" t="str">
        <f aca="false">IFERROR(__xludf.dummyfunction("""COMPUTED_VALUE"""),"Singapore")</f>
        <v>Singapore</v>
      </c>
      <c r="M1679" s="27" t="str">
        <f aca="false">IFERROR(__xludf.dummyfunction("""COMPUTED_VALUE"""),"(Diff)")</f>
        <v>(Diff)</v>
      </c>
      <c r="N1679" s="25"/>
      <c r="O1679" s="25"/>
      <c r="P1679" s="25"/>
      <c r="Q1679" s="29" t="s">
        <v>256</v>
      </c>
      <c r="R1679" s="8" t="str">
        <f aca="false">B1679&amp;" "&amp;C1679&amp;" "&amp;D1679&amp;" "&amp;E1679&amp;" "&amp;G1679&amp;" "&amp;H1679&amp;" "&amp;J1679&amp;" "&amp;N1679</f>
        <v>Differentials Cathode     CIF Singapore (Diff) </v>
      </c>
      <c r="S1679" s="25"/>
      <c r="T1679" s="8"/>
      <c r="U1679" s="8"/>
      <c r="V1679" s="25"/>
      <c r="W1679" s="25"/>
      <c r="X1679" s="25"/>
      <c r="Y1679" s="25"/>
      <c r="Z1679" s="25"/>
      <c r="AA1679" s="25"/>
      <c r="AB1679" s="25"/>
      <c r="AC1679" s="25"/>
      <c r="AD1679" s="25"/>
    </row>
    <row r="1680" customFormat="false" ht="15.75" hidden="false" customHeight="false" outlineLevel="0" collapsed="false">
      <c r="A1680" s="28" t="s">
        <v>2082</v>
      </c>
      <c r="B1680" s="27" t="s">
        <v>438</v>
      </c>
      <c r="C1680" s="27" t="s">
        <v>236</v>
      </c>
      <c r="D1680" s="25"/>
      <c r="E1680" s="25"/>
      <c r="F1680" s="25"/>
      <c r="G1680" s="25"/>
      <c r="H1680" s="25"/>
      <c r="I1680" s="25"/>
      <c r="J1680" s="27" t="s">
        <v>2060</v>
      </c>
      <c r="K1680" s="25" t="str">
        <f aca="false">IFERROR(__xludf.dummyfunction("SPLIT(J1680,"" "")"),"CIF")</f>
        <v>CIF</v>
      </c>
      <c r="L1680" s="28" t="str">
        <f aca="false">IFERROR(__xludf.dummyfunction("""COMPUTED_VALUE"""),"Singapore")</f>
        <v>Singapore</v>
      </c>
      <c r="M1680" s="27" t="str">
        <f aca="false">IFERROR(__xludf.dummyfunction("""COMPUTED_VALUE"""),"(Diff)")</f>
        <v>(Diff)</v>
      </c>
      <c r="N1680" s="25"/>
      <c r="O1680" s="25"/>
      <c r="P1680" s="25"/>
      <c r="Q1680" s="29" t="s">
        <v>251</v>
      </c>
      <c r="R1680" s="8" t="str">
        <f aca="false">B1680&amp;" "&amp;C1680&amp;" "&amp;D1680&amp;" "&amp;E1680&amp;" "&amp;G1680&amp;" "&amp;H1680&amp;" "&amp;J1680&amp;" "&amp;N1680</f>
        <v>Differentials Cathode     CIF Singapore (Diff) </v>
      </c>
      <c r="S1680" s="25"/>
      <c r="T1680" s="8"/>
      <c r="U1680" s="8"/>
      <c r="V1680" s="25"/>
      <c r="W1680" s="25"/>
      <c r="X1680" s="25"/>
      <c r="Y1680" s="25"/>
      <c r="Z1680" s="25"/>
      <c r="AA1680" s="25"/>
      <c r="AB1680" s="25"/>
      <c r="AC1680" s="25"/>
      <c r="AD1680" s="25"/>
    </row>
    <row r="1681" customFormat="false" ht="15.75" hidden="false" customHeight="false" outlineLevel="0" collapsed="false">
      <c r="A1681" s="28" t="s">
        <v>2083</v>
      </c>
      <c r="B1681" s="27" t="s">
        <v>438</v>
      </c>
      <c r="C1681" s="27" t="s">
        <v>236</v>
      </c>
      <c r="D1681" s="25"/>
      <c r="E1681" s="25"/>
      <c r="F1681" s="25"/>
      <c r="G1681" s="25"/>
      <c r="H1681" s="25"/>
      <c r="I1681" s="25"/>
      <c r="J1681" s="27" t="s">
        <v>2060</v>
      </c>
      <c r="K1681" s="25" t="str">
        <f aca="false">IFERROR(__xludf.dummyfunction("SPLIT(J1681,"" "")"),"CIF")</f>
        <v>CIF</v>
      </c>
      <c r="L1681" s="28" t="str">
        <f aca="false">IFERROR(__xludf.dummyfunction("""COMPUTED_VALUE"""),"Singapore")</f>
        <v>Singapore</v>
      </c>
      <c r="M1681" s="27" t="str">
        <f aca="false">IFERROR(__xludf.dummyfunction("""COMPUTED_VALUE"""),"(Diff)")</f>
        <v>(Diff)</v>
      </c>
      <c r="N1681" s="25"/>
      <c r="O1681" s="25"/>
      <c r="P1681" s="25"/>
      <c r="Q1681" s="29" t="s">
        <v>247</v>
      </c>
      <c r="R1681" s="8" t="str">
        <f aca="false">B1681&amp;" "&amp;C1681&amp;" "&amp;D1681&amp;" "&amp;E1681&amp;" "&amp;G1681&amp;" "&amp;H1681&amp;" "&amp;J1681&amp;" "&amp;N1681</f>
        <v>Differentials Cathode     CIF Singapore (Diff) </v>
      </c>
      <c r="S1681" s="25"/>
      <c r="T1681" s="8"/>
      <c r="U1681" s="8"/>
      <c r="V1681" s="25"/>
      <c r="W1681" s="25"/>
      <c r="X1681" s="25"/>
      <c r="Y1681" s="25"/>
      <c r="Z1681" s="25"/>
      <c r="AA1681" s="25"/>
      <c r="AB1681" s="25"/>
      <c r="AC1681" s="25"/>
      <c r="AD1681" s="25"/>
    </row>
    <row r="1682" customFormat="false" ht="15.75" hidden="false" customHeight="false" outlineLevel="0" collapsed="false">
      <c r="A1682" s="28" t="s">
        <v>2084</v>
      </c>
      <c r="B1682" s="27" t="s">
        <v>438</v>
      </c>
      <c r="C1682" s="27" t="s">
        <v>236</v>
      </c>
      <c r="D1682" s="25"/>
      <c r="E1682" s="25"/>
      <c r="F1682" s="25"/>
      <c r="G1682" s="25"/>
      <c r="H1682" s="25"/>
      <c r="I1682" s="25"/>
      <c r="J1682" s="27" t="s">
        <v>2060</v>
      </c>
      <c r="K1682" s="25" t="str">
        <f aca="false">IFERROR(__xludf.dummyfunction("SPLIT(J1682,"" "")"),"CIF")</f>
        <v>CIF</v>
      </c>
      <c r="L1682" s="28" t="str">
        <f aca="false">IFERROR(__xludf.dummyfunction("""COMPUTED_VALUE"""),"Singapore")</f>
        <v>Singapore</v>
      </c>
      <c r="M1682" s="27" t="str">
        <f aca="false">IFERROR(__xludf.dummyfunction("""COMPUTED_VALUE"""),"(Diff)")</f>
        <v>(Diff)</v>
      </c>
      <c r="N1682" s="25"/>
      <c r="O1682" s="25"/>
      <c r="P1682" s="25"/>
      <c r="Q1682" s="29" t="s">
        <v>243</v>
      </c>
      <c r="R1682" s="8" t="str">
        <f aca="false">B1682&amp;" "&amp;C1682&amp;" "&amp;D1682&amp;" "&amp;E1682&amp;" "&amp;G1682&amp;" "&amp;H1682&amp;" "&amp;J1682&amp;" "&amp;N1682</f>
        <v>Differentials Cathode     CIF Singapore (Diff) </v>
      </c>
      <c r="S1682" s="25"/>
      <c r="T1682" s="8"/>
      <c r="U1682" s="8"/>
      <c r="V1682" s="25"/>
      <c r="W1682" s="25"/>
      <c r="X1682" s="25"/>
      <c r="Y1682" s="25"/>
      <c r="Z1682" s="25"/>
      <c r="AA1682" s="25"/>
      <c r="AB1682" s="25"/>
      <c r="AC1682" s="25"/>
      <c r="AD1682" s="25"/>
    </row>
    <row r="1683" customFormat="false" ht="15.75" hidden="false" customHeight="false" outlineLevel="0" collapsed="false">
      <c r="A1683" s="28" t="s">
        <v>2085</v>
      </c>
      <c r="B1683" s="27" t="s">
        <v>438</v>
      </c>
      <c r="C1683" s="27" t="s">
        <v>236</v>
      </c>
      <c r="D1683" s="25"/>
      <c r="E1683" s="25"/>
      <c r="F1683" s="25"/>
      <c r="G1683" s="25"/>
      <c r="H1683" s="25"/>
      <c r="I1683" s="25"/>
      <c r="J1683" s="27" t="s">
        <v>2060</v>
      </c>
      <c r="K1683" s="25" t="str">
        <f aca="false">IFERROR(__xludf.dummyfunction("SPLIT(J1683,"" "")"),"CIF")</f>
        <v>CIF</v>
      </c>
      <c r="L1683" s="28" t="str">
        <f aca="false">IFERROR(__xludf.dummyfunction("""COMPUTED_VALUE"""),"Singapore")</f>
        <v>Singapore</v>
      </c>
      <c r="M1683" s="27" t="str">
        <f aca="false">IFERROR(__xludf.dummyfunction("""COMPUTED_VALUE"""),"(Diff)")</f>
        <v>(Diff)</v>
      </c>
      <c r="N1683" s="25"/>
      <c r="O1683" s="25"/>
      <c r="P1683" s="25"/>
      <c r="Q1683" s="29" t="s">
        <v>239</v>
      </c>
      <c r="R1683" s="8" t="str">
        <f aca="false">B1683&amp;" "&amp;C1683&amp;" "&amp;D1683&amp;" "&amp;E1683&amp;" "&amp;G1683&amp;" "&amp;H1683&amp;" "&amp;J1683&amp;" "&amp;N1683</f>
        <v>Differentials Cathode     CIF Singapore (Diff) </v>
      </c>
      <c r="S1683" s="25"/>
      <c r="T1683" s="8"/>
      <c r="U1683" s="8"/>
      <c r="V1683" s="25"/>
      <c r="W1683" s="25"/>
      <c r="X1683" s="25"/>
      <c r="Y1683" s="25"/>
      <c r="Z1683" s="25"/>
      <c r="AA1683" s="25"/>
      <c r="AB1683" s="25"/>
      <c r="AC1683" s="25"/>
      <c r="AD1683" s="25"/>
    </row>
    <row r="1684" customFormat="false" ht="15.75" hidden="false" customHeight="false" outlineLevel="0" collapsed="false">
      <c r="A1684" s="28" t="s">
        <v>2086</v>
      </c>
      <c r="B1684" s="27" t="s">
        <v>438</v>
      </c>
      <c r="C1684" s="27" t="s">
        <v>289</v>
      </c>
      <c r="D1684" s="25"/>
      <c r="E1684" s="25"/>
      <c r="F1684" s="25"/>
      <c r="G1684" s="25"/>
      <c r="H1684" s="25"/>
      <c r="I1684" s="25"/>
      <c r="J1684" s="27" t="s">
        <v>2060</v>
      </c>
      <c r="K1684" s="25" t="str">
        <f aca="false">IFERROR(__xludf.dummyfunction("SPLIT(J1684,"" "")"),"CIF")</f>
        <v>CIF</v>
      </c>
      <c r="L1684" s="28" t="str">
        <f aca="false">IFERROR(__xludf.dummyfunction("""COMPUTED_VALUE"""),"Singapore")</f>
        <v>Singapore</v>
      </c>
      <c r="M1684" s="27" t="str">
        <f aca="false">IFERROR(__xludf.dummyfunction("""COMPUTED_VALUE"""),"(Diff)")</f>
        <v>(Diff)</v>
      </c>
      <c r="N1684" s="25"/>
      <c r="O1684" s="25"/>
      <c r="P1684" s="25"/>
      <c r="Q1684" s="29" t="s">
        <v>306</v>
      </c>
      <c r="R1684" s="8" t="str">
        <f aca="false">B1684&amp;" "&amp;C1684&amp;" "&amp;D1684&amp;" "&amp;E1684&amp;" "&amp;G1684&amp;" "&amp;H1684&amp;" "&amp;J1684&amp;" "&amp;N1684</f>
        <v>Differentials Electrolyte     CIF Singapore (Diff) </v>
      </c>
      <c r="S1684" s="25"/>
      <c r="T1684" s="8"/>
      <c r="U1684" s="8"/>
      <c r="V1684" s="25"/>
      <c r="W1684" s="25"/>
      <c r="X1684" s="25"/>
      <c r="Y1684" s="25"/>
      <c r="Z1684" s="25"/>
      <c r="AA1684" s="25"/>
      <c r="AB1684" s="25"/>
      <c r="AC1684" s="25"/>
      <c r="AD1684" s="25"/>
    </row>
    <row r="1685" customFormat="false" ht="15.75" hidden="false" customHeight="false" outlineLevel="0" collapsed="false">
      <c r="A1685" s="28" t="s">
        <v>2087</v>
      </c>
      <c r="B1685" s="27" t="s">
        <v>438</v>
      </c>
      <c r="C1685" s="27" t="s">
        <v>289</v>
      </c>
      <c r="D1685" s="25"/>
      <c r="E1685" s="25"/>
      <c r="F1685" s="25"/>
      <c r="G1685" s="25"/>
      <c r="H1685" s="25"/>
      <c r="I1685" s="25"/>
      <c r="J1685" s="27" t="s">
        <v>2060</v>
      </c>
      <c r="K1685" s="25" t="str">
        <f aca="false">IFERROR(__xludf.dummyfunction("SPLIT(J1685,"" "")"),"CIF")</f>
        <v>CIF</v>
      </c>
      <c r="L1685" s="28" t="str">
        <f aca="false">IFERROR(__xludf.dummyfunction("""COMPUTED_VALUE"""),"Singapore")</f>
        <v>Singapore</v>
      </c>
      <c r="M1685" s="27" t="str">
        <f aca="false">IFERROR(__xludf.dummyfunction("""COMPUTED_VALUE"""),"(Diff)")</f>
        <v>(Diff)</v>
      </c>
      <c r="N1685" s="25"/>
      <c r="O1685" s="25"/>
      <c r="P1685" s="25"/>
      <c r="Q1685" s="29" t="s">
        <v>304</v>
      </c>
      <c r="R1685" s="8" t="str">
        <f aca="false">B1685&amp;" "&amp;C1685&amp;" "&amp;D1685&amp;" "&amp;E1685&amp;" "&amp;G1685&amp;" "&amp;H1685&amp;" "&amp;J1685&amp;" "&amp;N1685</f>
        <v>Differentials Electrolyte     CIF Singapore (Diff) </v>
      </c>
      <c r="S1685" s="25"/>
      <c r="T1685" s="8"/>
      <c r="U1685" s="8"/>
      <c r="V1685" s="25"/>
      <c r="W1685" s="25"/>
      <c r="X1685" s="25"/>
      <c r="Y1685" s="25"/>
      <c r="Z1685" s="25"/>
      <c r="AA1685" s="25"/>
      <c r="AB1685" s="25"/>
      <c r="AC1685" s="25"/>
      <c r="AD1685" s="25"/>
    </row>
    <row r="1686" customFormat="false" ht="15.75" hidden="false" customHeight="false" outlineLevel="0" collapsed="false">
      <c r="A1686" s="28" t="s">
        <v>2088</v>
      </c>
      <c r="B1686" s="27" t="s">
        <v>438</v>
      </c>
      <c r="C1686" s="27" t="s">
        <v>289</v>
      </c>
      <c r="D1686" s="25"/>
      <c r="E1686" s="25"/>
      <c r="F1686" s="25"/>
      <c r="G1686" s="25"/>
      <c r="H1686" s="25"/>
      <c r="I1686" s="25"/>
      <c r="J1686" s="27" t="s">
        <v>2060</v>
      </c>
      <c r="K1686" s="25" t="str">
        <f aca="false">IFERROR(__xludf.dummyfunction("SPLIT(J1686,"" "")"),"CIF")</f>
        <v>CIF</v>
      </c>
      <c r="L1686" s="28" t="str">
        <f aca="false">IFERROR(__xludf.dummyfunction("""COMPUTED_VALUE"""),"Singapore")</f>
        <v>Singapore</v>
      </c>
      <c r="M1686" s="27" t="str">
        <f aca="false">IFERROR(__xludf.dummyfunction("""COMPUTED_VALUE"""),"(Diff)")</f>
        <v>(Diff)</v>
      </c>
      <c r="N1686" s="25"/>
      <c r="O1686" s="25"/>
      <c r="P1686" s="25"/>
      <c r="Q1686" s="29" t="s">
        <v>302</v>
      </c>
      <c r="R1686" s="8" t="str">
        <f aca="false">B1686&amp;" "&amp;C1686&amp;" "&amp;D1686&amp;" "&amp;E1686&amp;" "&amp;G1686&amp;" "&amp;H1686&amp;" "&amp;J1686&amp;" "&amp;N1686</f>
        <v>Differentials Electrolyte     CIF Singapore (Diff) </v>
      </c>
      <c r="S1686" s="25"/>
      <c r="T1686" s="8"/>
      <c r="U1686" s="8"/>
      <c r="V1686" s="25"/>
      <c r="W1686" s="25"/>
      <c r="X1686" s="25"/>
      <c r="Y1686" s="25"/>
      <c r="Z1686" s="25"/>
      <c r="AA1686" s="25"/>
      <c r="AB1686" s="25"/>
      <c r="AC1686" s="25"/>
      <c r="AD1686" s="25"/>
    </row>
    <row r="1687" customFormat="false" ht="15.75" hidden="false" customHeight="false" outlineLevel="0" collapsed="false">
      <c r="A1687" s="28" t="s">
        <v>2089</v>
      </c>
      <c r="B1687" s="27" t="s">
        <v>438</v>
      </c>
      <c r="C1687" s="27" t="s">
        <v>289</v>
      </c>
      <c r="D1687" s="25"/>
      <c r="E1687" s="25"/>
      <c r="F1687" s="25"/>
      <c r="G1687" s="25"/>
      <c r="H1687" s="25"/>
      <c r="I1687" s="25"/>
      <c r="J1687" s="27" t="s">
        <v>2060</v>
      </c>
      <c r="K1687" s="25" t="str">
        <f aca="false">IFERROR(__xludf.dummyfunction("SPLIT(J1687,"" "")"),"CIF")</f>
        <v>CIF</v>
      </c>
      <c r="L1687" s="28" t="str">
        <f aca="false">IFERROR(__xludf.dummyfunction("""COMPUTED_VALUE"""),"Singapore")</f>
        <v>Singapore</v>
      </c>
      <c r="M1687" s="27" t="str">
        <f aca="false">IFERROR(__xludf.dummyfunction("""COMPUTED_VALUE"""),"(Diff)")</f>
        <v>(Diff)</v>
      </c>
      <c r="N1687" s="25"/>
      <c r="O1687" s="25"/>
      <c r="P1687" s="25"/>
      <c r="Q1687" s="29" t="s">
        <v>300</v>
      </c>
      <c r="R1687" s="8" t="str">
        <f aca="false">B1687&amp;" "&amp;C1687&amp;" "&amp;D1687&amp;" "&amp;E1687&amp;" "&amp;G1687&amp;" "&amp;H1687&amp;" "&amp;J1687&amp;" "&amp;N1687</f>
        <v>Differentials Electrolyte     CIF Singapore (Diff) </v>
      </c>
      <c r="S1687" s="25"/>
      <c r="T1687" s="8"/>
      <c r="U1687" s="8"/>
      <c r="V1687" s="25"/>
      <c r="W1687" s="25"/>
      <c r="X1687" s="25"/>
      <c r="Y1687" s="25"/>
      <c r="Z1687" s="25"/>
      <c r="AA1687" s="25"/>
      <c r="AB1687" s="25"/>
      <c r="AC1687" s="25"/>
      <c r="AD1687" s="25"/>
    </row>
    <row r="1688" customFormat="false" ht="15.75" hidden="false" customHeight="false" outlineLevel="0" collapsed="false">
      <c r="A1688" s="28" t="s">
        <v>2090</v>
      </c>
      <c r="B1688" s="27" t="s">
        <v>438</v>
      </c>
      <c r="C1688" s="27" t="s">
        <v>289</v>
      </c>
      <c r="D1688" s="25"/>
      <c r="E1688" s="25"/>
      <c r="F1688" s="25"/>
      <c r="G1688" s="25"/>
      <c r="H1688" s="25"/>
      <c r="I1688" s="25"/>
      <c r="J1688" s="27" t="s">
        <v>2060</v>
      </c>
      <c r="K1688" s="25" t="str">
        <f aca="false">IFERROR(__xludf.dummyfunction("SPLIT(J1688,"" "")"),"CIF")</f>
        <v>CIF</v>
      </c>
      <c r="L1688" s="28" t="str">
        <f aca="false">IFERROR(__xludf.dummyfunction("""COMPUTED_VALUE"""),"Singapore")</f>
        <v>Singapore</v>
      </c>
      <c r="M1688" s="27" t="str">
        <f aca="false">IFERROR(__xludf.dummyfunction("""COMPUTED_VALUE"""),"(Diff)")</f>
        <v>(Diff)</v>
      </c>
      <c r="N1688" s="25"/>
      <c r="O1688" s="25"/>
      <c r="P1688" s="25"/>
      <c r="Q1688" s="29" t="s">
        <v>298</v>
      </c>
      <c r="R1688" s="8" t="str">
        <f aca="false">B1688&amp;" "&amp;C1688&amp;" "&amp;D1688&amp;" "&amp;E1688&amp;" "&amp;G1688&amp;" "&amp;H1688&amp;" "&amp;J1688&amp;" "&amp;N1688</f>
        <v>Differentials Electrolyte     CIF Singapore (Diff) </v>
      </c>
      <c r="S1688" s="25"/>
      <c r="T1688" s="8"/>
      <c r="U1688" s="8"/>
      <c r="V1688" s="25"/>
      <c r="W1688" s="25"/>
      <c r="X1688" s="25"/>
      <c r="Y1688" s="25"/>
      <c r="Z1688" s="25"/>
      <c r="AA1688" s="25"/>
      <c r="AB1688" s="25"/>
      <c r="AC1688" s="25"/>
      <c r="AD1688" s="25"/>
    </row>
    <row r="1689" customFormat="false" ht="15.75" hidden="false" customHeight="false" outlineLevel="0" collapsed="false">
      <c r="A1689" s="28" t="s">
        <v>2091</v>
      </c>
      <c r="B1689" s="27" t="s">
        <v>438</v>
      </c>
      <c r="C1689" s="27" t="s">
        <v>289</v>
      </c>
      <c r="D1689" s="25"/>
      <c r="E1689" s="25"/>
      <c r="F1689" s="25"/>
      <c r="G1689" s="25"/>
      <c r="H1689" s="25"/>
      <c r="I1689" s="25"/>
      <c r="J1689" s="27" t="s">
        <v>2060</v>
      </c>
      <c r="K1689" s="25" t="str">
        <f aca="false">IFERROR(__xludf.dummyfunction("SPLIT(J1689,"" "")"),"CIF")</f>
        <v>CIF</v>
      </c>
      <c r="L1689" s="28" t="str">
        <f aca="false">IFERROR(__xludf.dummyfunction("""COMPUTED_VALUE"""),"Singapore")</f>
        <v>Singapore</v>
      </c>
      <c r="M1689" s="27" t="str">
        <f aca="false">IFERROR(__xludf.dummyfunction("""COMPUTED_VALUE"""),"(Diff)")</f>
        <v>(Diff)</v>
      </c>
      <c r="N1689" s="25"/>
      <c r="O1689" s="25"/>
      <c r="P1689" s="25"/>
      <c r="Q1689" s="29" t="s">
        <v>296</v>
      </c>
      <c r="R1689" s="8" t="str">
        <f aca="false">B1689&amp;" "&amp;C1689&amp;" "&amp;D1689&amp;" "&amp;E1689&amp;" "&amp;G1689&amp;" "&amp;H1689&amp;" "&amp;J1689&amp;" "&amp;N1689</f>
        <v>Differentials Electrolyte     CIF Singapore (Diff) </v>
      </c>
      <c r="S1689" s="25"/>
      <c r="T1689" s="8"/>
      <c r="U1689" s="8"/>
      <c r="V1689" s="25"/>
      <c r="W1689" s="25"/>
      <c r="X1689" s="25"/>
      <c r="Y1689" s="25"/>
      <c r="Z1689" s="25"/>
      <c r="AA1689" s="25"/>
      <c r="AB1689" s="25"/>
      <c r="AC1689" s="25"/>
      <c r="AD1689" s="25"/>
    </row>
    <row r="1690" customFormat="false" ht="15.75" hidden="false" customHeight="false" outlineLevel="0" collapsed="false">
      <c r="A1690" s="28" t="s">
        <v>2092</v>
      </c>
      <c r="B1690" s="27" t="s">
        <v>438</v>
      </c>
      <c r="C1690" s="27" t="s">
        <v>289</v>
      </c>
      <c r="D1690" s="25"/>
      <c r="E1690" s="25"/>
      <c r="F1690" s="25"/>
      <c r="G1690" s="25"/>
      <c r="H1690" s="25"/>
      <c r="I1690" s="25"/>
      <c r="J1690" s="27" t="s">
        <v>2060</v>
      </c>
      <c r="K1690" s="25" t="str">
        <f aca="false">IFERROR(__xludf.dummyfunction("SPLIT(J1690,"" "")"),"CIF")</f>
        <v>CIF</v>
      </c>
      <c r="L1690" s="28" t="str">
        <f aca="false">IFERROR(__xludf.dummyfunction("""COMPUTED_VALUE"""),"Singapore")</f>
        <v>Singapore</v>
      </c>
      <c r="M1690" s="27" t="str">
        <f aca="false">IFERROR(__xludf.dummyfunction("""COMPUTED_VALUE"""),"(Diff)")</f>
        <v>(Diff)</v>
      </c>
      <c r="N1690" s="25"/>
      <c r="O1690" s="25"/>
      <c r="P1690" s="25"/>
      <c r="Q1690" s="29" t="s">
        <v>294</v>
      </c>
      <c r="R1690" s="8" t="str">
        <f aca="false">B1690&amp;" "&amp;C1690&amp;" "&amp;D1690&amp;" "&amp;E1690&amp;" "&amp;G1690&amp;" "&amp;H1690&amp;" "&amp;J1690&amp;" "&amp;N1690</f>
        <v>Differentials Electrolyte     CIF Singapore (Diff) </v>
      </c>
      <c r="S1690" s="25"/>
      <c r="T1690" s="8"/>
      <c r="U1690" s="8"/>
      <c r="V1690" s="25"/>
      <c r="W1690" s="25"/>
      <c r="X1690" s="25"/>
      <c r="Y1690" s="25"/>
      <c r="Z1690" s="25"/>
      <c r="AA1690" s="25"/>
      <c r="AB1690" s="25"/>
      <c r="AC1690" s="25"/>
      <c r="AD1690" s="25"/>
    </row>
    <row r="1691" customFormat="false" ht="15.75" hidden="false" customHeight="false" outlineLevel="0" collapsed="false">
      <c r="A1691" s="28" t="s">
        <v>2093</v>
      </c>
      <c r="B1691" s="27" t="s">
        <v>438</v>
      </c>
      <c r="C1691" s="27" t="s">
        <v>289</v>
      </c>
      <c r="D1691" s="25"/>
      <c r="E1691" s="25"/>
      <c r="F1691" s="25"/>
      <c r="G1691" s="25"/>
      <c r="H1691" s="25"/>
      <c r="I1691" s="25"/>
      <c r="J1691" s="27" t="s">
        <v>2060</v>
      </c>
      <c r="K1691" s="25" t="str">
        <f aca="false">IFERROR(__xludf.dummyfunction("SPLIT(J1691,"" "")"),"CIF")</f>
        <v>CIF</v>
      </c>
      <c r="L1691" s="28" t="str">
        <f aca="false">IFERROR(__xludf.dummyfunction("""COMPUTED_VALUE"""),"Singapore")</f>
        <v>Singapore</v>
      </c>
      <c r="M1691" s="27" t="str">
        <f aca="false">IFERROR(__xludf.dummyfunction("""COMPUTED_VALUE"""),"(Diff)")</f>
        <v>(Diff)</v>
      </c>
      <c r="N1691" s="25"/>
      <c r="O1691" s="25"/>
      <c r="P1691" s="25"/>
      <c r="Q1691" s="29" t="s">
        <v>291</v>
      </c>
      <c r="R1691" s="8" t="str">
        <f aca="false">B1691&amp;" "&amp;C1691&amp;" "&amp;D1691&amp;" "&amp;E1691&amp;" "&amp;G1691&amp;" "&amp;H1691&amp;" "&amp;J1691&amp;" "&amp;N1691</f>
        <v>Differentials Electrolyte     CIF Singapore (Diff) </v>
      </c>
      <c r="S1691" s="25"/>
      <c r="T1691" s="8"/>
      <c r="U1691" s="8"/>
      <c r="V1691" s="25"/>
      <c r="W1691" s="25"/>
      <c r="X1691" s="25"/>
      <c r="Y1691" s="25"/>
      <c r="Z1691" s="25"/>
      <c r="AA1691" s="25"/>
      <c r="AB1691" s="25"/>
      <c r="AC1691" s="25"/>
      <c r="AD1691" s="25"/>
    </row>
    <row r="1692" customFormat="false" ht="15.75" hidden="false" customHeight="false" outlineLevel="0" collapsed="false">
      <c r="A1692" s="28" t="s">
        <v>2094</v>
      </c>
      <c r="B1692" s="27" t="s">
        <v>438</v>
      </c>
      <c r="C1692" s="27" t="s">
        <v>308</v>
      </c>
      <c r="D1692" s="25"/>
      <c r="E1692" s="25"/>
      <c r="F1692" s="25"/>
      <c r="G1692" s="25"/>
      <c r="H1692" s="25"/>
      <c r="I1692" s="25"/>
      <c r="J1692" s="27" t="s">
        <v>2060</v>
      </c>
      <c r="K1692" s="25" t="str">
        <f aca="false">IFERROR(__xludf.dummyfunction("SPLIT(J1692,"" "")"),"CIF")</f>
        <v>CIF</v>
      </c>
      <c r="L1692" s="28" t="str">
        <f aca="false">IFERROR(__xludf.dummyfunction("""COMPUTED_VALUE"""),"Singapore")</f>
        <v>Singapore</v>
      </c>
      <c r="M1692" s="27" t="str">
        <f aca="false">IFERROR(__xludf.dummyfunction("""COMPUTED_VALUE"""),"(Diff)")</f>
        <v>(Diff)</v>
      </c>
      <c r="N1692" s="25"/>
      <c r="O1692" s="25"/>
      <c r="P1692" s="25"/>
      <c r="Q1692" s="29" t="s">
        <v>358</v>
      </c>
      <c r="R1692" s="8" t="str">
        <f aca="false">B1692&amp;" "&amp;C1692&amp;" "&amp;D1692&amp;" "&amp;E1692&amp;" "&amp;G1692&amp;" "&amp;H1692&amp;" "&amp;J1692&amp;" "&amp;N1692</f>
        <v>Differentials Graphite     CIF Singapore (Diff) </v>
      </c>
      <c r="S1692" s="25"/>
      <c r="T1692" s="8"/>
      <c r="U1692" s="8"/>
      <c r="V1692" s="25"/>
      <c r="W1692" s="25"/>
      <c r="X1692" s="25"/>
      <c r="Y1692" s="25"/>
      <c r="Z1692" s="25"/>
      <c r="AA1692" s="25"/>
      <c r="AB1692" s="25"/>
      <c r="AC1692" s="25"/>
      <c r="AD1692" s="25"/>
    </row>
    <row r="1693" customFormat="false" ht="15.75" hidden="false" customHeight="false" outlineLevel="0" collapsed="false">
      <c r="A1693" s="28" t="s">
        <v>2095</v>
      </c>
      <c r="B1693" s="27" t="s">
        <v>438</v>
      </c>
      <c r="C1693" s="27" t="s">
        <v>308</v>
      </c>
      <c r="D1693" s="25"/>
      <c r="E1693" s="25"/>
      <c r="F1693" s="25"/>
      <c r="G1693" s="25"/>
      <c r="H1693" s="25"/>
      <c r="I1693" s="25"/>
      <c r="J1693" s="27" t="s">
        <v>2060</v>
      </c>
      <c r="K1693" s="25" t="str">
        <f aca="false">IFERROR(__xludf.dummyfunction("SPLIT(J1693,"" "")"),"CIF")</f>
        <v>CIF</v>
      </c>
      <c r="L1693" s="28" t="str">
        <f aca="false">IFERROR(__xludf.dummyfunction("""COMPUTED_VALUE"""),"Singapore")</f>
        <v>Singapore</v>
      </c>
      <c r="M1693" s="27" t="str">
        <f aca="false">IFERROR(__xludf.dummyfunction("""COMPUTED_VALUE"""),"(Diff)")</f>
        <v>(Diff)</v>
      </c>
      <c r="N1693" s="25"/>
      <c r="O1693" s="25"/>
      <c r="P1693" s="25"/>
      <c r="Q1693" s="29" t="s">
        <v>356</v>
      </c>
      <c r="R1693" s="8" t="str">
        <f aca="false">B1693&amp;" "&amp;C1693&amp;" "&amp;D1693&amp;" "&amp;E1693&amp;" "&amp;G1693&amp;" "&amp;H1693&amp;" "&amp;J1693&amp;" "&amp;N1693</f>
        <v>Differentials Graphite     CIF Singapore (Diff) </v>
      </c>
      <c r="S1693" s="25"/>
      <c r="T1693" s="8"/>
      <c r="U1693" s="8"/>
      <c r="V1693" s="25"/>
      <c r="W1693" s="25"/>
      <c r="X1693" s="25"/>
      <c r="Y1693" s="25"/>
      <c r="Z1693" s="25"/>
      <c r="AA1693" s="25"/>
      <c r="AB1693" s="25"/>
      <c r="AC1693" s="25"/>
      <c r="AD1693" s="25"/>
    </row>
    <row r="1694" customFormat="false" ht="15.75" hidden="false" customHeight="false" outlineLevel="0" collapsed="false">
      <c r="A1694" s="28" t="s">
        <v>2096</v>
      </c>
      <c r="B1694" s="27" t="s">
        <v>438</v>
      </c>
      <c r="C1694" s="27" t="s">
        <v>308</v>
      </c>
      <c r="D1694" s="25"/>
      <c r="E1694" s="25"/>
      <c r="F1694" s="25"/>
      <c r="G1694" s="25"/>
      <c r="H1694" s="25"/>
      <c r="I1694" s="25"/>
      <c r="J1694" s="27" t="s">
        <v>2060</v>
      </c>
      <c r="K1694" s="25" t="str">
        <f aca="false">IFERROR(__xludf.dummyfunction("SPLIT(J1694,"" "")"),"CIF")</f>
        <v>CIF</v>
      </c>
      <c r="L1694" s="28" t="str">
        <f aca="false">IFERROR(__xludf.dummyfunction("""COMPUTED_VALUE"""),"Singapore")</f>
        <v>Singapore</v>
      </c>
      <c r="M1694" s="27" t="str">
        <f aca="false">IFERROR(__xludf.dummyfunction("""COMPUTED_VALUE"""),"(Diff)")</f>
        <v>(Diff)</v>
      </c>
      <c r="N1694" s="25"/>
      <c r="O1694" s="25"/>
      <c r="P1694" s="25"/>
      <c r="Q1694" s="29" t="s">
        <v>354</v>
      </c>
      <c r="R1694" s="8" t="str">
        <f aca="false">B1694&amp;" "&amp;C1694&amp;" "&amp;D1694&amp;" "&amp;E1694&amp;" "&amp;G1694&amp;" "&amp;H1694&amp;" "&amp;J1694&amp;" "&amp;N1694</f>
        <v>Differentials Graphite     CIF Singapore (Diff) </v>
      </c>
      <c r="S1694" s="25"/>
      <c r="T1694" s="8"/>
      <c r="U1694" s="8"/>
      <c r="V1694" s="25"/>
      <c r="W1694" s="25"/>
      <c r="X1694" s="25"/>
      <c r="Y1694" s="25"/>
      <c r="Z1694" s="25"/>
      <c r="AA1694" s="25"/>
      <c r="AB1694" s="25"/>
      <c r="AC1694" s="25"/>
      <c r="AD1694" s="25"/>
    </row>
    <row r="1695" customFormat="false" ht="15.75" hidden="false" customHeight="false" outlineLevel="0" collapsed="false">
      <c r="A1695" s="28" t="s">
        <v>2097</v>
      </c>
      <c r="B1695" s="27" t="s">
        <v>438</v>
      </c>
      <c r="C1695" s="27" t="s">
        <v>308</v>
      </c>
      <c r="D1695" s="25"/>
      <c r="E1695" s="25"/>
      <c r="F1695" s="25"/>
      <c r="G1695" s="25"/>
      <c r="H1695" s="25"/>
      <c r="I1695" s="25"/>
      <c r="J1695" s="27" t="s">
        <v>2060</v>
      </c>
      <c r="K1695" s="25" t="str">
        <f aca="false">IFERROR(__xludf.dummyfunction("SPLIT(J1695,"" "")"),"CIF")</f>
        <v>CIF</v>
      </c>
      <c r="L1695" s="28" t="str">
        <f aca="false">IFERROR(__xludf.dummyfunction("""COMPUTED_VALUE"""),"Singapore")</f>
        <v>Singapore</v>
      </c>
      <c r="M1695" s="27" t="str">
        <f aca="false">IFERROR(__xludf.dummyfunction("""COMPUTED_VALUE"""),"(Diff)")</f>
        <v>(Diff)</v>
      </c>
      <c r="N1695" s="25"/>
      <c r="O1695" s="25"/>
      <c r="P1695" s="25"/>
      <c r="Q1695" s="29" t="s">
        <v>352</v>
      </c>
      <c r="R1695" s="8" t="str">
        <f aca="false">B1695&amp;" "&amp;C1695&amp;" "&amp;D1695&amp;" "&amp;E1695&amp;" "&amp;G1695&amp;" "&amp;H1695&amp;" "&amp;J1695&amp;" "&amp;N1695</f>
        <v>Differentials Graphite     CIF Singapore (Diff) </v>
      </c>
      <c r="S1695" s="25"/>
      <c r="T1695" s="8"/>
      <c r="U1695" s="8"/>
      <c r="V1695" s="25"/>
      <c r="W1695" s="25"/>
      <c r="X1695" s="25"/>
      <c r="Y1695" s="25"/>
      <c r="Z1695" s="25"/>
      <c r="AA1695" s="25"/>
      <c r="AB1695" s="25"/>
      <c r="AC1695" s="25"/>
      <c r="AD1695" s="25"/>
    </row>
    <row r="1696" customFormat="false" ht="15.75" hidden="false" customHeight="false" outlineLevel="0" collapsed="false">
      <c r="A1696" s="28" t="s">
        <v>2098</v>
      </c>
      <c r="B1696" s="27" t="s">
        <v>438</v>
      </c>
      <c r="C1696" s="27" t="s">
        <v>308</v>
      </c>
      <c r="D1696" s="25"/>
      <c r="E1696" s="25"/>
      <c r="F1696" s="25"/>
      <c r="G1696" s="25"/>
      <c r="H1696" s="25"/>
      <c r="I1696" s="25"/>
      <c r="J1696" s="27" t="s">
        <v>2060</v>
      </c>
      <c r="K1696" s="25" t="str">
        <f aca="false">IFERROR(__xludf.dummyfunction("SPLIT(J1696,"" "")"),"CIF")</f>
        <v>CIF</v>
      </c>
      <c r="L1696" s="28" t="str">
        <f aca="false">IFERROR(__xludf.dummyfunction("""COMPUTED_VALUE"""),"Singapore")</f>
        <v>Singapore</v>
      </c>
      <c r="M1696" s="27" t="str">
        <f aca="false">IFERROR(__xludf.dummyfunction("""COMPUTED_VALUE"""),"(Diff)")</f>
        <v>(Diff)</v>
      </c>
      <c r="N1696" s="25"/>
      <c r="O1696" s="25"/>
      <c r="P1696" s="25"/>
      <c r="Q1696" s="29" t="s">
        <v>350</v>
      </c>
      <c r="R1696" s="8" t="str">
        <f aca="false">B1696&amp;" "&amp;C1696&amp;" "&amp;D1696&amp;" "&amp;E1696&amp;" "&amp;G1696&amp;" "&amp;H1696&amp;" "&amp;J1696&amp;" "&amp;N1696</f>
        <v>Differentials Graphite     CIF Singapore (Diff) </v>
      </c>
      <c r="S1696" s="25"/>
      <c r="T1696" s="8"/>
      <c r="U1696" s="8"/>
      <c r="V1696" s="25"/>
      <c r="W1696" s="25"/>
      <c r="X1696" s="25"/>
      <c r="Y1696" s="25"/>
      <c r="Z1696" s="25"/>
      <c r="AA1696" s="25"/>
      <c r="AB1696" s="25"/>
      <c r="AC1696" s="25"/>
      <c r="AD1696" s="25"/>
    </row>
    <row r="1697" customFormat="false" ht="15.75" hidden="false" customHeight="false" outlineLevel="0" collapsed="false">
      <c r="A1697" s="28" t="s">
        <v>2099</v>
      </c>
      <c r="B1697" s="27" t="s">
        <v>438</v>
      </c>
      <c r="C1697" s="27" t="s">
        <v>308</v>
      </c>
      <c r="D1697" s="25"/>
      <c r="E1697" s="25"/>
      <c r="F1697" s="25"/>
      <c r="G1697" s="25"/>
      <c r="H1697" s="25"/>
      <c r="I1697" s="25"/>
      <c r="J1697" s="27" t="s">
        <v>2060</v>
      </c>
      <c r="K1697" s="25" t="str">
        <f aca="false">IFERROR(__xludf.dummyfunction("SPLIT(J1697,"" "")"),"CIF")</f>
        <v>CIF</v>
      </c>
      <c r="L1697" s="28" t="str">
        <f aca="false">IFERROR(__xludf.dummyfunction("""COMPUTED_VALUE"""),"Singapore")</f>
        <v>Singapore</v>
      </c>
      <c r="M1697" s="27" t="str">
        <f aca="false">IFERROR(__xludf.dummyfunction("""COMPUTED_VALUE"""),"(Diff)")</f>
        <v>(Diff)</v>
      </c>
      <c r="N1697" s="25"/>
      <c r="O1697" s="25"/>
      <c r="P1697" s="25"/>
      <c r="Q1697" s="29" t="s">
        <v>347</v>
      </c>
      <c r="R1697" s="8" t="str">
        <f aca="false">B1697&amp;" "&amp;C1697&amp;" "&amp;D1697&amp;" "&amp;E1697&amp;" "&amp;G1697&amp;" "&amp;H1697&amp;" "&amp;J1697&amp;" "&amp;N1697</f>
        <v>Differentials Graphite     CIF Singapore (Diff) </v>
      </c>
      <c r="S1697" s="25"/>
      <c r="T1697" s="8"/>
      <c r="U1697" s="8"/>
      <c r="V1697" s="25"/>
      <c r="W1697" s="25"/>
      <c r="X1697" s="25"/>
      <c r="Y1697" s="25"/>
      <c r="Z1697" s="25"/>
      <c r="AA1697" s="25"/>
      <c r="AB1697" s="25"/>
      <c r="AC1697" s="25"/>
      <c r="AD1697" s="25"/>
    </row>
    <row r="1698" customFormat="false" ht="15.75" hidden="false" customHeight="false" outlineLevel="0" collapsed="false">
      <c r="A1698" s="28" t="s">
        <v>2100</v>
      </c>
      <c r="B1698" s="27" t="s">
        <v>438</v>
      </c>
      <c r="C1698" s="27" t="s">
        <v>308</v>
      </c>
      <c r="D1698" s="25"/>
      <c r="E1698" s="25"/>
      <c r="F1698" s="25"/>
      <c r="G1698" s="25"/>
      <c r="H1698" s="25"/>
      <c r="I1698" s="25"/>
      <c r="J1698" s="27" t="s">
        <v>2060</v>
      </c>
      <c r="K1698" s="25" t="str">
        <f aca="false">IFERROR(__xludf.dummyfunction("SPLIT(J1698,"" "")"),"CIF")</f>
        <v>CIF</v>
      </c>
      <c r="L1698" s="28" t="str">
        <f aca="false">IFERROR(__xludf.dummyfunction("""COMPUTED_VALUE"""),"Singapore")</f>
        <v>Singapore</v>
      </c>
      <c r="M1698" s="27" t="str">
        <f aca="false">IFERROR(__xludf.dummyfunction("""COMPUTED_VALUE"""),"(Diff)")</f>
        <v>(Diff)</v>
      </c>
      <c r="N1698" s="25"/>
      <c r="O1698" s="25"/>
      <c r="P1698" s="25"/>
      <c r="Q1698" s="29" t="s">
        <v>344</v>
      </c>
      <c r="R1698" s="8" t="str">
        <f aca="false">B1698&amp;" "&amp;C1698&amp;" "&amp;D1698&amp;" "&amp;E1698&amp;" "&amp;G1698&amp;" "&amp;H1698&amp;" "&amp;J1698&amp;" "&amp;N1698</f>
        <v>Differentials Graphite     CIF Singapore (Diff) </v>
      </c>
      <c r="S1698" s="25"/>
      <c r="T1698" s="8"/>
      <c r="U1698" s="8"/>
      <c r="V1698" s="25"/>
      <c r="W1698" s="25"/>
      <c r="X1698" s="25"/>
      <c r="Y1698" s="25"/>
      <c r="Z1698" s="25"/>
      <c r="AA1698" s="25"/>
      <c r="AB1698" s="25"/>
      <c r="AC1698" s="25"/>
      <c r="AD1698" s="25"/>
    </row>
    <row r="1699" customFormat="false" ht="15.75" hidden="false" customHeight="false" outlineLevel="0" collapsed="false">
      <c r="A1699" s="28" t="s">
        <v>2101</v>
      </c>
      <c r="B1699" s="27" t="s">
        <v>438</v>
      </c>
      <c r="C1699" s="27" t="s">
        <v>308</v>
      </c>
      <c r="D1699" s="25"/>
      <c r="E1699" s="25"/>
      <c r="F1699" s="25"/>
      <c r="G1699" s="25"/>
      <c r="H1699" s="25"/>
      <c r="I1699" s="25"/>
      <c r="J1699" s="27" t="s">
        <v>2060</v>
      </c>
      <c r="K1699" s="25" t="str">
        <f aca="false">IFERROR(__xludf.dummyfunction("SPLIT(J1699,"" "")"),"CIF")</f>
        <v>CIF</v>
      </c>
      <c r="L1699" s="28" t="str">
        <f aca="false">IFERROR(__xludf.dummyfunction("""COMPUTED_VALUE"""),"Singapore")</f>
        <v>Singapore</v>
      </c>
      <c r="M1699" s="27" t="str">
        <f aca="false">IFERROR(__xludf.dummyfunction("""COMPUTED_VALUE"""),"(Diff)")</f>
        <v>(Diff)</v>
      </c>
      <c r="N1699" s="25"/>
      <c r="O1699" s="25"/>
      <c r="P1699" s="25"/>
      <c r="Q1699" s="29" t="s">
        <v>340</v>
      </c>
      <c r="R1699" s="8" t="str">
        <f aca="false">B1699&amp;" "&amp;C1699&amp;" "&amp;D1699&amp;" "&amp;E1699&amp;" "&amp;G1699&amp;" "&amp;H1699&amp;" "&amp;J1699&amp;" "&amp;N1699</f>
        <v>Differentials Graphite     CIF Singapore (Diff) </v>
      </c>
      <c r="S1699" s="25"/>
      <c r="T1699" s="8"/>
      <c r="U1699" s="8"/>
      <c r="V1699" s="25"/>
      <c r="W1699" s="25"/>
      <c r="X1699" s="25"/>
      <c r="Y1699" s="25"/>
      <c r="Z1699" s="25"/>
      <c r="AA1699" s="25"/>
      <c r="AB1699" s="25"/>
      <c r="AC1699" s="25"/>
      <c r="AD1699" s="25"/>
    </row>
    <row r="1700" customFormat="false" ht="15.75" hidden="false" customHeight="false" outlineLevel="0" collapsed="false">
      <c r="A1700" s="28" t="s">
        <v>2102</v>
      </c>
      <c r="B1700" s="27" t="s">
        <v>438</v>
      </c>
      <c r="C1700" s="27" t="s">
        <v>308</v>
      </c>
      <c r="D1700" s="25"/>
      <c r="E1700" s="25"/>
      <c r="F1700" s="25"/>
      <c r="G1700" s="25"/>
      <c r="H1700" s="25"/>
      <c r="I1700" s="25"/>
      <c r="J1700" s="27" t="s">
        <v>2060</v>
      </c>
      <c r="K1700" s="25" t="str">
        <f aca="false">IFERROR(__xludf.dummyfunction("SPLIT(J1700,"" "")"),"CIF")</f>
        <v>CIF</v>
      </c>
      <c r="L1700" s="28" t="str">
        <f aca="false">IFERROR(__xludf.dummyfunction("""COMPUTED_VALUE"""),"Singapore")</f>
        <v>Singapore</v>
      </c>
      <c r="M1700" s="27" t="str">
        <f aca="false">IFERROR(__xludf.dummyfunction("""COMPUTED_VALUE"""),"(Diff)")</f>
        <v>(Diff)</v>
      </c>
      <c r="N1700" s="25"/>
      <c r="O1700" s="25"/>
      <c r="P1700" s="25"/>
      <c r="Q1700" s="29" t="s">
        <v>338</v>
      </c>
      <c r="R1700" s="8" t="str">
        <f aca="false">B1700&amp;" "&amp;C1700&amp;" "&amp;D1700&amp;" "&amp;E1700&amp;" "&amp;G1700&amp;" "&amp;H1700&amp;" "&amp;J1700&amp;" "&amp;N1700</f>
        <v>Differentials Graphite     CIF Singapore (Diff) </v>
      </c>
      <c r="S1700" s="25"/>
      <c r="T1700" s="8"/>
      <c r="U1700" s="8"/>
      <c r="V1700" s="25"/>
      <c r="W1700" s="25"/>
      <c r="X1700" s="25"/>
      <c r="Y1700" s="25"/>
      <c r="Z1700" s="25"/>
      <c r="AA1700" s="25"/>
      <c r="AB1700" s="25"/>
      <c r="AC1700" s="25"/>
      <c r="AD1700" s="25"/>
    </row>
    <row r="1701" customFormat="false" ht="15.75" hidden="false" customHeight="false" outlineLevel="0" collapsed="false">
      <c r="A1701" s="28" t="s">
        <v>2103</v>
      </c>
      <c r="B1701" s="27" t="s">
        <v>438</v>
      </c>
      <c r="C1701" s="27" t="s">
        <v>308</v>
      </c>
      <c r="D1701" s="25"/>
      <c r="E1701" s="25"/>
      <c r="F1701" s="25"/>
      <c r="G1701" s="25"/>
      <c r="H1701" s="25"/>
      <c r="I1701" s="25"/>
      <c r="J1701" s="27" t="s">
        <v>2060</v>
      </c>
      <c r="K1701" s="25" t="str">
        <f aca="false">IFERROR(__xludf.dummyfunction("SPLIT(J1701,"" "")"),"CIF")</f>
        <v>CIF</v>
      </c>
      <c r="L1701" s="28" t="str">
        <f aca="false">IFERROR(__xludf.dummyfunction("""COMPUTED_VALUE"""),"Singapore")</f>
        <v>Singapore</v>
      </c>
      <c r="M1701" s="27" t="str">
        <f aca="false">IFERROR(__xludf.dummyfunction("""COMPUTED_VALUE"""),"(Diff)")</f>
        <v>(Diff)</v>
      </c>
      <c r="N1701" s="25"/>
      <c r="O1701" s="25"/>
      <c r="P1701" s="25"/>
      <c r="Q1701" s="29" t="s">
        <v>335</v>
      </c>
      <c r="R1701" s="8" t="str">
        <f aca="false">B1701&amp;" "&amp;C1701&amp;" "&amp;D1701&amp;" "&amp;E1701&amp;" "&amp;G1701&amp;" "&amp;H1701&amp;" "&amp;J1701&amp;" "&amp;N1701</f>
        <v>Differentials Graphite     CIF Singapore (Diff) </v>
      </c>
      <c r="S1701" s="25"/>
      <c r="T1701" s="8"/>
      <c r="U1701" s="8"/>
      <c r="V1701" s="25"/>
      <c r="W1701" s="25"/>
      <c r="X1701" s="25"/>
      <c r="Y1701" s="25"/>
      <c r="Z1701" s="25"/>
      <c r="AA1701" s="25"/>
      <c r="AB1701" s="25"/>
      <c r="AC1701" s="25"/>
      <c r="AD1701" s="25"/>
    </row>
    <row r="1702" customFormat="false" ht="15.75" hidden="false" customHeight="false" outlineLevel="0" collapsed="false">
      <c r="A1702" s="28" t="s">
        <v>2104</v>
      </c>
      <c r="B1702" s="27" t="s">
        <v>438</v>
      </c>
      <c r="C1702" s="27" t="s">
        <v>308</v>
      </c>
      <c r="D1702" s="25"/>
      <c r="E1702" s="25"/>
      <c r="F1702" s="25"/>
      <c r="G1702" s="25"/>
      <c r="H1702" s="25"/>
      <c r="I1702" s="25"/>
      <c r="J1702" s="27" t="s">
        <v>2060</v>
      </c>
      <c r="K1702" s="25" t="str">
        <f aca="false">IFERROR(__xludf.dummyfunction("SPLIT(J1702,"" "")"),"CIF")</f>
        <v>CIF</v>
      </c>
      <c r="L1702" s="28" t="str">
        <f aca="false">IFERROR(__xludf.dummyfunction("""COMPUTED_VALUE"""),"Singapore")</f>
        <v>Singapore</v>
      </c>
      <c r="M1702" s="27" t="str">
        <f aca="false">IFERROR(__xludf.dummyfunction("""COMPUTED_VALUE"""),"(Diff)")</f>
        <v>(Diff)</v>
      </c>
      <c r="N1702" s="25"/>
      <c r="O1702" s="25"/>
      <c r="P1702" s="25"/>
      <c r="Q1702" s="29" t="s">
        <v>332</v>
      </c>
      <c r="R1702" s="8" t="str">
        <f aca="false">B1702&amp;" "&amp;C1702&amp;" "&amp;D1702&amp;" "&amp;E1702&amp;" "&amp;G1702&amp;" "&amp;H1702&amp;" "&amp;J1702&amp;" "&amp;N1702</f>
        <v>Differentials Graphite     CIF Singapore (Diff) </v>
      </c>
      <c r="S1702" s="25"/>
      <c r="T1702" s="8"/>
      <c r="U1702" s="8"/>
      <c r="V1702" s="25"/>
      <c r="W1702" s="25"/>
      <c r="X1702" s="25"/>
      <c r="Y1702" s="25"/>
      <c r="Z1702" s="25"/>
      <c r="AA1702" s="25"/>
      <c r="AB1702" s="25"/>
      <c r="AC1702" s="25"/>
      <c r="AD1702" s="25"/>
    </row>
    <row r="1703" customFormat="false" ht="15.75" hidden="false" customHeight="false" outlineLevel="0" collapsed="false">
      <c r="A1703" s="28" t="s">
        <v>2105</v>
      </c>
      <c r="B1703" s="27" t="s">
        <v>438</v>
      </c>
      <c r="C1703" s="27" t="s">
        <v>308</v>
      </c>
      <c r="D1703" s="25"/>
      <c r="E1703" s="25"/>
      <c r="F1703" s="25"/>
      <c r="G1703" s="25"/>
      <c r="H1703" s="25"/>
      <c r="I1703" s="25"/>
      <c r="J1703" s="27" t="s">
        <v>2060</v>
      </c>
      <c r="K1703" s="25" t="str">
        <f aca="false">IFERROR(__xludf.dummyfunction("SPLIT(J1703,"" "")"),"CIF")</f>
        <v>CIF</v>
      </c>
      <c r="L1703" s="28" t="str">
        <f aca="false">IFERROR(__xludf.dummyfunction("""COMPUTED_VALUE"""),"Singapore")</f>
        <v>Singapore</v>
      </c>
      <c r="M1703" s="27" t="str">
        <f aca="false">IFERROR(__xludf.dummyfunction("""COMPUTED_VALUE"""),"(Diff)")</f>
        <v>(Diff)</v>
      </c>
      <c r="N1703" s="25"/>
      <c r="O1703" s="25"/>
      <c r="P1703" s="25"/>
      <c r="Q1703" s="29" t="s">
        <v>329</v>
      </c>
      <c r="R1703" s="8" t="str">
        <f aca="false">B1703&amp;" "&amp;C1703&amp;" "&amp;D1703&amp;" "&amp;E1703&amp;" "&amp;G1703&amp;" "&amp;H1703&amp;" "&amp;J1703&amp;" "&amp;N1703</f>
        <v>Differentials Graphite     CIF Singapore (Diff) </v>
      </c>
      <c r="S1703" s="25"/>
      <c r="T1703" s="8"/>
      <c r="U1703" s="8"/>
      <c r="V1703" s="25"/>
      <c r="W1703" s="25"/>
      <c r="X1703" s="25"/>
      <c r="Y1703" s="25"/>
      <c r="Z1703" s="25"/>
      <c r="AA1703" s="25"/>
      <c r="AB1703" s="25"/>
      <c r="AC1703" s="25"/>
      <c r="AD1703" s="25"/>
    </row>
    <row r="1704" customFormat="false" ht="15.75" hidden="false" customHeight="false" outlineLevel="0" collapsed="false">
      <c r="A1704" s="28" t="s">
        <v>2106</v>
      </c>
      <c r="B1704" s="27" t="s">
        <v>438</v>
      </c>
      <c r="C1704" s="27" t="s">
        <v>308</v>
      </c>
      <c r="D1704" s="25"/>
      <c r="E1704" s="25"/>
      <c r="F1704" s="25"/>
      <c r="G1704" s="25"/>
      <c r="H1704" s="25"/>
      <c r="I1704" s="25"/>
      <c r="J1704" s="27" t="s">
        <v>2060</v>
      </c>
      <c r="K1704" s="25" t="str">
        <f aca="false">IFERROR(__xludf.dummyfunction("SPLIT(J1704,"" "")"),"CIF")</f>
        <v>CIF</v>
      </c>
      <c r="L1704" s="28" t="str">
        <f aca="false">IFERROR(__xludf.dummyfunction("""COMPUTED_VALUE"""),"Singapore")</f>
        <v>Singapore</v>
      </c>
      <c r="M1704" s="27" t="str">
        <f aca="false">IFERROR(__xludf.dummyfunction("""COMPUTED_VALUE"""),"(Diff)")</f>
        <v>(Diff)</v>
      </c>
      <c r="N1704" s="25"/>
      <c r="O1704" s="25"/>
      <c r="P1704" s="25"/>
      <c r="Q1704" s="29" t="s">
        <v>326</v>
      </c>
      <c r="R1704" s="8" t="str">
        <f aca="false">B1704&amp;" "&amp;C1704&amp;" "&amp;D1704&amp;" "&amp;E1704&amp;" "&amp;G1704&amp;" "&amp;H1704&amp;" "&amp;J1704&amp;" "&amp;N1704</f>
        <v>Differentials Graphite     CIF Singapore (Diff) </v>
      </c>
      <c r="S1704" s="25"/>
      <c r="T1704" s="8"/>
      <c r="U1704" s="8"/>
      <c r="V1704" s="25"/>
      <c r="W1704" s="25"/>
      <c r="X1704" s="25"/>
      <c r="Y1704" s="25"/>
      <c r="Z1704" s="25"/>
      <c r="AA1704" s="25"/>
      <c r="AB1704" s="25"/>
      <c r="AC1704" s="25"/>
      <c r="AD1704" s="25"/>
    </row>
    <row r="1705" customFormat="false" ht="15.75" hidden="false" customHeight="false" outlineLevel="0" collapsed="false">
      <c r="A1705" s="28" t="s">
        <v>2107</v>
      </c>
      <c r="B1705" s="27" t="s">
        <v>438</v>
      </c>
      <c r="C1705" s="27" t="s">
        <v>308</v>
      </c>
      <c r="D1705" s="25"/>
      <c r="E1705" s="25"/>
      <c r="F1705" s="25"/>
      <c r="G1705" s="25"/>
      <c r="H1705" s="25"/>
      <c r="I1705" s="25"/>
      <c r="J1705" s="27" t="s">
        <v>2060</v>
      </c>
      <c r="K1705" s="25" t="str">
        <f aca="false">IFERROR(__xludf.dummyfunction("SPLIT(J1705,"" "")"),"CIF")</f>
        <v>CIF</v>
      </c>
      <c r="L1705" s="28" t="str">
        <f aca="false">IFERROR(__xludf.dummyfunction("""COMPUTED_VALUE"""),"Singapore")</f>
        <v>Singapore</v>
      </c>
      <c r="M1705" s="27" t="str">
        <f aca="false">IFERROR(__xludf.dummyfunction("""COMPUTED_VALUE"""),"(Diff)")</f>
        <v>(Diff)</v>
      </c>
      <c r="N1705" s="25"/>
      <c r="O1705" s="25"/>
      <c r="P1705" s="25"/>
      <c r="Q1705" s="29" t="s">
        <v>323</v>
      </c>
      <c r="R1705" s="8" t="str">
        <f aca="false">B1705&amp;" "&amp;C1705&amp;" "&amp;D1705&amp;" "&amp;E1705&amp;" "&amp;G1705&amp;" "&amp;H1705&amp;" "&amp;J1705&amp;" "&amp;N1705</f>
        <v>Differentials Graphite     CIF Singapore (Diff) </v>
      </c>
      <c r="S1705" s="25"/>
      <c r="T1705" s="8"/>
      <c r="U1705" s="8"/>
      <c r="V1705" s="25"/>
      <c r="W1705" s="25"/>
      <c r="X1705" s="25"/>
      <c r="Y1705" s="25"/>
      <c r="Z1705" s="25"/>
      <c r="AA1705" s="25"/>
      <c r="AB1705" s="25"/>
      <c r="AC1705" s="25"/>
      <c r="AD1705" s="25"/>
    </row>
    <row r="1706" customFormat="false" ht="15.75" hidden="false" customHeight="false" outlineLevel="0" collapsed="false">
      <c r="A1706" s="28" t="s">
        <v>2108</v>
      </c>
      <c r="B1706" s="27" t="s">
        <v>438</v>
      </c>
      <c r="C1706" s="27" t="s">
        <v>308</v>
      </c>
      <c r="D1706" s="25"/>
      <c r="E1706" s="25"/>
      <c r="F1706" s="25"/>
      <c r="G1706" s="25"/>
      <c r="H1706" s="25"/>
      <c r="I1706" s="25"/>
      <c r="J1706" s="27" t="s">
        <v>2060</v>
      </c>
      <c r="K1706" s="25" t="str">
        <f aca="false">IFERROR(__xludf.dummyfunction("SPLIT(J1706,"" "")"),"CIF")</f>
        <v>CIF</v>
      </c>
      <c r="L1706" s="28" t="str">
        <f aca="false">IFERROR(__xludf.dummyfunction("""COMPUTED_VALUE"""),"Singapore")</f>
        <v>Singapore</v>
      </c>
      <c r="M1706" s="27" t="str">
        <f aca="false">IFERROR(__xludf.dummyfunction("""COMPUTED_VALUE"""),"(Diff)")</f>
        <v>(Diff)</v>
      </c>
      <c r="N1706" s="25"/>
      <c r="O1706" s="25"/>
      <c r="P1706" s="25"/>
      <c r="Q1706" s="29" t="s">
        <v>319</v>
      </c>
      <c r="R1706" s="8" t="str">
        <f aca="false">B1706&amp;" "&amp;C1706&amp;" "&amp;D1706&amp;" "&amp;E1706&amp;" "&amp;G1706&amp;" "&amp;H1706&amp;" "&amp;J1706&amp;" "&amp;N1706</f>
        <v>Differentials Graphite     CIF Singapore (Diff) </v>
      </c>
      <c r="S1706" s="25"/>
      <c r="T1706" s="8"/>
      <c r="U1706" s="8"/>
      <c r="V1706" s="25"/>
      <c r="W1706" s="25"/>
      <c r="X1706" s="25"/>
      <c r="Y1706" s="25"/>
      <c r="Z1706" s="25"/>
      <c r="AA1706" s="25"/>
      <c r="AB1706" s="25"/>
      <c r="AC1706" s="25"/>
      <c r="AD1706" s="25"/>
    </row>
    <row r="1707" customFormat="false" ht="15.75" hidden="false" customHeight="false" outlineLevel="0" collapsed="false">
      <c r="A1707" s="28" t="s">
        <v>2109</v>
      </c>
      <c r="B1707" s="27" t="s">
        <v>438</v>
      </c>
      <c r="C1707" s="27" t="s">
        <v>308</v>
      </c>
      <c r="D1707" s="25"/>
      <c r="E1707" s="25"/>
      <c r="F1707" s="25"/>
      <c r="G1707" s="25"/>
      <c r="H1707" s="25"/>
      <c r="I1707" s="25"/>
      <c r="J1707" s="27" t="s">
        <v>2060</v>
      </c>
      <c r="K1707" s="25" t="str">
        <f aca="false">IFERROR(__xludf.dummyfunction("SPLIT(J1707,"" "")"),"CIF")</f>
        <v>CIF</v>
      </c>
      <c r="L1707" s="28" t="str">
        <f aca="false">IFERROR(__xludf.dummyfunction("""COMPUTED_VALUE"""),"Singapore")</f>
        <v>Singapore</v>
      </c>
      <c r="M1707" s="27" t="str">
        <f aca="false">IFERROR(__xludf.dummyfunction("""COMPUTED_VALUE"""),"(Diff)")</f>
        <v>(Diff)</v>
      </c>
      <c r="N1707" s="25"/>
      <c r="O1707" s="25"/>
      <c r="P1707" s="25"/>
      <c r="Q1707" s="29" t="s">
        <v>315</v>
      </c>
      <c r="R1707" s="8" t="str">
        <f aca="false">B1707&amp;" "&amp;C1707&amp;" "&amp;D1707&amp;" "&amp;E1707&amp;" "&amp;G1707&amp;" "&amp;H1707&amp;" "&amp;J1707&amp;" "&amp;N1707</f>
        <v>Differentials Graphite     CIF Singapore (Diff) </v>
      </c>
      <c r="S1707" s="25"/>
      <c r="T1707" s="8"/>
      <c r="U1707" s="8"/>
      <c r="V1707" s="25"/>
      <c r="W1707" s="25"/>
      <c r="X1707" s="25"/>
      <c r="Y1707" s="25"/>
      <c r="Z1707" s="25"/>
      <c r="AA1707" s="25"/>
      <c r="AB1707" s="25"/>
      <c r="AC1707" s="25"/>
      <c r="AD1707" s="25"/>
    </row>
    <row r="1708" customFormat="false" ht="15.75" hidden="false" customHeight="false" outlineLevel="0" collapsed="false">
      <c r="A1708" s="28" t="s">
        <v>2110</v>
      </c>
      <c r="B1708" s="27" t="s">
        <v>438</v>
      </c>
      <c r="C1708" s="27" t="s">
        <v>308</v>
      </c>
      <c r="D1708" s="25"/>
      <c r="E1708" s="25"/>
      <c r="F1708" s="25"/>
      <c r="G1708" s="25"/>
      <c r="H1708" s="25"/>
      <c r="I1708" s="25"/>
      <c r="J1708" s="27" t="s">
        <v>2060</v>
      </c>
      <c r="K1708" s="25" t="str">
        <f aca="false">IFERROR(__xludf.dummyfunction("SPLIT(J1708,"" "")"),"CIF")</f>
        <v>CIF</v>
      </c>
      <c r="L1708" s="28" t="str">
        <f aca="false">IFERROR(__xludf.dummyfunction("""COMPUTED_VALUE"""),"Singapore")</f>
        <v>Singapore</v>
      </c>
      <c r="M1708" s="27" t="str">
        <f aca="false">IFERROR(__xludf.dummyfunction("""COMPUTED_VALUE"""),"(Diff)")</f>
        <v>(Diff)</v>
      </c>
      <c r="N1708" s="25"/>
      <c r="O1708" s="25"/>
      <c r="P1708" s="25"/>
      <c r="Q1708" s="29" t="s">
        <v>311</v>
      </c>
      <c r="R1708" s="8" t="str">
        <f aca="false">B1708&amp;" "&amp;C1708&amp;" "&amp;D1708&amp;" "&amp;E1708&amp;" "&amp;G1708&amp;" "&amp;H1708&amp;" "&amp;J1708&amp;" "&amp;N1708</f>
        <v>Differentials Graphite     CIF Singapore (Diff) </v>
      </c>
      <c r="S1708" s="25"/>
      <c r="T1708" s="8"/>
      <c r="U1708" s="8"/>
      <c r="V1708" s="25"/>
      <c r="W1708" s="25"/>
      <c r="X1708" s="25"/>
      <c r="Y1708" s="25"/>
      <c r="Z1708" s="25"/>
      <c r="AA1708" s="25"/>
      <c r="AB1708" s="25"/>
      <c r="AC1708" s="25"/>
      <c r="AD1708" s="25"/>
    </row>
    <row r="1709" customFormat="false" ht="15.75" hidden="false" customHeight="false" outlineLevel="0" collapsed="false">
      <c r="A1709" s="28" t="s">
        <v>2111</v>
      </c>
      <c r="B1709" s="27" t="s">
        <v>438</v>
      </c>
      <c r="C1709" s="27" t="s">
        <v>417</v>
      </c>
      <c r="D1709" s="25"/>
      <c r="E1709" s="25"/>
      <c r="F1709" s="25"/>
      <c r="G1709" s="25"/>
      <c r="H1709" s="25"/>
      <c r="I1709" s="25"/>
      <c r="J1709" s="27" t="s">
        <v>2060</v>
      </c>
      <c r="K1709" s="25" t="str">
        <f aca="false">IFERROR(__xludf.dummyfunction("SPLIT(J1709,"" "")"),"CIF")</f>
        <v>CIF</v>
      </c>
      <c r="L1709" s="28" t="str">
        <f aca="false">IFERROR(__xludf.dummyfunction("""COMPUTED_VALUE"""),"Singapore")</f>
        <v>Singapore</v>
      </c>
      <c r="M1709" s="27" t="str">
        <f aca="false">IFERROR(__xludf.dummyfunction("""COMPUTED_VALUE"""),"(Diff)")</f>
        <v>(Diff)</v>
      </c>
      <c r="N1709" s="25"/>
      <c r="O1709" s="25"/>
      <c r="P1709" s="25"/>
      <c r="Q1709" s="29" t="s">
        <v>436</v>
      </c>
      <c r="R1709" s="8" t="str">
        <f aca="false">B1709&amp;" "&amp;C1709&amp;" "&amp;D1709&amp;" "&amp;E1709&amp;" "&amp;G1709&amp;" "&amp;H1709&amp;" "&amp;J1709&amp;" "&amp;N1709</f>
        <v>Differentials Solvent     CIF Singapore (Diff) </v>
      </c>
      <c r="S1709" s="25"/>
      <c r="T1709" s="8"/>
      <c r="U1709" s="8"/>
      <c r="V1709" s="25"/>
      <c r="W1709" s="25"/>
      <c r="X1709" s="25"/>
      <c r="Y1709" s="25"/>
      <c r="Z1709" s="25"/>
      <c r="AA1709" s="25"/>
      <c r="AB1709" s="25"/>
      <c r="AC1709" s="25"/>
      <c r="AD1709" s="25"/>
    </row>
    <row r="1710" customFormat="false" ht="15.75" hidden="false" customHeight="false" outlineLevel="0" collapsed="false">
      <c r="A1710" s="28" t="s">
        <v>2112</v>
      </c>
      <c r="B1710" s="27" t="s">
        <v>438</v>
      </c>
      <c r="C1710" s="27" t="s">
        <v>417</v>
      </c>
      <c r="D1710" s="25"/>
      <c r="E1710" s="25"/>
      <c r="F1710" s="25"/>
      <c r="G1710" s="25"/>
      <c r="H1710" s="25"/>
      <c r="I1710" s="25"/>
      <c r="J1710" s="27" t="s">
        <v>2060</v>
      </c>
      <c r="K1710" s="25" t="str">
        <f aca="false">IFERROR(__xludf.dummyfunction("SPLIT(J1710,"" "")"),"CIF")</f>
        <v>CIF</v>
      </c>
      <c r="L1710" s="28" t="str">
        <f aca="false">IFERROR(__xludf.dummyfunction("""COMPUTED_VALUE"""),"Singapore")</f>
        <v>Singapore</v>
      </c>
      <c r="M1710" s="27" t="str">
        <f aca="false">IFERROR(__xludf.dummyfunction("""COMPUTED_VALUE"""),"(Diff)")</f>
        <v>(Diff)</v>
      </c>
      <c r="N1710" s="25"/>
      <c r="O1710" s="25"/>
      <c r="P1710" s="25"/>
      <c r="Q1710" s="29" t="s">
        <v>434</v>
      </c>
      <c r="R1710" s="8" t="str">
        <f aca="false">B1710&amp;" "&amp;C1710&amp;" "&amp;D1710&amp;" "&amp;E1710&amp;" "&amp;G1710&amp;" "&amp;H1710&amp;" "&amp;J1710&amp;" "&amp;N1710</f>
        <v>Differentials Solvent     CIF Singapore (Diff) </v>
      </c>
      <c r="S1710" s="25"/>
      <c r="T1710" s="8"/>
      <c r="U1710" s="8"/>
      <c r="V1710" s="25"/>
      <c r="W1710" s="25"/>
      <c r="X1710" s="25"/>
      <c r="Y1710" s="25"/>
      <c r="Z1710" s="25"/>
      <c r="AA1710" s="25"/>
      <c r="AB1710" s="25"/>
      <c r="AC1710" s="25"/>
      <c r="AD1710" s="25"/>
    </row>
    <row r="1711" customFormat="false" ht="15.75" hidden="false" customHeight="false" outlineLevel="0" collapsed="false">
      <c r="A1711" s="28" t="s">
        <v>2113</v>
      </c>
      <c r="B1711" s="27" t="s">
        <v>438</v>
      </c>
      <c r="C1711" s="27" t="s">
        <v>417</v>
      </c>
      <c r="D1711" s="25"/>
      <c r="E1711" s="25"/>
      <c r="F1711" s="25"/>
      <c r="G1711" s="25"/>
      <c r="H1711" s="25"/>
      <c r="I1711" s="25"/>
      <c r="J1711" s="27" t="s">
        <v>2060</v>
      </c>
      <c r="K1711" s="25" t="str">
        <f aca="false">IFERROR(__xludf.dummyfunction("SPLIT(J1711,"" "")"),"CIF")</f>
        <v>CIF</v>
      </c>
      <c r="L1711" s="28" t="str">
        <f aca="false">IFERROR(__xludf.dummyfunction("""COMPUTED_VALUE"""),"Singapore")</f>
        <v>Singapore</v>
      </c>
      <c r="M1711" s="27" t="str">
        <f aca="false">IFERROR(__xludf.dummyfunction("""COMPUTED_VALUE"""),"(Diff)")</f>
        <v>(Diff)</v>
      </c>
      <c r="N1711" s="25"/>
      <c r="O1711" s="25"/>
      <c r="P1711" s="25"/>
      <c r="Q1711" s="29" t="s">
        <v>432</v>
      </c>
      <c r="R1711" s="8" t="str">
        <f aca="false">B1711&amp;" "&amp;C1711&amp;" "&amp;D1711&amp;" "&amp;E1711&amp;" "&amp;G1711&amp;" "&amp;H1711&amp;" "&amp;J1711&amp;" "&amp;N1711</f>
        <v>Differentials Solvent     CIF Singapore (Diff) </v>
      </c>
      <c r="S1711" s="25"/>
      <c r="T1711" s="8"/>
      <c r="U1711" s="8"/>
      <c r="V1711" s="25"/>
      <c r="W1711" s="25"/>
      <c r="X1711" s="25"/>
      <c r="Y1711" s="25"/>
      <c r="Z1711" s="25"/>
      <c r="AA1711" s="25"/>
      <c r="AB1711" s="25"/>
      <c r="AC1711" s="25"/>
      <c r="AD1711" s="25"/>
    </row>
    <row r="1712" customFormat="false" ht="15.75" hidden="false" customHeight="false" outlineLevel="0" collapsed="false">
      <c r="A1712" s="28" t="s">
        <v>2114</v>
      </c>
      <c r="B1712" s="27" t="s">
        <v>438</v>
      </c>
      <c r="C1712" s="27" t="s">
        <v>417</v>
      </c>
      <c r="D1712" s="25"/>
      <c r="E1712" s="25"/>
      <c r="F1712" s="25"/>
      <c r="G1712" s="25"/>
      <c r="H1712" s="25"/>
      <c r="I1712" s="25"/>
      <c r="J1712" s="27" t="s">
        <v>2060</v>
      </c>
      <c r="K1712" s="25" t="str">
        <f aca="false">IFERROR(__xludf.dummyfunction("SPLIT(J1712,"" "")"),"CIF")</f>
        <v>CIF</v>
      </c>
      <c r="L1712" s="28" t="str">
        <f aca="false">IFERROR(__xludf.dummyfunction("""COMPUTED_VALUE"""),"Singapore")</f>
        <v>Singapore</v>
      </c>
      <c r="M1712" s="27" t="str">
        <f aca="false">IFERROR(__xludf.dummyfunction("""COMPUTED_VALUE"""),"(Diff)")</f>
        <v>(Diff)</v>
      </c>
      <c r="N1712" s="25"/>
      <c r="O1712" s="25"/>
      <c r="P1712" s="25"/>
      <c r="Q1712" s="29" t="s">
        <v>430</v>
      </c>
      <c r="R1712" s="8" t="str">
        <f aca="false">B1712&amp;" "&amp;C1712&amp;" "&amp;D1712&amp;" "&amp;E1712&amp;" "&amp;G1712&amp;" "&amp;H1712&amp;" "&amp;J1712&amp;" "&amp;N1712</f>
        <v>Differentials Solvent     CIF Singapore (Diff) </v>
      </c>
      <c r="S1712" s="25"/>
      <c r="T1712" s="8"/>
      <c r="U1712" s="8"/>
      <c r="V1712" s="25"/>
      <c r="W1712" s="25"/>
      <c r="X1712" s="25"/>
      <c r="Y1712" s="25"/>
      <c r="Z1712" s="25"/>
      <c r="AA1712" s="25"/>
      <c r="AB1712" s="25"/>
      <c r="AC1712" s="25"/>
      <c r="AD1712" s="25"/>
    </row>
    <row r="1713" customFormat="false" ht="15.75" hidden="false" customHeight="false" outlineLevel="0" collapsed="false">
      <c r="A1713" s="28" t="s">
        <v>2115</v>
      </c>
      <c r="B1713" s="27" t="s">
        <v>438</v>
      </c>
      <c r="C1713" s="27" t="s">
        <v>417</v>
      </c>
      <c r="D1713" s="25"/>
      <c r="E1713" s="25"/>
      <c r="F1713" s="25"/>
      <c r="G1713" s="25"/>
      <c r="H1713" s="25"/>
      <c r="I1713" s="25"/>
      <c r="J1713" s="27" t="s">
        <v>2060</v>
      </c>
      <c r="K1713" s="25" t="str">
        <f aca="false">IFERROR(__xludf.dummyfunction("SPLIT(J1713,"" "")"),"CIF")</f>
        <v>CIF</v>
      </c>
      <c r="L1713" s="28" t="str">
        <f aca="false">IFERROR(__xludf.dummyfunction("""COMPUTED_VALUE"""),"Singapore")</f>
        <v>Singapore</v>
      </c>
      <c r="M1713" s="27" t="str">
        <f aca="false">IFERROR(__xludf.dummyfunction("""COMPUTED_VALUE"""),"(Diff)")</f>
        <v>(Diff)</v>
      </c>
      <c r="N1713" s="25"/>
      <c r="O1713" s="25"/>
      <c r="P1713" s="25"/>
      <c r="Q1713" s="29" t="s">
        <v>428</v>
      </c>
      <c r="R1713" s="8" t="str">
        <f aca="false">B1713&amp;" "&amp;C1713&amp;" "&amp;D1713&amp;" "&amp;E1713&amp;" "&amp;G1713&amp;" "&amp;H1713&amp;" "&amp;J1713&amp;" "&amp;N1713</f>
        <v>Differentials Solvent     CIF Singapore (Diff) </v>
      </c>
      <c r="S1713" s="25"/>
      <c r="T1713" s="8"/>
      <c r="U1713" s="8"/>
      <c r="V1713" s="25"/>
      <c r="W1713" s="25"/>
      <c r="X1713" s="25"/>
      <c r="Y1713" s="25"/>
      <c r="Z1713" s="25"/>
      <c r="AA1713" s="25"/>
      <c r="AB1713" s="25"/>
      <c r="AC1713" s="25"/>
      <c r="AD1713" s="25"/>
    </row>
    <row r="1714" customFormat="false" ht="15.75" hidden="false" customHeight="false" outlineLevel="0" collapsed="false">
      <c r="A1714" s="28" t="s">
        <v>2116</v>
      </c>
      <c r="B1714" s="27" t="s">
        <v>438</v>
      </c>
      <c r="C1714" s="27" t="s">
        <v>417</v>
      </c>
      <c r="D1714" s="25"/>
      <c r="E1714" s="25"/>
      <c r="F1714" s="25"/>
      <c r="G1714" s="25"/>
      <c r="H1714" s="25"/>
      <c r="I1714" s="25"/>
      <c r="J1714" s="27" t="s">
        <v>2060</v>
      </c>
      <c r="K1714" s="25" t="str">
        <f aca="false">IFERROR(__xludf.dummyfunction("SPLIT(J1714,"" "")"),"CIF")</f>
        <v>CIF</v>
      </c>
      <c r="L1714" s="28" t="str">
        <f aca="false">IFERROR(__xludf.dummyfunction("""COMPUTED_VALUE"""),"Singapore")</f>
        <v>Singapore</v>
      </c>
      <c r="M1714" s="27" t="str">
        <f aca="false">IFERROR(__xludf.dummyfunction("""COMPUTED_VALUE"""),"(Diff)")</f>
        <v>(Diff)</v>
      </c>
      <c r="N1714" s="25"/>
      <c r="O1714" s="25"/>
      <c r="P1714" s="25"/>
      <c r="Q1714" s="29" t="s">
        <v>426</v>
      </c>
      <c r="R1714" s="8" t="str">
        <f aca="false">B1714&amp;" "&amp;C1714&amp;" "&amp;D1714&amp;" "&amp;E1714&amp;" "&amp;G1714&amp;" "&amp;H1714&amp;" "&amp;J1714&amp;" "&amp;N1714</f>
        <v>Differentials Solvent     CIF Singapore (Diff) </v>
      </c>
      <c r="S1714" s="25"/>
      <c r="T1714" s="8"/>
      <c r="U1714" s="8"/>
      <c r="V1714" s="25"/>
      <c r="W1714" s="25"/>
      <c r="X1714" s="25"/>
      <c r="Y1714" s="25"/>
      <c r="Z1714" s="25"/>
      <c r="AA1714" s="25"/>
      <c r="AB1714" s="25"/>
      <c r="AC1714" s="25"/>
      <c r="AD1714" s="25"/>
    </row>
    <row r="1715" customFormat="false" ht="15.75" hidden="false" customHeight="false" outlineLevel="0" collapsed="false">
      <c r="A1715" s="28" t="s">
        <v>2117</v>
      </c>
      <c r="B1715" s="27" t="s">
        <v>438</v>
      </c>
      <c r="C1715" s="27" t="s">
        <v>417</v>
      </c>
      <c r="D1715" s="25"/>
      <c r="E1715" s="25"/>
      <c r="F1715" s="25"/>
      <c r="G1715" s="25"/>
      <c r="H1715" s="25"/>
      <c r="I1715" s="25"/>
      <c r="J1715" s="27" t="s">
        <v>2060</v>
      </c>
      <c r="K1715" s="25" t="str">
        <f aca="false">IFERROR(__xludf.dummyfunction("SPLIT(J1715,"" "")"),"CIF")</f>
        <v>CIF</v>
      </c>
      <c r="L1715" s="28" t="str">
        <f aca="false">IFERROR(__xludf.dummyfunction("""COMPUTED_VALUE"""),"Singapore")</f>
        <v>Singapore</v>
      </c>
      <c r="M1715" s="27" t="str">
        <f aca="false">IFERROR(__xludf.dummyfunction("""COMPUTED_VALUE"""),"(Diff)")</f>
        <v>(Diff)</v>
      </c>
      <c r="N1715" s="25"/>
      <c r="O1715" s="25"/>
      <c r="P1715" s="25"/>
      <c r="Q1715" s="29" t="s">
        <v>424</v>
      </c>
      <c r="R1715" s="8" t="str">
        <f aca="false">B1715&amp;" "&amp;C1715&amp;" "&amp;D1715&amp;" "&amp;E1715&amp;" "&amp;G1715&amp;" "&amp;H1715&amp;" "&amp;J1715&amp;" "&amp;N1715</f>
        <v>Differentials Solvent     CIF Singapore (Diff) </v>
      </c>
      <c r="S1715" s="25"/>
      <c r="T1715" s="8"/>
      <c r="U1715" s="8"/>
      <c r="V1715" s="25"/>
      <c r="W1715" s="25"/>
      <c r="X1715" s="25"/>
      <c r="Y1715" s="25"/>
      <c r="Z1715" s="25"/>
      <c r="AA1715" s="25"/>
      <c r="AB1715" s="25"/>
      <c r="AC1715" s="25"/>
      <c r="AD1715" s="25"/>
    </row>
    <row r="1716" customFormat="false" ht="15.75" hidden="false" customHeight="false" outlineLevel="0" collapsed="false">
      <c r="A1716" s="28" t="s">
        <v>2118</v>
      </c>
      <c r="B1716" s="27" t="s">
        <v>438</v>
      </c>
      <c r="C1716" s="27" t="s">
        <v>417</v>
      </c>
      <c r="D1716" s="25"/>
      <c r="E1716" s="25"/>
      <c r="F1716" s="25"/>
      <c r="G1716" s="25"/>
      <c r="H1716" s="25"/>
      <c r="I1716" s="25"/>
      <c r="J1716" s="27" t="s">
        <v>2060</v>
      </c>
      <c r="K1716" s="25" t="str">
        <f aca="false">IFERROR(__xludf.dummyfunction("SPLIT(J1716,"" "")"),"CIF")</f>
        <v>CIF</v>
      </c>
      <c r="L1716" s="28" t="str">
        <f aca="false">IFERROR(__xludf.dummyfunction("""COMPUTED_VALUE"""),"Singapore")</f>
        <v>Singapore</v>
      </c>
      <c r="M1716" s="27" t="str">
        <f aca="false">IFERROR(__xludf.dummyfunction("""COMPUTED_VALUE"""),"(Diff)")</f>
        <v>(Diff)</v>
      </c>
      <c r="N1716" s="25"/>
      <c r="O1716" s="25"/>
      <c r="P1716" s="25"/>
      <c r="Q1716" s="29" t="s">
        <v>422</v>
      </c>
      <c r="R1716" s="8" t="str">
        <f aca="false">B1716&amp;" "&amp;C1716&amp;" "&amp;D1716&amp;" "&amp;E1716&amp;" "&amp;G1716&amp;" "&amp;H1716&amp;" "&amp;J1716&amp;" "&amp;N1716</f>
        <v>Differentials Solvent     CIF Singapore (Diff) </v>
      </c>
      <c r="S1716" s="25"/>
      <c r="T1716" s="8"/>
      <c r="U1716" s="8"/>
      <c r="V1716" s="25"/>
      <c r="W1716" s="25"/>
      <c r="X1716" s="25"/>
      <c r="Y1716" s="25"/>
      <c r="Z1716" s="25"/>
      <c r="AA1716" s="25"/>
      <c r="AB1716" s="25"/>
      <c r="AC1716" s="25"/>
      <c r="AD1716" s="25"/>
    </row>
    <row r="1717" customFormat="false" ht="15.75" hidden="false" customHeight="false" outlineLevel="0" collapsed="false">
      <c r="A1717" s="28" t="s">
        <v>2119</v>
      </c>
      <c r="B1717" s="27" t="s">
        <v>438</v>
      </c>
      <c r="C1717" s="27" t="s">
        <v>417</v>
      </c>
      <c r="D1717" s="25"/>
      <c r="E1717" s="25"/>
      <c r="F1717" s="25"/>
      <c r="G1717" s="25"/>
      <c r="H1717" s="25"/>
      <c r="I1717" s="25"/>
      <c r="J1717" s="27" t="s">
        <v>2060</v>
      </c>
      <c r="K1717" s="25" t="str">
        <f aca="false">IFERROR(__xludf.dummyfunction("SPLIT(J1717,"" "")"),"CIF")</f>
        <v>CIF</v>
      </c>
      <c r="L1717" s="28" t="str">
        <f aca="false">IFERROR(__xludf.dummyfunction("""COMPUTED_VALUE"""),"Singapore")</f>
        <v>Singapore</v>
      </c>
      <c r="M1717" s="27" t="str">
        <f aca="false">IFERROR(__xludf.dummyfunction("""COMPUTED_VALUE"""),"(Diff)")</f>
        <v>(Diff)</v>
      </c>
      <c r="N1717" s="25"/>
      <c r="O1717" s="25"/>
      <c r="P1717" s="25"/>
      <c r="Q1717" s="29" t="s">
        <v>420</v>
      </c>
      <c r="R1717" s="8" t="str">
        <f aca="false">B1717&amp;" "&amp;C1717&amp;" "&amp;D1717&amp;" "&amp;E1717&amp;" "&amp;G1717&amp;" "&amp;H1717&amp;" "&amp;J1717&amp;" "&amp;N1717</f>
        <v>Differentials Solvent     CIF Singapore (Diff) </v>
      </c>
      <c r="S1717" s="25"/>
      <c r="T1717" s="8"/>
      <c r="U1717" s="8"/>
      <c r="V1717" s="25"/>
      <c r="W1717" s="25"/>
      <c r="X1717" s="25"/>
      <c r="Y1717" s="25"/>
      <c r="Z1717" s="25"/>
      <c r="AA1717" s="25"/>
      <c r="AB1717" s="25"/>
      <c r="AC1717" s="25"/>
      <c r="AD1717" s="25"/>
    </row>
    <row r="1718" customFormat="false" ht="15.75" hidden="false" customHeight="false" outlineLevel="0" collapsed="false">
      <c r="A1718" s="28" t="s">
        <v>2120</v>
      </c>
      <c r="B1718" s="27" t="s">
        <v>438</v>
      </c>
      <c r="C1718" s="27" t="s">
        <v>417</v>
      </c>
      <c r="D1718" s="25"/>
      <c r="E1718" s="25"/>
      <c r="F1718" s="25"/>
      <c r="G1718" s="25"/>
      <c r="H1718" s="25"/>
      <c r="I1718" s="25"/>
      <c r="J1718" s="27" t="s">
        <v>2060</v>
      </c>
      <c r="K1718" s="25" t="str">
        <f aca="false">IFERROR(__xludf.dummyfunction("SPLIT(J1718,"" "")"),"CIF")</f>
        <v>CIF</v>
      </c>
      <c r="L1718" s="28" t="str">
        <f aca="false">IFERROR(__xludf.dummyfunction("""COMPUTED_VALUE"""),"Singapore")</f>
        <v>Singapore</v>
      </c>
      <c r="M1718" s="27" t="str">
        <f aca="false">IFERROR(__xludf.dummyfunction("""COMPUTED_VALUE"""),"(Diff)")</f>
        <v>(Diff)</v>
      </c>
      <c r="N1718" s="25"/>
      <c r="O1718" s="25"/>
      <c r="P1718" s="25"/>
      <c r="Q1718" s="29" t="s">
        <v>418</v>
      </c>
      <c r="R1718" s="8" t="str">
        <f aca="false">B1718&amp;" "&amp;C1718&amp;" "&amp;D1718&amp;" "&amp;E1718&amp;" "&amp;G1718&amp;" "&amp;H1718&amp;" "&amp;J1718&amp;" "&amp;N1718</f>
        <v>Differentials Solvent     CIF Singapore (Diff) </v>
      </c>
      <c r="S1718" s="25"/>
      <c r="T1718" s="8"/>
      <c r="U1718" s="8"/>
      <c r="V1718" s="25"/>
      <c r="W1718" s="25"/>
      <c r="X1718" s="25"/>
      <c r="Y1718" s="25"/>
      <c r="Z1718" s="25"/>
      <c r="AA1718" s="25"/>
      <c r="AB1718" s="25"/>
      <c r="AC1718" s="25"/>
      <c r="AD1718" s="25"/>
    </row>
    <row r="1719" customFormat="false" ht="15.75" hidden="false" customHeight="false" outlineLevel="0" collapsed="false">
      <c r="A1719" s="28" t="s">
        <v>2121</v>
      </c>
      <c r="B1719" s="27" t="s">
        <v>438</v>
      </c>
      <c r="C1719" s="27" t="s">
        <v>177</v>
      </c>
      <c r="D1719" s="25"/>
      <c r="E1719" s="25"/>
      <c r="F1719" s="25"/>
      <c r="G1719" s="25"/>
      <c r="H1719" s="25"/>
      <c r="I1719" s="25"/>
      <c r="J1719" s="27" t="s">
        <v>2122</v>
      </c>
      <c r="K1719" s="25" t="str">
        <f aca="false">IFERROR(__xludf.dummyfunction("SPLIT(J1719,"" "")"),"CIF")</f>
        <v>CIF</v>
      </c>
      <c r="L1719" s="28" t="str">
        <f aca="false">IFERROR(__xludf.dummyfunction("""COMPUTED_VALUE"""),"Slovakia")</f>
        <v>Slovakia</v>
      </c>
      <c r="M1719" s="27" t="str">
        <f aca="false">IFERROR(__xludf.dummyfunction("""COMPUTED_VALUE"""),"(Diff)")</f>
        <v>(Diff)</v>
      </c>
      <c r="N1719" s="25"/>
      <c r="O1719" s="25"/>
      <c r="P1719" s="25"/>
      <c r="Q1719" s="29" t="s">
        <v>209</v>
      </c>
      <c r="R1719" s="8" t="str">
        <f aca="false">B1719&amp;" "&amp;C1719&amp;" "&amp;D1719&amp;" "&amp;E1719&amp;" "&amp;G1719&amp;" "&amp;H1719&amp;" "&amp;J1719&amp;" "&amp;N1719</f>
        <v>Differentials Anode     CIF Slovakia (Diff) </v>
      </c>
      <c r="S1719" s="25"/>
      <c r="T1719" s="8"/>
      <c r="U1719" s="8"/>
      <c r="V1719" s="25"/>
      <c r="W1719" s="25"/>
      <c r="X1719" s="25"/>
      <c r="Y1719" s="25"/>
      <c r="Z1719" s="25"/>
      <c r="AA1719" s="25"/>
      <c r="AB1719" s="25"/>
      <c r="AC1719" s="25"/>
      <c r="AD1719" s="25"/>
    </row>
    <row r="1720" customFormat="false" ht="15.75" hidden="false" customHeight="false" outlineLevel="0" collapsed="false">
      <c r="A1720" s="28" t="s">
        <v>2123</v>
      </c>
      <c r="B1720" s="27" t="s">
        <v>438</v>
      </c>
      <c r="C1720" s="27" t="s">
        <v>177</v>
      </c>
      <c r="D1720" s="25"/>
      <c r="E1720" s="25"/>
      <c r="F1720" s="25"/>
      <c r="G1720" s="25"/>
      <c r="H1720" s="25"/>
      <c r="I1720" s="25"/>
      <c r="J1720" s="27" t="s">
        <v>2122</v>
      </c>
      <c r="K1720" s="25" t="str">
        <f aca="false">IFERROR(__xludf.dummyfunction("SPLIT(J1720,"" "")"),"CIF")</f>
        <v>CIF</v>
      </c>
      <c r="L1720" s="28" t="str">
        <f aca="false">IFERROR(__xludf.dummyfunction("""COMPUTED_VALUE"""),"Slovakia")</f>
        <v>Slovakia</v>
      </c>
      <c r="M1720" s="27" t="str">
        <f aca="false">IFERROR(__xludf.dummyfunction("""COMPUTED_VALUE"""),"(Diff)")</f>
        <v>(Diff)</v>
      </c>
      <c r="N1720" s="25"/>
      <c r="O1720" s="25"/>
      <c r="P1720" s="25"/>
      <c r="Q1720" s="29" t="s">
        <v>205</v>
      </c>
      <c r="R1720" s="8" t="str">
        <f aca="false">B1720&amp;" "&amp;C1720&amp;" "&amp;D1720&amp;" "&amp;E1720&amp;" "&amp;G1720&amp;" "&amp;H1720&amp;" "&amp;J1720&amp;" "&amp;N1720</f>
        <v>Differentials Anode     CIF Slovakia (Diff) </v>
      </c>
      <c r="S1720" s="25"/>
      <c r="T1720" s="8"/>
      <c r="U1720" s="8"/>
      <c r="V1720" s="25"/>
      <c r="W1720" s="25"/>
      <c r="X1720" s="25"/>
      <c r="Y1720" s="25"/>
      <c r="Z1720" s="25"/>
      <c r="AA1720" s="25"/>
      <c r="AB1720" s="25"/>
      <c r="AC1720" s="25"/>
      <c r="AD1720" s="25"/>
    </row>
    <row r="1721" customFormat="false" ht="15.75" hidden="false" customHeight="false" outlineLevel="0" collapsed="false">
      <c r="A1721" s="28" t="s">
        <v>2124</v>
      </c>
      <c r="B1721" s="27" t="s">
        <v>438</v>
      </c>
      <c r="C1721" s="27" t="s">
        <v>177</v>
      </c>
      <c r="D1721" s="25"/>
      <c r="E1721" s="25"/>
      <c r="F1721" s="25"/>
      <c r="G1721" s="25"/>
      <c r="H1721" s="25"/>
      <c r="I1721" s="25"/>
      <c r="J1721" s="27" t="s">
        <v>2122</v>
      </c>
      <c r="K1721" s="25" t="str">
        <f aca="false">IFERROR(__xludf.dummyfunction("SPLIT(J1721,"" "")"),"CIF")</f>
        <v>CIF</v>
      </c>
      <c r="L1721" s="28" t="str">
        <f aca="false">IFERROR(__xludf.dummyfunction("""COMPUTED_VALUE"""),"Slovakia")</f>
        <v>Slovakia</v>
      </c>
      <c r="M1721" s="27" t="str">
        <f aca="false">IFERROR(__xludf.dummyfunction("""COMPUTED_VALUE"""),"(Diff)")</f>
        <v>(Diff)</v>
      </c>
      <c r="N1721" s="25"/>
      <c r="O1721" s="25"/>
      <c r="P1721" s="25"/>
      <c r="Q1721" s="29" t="s">
        <v>202</v>
      </c>
      <c r="R1721" s="8" t="str">
        <f aca="false">B1721&amp;" "&amp;C1721&amp;" "&amp;D1721&amp;" "&amp;E1721&amp;" "&amp;G1721&amp;" "&amp;H1721&amp;" "&amp;J1721&amp;" "&amp;N1721</f>
        <v>Differentials Anode     CIF Slovakia (Diff) </v>
      </c>
      <c r="S1721" s="25"/>
      <c r="T1721" s="8"/>
      <c r="U1721" s="8"/>
      <c r="V1721" s="25"/>
      <c r="W1721" s="25"/>
      <c r="X1721" s="25"/>
      <c r="Y1721" s="25"/>
      <c r="Z1721" s="25"/>
      <c r="AA1721" s="25"/>
      <c r="AB1721" s="25"/>
      <c r="AC1721" s="25"/>
      <c r="AD1721" s="25"/>
    </row>
    <row r="1722" customFormat="false" ht="15.75" hidden="false" customHeight="false" outlineLevel="0" collapsed="false">
      <c r="A1722" s="28" t="s">
        <v>2125</v>
      </c>
      <c r="B1722" s="27" t="s">
        <v>438</v>
      </c>
      <c r="C1722" s="27" t="s">
        <v>177</v>
      </c>
      <c r="D1722" s="25"/>
      <c r="E1722" s="25"/>
      <c r="F1722" s="25"/>
      <c r="G1722" s="25"/>
      <c r="H1722" s="25"/>
      <c r="I1722" s="25"/>
      <c r="J1722" s="27" t="s">
        <v>2122</v>
      </c>
      <c r="K1722" s="25" t="str">
        <f aca="false">IFERROR(__xludf.dummyfunction("SPLIT(J1722,"" "")"),"CIF")</f>
        <v>CIF</v>
      </c>
      <c r="L1722" s="28" t="str">
        <f aca="false">IFERROR(__xludf.dummyfunction("""COMPUTED_VALUE"""),"Slovakia")</f>
        <v>Slovakia</v>
      </c>
      <c r="M1722" s="27" t="str">
        <f aca="false">IFERROR(__xludf.dummyfunction("""COMPUTED_VALUE"""),"(Diff)")</f>
        <v>(Diff)</v>
      </c>
      <c r="N1722" s="25"/>
      <c r="O1722" s="25"/>
      <c r="P1722" s="25"/>
      <c r="Q1722" s="29" t="s">
        <v>197</v>
      </c>
      <c r="R1722" s="8" t="str">
        <f aca="false">B1722&amp;" "&amp;C1722&amp;" "&amp;D1722&amp;" "&amp;E1722&amp;" "&amp;G1722&amp;" "&amp;H1722&amp;" "&amp;J1722&amp;" "&amp;N1722</f>
        <v>Differentials Anode     CIF Slovakia (Diff) </v>
      </c>
      <c r="S1722" s="25"/>
      <c r="T1722" s="8"/>
      <c r="U1722" s="8"/>
      <c r="V1722" s="25"/>
      <c r="W1722" s="25"/>
      <c r="X1722" s="25"/>
      <c r="Y1722" s="25"/>
      <c r="Z1722" s="25"/>
      <c r="AA1722" s="25"/>
      <c r="AB1722" s="25"/>
      <c r="AC1722" s="25"/>
      <c r="AD1722" s="25"/>
    </row>
    <row r="1723" customFormat="false" ht="15.75" hidden="false" customHeight="false" outlineLevel="0" collapsed="false">
      <c r="A1723" s="28" t="s">
        <v>2126</v>
      </c>
      <c r="B1723" s="27" t="s">
        <v>438</v>
      </c>
      <c r="C1723" s="27" t="s">
        <v>177</v>
      </c>
      <c r="D1723" s="25"/>
      <c r="E1723" s="25"/>
      <c r="F1723" s="25"/>
      <c r="G1723" s="25"/>
      <c r="H1723" s="25"/>
      <c r="I1723" s="25"/>
      <c r="J1723" s="27" t="s">
        <v>2122</v>
      </c>
      <c r="K1723" s="25" t="str">
        <f aca="false">IFERROR(__xludf.dummyfunction("SPLIT(J1723,"" "")"),"CIF")</f>
        <v>CIF</v>
      </c>
      <c r="L1723" s="28" t="str">
        <f aca="false">IFERROR(__xludf.dummyfunction("""COMPUTED_VALUE"""),"Slovakia")</f>
        <v>Slovakia</v>
      </c>
      <c r="M1723" s="27" t="str">
        <f aca="false">IFERROR(__xludf.dummyfunction("""COMPUTED_VALUE"""),"(Diff)")</f>
        <v>(Diff)</v>
      </c>
      <c r="N1723" s="25"/>
      <c r="O1723" s="25"/>
      <c r="P1723" s="25"/>
      <c r="Q1723" s="29" t="s">
        <v>193</v>
      </c>
      <c r="R1723" s="8" t="str">
        <f aca="false">B1723&amp;" "&amp;C1723&amp;" "&amp;D1723&amp;" "&amp;E1723&amp;" "&amp;G1723&amp;" "&amp;H1723&amp;" "&amp;J1723&amp;" "&amp;N1723</f>
        <v>Differentials Anode     CIF Slovakia (Diff) </v>
      </c>
      <c r="S1723" s="25"/>
      <c r="T1723" s="8"/>
      <c r="U1723" s="8"/>
      <c r="V1723" s="25"/>
      <c r="W1723" s="25"/>
      <c r="X1723" s="25"/>
      <c r="Y1723" s="25"/>
      <c r="Z1723" s="25"/>
      <c r="AA1723" s="25"/>
      <c r="AB1723" s="25"/>
      <c r="AC1723" s="25"/>
      <c r="AD1723" s="25"/>
    </row>
    <row r="1724" customFormat="false" ht="15.75" hidden="false" customHeight="false" outlineLevel="0" collapsed="false">
      <c r="A1724" s="28" t="s">
        <v>2127</v>
      </c>
      <c r="B1724" s="27" t="s">
        <v>438</v>
      </c>
      <c r="C1724" s="27" t="s">
        <v>177</v>
      </c>
      <c r="D1724" s="25"/>
      <c r="E1724" s="25"/>
      <c r="F1724" s="25"/>
      <c r="G1724" s="25"/>
      <c r="H1724" s="25"/>
      <c r="I1724" s="25"/>
      <c r="J1724" s="27" t="s">
        <v>2122</v>
      </c>
      <c r="K1724" s="25" t="str">
        <f aca="false">IFERROR(__xludf.dummyfunction("SPLIT(J1724,"" "")"),"CIF")</f>
        <v>CIF</v>
      </c>
      <c r="L1724" s="28" t="str">
        <f aca="false">IFERROR(__xludf.dummyfunction("""COMPUTED_VALUE"""),"Slovakia")</f>
        <v>Slovakia</v>
      </c>
      <c r="M1724" s="27" t="str">
        <f aca="false">IFERROR(__xludf.dummyfunction("""COMPUTED_VALUE"""),"(Diff)")</f>
        <v>(Diff)</v>
      </c>
      <c r="N1724" s="25"/>
      <c r="O1724" s="25"/>
      <c r="P1724" s="25"/>
      <c r="Q1724" s="29" t="s">
        <v>188</v>
      </c>
      <c r="R1724" s="8" t="str">
        <f aca="false">B1724&amp;" "&amp;C1724&amp;" "&amp;D1724&amp;" "&amp;E1724&amp;" "&amp;G1724&amp;" "&amp;H1724&amp;" "&amp;J1724&amp;" "&amp;N1724</f>
        <v>Differentials Anode     CIF Slovakia (Diff) </v>
      </c>
      <c r="S1724" s="25"/>
      <c r="T1724" s="8"/>
      <c r="U1724" s="8"/>
      <c r="V1724" s="25"/>
      <c r="W1724" s="25"/>
      <c r="X1724" s="25"/>
      <c r="Y1724" s="25"/>
      <c r="Z1724" s="25"/>
      <c r="AA1724" s="25"/>
      <c r="AB1724" s="25"/>
      <c r="AC1724" s="25"/>
      <c r="AD1724" s="25"/>
    </row>
    <row r="1725" customFormat="false" ht="15.75" hidden="false" customHeight="false" outlineLevel="0" collapsed="false">
      <c r="A1725" s="28" t="s">
        <v>2128</v>
      </c>
      <c r="B1725" s="27" t="s">
        <v>438</v>
      </c>
      <c r="C1725" s="27" t="s">
        <v>177</v>
      </c>
      <c r="D1725" s="25"/>
      <c r="E1725" s="25"/>
      <c r="F1725" s="25"/>
      <c r="G1725" s="25"/>
      <c r="H1725" s="25"/>
      <c r="I1725" s="25"/>
      <c r="J1725" s="27" t="s">
        <v>2122</v>
      </c>
      <c r="K1725" s="25" t="str">
        <f aca="false">IFERROR(__xludf.dummyfunction("SPLIT(J1725,"" "")"),"CIF")</f>
        <v>CIF</v>
      </c>
      <c r="L1725" s="28" t="str">
        <f aca="false">IFERROR(__xludf.dummyfunction("""COMPUTED_VALUE"""),"Slovakia")</f>
        <v>Slovakia</v>
      </c>
      <c r="M1725" s="27" t="str">
        <f aca="false">IFERROR(__xludf.dummyfunction("""COMPUTED_VALUE"""),"(Diff)")</f>
        <v>(Diff)</v>
      </c>
      <c r="N1725" s="25"/>
      <c r="O1725" s="25"/>
      <c r="P1725" s="25"/>
      <c r="Q1725" s="29" t="s">
        <v>180</v>
      </c>
      <c r="R1725" s="8" t="str">
        <f aca="false">B1725&amp;" "&amp;C1725&amp;" "&amp;D1725&amp;" "&amp;E1725&amp;" "&amp;G1725&amp;" "&amp;H1725&amp;" "&amp;J1725&amp;" "&amp;N1725</f>
        <v>Differentials Anode     CIF Slovakia (Diff) </v>
      </c>
      <c r="S1725" s="25"/>
      <c r="T1725" s="8"/>
      <c r="U1725" s="8"/>
      <c r="V1725" s="25"/>
      <c r="W1725" s="25"/>
      <c r="X1725" s="25"/>
      <c r="Y1725" s="25"/>
      <c r="Z1725" s="25"/>
      <c r="AA1725" s="25"/>
      <c r="AB1725" s="25"/>
      <c r="AC1725" s="25"/>
      <c r="AD1725" s="25"/>
    </row>
    <row r="1726" customFormat="false" ht="15.75" hidden="false" customHeight="false" outlineLevel="0" collapsed="false">
      <c r="A1726" s="28" t="s">
        <v>2129</v>
      </c>
      <c r="B1726" s="27" t="s">
        <v>438</v>
      </c>
      <c r="C1726" s="27" t="s">
        <v>211</v>
      </c>
      <c r="D1726" s="25"/>
      <c r="E1726" s="25"/>
      <c r="F1726" s="25"/>
      <c r="G1726" s="25"/>
      <c r="H1726" s="25"/>
      <c r="I1726" s="25"/>
      <c r="J1726" s="27" t="s">
        <v>2122</v>
      </c>
      <c r="K1726" s="25" t="str">
        <f aca="false">IFERROR(__xludf.dummyfunction("SPLIT(J1726,"" "")"),"CIF")</f>
        <v>CIF</v>
      </c>
      <c r="L1726" s="28" t="str">
        <f aca="false">IFERROR(__xludf.dummyfunction("""COMPUTED_VALUE"""),"Slovakia")</f>
        <v>Slovakia</v>
      </c>
      <c r="M1726" s="27" t="str">
        <f aca="false">IFERROR(__xludf.dummyfunction("""COMPUTED_VALUE"""),"(Diff)")</f>
        <v>(Diff)</v>
      </c>
      <c r="N1726" s="25"/>
      <c r="O1726" s="25"/>
      <c r="P1726" s="25"/>
      <c r="Q1726" s="29" t="s">
        <v>234</v>
      </c>
      <c r="R1726" s="8" t="str">
        <f aca="false">B1726&amp;" "&amp;C1726&amp;" "&amp;D1726&amp;" "&amp;E1726&amp;" "&amp;G1726&amp;" "&amp;H1726&amp;" "&amp;J1726&amp;" "&amp;N1726</f>
        <v>Differentials Binders &amp; Additives     CIF Slovakia (Diff) </v>
      </c>
      <c r="S1726" s="25"/>
      <c r="T1726" s="8"/>
      <c r="U1726" s="8"/>
      <c r="V1726" s="25"/>
      <c r="W1726" s="25"/>
      <c r="X1726" s="25"/>
      <c r="Y1726" s="25"/>
      <c r="Z1726" s="25"/>
      <c r="AA1726" s="25"/>
      <c r="AB1726" s="25"/>
      <c r="AC1726" s="25"/>
      <c r="AD1726" s="25"/>
    </row>
    <row r="1727" customFormat="false" ht="15.75" hidden="false" customHeight="false" outlineLevel="0" collapsed="false">
      <c r="A1727" s="28" t="s">
        <v>2130</v>
      </c>
      <c r="B1727" s="27" t="s">
        <v>438</v>
      </c>
      <c r="C1727" s="27" t="s">
        <v>211</v>
      </c>
      <c r="D1727" s="25"/>
      <c r="E1727" s="25"/>
      <c r="F1727" s="25"/>
      <c r="G1727" s="25"/>
      <c r="H1727" s="25"/>
      <c r="I1727" s="25"/>
      <c r="J1727" s="27" t="s">
        <v>2122</v>
      </c>
      <c r="K1727" s="25" t="str">
        <f aca="false">IFERROR(__xludf.dummyfunction("SPLIT(J1727,"" "")"),"CIF")</f>
        <v>CIF</v>
      </c>
      <c r="L1727" s="28" t="str">
        <f aca="false">IFERROR(__xludf.dummyfunction("""COMPUTED_VALUE"""),"Slovakia")</f>
        <v>Slovakia</v>
      </c>
      <c r="M1727" s="27" t="str">
        <f aca="false">IFERROR(__xludf.dummyfunction("""COMPUTED_VALUE"""),"(Diff)")</f>
        <v>(Diff)</v>
      </c>
      <c r="N1727" s="25"/>
      <c r="O1727" s="25"/>
      <c r="P1727" s="25"/>
      <c r="Q1727" s="29" t="s">
        <v>232</v>
      </c>
      <c r="R1727" s="8" t="str">
        <f aca="false">B1727&amp;" "&amp;C1727&amp;" "&amp;D1727&amp;" "&amp;E1727&amp;" "&amp;G1727&amp;" "&amp;H1727&amp;" "&amp;J1727&amp;" "&amp;N1727</f>
        <v>Differentials Binders &amp; Additives     CIF Slovakia (Diff) </v>
      </c>
      <c r="S1727" s="25"/>
      <c r="T1727" s="8"/>
      <c r="U1727" s="8"/>
      <c r="V1727" s="25"/>
      <c r="W1727" s="25"/>
      <c r="X1727" s="25"/>
      <c r="Y1727" s="25"/>
      <c r="Z1727" s="25"/>
      <c r="AA1727" s="25"/>
      <c r="AB1727" s="25"/>
      <c r="AC1727" s="25"/>
      <c r="AD1727" s="25"/>
    </row>
    <row r="1728" customFormat="false" ht="15.75" hidden="false" customHeight="false" outlineLevel="0" collapsed="false">
      <c r="A1728" s="28" t="s">
        <v>2131</v>
      </c>
      <c r="B1728" s="27" t="s">
        <v>438</v>
      </c>
      <c r="C1728" s="27" t="s">
        <v>211</v>
      </c>
      <c r="D1728" s="25"/>
      <c r="E1728" s="25"/>
      <c r="F1728" s="25"/>
      <c r="G1728" s="25"/>
      <c r="H1728" s="25"/>
      <c r="I1728" s="25"/>
      <c r="J1728" s="27" t="s">
        <v>2122</v>
      </c>
      <c r="K1728" s="25" t="str">
        <f aca="false">IFERROR(__xludf.dummyfunction("SPLIT(J1728,"" "")"),"CIF")</f>
        <v>CIF</v>
      </c>
      <c r="L1728" s="28" t="str">
        <f aca="false">IFERROR(__xludf.dummyfunction("""COMPUTED_VALUE"""),"Slovakia")</f>
        <v>Slovakia</v>
      </c>
      <c r="M1728" s="27" t="str">
        <f aca="false">IFERROR(__xludf.dummyfunction("""COMPUTED_VALUE"""),"(Diff)")</f>
        <v>(Diff)</v>
      </c>
      <c r="N1728" s="25"/>
      <c r="O1728" s="25"/>
      <c r="P1728" s="25"/>
      <c r="Q1728" s="29" t="s">
        <v>230</v>
      </c>
      <c r="R1728" s="8" t="str">
        <f aca="false">B1728&amp;" "&amp;C1728&amp;" "&amp;D1728&amp;" "&amp;E1728&amp;" "&amp;G1728&amp;" "&amp;H1728&amp;" "&amp;J1728&amp;" "&amp;N1728</f>
        <v>Differentials Binders &amp; Additives     CIF Slovakia (Diff) </v>
      </c>
      <c r="S1728" s="25"/>
      <c r="T1728" s="8"/>
      <c r="U1728" s="8"/>
      <c r="V1728" s="25"/>
      <c r="W1728" s="25"/>
      <c r="X1728" s="25"/>
      <c r="Y1728" s="25"/>
      <c r="Z1728" s="25"/>
      <c r="AA1728" s="25"/>
      <c r="AB1728" s="25"/>
      <c r="AC1728" s="25"/>
      <c r="AD1728" s="25"/>
    </row>
    <row r="1729" customFormat="false" ht="15.75" hidden="false" customHeight="false" outlineLevel="0" collapsed="false">
      <c r="A1729" s="28" t="s">
        <v>2132</v>
      </c>
      <c r="B1729" s="27" t="s">
        <v>438</v>
      </c>
      <c r="C1729" s="27" t="s">
        <v>211</v>
      </c>
      <c r="D1729" s="25"/>
      <c r="E1729" s="25"/>
      <c r="F1729" s="25"/>
      <c r="G1729" s="25"/>
      <c r="H1729" s="25"/>
      <c r="I1729" s="25"/>
      <c r="J1729" s="27" t="s">
        <v>2122</v>
      </c>
      <c r="K1729" s="25" t="str">
        <f aca="false">IFERROR(__xludf.dummyfunction("SPLIT(J1729,"" "")"),"CIF")</f>
        <v>CIF</v>
      </c>
      <c r="L1729" s="28" t="str">
        <f aca="false">IFERROR(__xludf.dummyfunction("""COMPUTED_VALUE"""),"Slovakia")</f>
        <v>Slovakia</v>
      </c>
      <c r="M1729" s="27" t="str">
        <f aca="false">IFERROR(__xludf.dummyfunction("""COMPUTED_VALUE"""),"(Diff)")</f>
        <v>(Diff)</v>
      </c>
      <c r="N1729" s="25"/>
      <c r="O1729" s="25"/>
      <c r="P1729" s="25"/>
      <c r="Q1729" s="29" t="s">
        <v>228</v>
      </c>
      <c r="R1729" s="8" t="str">
        <f aca="false">B1729&amp;" "&amp;C1729&amp;" "&amp;D1729&amp;" "&amp;E1729&amp;" "&amp;G1729&amp;" "&amp;H1729&amp;" "&amp;J1729&amp;" "&amp;N1729</f>
        <v>Differentials Binders &amp; Additives     CIF Slovakia (Diff) </v>
      </c>
      <c r="S1729" s="25"/>
      <c r="T1729" s="8"/>
      <c r="U1729" s="8"/>
      <c r="V1729" s="25"/>
      <c r="W1729" s="25"/>
      <c r="X1729" s="25"/>
      <c r="Y1729" s="25"/>
      <c r="Z1729" s="25"/>
      <c r="AA1729" s="25"/>
      <c r="AB1729" s="25"/>
      <c r="AC1729" s="25"/>
      <c r="AD1729" s="25"/>
    </row>
    <row r="1730" customFormat="false" ht="15.75" hidden="false" customHeight="false" outlineLevel="0" collapsed="false">
      <c r="A1730" s="28" t="s">
        <v>2133</v>
      </c>
      <c r="B1730" s="27" t="s">
        <v>438</v>
      </c>
      <c r="C1730" s="27" t="s">
        <v>211</v>
      </c>
      <c r="D1730" s="25"/>
      <c r="E1730" s="25"/>
      <c r="F1730" s="25"/>
      <c r="G1730" s="25"/>
      <c r="H1730" s="25"/>
      <c r="I1730" s="25"/>
      <c r="J1730" s="27" t="s">
        <v>2122</v>
      </c>
      <c r="K1730" s="25" t="str">
        <f aca="false">IFERROR(__xludf.dummyfunction("SPLIT(J1730,"" "")"),"CIF")</f>
        <v>CIF</v>
      </c>
      <c r="L1730" s="28" t="str">
        <f aca="false">IFERROR(__xludf.dummyfunction("""COMPUTED_VALUE"""),"Slovakia")</f>
        <v>Slovakia</v>
      </c>
      <c r="M1730" s="27" t="str">
        <f aca="false">IFERROR(__xludf.dummyfunction("""COMPUTED_VALUE"""),"(Diff)")</f>
        <v>(Diff)</v>
      </c>
      <c r="N1730" s="25"/>
      <c r="O1730" s="25"/>
      <c r="P1730" s="25"/>
      <c r="Q1730" s="29" t="s">
        <v>226</v>
      </c>
      <c r="R1730" s="8" t="str">
        <f aca="false">B1730&amp;" "&amp;C1730&amp;" "&amp;D1730&amp;" "&amp;E1730&amp;" "&amp;G1730&amp;" "&amp;H1730&amp;" "&amp;J1730&amp;" "&amp;N1730</f>
        <v>Differentials Binders &amp; Additives     CIF Slovakia (Diff) </v>
      </c>
      <c r="S1730" s="25"/>
      <c r="T1730" s="8"/>
      <c r="U1730" s="8"/>
      <c r="V1730" s="25"/>
      <c r="W1730" s="25"/>
      <c r="X1730" s="25"/>
      <c r="Y1730" s="25"/>
      <c r="Z1730" s="25"/>
      <c r="AA1730" s="25"/>
      <c r="AB1730" s="25"/>
      <c r="AC1730" s="25"/>
      <c r="AD1730" s="25"/>
    </row>
    <row r="1731" customFormat="false" ht="15.75" hidden="false" customHeight="false" outlineLevel="0" collapsed="false">
      <c r="A1731" s="28" t="s">
        <v>2134</v>
      </c>
      <c r="B1731" s="27" t="s">
        <v>438</v>
      </c>
      <c r="C1731" s="27" t="s">
        <v>211</v>
      </c>
      <c r="D1731" s="25"/>
      <c r="E1731" s="25"/>
      <c r="F1731" s="25"/>
      <c r="G1731" s="25"/>
      <c r="H1731" s="25"/>
      <c r="I1731" s="25"/>
      <c r="J1731" s="27" t="s">
        <v>2122</v>
      </c>
      <c r="K1731" s="25" t="str">
        <f aca="false">IFERROR(__xludf.dummyfunction("SPLIT(J1731,"" "")"),"CIF")</f>
        <v>CIF</v>
      </c>
      <c r="L1731" s="28" t="str">
        <f aca="false">IFERROR(__xludf.dummyfunction("""COMPUTED_VALUE"""),"Slovakia")</f>
        <v>Slovakia</v>
      </c>
      <c r="M1731" s="27" t="str">
        <f aca="false">IFERROR(__xludf.dummyfunction("""COMPUTED_VALUE"""),"(Diff)")</f>
        <v>(Diff)</v>
      </c>
      <c r="N1731" s="25"/>
      <c r="O1731" s="25"/>
      <c r="P1731" s="25"/>
      <c r="Q1731" s="29" t="s">
        <v>224</v>
      </c>
      <c r="R1731" s="8" t="str">
        <f aca="false">B1731&amp;" "&amp;C1731&amp;" "&amp;D1731&amp;" "&amp;E1731&amp;" "&amp;G1731&amp;" "&amp;H1731&amp;" "&amp;J1731&amp;" "&amp;N1731</f>
        <v>Differentials Binders &amp; Additives     CIF Slovakia (Diff) </v>
      </c>
      <c r="S1731" s="25"/>
      <c r="T1731" s="8"/>
      <c r="U1731" s="8"/>
      <c r="V1731" s="25"/>
      <c r="W1731" s="25"/>
      <c r="X1731" s="25"/>
      <c r="Y1731" s="25"/>
      <c r="Z1731" s="25"/>
      <c r="AA1731" s="25"/>
      <c r="AB1731" s="25"/>
      <c r="AC1731" s="25"/>
      <c r="AD1731" s="25"/>
    </row>
    <row r="1732" customFormat="false" ht="15.75" hidden="false" customHeight="false" outlineLevel="0" collapsed="false">
      <c r="A1732" s="28" t="s">
        <v>2135</v>
      </c>
      <c r="B1732" s="27" t="s">
        <v>438</v>
      </c>
      <c r="C1732" s="27" t="s">
        <v>211</v>
      </c>
      <c r="D1732" s="25"/>
      <c r="E1732" s="25"/>
      <c r="F1732" s="25"/>
      <c r="G1732" s="25"/>
      <c r="H1732" s="25"/>
      <c r="I1732" s="25"/>
      <c r="J1732" s="27" t="s">
        <v>2122</v>
      </c>
      <c r="K1732" s="25" t="str">
        <f aca="false">IFERROR(__xludf.dummyfunction("SPLIT(J1732,"" "")"),"CIF")</f>
        <v>CIF</v>
      </c>
      <c r="L1732" s="28" t="str">
        <f aca="false">IFERROR(__xludf.dummyfunction("""COMPUTED_VALUE"""),"Slovakia")</f>
        <v>Slovakia</v>
      </c>
      <c r="M1732" s="27" t="str">
        <f aca="false">IFERROR(__xludf.dummyfunction("""COMPUTED_VALUE"""),"(Diff)")</f>
        <v>(Diff)</v>
      </c>
      <c r="N1732" s="25"/>
      <c r="O1732" s="25"/>
      <c r="P1732" s="25"/>
      <c r="Q1732" s="29" t="s">
        <v>222</v>
      </c>
      <c r="R1732" s="8" t="str">
        <f aca="false">B1732&amp;" "&amp;C1732&amp;" "&amp;D1732&amp;" "&amp;E1732&amp;" "&amp;G1732&amp;" "&amp;H1732&amp;" "&amp;J1732&amp;" "&amp;N1732</f>
        <v>Differentials Binders &amp; Additives     CIF Slovakia (Diff) </v>
      </c>
      <c r="S1732" s="25"/>
      <c r="T1732" s="8"/>
      <c r="U1732" s="8"/>
      <c r="V1732" s="25"/>
      <c r="W1732" s="25"/>
      <c r="X1732" s="25"/>
      <c r="Y1732" s="25"/>
      <c r="Z1732" s="25"/>
      <c r="AA1732" s="25"/>
      <c r="AB1732" s="25"/>
      <c r="AC1732" s="25"/>
      <c r="AD1732" s="25"/>
    </row>
    <row r="1733" customFormat="false" ht="15.75" hidden="false" customHeight="false" outlineLevel="0" collapsed="false">
      <c r="A1733" s="28" t="s">
        <v>2136</v>
      </c>
      <c r="B1733" s="27" t="s">
        <v>438</v>
      </c>
      <c r="C1733" s="27" t="s">
        <v>211</v>
      </c>
      <c r="D1733" s="25"/>
      <c r="E1733" s="25"/>
      <c r="F1733" s="25"/>
      <c r="G1733" s="25"/>
      <c r="H1733" s="25"/>
      <c r="I1733" s="25"/>
      <c r="J1733" s="27" t="s">
        <v>2122</v>
      </c>
      <c r="K1733" s="25" t="str">
        <f aca="false">IFERROR(__xludf.dummyfunction("SPLIT(J1733,"" "")"),"CIF")</f>
        <v>CIF</v>
      </c>
      <c r="L1733" s="28" t="str">
        <f aca="false">IFERROR(__xludf.dummyfunction("""COMPUTED_VALUE"""),"Slovakia")</f>
        <v>Slovakia</v>
      </c>
      <c r="M1733" s="27" t="str">
        <f aca="false">IFERROR(__xludf.dummyfunction("""COMPUTED_VALUE"""),"(Diff)")</f>
        <v>(Diff)</v>
      </c>
      <c r="N1733" s="25"/>
      <c r="O1733" s="25"/>
      <c r="P1733" s="25"/>
      <c r="Q1733" s="29" t="s">
        <v>220</v>
      </c>
      <c r="R1733" s="8" t="str">
        <f aca="false">B1733&amp;" "&amp;C1733&amp;" "&amp;D1733&amp;" "&amp;E1733&amp;" "&amp;G1733&amp;" "&amp;H1733&amp;" "&amp;J1733&amp;" "&amp;N1733</f>
        <v>Differentials Binders &amp; Additives     CIF Slovakia (Diff) </v>
      </c>
      <c r="S1733" s="25"/>
      <c r="T1733" s="8"/>
      <c r="U1733" s="8"/>
      <c r="V1733" s="25"/>
      <c r="W1733" s="25"/>
      <c r="X1733" s="25"/>
      <c r="Y1733" s="25"/>
      <c r="Z1733" s="25"/>
      <c r="AA1733" s="25"/>
      <c r="AB1733" s="25"/>
      <c r="AC1733" s="25"/>
      <c r="AD1733" s="25"/>
    </row>
    <row r="1734" customFormat="false" ht="15.75" hidden="false" customHeight="false" outlineLevel="0" collapsed="false">
      <c r="A1734" s="28" t="s">
        <v>2137</v>
      </c>
      <c r="B1734" s="27" t="s">
        <v>438</v>
      </c>
      <c r="C1734" s="27" t="s">
        <v>211</v>
      </c>
      <c r="D1734" s="25"/>
      <c r="E1734" s="25"/>
      <c r="F1734" s="25"/>
      <c r="G1734" s="25"/>
      <c r="H1734" s="25"/>
      <c r="I1734" s="25"/>
      <c r="J1734" s="27" t="s">
        <v>2122</v>
      </c>
      <c r="K1734" s="25" t="str">
        <f aca="false">IFERROR(__xludf.dummyfunction("SPLIT(J1734,"" "")"),"CIF")</f>
        <v>CIF</v>
      </c>
      <c r="L1734" s="28" t="str">
        <f aca="false">IFERROR(__xludf.dummyfunction("""COMPUTED_VALUE"""),"Slovakia")</f>
        <v>Slovakia</v>
      </c>
      <c r="M1734" s="27" t="str">
        <f aca="false">IFERROR(__xludf.dummyfunction("""COMPUTED_VALUE"""),"(Diff)")</f>
        <v>(Diff)</v>
      </c>
      <c r="N1734" s="25"/>
      <c r="O1734" s="25"/>
      <c r="P1734" s="25"/>
      <c r="Q1734" s="29" t="s">
        <v>218</v>
      </c>
      <c r="R1734" s="8" t="str">
        <f aca="false">B1734&amp;" "&amp;C1734&amp;" "&amp;D1734&amp;" "&amp;E1734&amp;" "&amp;G1734&amp;" "&amp;H1734&amp;" "&amp;J1734&amp;" "&amp;N1734</f>
        <v>Differentials Binders &amp; Additives     CIF Slovakia (Diff) </v>
      </c>
      <c r="S1734" s="25"/>
      <c r="T1734" s="8"/>
      <c r="U1734" s="8"/>
      <c r="V1734" s="25"/>
      <c r="W1734" s="25"/>
      <c r="X1734" s="25"/>
      <c r="Y1734" s="25"/>
      <c r="Z1734" s="25"/>
      <c r="AA1734" s="25"/>
      <c r="AB1734" s="25"/>
      <c r="AC1734" s="25"/>
      <c r="AD1734" s="25"/>
    </row>
    <row r="1735" customFormat="false" ht="15.75" hidden="false" customHeight="false" outlineLevel="0" collapsed="false">
      <c r="A1735" s="28" t="s">
        <v>2138</v>
      </c>
      <c r="B1735" s="27" t="s">
        <v>438</v>
      </c>
      <c r="C1735" s="27" t="s">
        <v>211</v>
      </c>
      <c r="D1735" s="25"/>
      <c r="E1735" s="25"/>
      <c r="F1735" s="25"/>
      <c r="G1735" s="25"/>
      <c r="H1735" s="25"/>
      <c r="I1735" s="25"/>
      <c r="J1735" s="27" t="s">
        <v>2122</v>
      </c>
      <c r="K1735" s="25" t="str">
        <f aca="false">IFERROR(__xludf.dummyfunction("SPLIT(J1735,"" "")"),"CIF")</f>
        <v>CIF</v>
      </c>
      <c r="L1735" s="28" t="str">
        <f aca="false">IFERROR(__xludf.dummyfunction("""COMPUTED_VALUE"""),"Slovakia")</f>
        <v>Slovakia</v>
      </c>
      <c r="M1735" s="27" t="str">
        <f aca="false">IFERROR(__xludf.dummyfunction("""COMPUTED_VALUE"""),"(Diff)")</f>
        <v>(Diff)</v>
      </c>
      <c r="N1735" s="25"/>
      <c r="O1735" s="25"/>
      <c r="P1735" s="25"/>
      <c r="Q1735" s="29" t="s">
        <v>215</v>
      </c>
      <c r="R1735" s="8" t="str">
        <f aca="false">B1735&amp;" "&amp;C1735&amp;" "&amp;D1735&amp;" "&amp;E1735&amp;" "&amp;G1735&amp;" "&amp;H1735&amp;" "&amp;J1735&amp;" "&amp;N1735</f>
        <v>Differentials Binders &amp; Additives     CIF Slovakia (Diff) </v>
      </c>
      <c r="S1735" s="25"/>
      <c r="T1735" s="8"/>
      <c r="U1735" s="8"/>
      <c r="V1735" s="25"/>
      <c r="W1735" s="25"/>
      <c r="X1735" s="25"/>
      <c r="Y1735" s="25"/>
      <c r="Z1735" s="25"/>
      <c r="AA1735" s="25"/>
      <c r="AB1735" s="25"/>
      <c r="AC1735" s="25"/>
      <c r="AD1735" s="25"/>
    </row>
    <row r="1736" customFormat="false" ht="15.75" hidden="false" customHeight="false" outlineLevel="0" collapsed="false">
      <c r="A1736" s="28" t="s">
        <v>2139</v>
      </c>
      <c r="B1736" s="27" t="s">
        <v>438</v>
      </c>
      <c r="C1736" s="27" t="s">
        <v>211</v>
      </c>
      <c r="D1736" s="25"/>
      <c r="E1736" s="25"/>
      <c r="F1736" s="25"/>
      <c r="G1736" s="25"/>
      <c r="H1736" s="25"/>
      <c r="I1736" s="25"/>
      <c r="J1736" s="27" t="s">
        <v>2122</v>
      </c>
      <c r="K1736" s="25" t="str">
        <f aca="false">IFERROR(__xludf.dummyfunction("SPLIT(J1736,"" "")"),"CIF")</f>
        <v>CIF</v>
      </c>
      <c r="L1736" s="28" t="str">
        <f aca="false">IFERROR(__xludf.dummyfunction("""COMPUTED_VALUE"""),"Slovakia")</f>
        <v>Slovakia</v>
      </c>
      <c r="M1736" s="27" t="str">
        <f aca="false">IFERROR(__xludf.dummyfunction("""COMPUTED_VALUE"""),"(Diff)")</f>
        <v>(Diff)</v>
      </c>
      <c r="N1736" s="25"/>
      <c r="O1736" s="25"/>
      <c r="P1736" s="25"/>
      <c r="Q1736" s="29" t="s">
        <v>213</v>
      </c>
      <c r="R1736" s="8" t="str">
        <f aca="false">B1736&amp;" "&amp;C1736&amp;" "&amp;D1736&amp;" "&amp;E1736&amp;" "&amp;G1736&amp;" "&amp;H1736&amp;" "&amp;J1736&amp;" "&amp;N1736</f>
        <v>Differentials Binders &amp; Additives     CIF Slovakia (Diff) </v>
      </c>
      <c r="S1736" s="25"/>
      <c r="T1736" s="8"/>
      <c r="U1736" s="8"/>
      <c r="V1736" s="25"/>
      <c r="W1736" s="25"/>
      <c r="X1736" s="25"/>
      <c r="Y1736" s="25"/>
      <c r="Z1736" s="25"/>
      <c r="AA1736" s="25"/>
      <c r="AB1736" s="25"/>
      <c r="AC1736" s="25"/>
      <c r="AD1736" s="25"/>
    </row>
    <row r="1737" customFormat="false" ht="15.75" hidden="false" customHeight="false" outlineLevel="0" collapsed="false">
      <c r="A1737" s="28" t="s">
        <v>2140</v>
      </c>
      <c r="B1737" s="27" t="s">
        <v>438</v>
      </c>
      <c r="C1737" s="27" t="s">
        <v>236</v>
      </c>
      <c r="D1737" s="25"/>
      <c r="E1737" s="25"/>
      <c r="F1737" s="25"/>
      <c r="G1737" s="25"/>
      <c r="H1737" s="25"/>
      <c r="I1737" s="25"/>
      <c r="J1737" s="27" t="s">
        <v>2122</v>
      </c>
      <c r="K1737" s="25" t="str">
        <f aca="false">IFERROR(__xludf.dummyfunction("SPLIT(J1737,"" "")"),"CIF")</f>
        <v>CIF</v>
      </c>
      <c r="L1737" s="28" t="str">
        <f aca="false">IFERROR(__xludf.dummyfunction("""COMPUTED_VALUE"""),"Slovakia")</f>
        <v>Slovakia</v>
      </c>
      <c r="M1737" s="27" t="str">
        <f aca="false">IFERROR(__xludf.dummyfunction("""COMPUTED_VALUE"""),"(Diff)")</f>
        <v>(Diff)</v>
      </c>
      <c r="N1737" s="25"/>
      <c r="O1737" s="25"/>
      <c r="P1737" s="25"/>
      <c r="Q1737" s="29" t="s">
        <v>271</v>
      </c>
      <c r="R1737" s="8" t="str">
        <f aca="false">B1737&amp;" "&amp;C1737&amp;" "&amp;D1737&amp;" "&amp;E1737&amp;" "&amp;G1737&amp;" "&amp;H1737&amp;" "&amp;J1737&amp;" "&amp;N1737</f>
        <v>Differentials Cathode     CIF Slovakia (Diff) </v>
      </c>
      <c r="S1737" s="25"/>
      <c r="T1737" s="8"/>
      <c r="U1737" s="8"/>
      <c r="V1737" s="25"/>
      <c r="W1737" s="25"/>
      <c r="X1737" s="25"/>
      <c r="Y1737" s="25"/>
      <c r="Z1737" s="25"/>
      <c r="AA1737" s="25"/>
      <c r="AB1737" s="25"/>
      <c r="AC1737" s="25"/>
      <c r="AD1737" s="25"/>
    </row>
    <row r="1738" customFormat="false" ht="15.75" hidden="false" customHeight="false" outlineLevel="0" collapsed="false">
      <c r="A1738" s="28" t="s">
        <v>2141</v>
      </c>
      <c r="B1738" s="27" t="s">
        <v>438</v>
      </c>
      <c r="C1738" s="27" t="s">
        <v>236</v>
      </c>
      <c r="D1738" s="25"/>
      <c r="E1738" s="25"/>
      <c r="F1738" s="25"/>
      <c r="G1738" s="25"/>
      <c r="H1738" s="25"/>
      <c r="I1738" s="25"/>
      <c r="J1738" s="27" t="s">
        <v>2122</v>
      </c>
      <c r="K1738" s="25" t="str">
        <f aca="false">IFERROR(__xludf.dummyfunction("SPLIT(J1738,"" "")"),"CIF")</f>
        <v>CIF</v>
      </c>
      <c r="L1738" s="28" t="str">
        <f aca="false">IFERROR(__xludf.dummyfunction("""COMPUTED_VALUE"""),"Slovakia")</f>
        <v>Slovakia</v>
      </c>
      <c r="M1738" s="27" t="str">
        <f aca="false">IFERROR(__xludf.dummyfunction("""COMPUTED_VALUE"""),"(Diff)")</f>
        <v>(Diff)</v>
      </c>
      <c r="N1738" s="25"/>
      <c r="O1738" s="25"/>
      <c r="P1738" s="25"/>
      <c r="Q1738" s="29" t="s">
        <v>266</v>
      </c>
      <c r="R1738" s="8" t="str">
        <f aca="false">B1738&amp;" "&amp;C1738&amp;" "&amp;D1738&amp;" "&amp;E1738&amp;" "&amp;G1738&amp;" "&amp;H1738&amp;" "&amp;J1738&amp;" "&amp;N1738</f>
        <v>Differentials Cathode     CIF Slovakia (Diff) </v>
      </c>
      <c r="S1738" s="25"/>
      <c r="T1738" s="8"/>
      <c r="U1738" s="8"/>
      <c r="V1738" s="25"/>
      <c r="W1738" s="25"/>
      <c r="X1738" s="25"/>
      <c r="Y1738" s="25"/>
      <c r="Z1738" s="25"/>
      <c r="AA1738" s="25"/>
      <c r="AB1738" s="25"/>
      <c r="AC1738" s="25"/>
      <c r="AD1738" s="25"/>
    </row>
    <row r="1739" customFormat="false" ht="15.75" hidden="false" customHeight="false" outlineLevel="0" collapsed="false">
      <c r="A1739" s="28" t="s">
        <v>2142</v>
      </c>
      <c r="B1739" s="27" t="s">
        <v>438</v>
      </c>
      <c r="C1739" s="27" t="s">
        <v>236</v>
      </c>
      <c r="D1739" s="25"/>
      <c r="E1739" s="25"/>
      <c r="F1739" s="25"/>
      <c r="G1739" s="25"/>
      <c r="H1739" s="25"/>
      <c r="I1739" s="25"/>
      <c r="J1739" s="27" t="s">
        <v>2122</v>
      </c>
      <c r="K1739" s="25" t="str">
        <f aca="false">IFERROR(__xludf.dummyfunction("SPLIT(J1739,"" "")"),"CIF")</f>
        <v>CIF</v>
      </c>
      <c r="L1739" s="28" t="str">
        <f aca="false">IFERROR(__xludf.dummyfunction("""COMPUTED_VALUE"""),"Slovakia")</f>
        <v>Slovakia</v>
      </c>
      <c r="M1739" s="27" t="str">
        <f aca="false">IFERROR(__xludf.dummyfunction("""COMPUTED_VALUE"""),"(Diff)")</f>
        <v>(Diff)</v>
      </c>
      <c r="N1739" s="25"/>
      <c r="O1739" s="25"/>
      <c r="P1739" s="25"/>
      <c r="Q1739" s="29" t="s">
        <v>261</v>
      </c>
      <c r="R1739" s="8" t="str">
        <f aca="false">B1739&amp;" "&amp;C1739&amp;" "&amp;D1739&amp;" "&amp;E1739&amp;" "&amp;G1739&amp;" "&amp;H1739&amp;" "&amp;J1739&amp;" "&amp;N1739</f>
        <v>Differentials Cathode     CIF Slovakia (Diff) </v>
      </c>
      <c r="S1739" s="25"/>
      <c r="T1739" s="8"/>
      <c r="U1739" s="8"/>
      <c r="V1739" s="25"/>
      <c r="W1739" s="25"/>
      <c r="X1739" s="25"/>
      <c r="Y1739" s="25"/>
      <c r="Z1739" s="25"/>
      <c r="AA1739" s="25"/>
      <c r="AB1739" s="25"/>
      <c r="AC1739" s="25"/>
      <c r="AD1739" s="25"/>
    </row>
    <row r="1740" customFormat="false" ht="15.75" hidden="false" customHeight="false" outlineLevel="0" collapsed="false">
      <c r="A1740" s="28" t="s">
        <v>2143</v>
      </c>
      <c r="B1740" s="27" t="s">
        <v>438</v>
      </c>
      <c r="C1740" s="27" t="s">
        <v>236</v>
      </c>
      <c r="D1740" s="25"/>
      <c r="E1740" s="25"/>
      <c r="F1740" s="25"/>
      <c r="G1740" s="25"/>
      <c r="H1740" s="25"/>
      <c r="I1740" s="25"/>
      <c r="J1740" s="27" t="s">
        <v>2122</v>
      </c>
      <c r="K1740" s="25" t="str">
        <f aca="false">IFERROR(__xludf.dummyfunction("SPLIT(J1740,"" "")"),"CIF")</f>
        <v>CIF</v>
      </c>
      <c r="L1740" s="28" t="str">
        <f aca="false">IFERROR(__xludf.dummyfunction("""COMPUTED_VALUE"""),"Slovakia")</f>
        <v>Slovakia</v>
      </c>
      <c r="M1740" s="27" t="str">
        <f aca="false">IFERROR(__xludf.dummyfunction("""COMPUTED_VALUE"""),"(Diff)")</f>
        <v>(Diff)</v>
      </c>
      <c r="N1740" s="25"/>
      <c r="O1740" s="25"/>
      <c r="P1740" s="25"/>
      <c r="Q1740" s="29" t="s">
        <v>256</v>
      </c>
      <c r="R1740" s="8" t="str">
        <f aca="false">B1740&amp;" "&amp;C1740&amp;" "&amp;D1740&amp;" "&amp;E1740&amp;" "&amp;G1740&amp;" "&amp;H1740&amp;" "&amp;J1740&amp;" "&amp;N1740</f>
        <v>Differentials Cathode     CIF Slovakia (Diff) </v>
      </c>
      <c r="S1740" s="25"/>
      <c r="T1740" s="8"/>
      <c r="U1740" s="8"/>
      <c r="V1740" s="25"/>
      <c r="W1740" s="25"/>
      <c r="X1740" s="25"/>
      <c r="Y1740" s="25"/>
      <c r="Z1740" s="25"/>
      <c r="AA1740" s="25"/>
      <c r="AB1740" s="25"/>
      <c r="AC1740" s="25"/>
      <c r="AD1740" s="25"/>
    </row>
    <row r="1741" customFormat="false" ht="15.75" hidden="false" customHeight="false" outlineLevel="0" collapsed="false">
      <c r="A1741" s="28" t="s">
        <v>2144</v>
      </c>
      <c r="B1741" s="27" t="s">
        <v>438</v>
      </c>
      <c r="C1741" s="27" t="s">
        <v>236</v>
      </c>
      <c r="D1741" s="25"/>
      <c r="E1741" s="25"/>
      <c r="F1741" s="25"/>
      <c r="G1741" s="25"/>
      <c r="H1741" s="25"/>
      <c r="I1741" s="25"/>
      <c r="J1741" s="27" t="s">
        <v>2122</v>
      </c>
      <c r="K1741" s="25" t="str">
        <f aca="false">IFERROR(__xludf.dummyfunction("SPLIT(J1741,"" "")"),"CIF")</f>
        <v>CIF</v>
      </c>
      <c r="L1741" s="28" t="str">
        <f aca="false">IFERROR(__xludf.dummyfunction("""COMPUTED_VALUE"""),"Slovakia")</f>
        <v>Slovakia</v>
      </c>
      <c r="M1741" s="27" t="str">
        <f aca="false">IFERROR(__xludf.dummyfunction("""COMPUTED_VALUE"""),"(Diff)")</f>
        <v>(Diff)</v>
      </c>
      <c r="N1741" s="25"/>
      <c r="O1741" s="25"/>
      <c r="P1741" s="25"/>
      <c r="Q1741" s="29" t="s">
        <v>251</v>
      </c>
      <c r="R1741" s="8" t="str">
        <f aca="false">B1741&amp;" "&amp;C1741&amp;" "&amp;D1741&amp;" "&amp;E1741&amp;" "&amp;G1741&amp;" "&amp;H1741&amp;" "&amp;J1741&amp;" "&amp;N1741</f>
        <v>Differentials Cathode     CIF Slovakia (Diff) </v>
      </c>
      <c r="S1741" s="25"/>
      <c r="T1741" s="8"/>
      <c r="U1741" s="8"/>
      <c r="V1741" s="25"/>
      <c r="W1741" s="25"/>
      <c r="X1741" s="25"/>
      <c r="Y1741" s="25"/>
      <c r="Z1741" s="25"/>
      <c r="AA1741" s="25"/>
      <c r="AB1741" s="25"/>
      <c r="AC1741" s="25"/>
      <c r="AD1741" s="25"/>
    </row>
    <row r="1742" customFormat="false" ht="15.75" hidden="false" customHeight="false" outlineLevel="0" collapsed="false">
      <c r="A1742" s="28" t="s">
        <v>2145</v>
      </c>
      <c r="B1742" s="27" t="s">
        <v>438</v>
      </c>
      <c r="C1742" s="27" t="s">
        <v>236</v>
      </c>
      <c r="D1742" s="25"/>
      <c r="E1742" s="25"/>
      <c r="F1742" s="25"/>
      <c r="G1742" s="25"/>
      <c r="H1742" s="25"/>
      <c r="I1742" s="25"/>
      <c r="J1742" s="27" t="s">
        <v>2122</v>
      </c>
      <c r="K1742" s="25" t="str">
        <f aca="false">IFERROR(__xludf.dummyfunction("SPLIT(J1742,"" "")"),"CIF")</f>
        <v>CIF</v>
      </c>
      <c r="L1742" s="28" t="str">
        <f aca="false">IFERROR(__xludf.dummyfunction("""COMPUTED_VALUE"""),"Slovakia")</f>
        <v>Slovakia</v>
      </c>
      <c r="M1742" s="27" t="str">
        <f aca="false">IFERROR(__xludf.dummyfunction("""COMPUTED_VALUE"""),"(Diff)")</f>
        <v>(Diff)</v>
      </c>
      <c r="N1742" s="25"/>
      <c r="O1742" s="25"/>
      <c r="P1742" s="25"/>
      <c r="Q1742" s="29" t="s">
        <v>247</v>
      </c>
      <c r="R1742" s="8" t="str">
        <f aca="false">B1742&amp;" "&amp;C1742&amp;" "&amp;D1742&amp;" "&amp;E1742&amp;" "&amp;G1742&amp;" "&amp;H1742&amp;" "&amp;J1742&amp;" "&amp;N1742</f>
        <v>Differentials Cathode     CIF Slovakia (Diff) </v>
      </c>
      <c r="S1742" s="25"/>
      <c r="T1742" s="8"/>
      <c r="U1742" s="8"/>
      <c r="V1742" s="25"/>
      <c r="W1742" s="25"/>
      <c r="X1742" s="25"/>
      <c r="Y1742" s="25"/>
      <c r="Z1742" s="25"/>
      <c r="AA1742" s="25"/>
      <c r="AB1742" s="25"/>
      <c r="AC1742" s="25"/>
      <c r="AD1742" s="25"/>
    </row>
    <row r="1743" customFormat="false" ht="15.75" hidden="false" customHeight="false" outlineLevel="0" collapsed="false">
      <c r="A1743" s="28" t="s">
        <v>2146</v>
      </c>
      <c r="B1743" s="27" t="s">
        <v>438</v>
      </c>
      <c r="C1743" s="27" t="s">
        <v>236</v>
      </c>
      <c r="D1743" s="25"/>
      <c r="E1743" s="25"/>
      <c r="F1743" s="25"/>
      <c r="G1743" s="25"/>
      <c r="H1743" s="25"/>
      <c r="I1743" s="25"/>
      <c r="J1743" s="27" t="s">
        <v>2122</v>
      </c>
      <c r="K1743" s="25" t="str">
        <f aca="false">IFERROR(__xludf.dummyfunction("SPLIT(J1743,"" "")"),"CIF")</f>
        <v>CIF</v>
      </c>
      <c r="L1743" s="28" t="str">
        <f aca="false">IFERROR(__xludf.dummyfunction("""COMPUTED_VALUE"""),"Slovakia")</f>
        <v>Slovakia</v>
      </c>
      <c r="M1743" s="27" t="str">
        <f aca="false">IFERROR(__xludf.dummyfunction("""COMPUTED_VALUE"""),"(Diff)")</f>
        <v>(Diff)</v>
      </c>
      <c r="N1743" s="25"/>
      <c r="O1743" s="25"/>
      <c r="P1743" s="25"/>
      <c r="Q1743" s="29" t="s">
        <v>243</v>
      </c>
      <c r="R1743" s="8" t="str">
        <f aca="false">B1743&amp;" "&amp;C1743&amp;" "&amp;D1743&amp;" "&amp;E1743&amp;" "&amp;G1743&amp;" "&amp;H1743&amp;" "&amp;J1743&amp;" "&amp;N1743</f>
        <v>Differentials Cathode     CIF Slovakia (Diff) </v>
      </c>
      <c r="S1743" s="25"/>
      <c r="T1743" s="8"/>
      <c r="U1743" s="8"/>
      <c r="V1743" s="25"/>
      <c r="W1743" s="25"/>
      <c r="X1743" s="25"/>
      <c r="Y1743" s="25"/>
      <c r="Z1743" s="25"/>
      <c r="AA1743" s="25"/>
      <c r="AB1743" s="25"/>
      <c r="AC1743" s="25"/>
      <c r="AD1743" s="25"/>
    </row>
    <row r="1744" customFormat="false" ht="15.75" hidden="false" customHeight="false" outlineLevel="0" collapsed="false">
      <c r="A1744" s="28" t="s">
        <v>2147</v>
      </c>
      <c r="B1744" s="27" t="s">
        <v>438</v>
      </c>
      <c r="C1744" s="27" t="s">
        <v>236</v>
      </c>
      <c r="D1744" s="25"/>
      <c r="E1744" s="25"/>
      <c r="F1744" s="25"/>
      <c r="G1744" s="25"/>
      <c r="H1744" s="25"/>
      <c r="I1744" s="25"/>
      <c r="J1744" s="27" t="s">
        <v>2122</v>
      </c>
      <c r="K1744" s="25" t="str">
        <f aca="false">IFERROR(__xludf.dummyfunction("SPLIT(J1744,"" "")"),"CIF")</f>
        <v>CIF</v>
      </c>
      <c r="L1744" s="28" t="str">
        <f aca="false">IFERROR(__xludf.dummyfunction("""COMPUTED_VALUE"""),"Slovakia")</f>
        <v>Slovakia</v>
      </c>
      <c r="M1744" s="27" t="str">
        <f aca="false">IFERROR(__xludf.dummyfunction("""COMPUTED_VALUE"""),"(Diff)")</f>
        <v>(Diff)</v>
      </c>
      <c r="N1744" s="25"/>
      <c r="O1744" s="25"/>
      <c r="P1744" s="25"/>
      <c r="Q1744" s="29" t="s">
        <v>239</v>
      </c>
      <c r="R1744" s="8" t="str">
        <f aca="false">B1744&amp;" "&amp;C1744&amp;" "&amp;D1744&amp;" "&amp;E1744&amp;" "&amp;G1744&amp;" "&amp;H1744&amp;" "&amp;J1744&amp;" "&amp;N1744</f>
        <v>Differentials Cathode     CIF Slovakia (Diff) </v>
      </c>
      <c r="S1744" s="25"/>
      <c r="T1744" s="8"/>
      <c r="U1744" s="8"/>
      <c r="V1744" s="25"/>
      <c r="W1744" s="25"/>
      <c r="X1744" s="25"/>
      <c r="Y1744" s="25"/>
      <c r="Z1744" s="25"/>
      <c r="AA1744" s="25"/>
      <c r="AB1744" s="25"/>
      <c r="AC1744" s="25"/>
      <c r="AD1744" s="25"/>
    </row>
    <row r="1745" customFormat="false" ht="15.75" hidden="false" customHeight="false" outlineLevel="0" collapsed="false">
      <c r="A1745" s="28" t="s">
        <v>2148</v>
      </c>
      <c r="B1745" s="27" t="s">
        <v>438</v>
      </c>
      <c r="C1745" s="27" t="s">
        <v>289</v>
      </c>
      <c r="D1745" s="25"/>
      <c r="E1745" s="25"/>
      <c r="F1745" s="25"/>
      <c r="G1745" s="25"/>
      <c r="H1745" s="25"/>
      <c r="I1745" s="25"/>
      <c r="J1745" s="27" t="s">
        <v>2122</v>
      </c>
      <c r="K1745" s="25" t="str">
        <f aca="false">IFERROR(__xludf.dummyfunction("SPLIT(J1745,"" "")"),"CIF")</f>
        <v>CIF</v>
      </c>
      <c r="L1745" s="28" t="str">
        <f aca="false">IFERROR(__xludf.dummyfunction("""COMPUTED_VALUE"""),"Slovakia")</f>
        <v>Slovakia</v>
      </c>
      <c r="M1745" s="27" t="str">
        <f aca="false">IFERROR(__xludf.dummyfunction("""COMPUTED_VALUE"""),"(Diff)")</f>
        <v>(Diff)</v>
      </c>
      <c r="N1745" s="25"/>
      <c r="O1745" s="25"/>
      <c r="P1745" s="25"/>
      <c r="Q1745" s="29" t="s">
        <v>306</v>
      </c>
      <c r="R1745" s="8" t="str">
        <f aca="false">B1745&amp;" "&amp;C1745&amp;" "&amp;D1745&amp;" "&amp;E1745&amp;" "&amp;G1745&amp;" "&amp;H1745&amp;" "&amp;J1745&amp;" "&amp;N1745</f>
        <v>Differentials Electrolyte     CIF Slovakia (Diff) </v>
      </c>
      <c r="S1745" s="25"/>
      <c r="T1745" s="8"/>
      <c r="U1745" s="8"/>
      <c r="V1745" s="25"/>
      <c r="W1745" s="25"/>
      <c r="X1745" s="25"/>
      <c r="Y1745" s="25"/>
      <c r="Z1745" s="25"/>
      <c r="AA1745" s="25"/>
      <c r="AB1745" s="25"/>
      <c r="AC1745" s="25"/>
      <c r="AD1745" s="25"/>
    </row>
    <row r="1746" customFormat="false" ht="15.75" hidden="false" customHeight="false" outlineLevel="0" collapsed="false">
      <c r="A1746" s="28" t="s">
        <v>2149</v>
      </c>
      <c r="B1746" s="27" t="s">
        <v>438</v>
      </c>
      <c r="C1746" s="27" t="s">
        <v>289</v>
      </c>
      <c r="D1746" s="25"/>
      <c r="E1746" s="25"/>
      <c r="F1746" s="25"/>
      <c r="G1746" s="25"/>
      <c r="H1746" s="25"/>
      <c r="I1746" s="25"/>
      <c r="J1746" s="27" t="s">
        <v>2122</v>
      </c>
      <c r="K1746" s="25" t="str">
        <f aca="false">IFERROR(__xludf.dummyfunction("SPLIT(J1746,"" "")"),"CIF")</f>
        <v>CIF</v>
      </c>
      <c r="L1746" s="28" t="str">
        <f aca="false">IFERROR(__xludf.dummyfunction("""COMPUTED_VALUE"""),"Slovakia")</f>
        <v>Slovakia</v>
      </c>
      <c r="M1746" s="27" t="str">
        <f aca="false">IFERROR(__xludf.dummyfunction("""COMPUTED_VALUE"""),"(Diff)")</f>
        <v>(Diff)</v>
      </c>
      <c r="N1746" s="25"/>
      <c r="O1746" s="25"/>
      <c r="P1746" s="25"/>
      <c r="Q1746" s="29" t="s">
        <v>304</v>
      </c>
      <c r="R1746" s="8" t="str">
        <f aca="false">B1746&amp;" "&amp;C1746&amp;" "&amp;D1746&amp;" "&amp;E1746&amp;" "&amp;G1746&amp;" "&amp;H1746&amp;" "&amp;J1746&amp;" "&amp;N1746</f>
        <v>Differentials Electrolyte     CIF Slovakia (Diff) </v>
      </c>
      <c r="S1746" s="25"/>
      <c r="T1746" s="8"/>
      <c r="U1746" s="8"/>
      <c r="V1746" s="25"/>
      <c r="W1746" s="25"/>
      <c r="X1746" s="25"/>
      <c r="Y1746" s="25"/>
      <c r="Z1746" s="25"/>
      <c r="AA1746" s="25"/>
      <c r="AB1746" s="25"/>
      <c r="AC1746" s="25"/>
      <c r="AD1746" s="25"/>
    </row>
    <row r="1747" customFormat="false" ht="15.75" hidden="false" customHeight="false" outlineLevel="0" collapsed="false">
      <c r="A1747" s="28" t="s">
        <v>2150</v>
      </c>
      <c r="B1747" s="27" t="s">
        <v>438</v>
      </c>
      <c r="C1747" s="27" t="s">
        <v>289</v>
      </c>
      <c r="D1747" s="25"/>
      <c r="E1747" s="25"/>
      <c r="F1747" s="25"/>
      <c r="G1747" s="25"/>
      <c r="H1747" s="25"/>
      <c r="I1747" s="25"/>
      <c r="J1747" s="27" t="s">
        <v>2122</v>
      </c>
      <c r="K1747" s="25" t="str">
        <f aca="false">IFERROR(__xludf.dummyfunction("SPLIT(J1747,"" "")"),"CIF")</f>
        <v>CIF</v>
      </c>
      <c r="L1747" s="28" t="str">
        <f aca="false">IFERROR(__xludf.dummyfunction("""COMPUTED_VALUE"""),"Slovakia")</f>
        <v>Slovakia</v>
      </c>
      <c r="M1747" s="27" t="str">
        <f aca="false">IFERROR(__xludf.dummyfunction("""COMPUTED_VALUE"""),"(Diff)")</f>
        <v>(Diff)</v>
      </c>
      <c r="N1747" s="25"/>
      <c r="O1747" s="25"/>
      <c r="P1747" s="25"/>
      <c r="Q1747" s="29" t="s">
        <v>302</v>
      </c>
      <c r="R1747" s="8" t="str">
        <f aca="false">B1747&amp;" "&amp;C1747&amp;" "&amp;D1747&amp;" "&amp;E1747&amp;" "&amp;G1747&amp;" "&amp;H1747&amp;" "&amp;J1747&amp;" "&amp;N1747</f>
        <v>Differentials Electrolyte     CIF Slovakia (Diff) </v>
      </c>
      <c r="S1747" s="25"/>
      <c r="T1747" s="8"/>
      <c r="U1747" s="8"/>
      <c r="V1747" s="25"/>
      <c r="W1747" s="25"/>
      <c r="X1747" s="25"/>
      <c r="Y1747" s="25"/>
      <c r="Z1747" s="25"/>
      <c r="AA1747" s="25"/>
      <c r="AB1747" s="25"/>
      <c r="AC1747" s="25"/>
      <c r="AD1747" s="25"/>
    </row>
    <row r="1748" customFormat="false" ht="15.75" hidden="false" customHeight="false" outlineLevel="0" collapsed="false">
      <c r="A1748" s="28" t="s">
        <v>2151</v>
      </c>
      <c r="B1748" s="27" t="s">
        <v>438</v>
      </c>
      <c r="C1748" s="27" t="s">
        <v>289</v>
      </c>
      <c r="D1748" s="25"/>
      <c r="E1748" s="25"/>
      <c r="F1748" s="25"/>
      <c r="G1748" s="25"/>
      <c r="H1748" s="25"/>
      <c r="I1748" s="25"/>
      <c r="J1748" s="27" t="s">
        <v>2122</v>
      </c>
      <c r="K1748" s="25" t="str">
        <f aca="false">IFERROR(__xludf.dummyfunction("SPLIT(J1748,"" "")"),"CIF")</f>
        <v>CIF</v>
      </c>
      <c r="L1748" s="28" t="str">
        <f aca="false">IFERROR(__xludf.dummyfunction("""COMPUTED_VALUE"""),"Slovakia")</f>
        <v>Slovakia</v>
      </c>
      <c r="M1748" s="27" t="str">
        <f aca="false">IFERROR(__xludf.dummyfunction("""COMPUTED_VALUE"""),"(Diff)")</f>
        <v>(Diff)</v>
      </c>
      <c r="N1748" s="25"/>
      <c r="O1748" s="25"/>
      <c r="P1748" s="25"/>
      <c r="Q1748" s="29" t="s">
        <v>300</v>
      </c>
      <c r="R1748" s="8" t="str">
        <f aca="false">B1748&amp;" "&amp;C1748&amp;" "&amp;D1748&amp;" "&amp;E1748&amp;" "&amp;G1748&amp;" "&amp;H1748&amp;" "&amp;J1748&amp;" "&amp;N1748</f>
        <v>Differentials Electrolyte     CIF Slovakia (Diff) </v>
      </c>
      <c r="S1748" s="25"/>
      <c r="T1748" s="8"/>
      <c r="U1748" s="8"/>
      <c r="V1748" s="25"/>
      <c r="W1748" s="25"/>
      <c r="X1748" s="25"/>
      <c r="Y1748" s="25"/>
      <c r="Z1748" s="25"/>
      <c r="AA1748" s="25"/>
      <c r="AB1748" s="25"/>
      <c r="AC1748" s="25"/>
      <c r="AD1748" s="25"/>
    </row>
    <row r="1749" customFormat="false" ht="15.75" hidden="false" customHeight="false" outlineLevel="0" collapsed="false">
      <c r="A1749" s="28" t="s">
        <v>2152</v>
      </c>
      <c r="B1749" s="27" t="s">
        <v>438</v>
      </c>
      <c r="C1749" s="27" t="s">
        <v>289</v>
      </c>
      <c r="D1749" s="25"/>
      <c r="E1749" s="25"/>
      <c r="F1749" s="25"/>
      <c r="G1749" s="25"/>
      <c r="H1749" s="25"/>
      <c r="I1749" s="25"/>
      <c r="J1749" s="27" t="s">
        <v>2122</v>
      </c>
      <c r="K1749" s="25" t="str">
        <f aca="false">IFERROR(__xludf.dummyfunction("SPLIT(J1749,"" "")"),"CIF")</f>
        <v>CIF</v>
      </c>
      <c r="L1749" s="28" t="str">
        <f aca="false">IFERROR(__xludf.dummyfunction("""COMPUTED_VALUE"""),"Slovakia")</f>
        <v>Slovakia</v>
      </c>
      <c r="M1749" s="27" t="str">
        <f aca="false">IFERROR(__xludf.dummyfunction("""COMPUTED_VALUE"""),"(Diff)")</f>
        <v>(Diff)</v>
      </c>
      <c r="N1749" s="25"/>
      <c r="O1749" s="25"/>
      <c r="P1749" s="25"/>
      <c r="Q1749" s="29" t="s">
        <v>298</v>
      </c>
      <c r="R1749" s="8" t="str">
        <f aca="false">B1749&amp;" "&amp;C1749&amp;" "&amp;D1749&amp;" "&amp;E1749&amp;" "&amp;G1749&amp;" "&amp;H1749&amp;" "&amp;J1749&amp;" "&amp;N1749</f>
        <v>Differentials Electrolyte     CIF Slovakia (Diff) </v>
      </c>
      <c r="S1749" s="25"/>
      <c r="T1749" s="8"/>
      <c r="U1749" s="8"/>
      <c r="V1749" s="25"/>
      <c r="W1749" s="25"/>
      <c r="X1749" s="25"/>
      <c r="Y1749" s="25"/>
      <c r="Z1749" s="25"/>
      <c r="AA1749" s="25"/>
      <c r="AB1749" s="25"/>
      <c r="AC1749" s="25"/>
      <c r="AD1749" s="25"/>
    </row>
    <row r="1750" customFormat="false" ht="15.75" hidden="false" customHeight="false" outlineLevel="0" collapsed="false">
      <c r="A1750" s="28" t="s">
        <v>2153</v>
      </c>
      <c r="B1750" s="27" t="s">
        <v>438</v>
      </c>
      <c r="C1750" s="27" t="s">
        <v>289</v>
      </c>
      <c r="D1750" s="25"/>
      <c r="E1750" s="25"/>
      <c r="F1750" s="25"/>
      <c r="G1750" s="25"/>
      <c r="H1750" s="25"/>
      <c r="I1750" s="25"/>
      <c r="J1750" s="27" t="s">
        <v>2122</v>
      </c>
      <c r="K1750" s="25" t="str">
        <f aca="false">IFERROR(__xludf.dummyfunction("SPLIT(J1750,"" "")"),"CIF")</f>
        <v>CIF</v>
      </c>
      <c r="L1750" s="28" t="str">
        <f aca="false">IFERROR(__xludf.dummyfunction("""COMPUTED_VALUE"""),"Slovakia")</f>
        <v>Slovakia</v>
      </c>
      <c r="M1750" s="27" t="str">
        <f aca="false">IFERROR(__xludf.dummyfunction("""COMPUTED_VALUE"""),"(Diff)")</f>
        <v>(Diff)</v>
      </c>
      <c r="N1750" s="25"/>
      <c r="O1750" s="25"/>
      <c r="P1750" s="25"/>
      <c r="Q1750" s="29" t="s">
        <v>296</v>
      </c>
      <c r="R1750" s="8" t="str">
        <f aca="false">B1750&amp;" "&amp;C1750&amp;" "&amp;D1750&amp;" "&amp;E1750&amp;" "&amp;G1750&amp;" "&amp;H1750&amp;" "&amp;J1750&amp;" "&amp;N1750</f>
        <v>Differentials Electrolyte     CIF Slovakia (Diff) </v>
      </c>
      <c r="S1750" s="25"/>
      <c r="T1750" s="8"/>
      <c r="U1750" s="8"/>
      <c r="V1750" s="25"/>
      <c r="W1750" s="25"/>
      <c r="X1750" s="25"/>
      <c r="Y1750" s="25"/>
      <c r="Z1750" s="25"/>
      <c r="AA1750" s="25"/>
      <c r="AB1750" s="25"/>
      <c r="AC1750" s="25"/>
      <c r="AD1750" s="25"/>
    </row>
    <row r="1751" customFormat="false" ht="15.75" hidden="false" customHeight="false" outlineLevel="0" collapsed="false">
      <c r="A1751" s="28" t="s">
        <v>2154</v>
      </c>
      <c r="B1751" s="27" t="s">
        <v>438</v>
      </c>
      <c r="C1751" s="27" t="s">
        <v>289</v>
      </c>
      <c r="D1751" s="25"/>
      <c r="E1751" s="25"/>
      <c r="F1751" s="25"/>
      <c r="G1751" s="25"/>
      <c r="H1751" s="25"/>
      <c r="I1751" s="25"/>
      <c r="J1751" s="27" t="s">
        <v>2122</v>
      </c>
      <c r="K1751" s="25" t="str">
        <f aca="false">IFERROR(__xludf.dummyfunction("SPLIT(J1751,"" "")"),"CIF")</f>
        <v>CIF</v>
      </c>
      <c r="L1751" s="28" t="str">
        <f aca="false">IFERROR(__xludf.dummyfunction("""COMPUTED_VALUE"""),"Slovakia")</f>
        <v>Slovakia</v>
      </c>
      <c r="M1751" s="27" t="str">
        <f aca="false">IFERROR(__xludf.dummyfunction("""COMPUTED_VALUE"""),"(Diff)")</f>
        <v>(Diff)</v>
      </c>
      <c r="N1751" s="25"/>
      <c r="O1751" s="25"/>
      <c r="P1751" s="25"/>
      <c r="Q1751" s="29" t="s">
        <v>294</v>
      </c>
      <c r="R1751" s="8" t="str">
        <f aca="false">B1751&amp;" "&amp;C1751&amp;" "&amp;D1751&amp;" "&amp;E1751&amp;" "&amp;G1751&amp;" "&amp;H1751&amp;" "&amp;J1751&amp;" "&amp;N1751</f>
        <v>Differentials Electrolyte     CIF Slovakia (Diff) </v>
      </c>
      <c r="S1751" s="25"/>
      <c r="T1751" s="8"/>
      <c r="U1751" s="8"/>
      <c r="V1751" s="25"/>
      <c r="W1751" s="25"/>
      <c r="X1751" s="25"/>
      <c r="Y1751" s="25"/>
      <c r="Z1751" s="25"/>
      <c r="AA1751" s="25"/>
      <c r="AB1751" s="25"/>
      <c r="AC1751" s="25"/>
      <c r="AD1751" s="25"/>
    </row>
    <row r="1752" customFormat="false" ht="15.75" hidden="false" customHeight="false" outlineLevel="0" collapsed="false">
      <c r="A1752" s="28" t="s">
        <v>2155</v>
      </c>
      <c r="B1752" s="27" t="s">
        <v>438</v>
      </c>
      <c r="C1752" s="27" t="s">
        <v>289</v>
      </c>
      <c r="D1752" s="25"/>
      <c r="E1752" s="25"/>
      <c r="F1752" s="25"/>
      <c r="G1752" s="25"/>
      <c r="H1752" s="25"/>
      <c r="I1752" s="25"/>
      <c r="J1752" s="27" t="s">
        <v>2122</v>
      </c>
      <c r="K1752" s="25" t="str">
        <f aca="false">IFERROR(__xludf.dummyfunction("SPLIT(J1752,"" "")"),"CIF")</f>
        <v>CIF</v>
      </c>
      <c r="L1752" s="28" t="str">
        <f aca="false">IFERROR(__xludf.dummyfunction("""COMPUTED_VALUE"""),"Slovakia")</f>
        <v>Slovakia</v>
      </c>
      <c r="M1752" s="27" t="str">
        <f aca="false">IFERROR(__xludf.dummyfunction("""COMPUTED_VALUE"""),"(Diff)")</f>
        <v>(Diff)</v>
      </c>
      <c r="N1752" s="25"/>
      <c r="O1752" s="25"/>
      <c r="P1752" s="25"/>
      <c r="Q1752" s="29" t="s">
        <v>291</v>
      </c>
      <c r="R1752" s="8" t="str">
        <f aca="false">B1752&amp;" "&amp;C1752&amp;" "&amp;D1752&amp;" "&amp;E1752&amp;" "&amp;G1752&amp;" "&amp;H1752&amp;" "&amp;J1752&amp;" "&amp;N1752</f>
        <v>Differentials Electrolyte     CIF Slovakia (Diff) </v>
      </c>
      <c r="S1752" s="25"/>
      <c r="T1752" s="8"/>
      <c r="U1752" s="8"/>
      <c r="V1752" s="25"/>
      <c r="W1752" s="25"/>
      <c r="X1752" s="25"/>
      <c r="Y1752" s="25"/>
      <c r="Z1752" s="25"/>
      <c r="AA1752" s="25"/>
      <c r="AB1752" s="25"/>
      <c r="AC1752" s="25"/>
      <c r="AD1752" s="25"/>
    </row>
    <row r="1753" customFormat="false" ht="15.75" hidden="false" customHeight="false" outlineLevel="0" collapsed="false">
      <c r="A1753" s="28" t="s">
        <v>2156</v>
      </c>
      <c r="B1753" s="27" t="s">
        <v>438</v>
      </c>
      <c r="C1753" s="27" t="s">
        <v>308</v>
      </c>
      <c r="D1753" s="25"/>
      <c r="E1753" s="25"/>
      <c r="F1753" s="25"/>
      <c r="G1753" s="25"/>
      <c r="H1753" s="25"/>
      <c r="I1753" s="25"/>
      <c r="J1753" s="27" t="s">
        <v>2122</v>
      </c>
      <c r="K1753" s="25" t="str">
        <f aca="false">IFERROR(__xludf.dummyfunction("SPLIT(J1753,"" "")"),"CIF")</f>
        <v>CIF</v>
      </c>
      <c r="L1753" s="28" t="str">
        <f aca="false">IFERROR(__xludf.dummyfunction("""COMPUTED_VALUE"""),"Slovakia")</f>
        <v>Slovakia</v>
      </c>
      <c r="M1753" s="27" t="str">
        <f aca="false">IFERROR(__xludf.dummyfunction("""COMPUTED_VALUE"""),"(Diff)")</f>
        <v>(Diff)</v>
      </c>
      <c r="N1753" s="25"/>
      <c r="O1753" s="25"/>
      <c r="P1753" s="25"/>
      <c r="Q1753" s="29" t="s">
        <v>358</v>
      </c>
      <c r="R1753" s="8" t="str">
        <f aca="false">B1753&amp;" "&amp;C1753&amp;" "&amp;D1753&amp;" "&amp;E1753&amp;" "&amp;G1753&amp;" "&amp;H1753&amp;" "&amp;J1753&amp;" "&amp;N1753</f>
        <v>Differentials Graphite     CIF Slovakia (Diff) </v>
      </c>
      <c r="S1753" s="25"/>
      <c r="T1753" s="8"/>
      <c r="U1753" s="8"/>
      <c r="V1753" s="25"/>
      <c r="W1753" s="25"/>
      <c r="X1753" s="25"/>
      <c r="Y1753" s="25"/>
      <c r="Z1753" s="25"/>
      <c r="AA1753" s="25"/>
      <c r="AB1753" s="25"/>
      <c r="AC1753" s="25"/>
      <c r="AD1753" s="25"/>
    </row>
    <row r="1754" customFormat="false" ht="15.75" hidden="false" customHeight="false" outlineLevel="0" collapsed="false">
      <c r="A1754" s="28" t="s">
        <v>2157</v>
      </c>
      <c r="B1754" s="27" t="s">
        <v>438</v>
      </c>
      <c r="C1754" s="27" t="s">
        <v>308</v>
      </c>
      <c r="D1754" s="25"/>
      <c r="E1754" s="25"/>
      <c r="F1754" s="25"/>
      <c r="G1754" s="25"/>
      <c r="H1754" s="25"/>
      <c r="I1754" s="25"/>
      <c r="J1754" s="27" t="s">
        <v>2122</v>
      </c>
      <c r="K1754" s="25" t="str">
        <f aca="false">IFERROR(__xludf.dummyfunction("SPLIT(J1754,"" "")"),"CIF")</f>
        <v>CIF</v>
      </c>
      <c r="L1754" s="28" t="str">
        <f aca="false">IFERROR(__xludf.dummyfunction("""COMPUTED_VALUE"""),"Slovakia")</f>
        <v>Slovakia</v>
      </c>
      <c r="M1754" s="27" t="str">
        <f aca="false">IFERROR(__xludf.dummyfunction("""COMPUTED_VALUE"""),"(Diff)")</f>
        <v>(Diff)</v>
      </c>
      <c r="N1754" s="25"/>
      <c r="O1754" s="25"/>
      <c r="P1754" s="25"/>
      <c r="Q1754" s="29" t="s">
        <v>356</v>
      </c>
      <c r="R1754" s="8" t="str">
        <f aca="false">B1754&amp;" "&amp;C1754&amp;" "&amp;D1754&amp;" "&amp;E1754&amp;" "&amp;G1754&amp;" "&amp;H1754&amp;" "&amp;J1754&amp;" "&amp;N1754</f>
        <v>Differentials Graphite     CIF Slovakia (Diff) </v>
      </c>
      <c r="S1754" s="25"/>
      <c r="T1754" s="8"/>
      <c r="U1754" s="8"/>
      <c r="V1754" s="25"/>
      <c r="W1754" s="25"/>
      <c r="X1754" s="25"/>
      <c r="Y1754" s="25"/>
      <c r="Z1754" s="25"/>
      <c r="AA1754" s="25"/>
      <c r="AB1754" s="25"/>
      <c r="AC1754" s="25"/>
      <c r="AD1754" s="25"/>
    </row>
    <row r="1755" customFormat="false" ht="15.75" hidden="false" customHeight="false" outlineLevel="0" collapsed="false">
      <c r="A1755" s="28" t="s">
        <v>2158</v>
      </c>
      <c r="B1755" s="27" t="s">
        <v>438</v>
      </c>
      <c r="C1755" s="27" t="s">
        <v>308</v>
      </c>
      <c r="D1755" s="25"/>
      <c r="E1755" s="25"/>
      <c r="F1755" s="25"/>
      <c r="G1755" s="25"/>
      <c r="H1755" s="25"/>
      <c r="I1755" s="25"/>
      <c r="J1755" s="27" t="s">
        <v>2122</v>
      </c>
      <c r="K1755" s="25" t="str">
        <f aca="false">IFERROR(__xludf.dummyfunction("SPLIT(J1755,"" "")"),"CIF")</f>
        <v>CIF</v>
      </c>
      <c r="L1755" s="28" t="str">
        <f aca="false">IFERROR(__xludf.dummyfunction("""COMPUTED_VALUE"""),"Slovakia")</f>
        <v>Slovakia</v>
      </c>
      <c r="M1755" s="27" t="str">
        <f aca="false">IFERROR(__xludf.dummyfunction("""COMPUTED_VALUE"""),"(Diff)")</f>
        <v>(Diff)</v>
      </c>
      <c r="N1755" s="25"/>
      <c r="O1755" s="25"/>
      <c r="P1755" s="25"/>
      <c r="Q1755" s="29" t="s">
        <v>354</v>
      </c>
      <c r="R1755" s="8" t="str">
        <f aca="false">B1755&amp;" "&amp;C1755&amp;" "&amp;D1755&amp;" "&amp;E1755&amp;" "&amp;G1755&amp;" "&amp;H1755&amp;" "&amp;J1755&amp;" "&amp;N1755</f>
        <v>Differentials Graphite     CIF Slovakia (Diff) </v>
      </c>
      <c r="S1755" s="25"/>
      <c r="T1755" s="8"/>
      <c r="U1755" s="8"/>
      <c r="V1755" s="25"/>
      <c r="W1755" s="25"/>
      <c r="X1755" s="25"/>
      <c r="Y1755" s="25"/>
      <c r="Z1755" s="25"/>
      <c r="AA1755" s="25"/>
      <c r="AB1755" s="25"/>
      <c r="AC1755" s="25"/>
      <c r="AD1755" s="25"/>
    </row>
    <row r="1756" customFormat="false" ht="15.75" hidden="false" customHeight="false" outlineLevel="0" collapsed="false">
      <c r="A1756" s="28" t="s">
        <v>2159</v>
      </c>
      <c r="B1756" s="27" t="s">
        <v>438</v>
      </c>
      <c r="C1756" s="27" t="s">
        <v>308</v>
      </c>
      <c r="D1756" s="25"/>
      <c r="E1756" s="25"/>
      <c r="F1756" s="25"/>
      <c r="G1756" s="25"/>
      <c r="H1756" s="25"/>
      <c r="I1756" s="25"/>
      <c r="J1756" s="27" t="s">
        <v>2122</v>
      </c>
      <c r="K1756" s="25" t="str">
        <f aca="false">IFERROR(__xludf.dummyfunction("SPLIT(J1756,"" "")"),"CIF")</f>
        <v>CIF</v>
      </c>
      <c r="L1756" s="28" t="str">
        <f aca="false">IFERROR(__xludf.dummyfunction("""COMPUTED_VALUE"""),"Slovakia")</f>
        <v>Slovakia</v>
      </c>
      <c r="M1756" s="27" t="str">
        <f aca="false">IFERROR(__xludf.dummyfunction("""COMPUTED_VALUE"""),"(Diff)")</f>
        <v>(Diff)</v>
      </c>
      <c r="N1756" s="25"/>
      <c r="O1756" s="25"/>
      <c r="P1756" s="25"/>
      <c r="Q1756" s="29" t="s">
        <v>352</v>
      </c>
      <c r="R1756" s="8" t="str">
        <f aca="false">B1756&amp;" "&amp;C1756&amp;" "&amp;D1756&amp;" "&amp;E1756&amp;" "&amp;G1756&amp;" "&amp;H1756&amp;" "&amp;J1756&amp;" "&amp;N1756</f>
        <v>Differentials Graphite     CIF Slovakia (Diff) </v>
      </c>
      <c r="S1756" s="25"/>
      <c r="T1756" s="8"/>
      <c r="U1756" s="8"/>
      <c r="V1756" s="25"/>
      <c r="W1756" s="25"/>
      <c r="X1756" s="25"/>
      <c r="Y1756" s="25"/>
      <c r="Z1756" s="25"/>
      <c r="AA1756" s="25"/>
      <c r="AB1756" s="25"/>
      <c r="AC1756" s="25"/>
      <c r="AD1756" s="25"/>
    </row>
    <row r="1757" customFormat="false" ht="15.75" hidden="false" customHeight="false" outlineLevel="0" collapsed="false">
      <c r="A1757" s="28" t="s">
        <v>2160</v>
      </c>
      <c r="B1757" s="27" t="s">
        <v>438</v>
      </c>
      <c r="C1757" s="27" t="s">
        <v>308</v>
      </c>
      <c r="D1757" s="25"/>
      <c r="E1757" s="25"/>
      <c r="F1757" s="25"/>
      <c r="G1757" s="25"/>
      <c r="H1757" s="25"/>
      <c r="I1757" s="25"/>
      <c r="J1757" s="27" t="s">
        <v>2122</v>
      </c>
      <c r="K1757" s="25" t="str">
        <f aca="false">IFERROR(__xludf.dummyfunction("SPLIT(J1757,"" "")"),"CIF")</f>
        <v>CIF</v>
      </c>
      <c r="L1757" s="28" t="str">
        <f aca="false">IFERROR(__xludf.dummyfunction("""COMPUTED_VALUE"""),"Slovakia")</f>
        <v>Slovakia</v>
      </c>
      <c r="M1757" s="27" t="str">
        <f aca="false">IFERROR(__xludf.dummyfunction("""COMPUTED_VALUE"""),"(Diff)")</f>
        <v>(Diff)</v>
      </c>
      <c r="N1757" s="25"/>
      <c r="O1757" s="25"/>
      <c r="P1757" s="25"/>
      <c r="Q1757" s="29" t="s">
        <v>350</v>
      </c>
      <c r="R1757" s="8" t="str">
        <f aca="false">B1757&amp;" "&amp;C1757&amp;" "&amp;D1757&amp;" "&amp;E1757&amp;" "&amp;G1757&amp;" "&amp;H1757&amp;" "&amp;J1757&amp;" "&amp;N1757</f>
        <v>Differentials Graphite     CIF Slovakia (Diff) </v>
      </c>
      <c r="S1757" s="25"/>
      <c r="T1757" s="8"/>
      <c r="U1757" s="8"/>
      <c r="V1757" s="25"/>
      <c r="W1757" s="25"/>
      <c r="X1757" s="25"/>
      <c r="Y1757" s="25"/>
      <c r="Z1757" s="25"/>
      <c r="AA1757" s="25"/>
      <c r="AB1757" s="25"/>
      <c r="AC1757" s="25"/>
      <c r="AD1757" s="25"/>
    </row>
    <row r="1758" customFormat="false" ht="15.75" hidden="false" customHeight="false" outlineLevel="0" collapsed="false">
      <c r="A1758" s="28" t="s">
        <v>2161</v>
      </c>
      <c r="B1758" s="27" t="s">
        <v>438</v>
      </c>
      <c r="C1758" s="27" t="s">
        <v>308</v>
      </c>
      <c r="D1758" s="25"/>
      <c r="E1758" s="25"/>
      <c r="F1758" s="25"/>
      <c r="G1758" s="25"/>
      <c r="H1758" s="25"/>
      <c r="I1758" s="25"/>
      <c r="J1758" s="27" t="s">
        <v>2122</v>
      </c>
      <c r="K1758" s="25" t="str">
        <f aca="false">IFERROR(__xludf.dummyfunction("SPLIT(J1758,"" "")"),"CIF")</f>
        <v>CIF</v>
      </c>
      <c r="L1758" s="28" t="str">
        <f aca="false">IFERROR(__xludf.dummyfunction("""COMPUTED_VALUE"""),"Slovakia")</f>
        <v>Slovakia</v>
      </c>
      <c r="M1758" s="27" t="str">
        <f aca="false">IFERROR(__xludf.dummyfunction("""COMPUTED_VALUE"""),"(Diff)")</f>
        <v>(Diff)</v>
      </c>
      <c r="N1758" s="25"/>
      <c r="O1758" s="25"/>
      <c r="P1758" s="25"/>
      <c r="Q1758" s="29" t="s">
        <v>347</v>
      </c>
      <c r="R1758" s="8" t="str">
        <f aca="false">B1758&amp;" "&amp;C1758&amp;" "&amp;D1758&amp;" "&amp;E1758&amp;" "&amp;G1758&amp;" "&amp;H1758&amp;" "&amp;J1758&amp;" "&amp;N1758</f>
        <v>Differentials Graphite     CIF Slovakia (Diff) </v>
      </c>
      <c r="S1758" s="25"/>
      <c r="T1758" s="8"/>
      <c r="U1758" s="8"/>
      <c r="V1758" s="25"/>
      <c r="W1758" s="25"/>
      <c r="X1758" s="25"/>
      <c r="Y1758" s="25"/>
      <c r="Z1758" s="25"/>
      <c r="AA1758" s="25"/>
      <c r="AB1758" s="25"/>
      <c r="AC1758" s="25"/>
      <c r="AD1758" s="25"/>
    </row>
    <row r="1759" customFormat="false" ht="15.75" hidden="false" customHeight="false" outlineLevel="0" collapsed="false">
      <c r="A1759" s="28" t="s">
        <v>2162</v>
      </c>
      <c r="B1759" s="27" t="s">
        <v>438</v>
      </c>
      <c r="C1759" s="27" t="s">
        <v>308</v>
      </c>
      <c r="D1759" s="25"/>
      <c r="E1759" s="25"/>
      <c r="F1759" s="25"/>
      <c r="G1759" s="25"/>
      <c r="H1759" s="25"/>
      <c r="I1759" s="25"/>
      <c r="J1759" s="27" t="s">
        <v>2122</v>
      </c>
      <c r="K1759" s="25" t="str">
        <f aca="false">IFERROR(__xludf.dummyfunction("SPLIT(J1759,"" "")"),"CIF")</f>
        <v>CIF</v>
      </c>
      <c r="L1759" s="28" t="str">
        <f aca="false">IFERROR(__xludf.dummyfunction("""COMPUTED_VALUE"""),"Slovakia")</f>
        <v>Slovakia</v>
      </c>
      <c r="M1759" s="27" t="str">
        <f aca="false">IFERROR(__xludf.dummyfunction("""COMPUTED_VALUE"""),"(Diff)")</f>
        <v>(Diff)</v>
      </c>
      <c r="N1759" s="25"/>
      <c r="O1759" s="25"/>
      <c r="P1759" s="25"/>
      <c r="Q1759" s="29" t="s">
        <v>344</v>
      </c>
      <c r="R1759" s="8" t="str">
        <f aca="false">B1759&amp;" "&amp;C1759&amp;" "&amp;D1759&amp;" "&amp;E1759&amp;" "&amp;G1759&amp;" "&amp;H1759&amp;" "&amp;J1759&amp;" "&amp;N1759</f>
        <v>Differentials Graphite     CIF Slovakia (Diff) </v>
      </c>
      <c r="S1759" s="25"/>
      <c r="T1759" s="8"/>
      <c r="U1759" s="8"/>
      <c r="V1759" s="25"/>
      <c r="W1759" s="25"/>
      <c r="X1759" s="25"/>
      <c r="Y1759" s="25"/>
      <c r="Z1759" s="25"/>
      <c r="AA1759" s="25"/>
      <c r="AB1759" s="25"/>
      <c r="AC1759" s="25"/>
      <c r="AD1759" s="25"/>
    </row>
    <row r="1760" customFormat="false" ht="15.75" hidden="false" customHeight="false" outlineLevel="0" collapsed="false">
      <c r="A1760" s="28" t="s">
        <v>2163</v>
      </c>
      <c r="B1760" s="27" t="s">
        <v>438</v>
      </c>
      <c r="C1760" s="27" t="s">
        <v>308</v>
      </c>
      <c r="D1760" s="25"/>
      <c r="E1760" s="25"/>
      <c r="F1760" s="25"/>
      <c r="G1760" s="25"/>
      <c r="H1760" s="25"/>
      <c r="I1760" s="25"/>
      <c r="J1760" s="27" t="s">
        <v>2122</v>
      </c>
      <c r="K1760" s="25" t="str">
        <f aca="false">IFERROR(__xludf.dummyfunction("SPLIT(J1760,"" "")"),"CIF")</f>
        <v>CIF</v>
      </c>
      <c r="L1760" s="28" t="str">
        <f aca="false">IFERROR(__xludf.dummyfunction("""COMPUTED_VALUE"""),"Slovakia")</f>
        <v>Slovakia</v>
      </c>
      <c r="M1760" s="27" t="str">
        <f aca="false">IFERROR(__xludf.dummyfunction("""COMPUTED_VALUE"""),"(Diff)")</f>
        <v>(Diff)</v>
      </c>
      <c r="N1760" s="25"/>
      <c r="O1760" s="25"/>
      <c r="P1760" s="25"/>
      <c r="Q1760" s="29" t="s">
        <v>340</v>
      </c>
      <c r="R1760" s="8" t="str">
        <f aca="false">B1760&amp;" "&amp;C1760&amp;" "&amp;D1760&amp;" "&amp;E1760&amp;" "&amp;G1760&amp;" "&amp;H1760&amp;" "&amp;J1760&amp;" "&amp;N1760</f>
        <v>Differentials Graphite     CIF Slovakia (Diff) </v>
      </c>
      <c r="S1760" s="25"/>
      <c r="T1760" s="8"/>
      <c r="U1760" s="8"/>
      <c r="V1760" s="25"/>
      <c r="W1760" s="25"/>
      <c r="X1760" s="25"/>
      <c r="Y1760" s="25"/>
      <c r="Z1760" s="25"/>
      <c r="AA1760" s="25"/>
      <c r="AB1760" s="25"/>
      <c r="AC1760" s="25"/>
      <c r="AD1760" s="25"/>
    </row>
    <row r="1761" customFormat="false" ht="15.75" hidden="false" customHeight="false" outlineLevel="0" collapsed="false">
      <c r="A1761" s="28" t="s">
        <v>2164</v>
      </c>
      <c r="B1761" s="27" t="s">
        <v>438</v>
      </c>
      <c r="C1761" s="27" t="s">
        <v>308</v>
      </c>
      <c r="D1761" s="25"/>
      <c r="E1761" s="25"/>
      <c r="F1761" s="25"/>
      <c r="G1761" s="25"/>
      <c r="H1761" s="25"/>
      <c r="I1761" s="25"/>
      <c r="J1761" s="27" t="s">
        <v>2122</v>
      </c>
      <c r="K1761" s="25" t="str">
        <f aca="false">IFERROR(__xludf.dummyfunction("SPLIT(J1761,"" "")"),"CIF")</f>
        <v>CIF</v>
      </c>
      <c r="L1761" s="28" t="str">
        <f aca="false">IFERROR(__xludf.dummyfunction("""COMPUTED_VALUE"""),"Slovakia")</f>
        <v>Slovakia</v>
      </c>
      <c r="M1761" s="27" t="str">
        <f aca="false">IFERROR(__xludf.dummyfunction("""COMPUTED_VALUE"""),"(Diff)")</f>
        <v>(Diff)</v>
      </c>
      <c r="N1761" s="25"/>
      <c r="O1761" s="25"/>
      <c r="P1761" s="25"/>
      <c r="Q1761" s="29" t="s">
        <v>338</v>
      </c>
      <c r="R1761" s="8" t="str">
        <f aca="false">B1761&amp;" "&amp;C1761&amp;" "&amp;D1761&amp;" "&amp;E1761&amp;" "&amp;G1761&amp;" "&amp;H1761&amp;" "&amp;J1761&amp;" "&amp;N1761</f>
        <v>Differentials Graphite     CIF Slovakia (Diff) </v>
      </c>
      <c r="S1761" s="25"/>
      <c r="T1761" s="8"/>
      <c r="U1761" s="8"/>
      <c r="V1761" s="25"/>
      <c r="W1761" s="25"/>
      <c r="X1761" s="25"/>
      <c r="Y1761" s="25"/>
      <c r="Z1761" s="25"/>
      <c r="AA1761" s="25"/>
      <c r="AB1761" s="25"/>
      <c r="AC1761" s="25"/>
      <c r="AD1761" s="25"/>
    </row>
    <row r="1762" customFormat="false" ht="15.75" hidden="false" customHeight="false" outlineLevel="0" collapsed="false">
      <c r="A1762" s="28" t="s">
        <v>2165</v>
      </c>
      <c r="B1762" s="27" t="s">
        <v>438</v>
      </c>
      <c r="C1762" s="27" t="s">
        <v>308</v>
      </c>
      <c r="D1762" s="25"/>
      <c r="E1762" s="25"/>
      <c r="F1762" s="25"/>
      <c r="G1762" s="25"/>
      <c r="H1762" s="25"/>
      <c r="I1762" s="25"/>
      <c r="J1762" s="27" t="s">
        <v>2122</v>
      </c>
      <c r="K1762" s="25" t="str">
        <f aca="false">IFERROR(__xludf.dummyfunction("SPLIT(J1762,"" "")"),"CIF")</f>
        <v>CIF</v>
      </c>
      <c r="L1762" s="28" t="str">
        <f aca="false">IFERROR(__xludf.dummyfunction("""COMPUTED_VALUE"""),"Slovakia")</f>
        <v>Slovakia</v>
      </c>
      <c r="M1762" s="27" t="str">
        <f aca="false">IFERROR(__xludf.dummyfunction("""COMPUTED_VALUE"""),"(Diff)")</f>
        <v>(Diff)</v>
      </c>
      <c r="N1762" s="25"/>
      <c r="O1762" s="25"/>
      <c r="P1762" s="25"/>
      <c r="Q1762" s="29" t="s">
        <v>335</v>
      </c>
      <c r="R1762" s="8" t="str">
        <f aca="false">B1762&amp;" "&amp;C1762&amp;" "&amp;D1762&amp;" "&amp;E1762&amp;" "&amp;G1762&amp;" "&amp;H1762&amp;" "&amp;J1762&amp;" "&amp;N1762</f>
        <v>Differentials Graphite     CIF Slovakia (Diff) </v>
      </c>
      <c r="S1762" s="25"/>
      <c r="T1762" s="8"/>
      <c r="U1762" s="8"/>
      <c r="V1762" s="25"/>
      <c r="W1762" s="25"/>
      <c r="X1762" s="25"/>
      <c r="Y1762" s="25"/>
      <c r="Z1762" s="25"/>
      <c r="AA1762" s="25"/>
      <c r="AB1762" s="25"/>
      <c r="AC1762" s="25"/>
      <c r="AD1762" s="25"/>
    </row>
    <row r="1763" customFormat="false" ht="15.75" hidden="false" customHeight="false" outlineLevel="0" collapsed="false">
      <c r="A1763" s="28" t="s">
        <v>2166</v>
      </c>
      <c r="B1763" s="27" t="s">
        <v>438</v>
      </c>
      <c r="C1763" s="27" t="s">
        <v>308</v>
      </c>
      <c r="D1763" s="25"/>
      <c r="E1763" s="25"/>
      <c r="F1763" s="25"/>
      <c r="G1763" s="25"/>
      <c r="H1763" s="25"/>
      <c r="I1763" s="25"/>
      <c r="J1763" s="27" t="s">
        <v>2122</v>
      </c>
      <c r="K1763" s="25" t="str">
        <f aca="false">IFERROR(__xludf.dummyfunction("SPLIT(J1763,"" "")"),"CIF")</f>
        <v>CIF</v>
      </c>
      <c r="L1763" s="28" t="str">
        <f aca="false">IFERROR(__xludf.dummyfunction("""COMPUTED_VALUE"""),"Slovakia")</f>
        <v>Slovakia</v>
      </c>
      <c r="M1763" s="27" t="str">
        <f aca="false">IFERROR(__xludf.dummyfunction("""COMPUTED_VALUE"""),"(Diff)")</f>
        <v>(Diff)</v>
      </c>
      <c r="N1763" s="25"/>
      <c r="O1763" s="25"/>
      <c r="P1763" s="25"/>
      <c r="Q1763" s="29" t="s">
        <v>332</v>
      </c>
      <c r="R1763" s="8" t="str">
        <f aca="false">B1763&amp;" "&amp;C1763&amp;" "&amp;D1763&amp;" "&amp;E1763&amp;" "&amp;G1763&amp;" "&amp;H1763&amp;" "&amp;J1763&amp;" "&amp;N1763</f>
        <v>Differentials Graphite     CIF Slovakia (Diff) </v>
      </c>
      <c r="S1763" s="25"/>
      <c r="T1763" s="8"/>
      <c r="U1763" s="8"/>
      <c r="V1763" s="25"/>
      <c r="W1763" s="25"/>
      <c r="X1763" s="25"/>
      <c r="Y1763" s="25"/>
      <c r="Z1763" s="25"/>
      <c r="AA1763" s="25"/>
      <c r="AB1763" s="25"/>
      <c r="AC1763" s="25"/>
      <c r="AD1763" s="25"/>
    </row>
    <row r="1764" customFormat="false" ht="15.75" hidden="false" customHeight="false" outlineLevel="0" collapsed="false">
      <c r="A1764" s="28" t="s">
        <v>2167</v>
      </c>
      <c r="B1764" s="27" t="s">
        <v>438</v>
      </c>
      <c r="C1764" s="27" t="s">
        <v>308</v>
      </c>
      <c r="D1764" s="25"/>
      <c r="E1764" s="25"/>
      <c r="F1764" s="25"/>
      <c r="G1764" s="25"/>
      <c r="H1764" s="25"/>
      <c r="I1764" s="25"/>
      <c r="J1764" s="27" t="s">
        <v>2122</v>
      </c>
      <c r="K1764" s="25" t="str">
        <f aca="false">IFERROR(__xludf.dummyfunction("SPLIT(J1764,"" "")"),"CIF")</f>
        <v>CIF</v>
      </c>
      <c r="L1764" s="28" t="str">
        <f aca="false">IFERROR(__xludf.dummyfunction("""COMPUTED_VALUE"""),"Slovakia")</f>
        <v>Slovakia</v>
      </c>
      <c r="M1764" s="27" t="str">
        <f aca="false">IFERROR(__xludf.dummyfunction("""COMPUTED_VALUE"""),"(Diff)")</f>
        <v>(Diff)</v>
      </c>
      <c r="N1764" s="25"/>
      <c r="O1764" s="25"/>
      <c r="P1764" s="25"/>
      <c r="Q1764" s="29" t="s">
        <v>329</v>
      </c>
      <c r="R1764" s="8" t="str">
        <f aca="false">B1764&amp;" "&amp;C1764&amp;" "&amp;D1764&amp;" "&amp;E1764&amp;" "&amp;G1764&amp;" "&amp;H1764&amp;" "&amp;J1764&amp;" "&amp;N1764</f>
        <v>Differentials Graphite     CIF Slovakia (Diff) </v>
      </c>
      <c r="S1764" s="25"/>
      <c r="T1764" s="8"/>
      <c r="U1764" s="8"/>
      <c r="V1764" s="25"/>
      <c r="W1764" s="25"/>
      <c r="X1764" s="25"/>
      <c r="Y1764" s="25"/>
      <c r="Z1764" s="25"/>
      <c r="AA1764" s="25"/>
      <c r="AB1764" s="25"/>
      <c r="AC1764" s="25"/>
      <c r="AD1764" s="25"/>
    </row>
    <row r="1765" customFormat="false" ht="15.75" hidden="false" customHeight="false" outlineLevel="0" collapsed="false">
      <c r="A1765" s="28" t="s">
        <v>2168</v>
      </c>
      <c r="B1765" s="27" t="s">
        <v>438</v>
      </c>
      <c r="C1765" s="27" t="s">
        <v>308</v>
      </c>
      <c r="D1765" s="25"/>
      <c r="E1765" s="25"/>
      <c r="F1765" s="25"/>
      <c r="G1765" s="25"/>
      <c r="H1765" s="25"/>
      <c r="I1765" s="25"/>
      <c r="J1765" s="27" t="s">
        <v>2122</v>
      </c>
      <c r="K1765" s="25" t="str">
        <f aca="false">IFERROR(__xludf.dummyfunction("SPLIT(J1765,"" "")"),"CIF")</f>
        <v>CIF</v>
      </c>
      <c r="L1765" s="28" t="str">
        <f aca="false">IFERROR(__xludf.dummyfunction("""COMPUTED_VALUE"""),"Slovakia")</f>
        <v>Slovakia</v>
      </c>
      <c r="M1765" s="27" t="str">
        <f aca="false">IFERROR(__xludf.dummyfunction("""COMPUTED_VALUE"""),"(Diff)")</f>
        <v>(Diff)</v>
      </c>
      <c r="N1765" s="25"/>
      <c r="O1765" s="25"/>
      <c r="P1765" s="25"/>
      <c r="Q1765" s="29" t="s">
        <v>326</v>
      </c>
      <c r="R1765" s="8" t="str">
        <f aca="false">B1765&amp;" "&amp;C1765&amp;" "&amp;D1765&amp;" "&amp;E1765&amp;" "&amp;G1765&amp;" "&amp;H1765&amp;" "&amp;J1765&amp;" "&amp;N1765</f>
        <v>Differentials Graphite     CIF Slovakia (Diff) </v>
      </c>
      <c r="S1765" s="25"/>
      <c r="T1765" s="8"/>
      <c r="U1765" s="8"/>
      <c r="V1765" s="25"/>
      <c r="W1765" s="25"/>
      <c r="X1765" s="25"/>
      <c r="Y1765" s="25"/>
      <c r="Z1765" s="25"/>
      <c r="AA1765" s="25"/>
      <c r="AB1765" s="25"/>
      <c r="AC1765" s="25"/>
      <c r="AD1765" s="25"/>
    </row>
    <row r="1766" customFormat="false" ht="15.75" hidden="false" customHeight="false" outlineLevel="0" collapsed="false">
      <c r="A1766" s="28" t="s">
        <v>2169</v>
      </c>
      <c r="B1766" s="27" t="s">
        <v>438</v>
      </c>
      <c r="C1766" s="27" t="s">
        <v>308</v>
      </c>
      <c r="D1766" s="25"/>
      <c r="E1766" s="25"/>
      <c r="F1766" s="25"/>
      <c r="G1766" s="25"/>
      <c r="H1766" s="25"/>
      <c r="I1766" s="25"/>
      <c r="J1766" s="27" t="s">
        <v>2122</v>
      </c>
      <c r="K1766" s="25" t="str">
        <f aca="false">IFERROR(__xludf.dummyfunction("SPLIT(J1766,"" "")"),"CIF")</f>
        <v>CIF</v>
      </c>
      <c r="L1766" s="28" t="str">
        <f aca="false">IFERROR(__xludf.dummyfunction("""COMPUTED_VALUE"""),"Slovakia")</f>
        <v>Slovakia</v>
      </c>
      <c r="M1766" s="27" t="str">
        <f aca="false">IFERROR(__xludf.dummyfunction("""COMPUTED_VALUE"""),"(Diff)")</f>
        <v>(Diff)</v>
      </c>
      <c r="N1766" s="25"/>
      <c r="O1766" s="25"/>
      <c r="P1766" s="25"/>
      <c r="Q1766" s="29" t="s">
        <v>323</v>
      </c>
      <c r="R1766" s="8" t="str">
        <f aca="false">B1766&amp;" "&amp;C1766&amp;" "&amp;D1766&amp;" "&amp;E1766&amp;" "&amp;G1766&amp;" "&amp;H1766&amp;" "&amp;J1766&amp;" "&amp;N1766</f>
        <v>Differentials Graphite     CIF Slovakia (Diff) </v>
      </c>
      <c r="S1766" s="25"/>
      <c r="T1766" s="8"/>
      <c r="U1766" s="8"/>
      <c r="V1766" s="25"/>
      <c r="W1766" s="25"/>
      <c r="X1766" s="25"/>
      <c r="Y1766" s="25"/>
      <c r="Z1766" s="25"/>
      <c r="AA1766" s="25"/>
      <c r="AB1766" s="25"/>
      <c r="AC1766" s="25"/>
      <c r="AD1766" s="25"/>
    </row>
    <row r="1767" customFormat="false" ht="15.75" hidden="false" customHeight="false" outlineLevel="0" collapsed="false">
      <c r="A1767" s="28" t="s">
        <v>2170</v>
      </c>
      <c r="B1767" s="27" t="s">
        <v>438</v>
      </c>
      <c r="C1767" s="27" t="s">
        <v>308</v>
      </c>
      <c r="D1767" s="25"/>
      <c r="E1767" s="25"/>
      <c r="F1767" s="25"/>
      <c r="G1767" s="25"/>
      <c r="H1767" s="25"/>
      <c r="I1767" s="25"/>
      <c r="J1767" s="27" t="s">
        <v>2122</v>
      </c>
      <c r="K1767" s="25" t="str">
        <f aca="false">IFERROR(__xludf.dummyfunction("SPLIT(J1767,"" "")"),"CIF")</f>
        <v>CIF</v>
      </c>
      <c r="L1767" s="28" t="str">
        <f aca="false">IFERROR(__xludf.dummyfunction("""COMPUTED_VALUE"""),"Slovakia")</f>
        <v>Slovakia</v>
      </c>
      <c r="M1767" s="27" t="str">
        <f aca="false">IFERROR(__xludf.dummyfunction("""COMPUTED_VALUE"""),"(Diff)")</f>
        <v>(Diff)</v>
      </c>
      <c r="N1767" s="25"/>
      <c r="O1767" s="25"/>
      <c r="P1767" s="25"/>
      <c r="Q1767" s="29" t="s">
        <v>319</v>
      </c>
      <c r="R1767" s="8" t="str">
        <f aca="false">B1767&amp;" "&amp;C1767&amp;" "&amp;D1767&amp;" "&amp;E1767&amp;" "&amp;G1767&amp;" "&amp;H1767&amp;" "&amp;J1767&amp;" "&amp;N1767</f>
        <v>Differentials Graphite     CIF Slovakia (Diff) </v>
      </c>
      <c r="S1767" s="25"/>
      <c r="T1767" s="8"/>
      <c r="U1767" s="8"/>
      <c r="V1767" s="25"/>
      <c r="W1767" s="25"/>
      <c r="X1767" s="25"/>
      <c r="Y1767" s="25"/>
      <c r="Z1767" s="25"/>
      <c r="AA1767" s="25"/>
      <c r="AB1767" s="25"/>
      <c r="AC1767" s="25"/>
      <c r="AD1767" s="25"/>
    </row>
    <row r="1768" customFormat="false" ht="15.75" hidden="false" customHeight="false" outlineLevel="0" collapsed="false">
      <c r="A1768" s="28" t="s">
        <v>2171</v>
      </c>
      <c r="B1768" s="27" t="s">
        <v>438</v>
      </c>
      <c r="C1768" s="27" t="s">
        <v>308</v>
      </c>
      <c r="D1768" s="25"/>
      <c r="E1768" s="25"/>
      <c r="F1768" s="25"/>
      <c r="G1768" s="25"/>
      <c r="H1768" s="25"/>
      <c r="I1768" s="25"/>
      <c r="J1768" s="27" t="s">
        <v>2122</v>
      </c>
      <c r="K1768" s="25" t="str">
        <f aca="false">IFERROR(__xludf.dummyfunction("SPLIT(J1768,"" "")"),"CIF")</f>
        <v>CIF</v>
      </c>
      <c r="L1768" s="28" t="str">
        <f aca="false">IFERROR(__xludf.dummyfunction("""COMPUTED_VALUE"""),"Slovakia")</f>
        <v>Slovakia</v>
      </c>
      <c r="M1768" s="27" t="str">
        <f aca="false">IFERROR(__xludf.dummyfunction("""COMPUTED_VALUE"""),"(Diff)")</f>
        <v>(Diff)</v>
      </c>
      <c r="N1768" s="25"/>
      <c r="O1768" s="25"/>
      <c r="P1768" s="25"/>
      <c r="Q1768" s="29" t="s">
        <v>315</v>
      </c>
      <c r="R1768" s="8" t="str">
        <f aca="false">B1768&amp;" "&amp;C1768&amp;" "&amp;D1768&amp;" "&amp;E1768&amp;" "&amp;G1768&amp;" "&amp;H1768&amp;" "&amp;J1768&amp;" "&amp;N1768</f>
        <v>Differentials Graphite     CIF Slovakia (Diff) </v>
      </c>
      <c r="S1768" s="25"/>
      <c r="T1768" s="8"/>
      <c r="U1768" s="8"/>
      <c r="V1768" s="25"/>
      <c r="W1768" s="25"/>
      <c r="X1768" s="25"/>
      <c r="Y1768" s="25"/>
      <c r="Z1768" s="25"/>
      <c r="AA1768" s="25"/>
      <c r="AB1768" s="25"/>
      <c r="AC1768" s="25"/>
      <c r="AD1768" s="25"/>
    </row>
    <row r="1769" customFormat="false" ht="15.75" hidden="false" customHeight="false" outlineLevel="0" collapsed="false">
      <c r="A1769" s="28" t="s">
        <v>2172</v>
      </c>
      <c r="B1769" s="27" t="s">
        <v>438</v>
      </c>
      <c r="C1769" s="27" t="s">
        <v>308</v>
      </c>
      <c r="D1769" s="25"/>
      <c r="E1769" s="25"/>
      <c r="F1769" s="25"/>
      <c r="G1769" s="25"/>
      <c r="H1769" s="25"/>
      <c r="I1769" s="25"/>
      <c r="J1769" s="27" t="s">
        <v>2122</v>
      </c>
      <c r="K1769" s="25" t="str">
        <f aca="false">IFERROR(__xludf.dummyfunction("SPLIT(J1769,"" "")"),"CIF")</f>
        <v>CIF</v>
      </c>
      <c r="L1769" s="28" t="str">
        <f aca="false">IFERROR(__xludf.dummyfunction("""COMPUTED_VALUE"""),"Slovakia")</f>
        <v>Slovakia</v>
      </c>
      <c r="M1769" s="27" t="str">
        <f aca="false">IFERROR(__xludf.dummyfunction("""COMPUTED_VALUE"""),"(Diff)")</f>
        <v>(Diff)</v>
      </c>
      <c r="N1769" s="25"/>
      <c r="O1769" s="25"/>
      <c r="P1769" s="25"/>
      <c r="Q1769" s="29" t="s">
        <v>311</v>
      </c>
      <c r="R1769" s="8" t="str">
        <f aca="false">B1769&amp;" "&amp;C1769&amp;" "&amp;D1769&amp;" "&amp;E1769&amp;" "&amp;G1769&amp;" "&amp;H1769&amp;" "&amp;J1769&amp;" "&amp;N1769</f>
        <v>Differentials Graphite     CIF Slovakia (Diff) </v>
      </c>
      <c r="S1769" s="25"/>
      <c r="T1769" s="8"/>
      <c r="U1769" s="8"/>
      <c r="V1769" s="25"/>
      <c r="W1769" s="25"/>
      <c r="X1769" s="25"/>
      <c r="Y1769" s="25"/>
      <c r="Z1769" s="25"/>
      <c r="AA1769" s="25"/>
      <c r="AB1769" s="25"/>
      <c r="AC1769" s="25"/>
      <c r="AD1769" s="25"/>
    </row>
    <row r="1770" customFormat="false" ht="15.75" hidden="false" customHeight="false" outlineLevel="0" collapsed="false">
      <c r="A1770" s="28" t="s">
        <v>2173</v>
      </c>
      <c r="B1770" s="27" t="s">
        <v>438</v>
      </c>
      <c r="C1770" s="27" t="s">
        <v>417</v>
      </c>
      <c r="D1770" s="25"/>
      <c r="E1770" s="25"/>
      <c r="F1770" s="25"/>
      <c r="G1770" s="25"/>
      <c r="H1770" s="25"/>
      <c r="I1770" s="25"/>
      <c r="J1770" s="27" t="s">
        <v>2122</v>
      </c>
      <c r="K1770" s="25" t="str">
        <f aca="false">IFERROR(__xludf.dummyfunction("SPLIT(J1770,"" "")"),"CIF")</f>
        <v>CIF</v>
      </c>
      <c r="L1770" s="28" t="str">
        <f aca="false">IFERROR(__xludf.dummyfunction("""COMPUTED_VALUE"""),"Slovakia")</f>
        <v>Slovakia</v>
      </c>
      <c r="M1770" s="27" t="str">
        <f aca="false">IFERROR(__xludf.dummyfunction("""COMPUTED_VALUE"""),"(Diff)")</f>
        <v>(Diff)</v>
      </c>
      <c r="N1770" s="25"/>
      <c r="O1770" s="25"/>
      <c r="P1770" s="25"/>
      <c r="Q1770" s="29" t="s">
        <v>436</v>
      </c>
      <c r="R1770" s="8" t="str">
        <f aca="false">B1770&amp;" "&amp;C1770&amp;" "&amp;D1770&amp;" "&amp;E1770&amp;" "&amp;G1770&amp;" "&amp;H1770&amp;" "&amp;J1770&amp;" "&amp;N1770</f>
        <v>Differentials Solvent     CIF Slovakia (Diff) </v>
      </c>
      <c r="S1770" s="25"/>
      <c r="T1770" s="8"/>
      <c r="U1770" s="8"/>
      <c r="V1770" s="25"/>
      <c r="W1770" s="25"/>
      <c r="X1770" s="25"/>
      <c r="Y1770" s="25"/>
      <c r="Z1770" s="25"/>
      <c r="AA1770" s="25"/>
      <c r="AB1770" s="25"/>
      <c r="AC1770" s="25"/>
      <c r="AD1770" s="25"/>
    </row>
    <row r="1771" customFormat="false" ht="15.75" hidden="false" customHeight="false" outlineLevel="0" collapsed="false">
      <c r="A1771" s="28" t="s">
        <v>2174</v>
      </c>
      <c r="B1771" s="27" t="s">
        <v>438</v>
      </c>
      <c r="C1771" s="27" t="s">
        <v>417</v>
      </c>
      <c r="D1771" s="25"/>
      <c r="E1771" s="25"/>
      <c r="F1771" s="25"/>
      <c r="G1771" s="25"/>
      <c r="H1771" s="25"/>
      <c r="I1771" s="25"/>
      <c r="J1771" s="27" t="s">
        <v>2122</v>
      </c>
      <c r="K1771" s="25" t="str">
        <f aca="false">IFERROR(__xludf.dummyfunction("SPLIT(J1771,"" "")"),"CIF")</f>
        <v>CIF</v>
      </c>
      <c r="L1771" s="28" t="str">
        <f aca="false">IFERROR(__xludf.dummyfunction("""COMPUTED_VALUE"""),"Slovakia")</f>
        <v>Slovakia</v>
      </c>
      <c r="M1771" s="27" t="str">
        <f aca="false">IFERROR(__xludf.dummyfunction("""COMPUTED_VALUE"""),"(Diff)")</f>
        <v>(Diff)</v>
      </c>
      <c r="N1771" s="25"/>
      <c r="O1771" s="25"/>
      <c r="P1771" s="25"/>
      <c r="Q1771" s="29" t="s">
        <v>434</v>
      </c>
      <c r="R1771" s="8" t="str">
        <f aca="false">B1771&amp;" "&amp;C1771&amp;" "&amp;D1771&amp;" "&amp;E1771&amp;" "&amp;G1771&amp;" "&amp;H1771&amp;" "&amp;J1771&amp;" "&amp;N1771</f>
        <v>Differentials Solvent     CIF Slovakia (Diff) </v>
      </c>
      <c r="S1771" s="25"/>
      <c r="T1771" s="8"/>
      <c r="U1771" s="8"/>
      <c r="V1771" s="25"/>
      <c r="W1771" s="25"/>
      <c r="X1771" s="25"/>
      <c r="Y1771" s="25"/>
      <c r="Z1771" s="25"/>
      <c r="AA1771" s="25"/>
      <c r="AB1771" s="25"/>
      <c r="AC1771" s="25"/>
      <c r="AD1771" s="25"/>
    </row>
    <row r="1772" customFormat="false" ht="15.75" hidden="false" customHeight="false" outlineLevel="0" collapsed="false">
      <c r="A1772" s="28" t="s">
        <v>2175</v>
      </c>
      <c r="B1772" s="27" t="s">
        <v>438</v>
      </c>
      <c r="C1772" s="27" t="s">
        <v>417</v>
      </c>
      <c r="D1772" s="25"/>
      <c r="E1772" s="25"/>
      <c r="F1772" s="25"/>
      <c r="G1772" s="25"/>
      <c r="H1772" s="25"/>
      <c r="I1772" s="25"/>
      <c r="J1772" s="27" t="s">
        <v>2122</v>
      </c>
      <c r="K1772" s="25" t="str">
        <f aca="false">IFERROR(__xludf.dummyfunction("SPLIT(J1772,"" "")"),"CIF")</f>
        <v>CIF</v>
      </c>
      <c r="L1772" s="28" t="str">
        <f aca="false">IFERROR(__xludf.dummyfunction("""COMPUTED_VALUE"""),"Slovakia")</f>
        <v>Slovakia</v>
      </c>
      <c r="M1772" s="27" t="str">
        <f aca="false">IFERROR(__xludf.dummyfunction("""COMPUTED_VALUE"""),"(Diff)")</f>
        <v>(Diff)</v>
      </c>
      <c r="N1772" s="25"/>
      <c r="O1772" s="25"/>
      <c r="P1772" s="25"/>
      <c r="Q1772" s="29" t="s">
        <v>432</v>
      </c>
      <c r="R1772" s="8" t="str">
        <f aca="false">B1772&amp;" "&amp;C1772&amp;" "&amp;D1772&amp;" "&amp;E1772&amp;" "&amp;G1772&amp;" "&amp;H1772&amp;" "&amp;J1772&amp;" "&amp;N1772</f>
        <v>Differentials Solvent     CIF Slovakia (Diff) </v>
      </c>
      <c r="S1772" s="25"/>
      <c r="T1772" s="8"/>
      <c r="U1772" s="8"/>
      <c r="V1772" s="25"/>
      <c r="W1772" s="25"/>
      <c r="X1772" s="25"/>
      <c r="Y1772" s="25"/>
      <c r="Z1772" s="25"/>
      <c r="AA1772" s="25"/>
      <c r="AB1772" s="25"/>
      <c r="AC1772" s="25"/>
      <c r="AD1772" s="25"/>
    </row>
    <row r="1773" customFormat="false" ht="15.75" hidden="false" customHeight="false" outlineLevel="0" collapsed="false">
      <c r="A1773" s="28" t="s">
        <v>2176</v>
      </c>
      <c r="B1773" s="27" t="s">
        <v>438</v>
      </c>
      <c r="C1773" s="27" t="s">
        <v>417</v>
      </c>
      <c r="D1773" s="25"/>
      <c r="E1773" s="25"/>
      <c r="F1773" s="25"/>
      <c r="G1773" s="25"/>
      <c r="H1773" s="25"/>
      <c r="I1773" s="25"/>
      <c r="J1773" s="27" t="s">
        <v>2122</v>
      </c>
      <c r="K1773" s="25" t="str">
        <f aca="false">IFERROR(__xludf.dummyfunction("SPLIT(J1773,"" "")"),"CIF")</f>
        <v>CIF</v>
      </c>
      <c r="L1773" s="28" t="str">
        <f aca="false">IFERROR(__xludf.dummyfunction("""COMPUTED_VALUE"""),"Slovakia")</f>
        <v>Slovakia</v>
      </c>
      <c r="M1773" s="27" t="str">
        <f aca="false">IFERROR(__xludf.dummyfunction("""COMPUTED_VALUE"""),"(Diff)")</f>
        <v>(Diff)</v>
      </c>
      <c r="N1773" s="25"/>
      <c r="O1773" s="25"/>
      <c r="P1773" s="25"/>
      <c r="Q1773" s="29" t="s">
        <v>430</v>
      </c>
      <c r="R1773" s="8" t="str">
        <f aca="false">B1773&amp;" "&amp;C1773&amp;" "&amp;D1773&amp;" "&amp;E1773&amp;" "&amp;G1773&amp;" "&amp;H1773&amp;" "&amp;J1773&amp;" "&amp;N1773</f>
        <v>Differentials Solvent     CIF Slovakia (Diff) </v>
      </c>
      <c r="S1773" s="25"/>
      <c r="T1773" s="8"/>
      <c r="U1773" s="8"/>
      <c r="V1773" s="25"/>
      <c r="W1773" s="25"/>
      <c r="X1773" s="25"/>
      <c r="Y1773" s="25"/>
      <c r="Z1773" s="25"/>
      <c r="AA1773" s="25"/>
      <c r="AB1773" s="25"/>
      <c r="AC1773" s="25"/>
      <c r="AD1773" s="25"/>
    </row>
    <row r="1774" customFormat="false" ht="15.75" hidden="false" customHeight="false" outlineLevel="0" collapsed="false">
      <c r="A1774" s="28" t="s">
        <v>2177</v>
      </c>
      <c r="B1774" s="27" t="s">
        <v>438</v>
      </c>
      <c r="C1774" s="27" t="s">
        <v>417</v>
      </c>
      <c r="D1774" s="25"/>
      <c r="E1774" s="25"/>
      <c r="F1774" s="25"/>
      <c r="G1774" s="25"/>
      <c r="H1774" s="25"/>
      <c r="I1774" s="25"/>
      <c r="J1774" s="27" t="s">
        <v>2122</v>
      </c>
      <c r="K1774" s="25" t="str">
        <f aca="false">IFERROR(__xludf.dummyfunction("SPLIT(J1774,"" "")"),"CIF")</f>
        <v>CIF</v>
      </c>
      <c r="L1774" s="28" t="str">
        <f aca="false">IFERROR(__xludf.dummyfunction("""COMPUTED_VALUE"""),"Slovakia")</f>
        <v>Slovakia</v>
      </c>
      <c r="M1774" s="27" t="str">
        <f aca="false">IFERROR(__xludf.dummyfunction("""COMPUTED_VALUE"""),"(Diff)")</f>
        <v>(Diff)</v>
      </c>
      <c r="N1774" s="25"/>
      <c r="O1774" s="25"/>
      <c r="P1774" s="25"/>
      <c r="Q1774" s="29" t="s">
        <v>428</v>
      </c>
      <c r="R1774" s="8" t="str">
        <f aca="false">B1774&amp;" "&amp;C1774&amp;" "&amp;D1774&amp;" "&amp;E1774&amp;" "&amp;G1774&amp;" "&amp;H1774&amp;" "&amp;J1774&amp;" "&amp;N1774</f>
        <v>Differentials Solvent     CIF Slovakia (Diff) </v>
      </c>
      <c r="S1774" s="25"/>
      <c r="T1774" s="8"/>
      <c r="U1774" s="8"/>
      <c r="V1774" s="25"/>
      <c r="W1774" s="25"/>
      <c r="X1774" s="25"/>
      <c r="Y1774" s="25"/>
      <c r="Z1774" s="25"/>
      <c r="AA1774" s="25"/>
      <c r="AB1774" s="25"/>
      <c r="AC1774" s="25"/>
      <c r="AD1774" s="25"/>
    </row>
    <row r="1775" customFormat="false" ht="15.75" hidden="false" customHeight="false" outlineLevel="0" collapsed="false">
      <c r="A1775" s="28" t="s">
        <v>2178</v>
      </c>
      <c r="B1775" s="27" t="s">
        <v>438</v>
      </c>
      <c r="C1775" s="27" t="s">
        <v>417</v>
      </c>
      <c r="D1775" s="25"/>
      <c r="E1775" s="25"/>
      <c r="F1775" s="25"/>
      <c r="G1775" s="25"/>
      <c r="H1775" s="25"/>
      <c r="I1775" s="25"/>
      <c r="J1775" s="27" t="s">
        <v>2122</v>
      </c>
      <c r="K1775" s="25" t="str">
        <f aca="false">IFERROR(__xludf.dummyfunction("SPLIT(J1775,"" "")"),"CIF")</f>
        <v>CIF</v>
      </c>
      <c r="L1775" s="28" t="str">
        <f aca="false">IFERROR(__xludf.dummyfunction("""COMPUTED_VALUE"""),"Slovakia")</f>
        <v>Slovakia</v>
      </c>
      <c r="M1775" s="27" t="str">
        <f aca="false">IFERROR(__xludf.dummyfunction("""COMPUTED_VALUE"""),"(Diff)")</f>
        <v>(Diff)</v>
      </c>
      <c r="N1775" s="25"/>
      <c r="O1775" s="25"/>
      <c r="P1775" s="25"/>
      <c r="Q1775" s="29" t="s">
        <v>426</v>
      </c>
      <c r="R1775" s="8" t="str">
        <f aca="false">B1775&amp;" "&amp;C1775&amp;" "&amp;D1775&amp;" "&amp;E1775&amp;" "&amp;G1775&amp;" "&amp;H1775&amp;" "&amp;J1775&amp;" "&amp;N1775</f>
        <v>Differentials Solvent     CIF Slovakia (Diff) </v>
      </c>
      <c r="S1775" s="25"/>
      <c r="T1775" s="8"/>
      <c r="U1775" s="8"/>
      <c r="V1775" s="25"/>
      <c r="W1775" s="25"/>
      <c r="X1775" s="25"/>
      <c r="Y1775" s="25"/>
      <c r="Z1775" s="25"/>
      <c r="AA1775" s="25"/>
      <c r="AB1775" s="25"/>
      <c r="AC1775" s="25"/>
      <c r="AD1775" s="25"/>
    </row>
    <row r="1776" customFormat="false" ht="15.75" hidden="false" customHeight="false" outlineLevel="0" collapsed="false">
      <c r="A1776" s="28" t="s">
        <v>2179</v>
      </c>
      <c r="B1776" s="27" t="s">
        <v>438</v>
      </c>
      <c r="C1776" s="27" t="s">
        <v>417</v>
      </c>
      <c r="D1776" s="25"/>
      <c r="E1776" s="25"/>
      <c r="F1776" s="25"/>
      <c r="G1776" s="25"/>
      <c r="H1776" s="25"/>
      <c r="I1776" s="25"/>
      <c r="J1776" s="27" t="s">
        <v>2122</v>
      </c>
      <c r="K1776" s="25" t="str">
        <f aca="false">IFERROR(__xludf.dummyfunction("SPLIT(J1776,"" "")"),"CIF")</f>
        <v>CIF</v>
      </c>
      <c r="L1776" s="28" t="str">
        <f aca="false">IFERROR(__xludf.dummyfunction("""COMPUTED_VALUE"""),"Slovakia")</f>
        <v>Slovakia</v>
      </c>
      <c r="M1776" s="27" t="str">
        <f aca="false">IFERROR(__xludf.dummyfunction("""COMPUTED_VALUE"""),"(Diff)")</f>
        <v>(Diff)</v>
      </c>
      <c r="N1776" s="25"/>
      <c r="O1776" s="25"/>
      <c r="P1776" s="25"/>
      <c r="Q1776" s="29" t="s">
        <v>424</v>
      </c>
      <c r="R1776" s="8" t="str">
        <f aca="false">B1776&amp;" "&amp;C1776&amp;" "&amp;D1776&amp;" "&amp;E1776&amp;" "&amp;G1776&amp;" "&amp;H1776&amp;" "&amp;J1776&amp;" "&amp;N1776</f>
        <v>Differentials Solvent     CIF Slovakia (Diff) </v>
      </c>
      <c r="S1776" s="25"/>
      <c r="T1776" s="8"/>
      <c r="U1776" s="8"/>
      <c r="V1776" s="25"/>
      <c r="W1776" s="25"/>
      <c r="X1776" s="25"/>
      <c r="Y1776" s="25"/>
      <c r="Z1776" s="25"/>
      <c r="AA1776" s="25"/>
      <c r="AB1776" s="25"/>
      <c r="AC1776" s="25"/>
      <c r="AD1776" s="25"/>
    </row>
    <row r="1777" customFormat="false" ht="15.75" hidden="false" customHeight="false" outlineLevel="0" collapsed="false">
      <c r="A1777" s="28" t="s">
        <v>2180</v>
      </c>
      <c r="B1777" s="27" t="s">
        <v>438</v>
      </c>
      <c r="C1777" s="27" t="s">
        <v>417</v>
      </c>
      <c r="D1777" s="25"/>
      <c r="E1777" s="25"/>
      <c r="F1777" s="25"/>
      <c r="G1777" s="25"/>
      <c r="H1777" s="25"/>
      <c r="I1777" s="25"/>
      <c r="J1777" s="27" t="s">
        <v>2122</v>
      </c>
      <c r="K1777" s="25" t="str">
        <f aca="false">IFERROR(__xludf.dummyfunction("SPLIT(J1777,"" "")"),"CIF")</f>
        <v>CIF</v>
      </c>
      <c r="L1777" s="28" t="str">
        <f aca="false">IFERROR(__xludf.dummyfunction("""COMPUTED_VALUE"""),"Slovakia")</f>
        <v>Slovakia</v>
      </c>
      <c r="M1777" s="27" t="str">
        <f aca="false">IFERROR(__xludf.dummyfunction("""COMPUTED_VALUE"""),"(Diff)")</f>
        <v>(Diff)</v>
      </c>
      <c r="N1777" s="25"/>
      <c r="O1777" s="25"/>
      <c r="P1777" s="25"/>
      <c r="Q1777" s="29" t="s">
        <v>422</v>
      </c>
      <c r="R1777" s="8" t="str">
        <f aca="false">B1777&amp;" "&amp;C1777&amp;" "&amp;D1777&amp;" "&amp;E1777&amp;" "&amp;G1777&amp;" "&amp;H1777&amp;" "&amp;J1777&amp;" "&amp;N1777</f>
        <v>Differentials Solvent     CIF Slovakia (Diff) </v>
      </c>
      <c r="S1777" s="25"/>
      <c r="T1777" s="8"/>
      <c r="U1777" s="8"/>
      <c r="V1777" s="25"/>
      <c r="W1777" s="25"/>
      <c r="X1777" s="25"/>
      <c r="Y1777" s="25"/>
      <c r="Z1777" s="25"/>
      <c r="AA1777" s="25"/>
      <c r="AB1777" s="25"/>
      <c r="AC1777" s="25"/>
      <c r="AD1777" s="25"/>
    </row>
    <row r="1778" customFormat="false" ht="15.75" hidden="false" customHeight="false" outlineLevel="0" collapsed="false">
      <c r="A1778" s="28" t="s">
        <v>2181</v>
      </c>
      <c r="B1778" s="27" t="s">
        <v>438</v>
      </c>
      <c r="C1778" s="27" t="s">
        <v>417</v>
      </c>
      <c r="D1778" s="25"/>
      <c r="E1778" s="25"/>
      <c r="F1778" s="25"/>
      <c r="G1778" s="25"/>
      <c r="H1778" s="25"/>
      <c r="I1778" s="25"/>
      <c r="J1778" s="27" t="s">
        <v>2122</v>
      </c>
      <c r="K1778" s="25" t="str">
        <f aca="false">IFERROR(__xludf.dummyfunction("SPLIT(J1778,"" "")"),"CIF")</f>
        <v>CIF</v>
      </c>
      <c r="L1778" s="28" t="str">
        <f aca="false">IFERROR(__xludf.dummyfunction("""COMPUTED_VALUE"""),"Slovakia")</f>
        <v>Slovakia</v>
      </c>
      <c r="M1778" s="27" t="str">
        <f aca="false">IFERROR(__xludf.dummyfunction("""COMPUTED_VALUE"""),"(Diff)")</f>
        <v>(Diff)</v>
      </c>
      <c r="N1778" s="25"/>
      <c r="O1778" s="25"/>
      <c r="P1778" s="25"/>
      <c r="Q1778" s="29" t="s">
        <v>420</v>
      </c>
      <c r="R1778" s="8" t="str">
        <f aca="false">B1778&amp;" "&amp;C1778&amp;" "&amp;D1778&amp;" "&amp;E1778&amp;" "&amp;G1778&amp;" "&amp;H1778&amp;" "&amp;J1778&amp;" "&amp;N1778</f>
        <v>Differentials Solvent     CIF Slovakia (Diff) </v>
      </c>
      <c r="S1778" s="25"/>
      <c r="T1778" s="8"/>
      <c r="U1778" s="8"/>
      <c r="V1778" s="25"/>
      <c r="W1778" s="25"/>
      <c r="X1778" s="25"/>
      <c r="Y1778" s="25"/>
      <c r="Z1778" s="25"/>
      <c r="AA1778" s="25"/>
      <c r="AB1778" s="25"/>
      <c r="AC1778" s="25"/>
      <c r="AD1778" s="25"/>
    </row>
    <row r="1779" customFormat="false" ht="15.75" hidden="false" customHeight="false" outlineLevel="0" collapsed="false">
      <c r="A1779" s="28" t="s">
        <v>2182</v>
      </c>
      <c r="B1779" s="27" t="s">
        <v>438</v>
      </c>
      <c r="C1779" s="27" t="s">
        <v>417</v>
      </c>
      <c r="D1779" s="25"/>
      <c r="E1779" s="25"/>
      <c r="F1779" s="25"/>
      <c r="G1779" s="25"/>
      <c r="H1779" s="25"/>
      <c r="I1779" s="25"/>
      <c r="J1779" s="27" t="s">
        <v>2122</v>
      </c>
      <c r="K1779" s="25" t="str">
        <f aca="false">IFERROR(__xludf.dummyfunction("SPLIT(J1779,"" "")"),"CIF")</f>
        <v>CIF</v>
      </c>
      <c r="L1779" s="28" t="str">
        <f aca="false">IFERROR(__xludf.dummyfunction("""COMPUTED_VALUE"""),"Slovakia")</f>
        <v>Slovakia</v>
      </c>
      <c r="M1779" s="27" t="str">
        <f aca="false">IFERROR(__xludf.dummyfunction("""COMPUTED_VALUE"""),"(Diff)")</f>
        <v>(Diff)</v>
      </c>
      <c r="N1779" s="25"/>
      <c r="O1779" s="25"/>
      <c r="P1779" s="25"/>
      <c r="Q1779" s="29" t="s">
        <v>418</v>
      </c>
      <c r="R1779" s="8" t="str">
        <f aca="false">B1779&amp;" "&amp;C1779&amp;" "&amp;D1779&amp;" "&amp;E1779&amp;" "&amp;G1779&amp;" "&amp;H1779&amp;" "&amp;J1779&amp;" "&amp;N1779</f>
        <v>Differentials Solvent     CIF Slovakia (Diff) </v>
      </c>
      <c r="S1779" s="25"/>
      <c r="T1779" s="8"/>
      <c r="U1779" s="8"/>
      <c r="V1779" s="25"/>
      <c r="W1779" s="25"/>
      <c r="X1779" s="25"/>
      <c r="Y1779" s="25"/>
      <c r="Z1779" s="25"/>
      <c r="AA1779" s="25"/>
      <c r="AB1779" s="25"/>
      <c r="AC1779" s="25"/>
      <c r="AD1779" s="25"/>
    </row>
    <row r="1780" customFormat="false" ht="15.75" hidden="false" customHeight="false" outlineLevel="0" collapsed="false">
      <c r="A1780" s="28" t="s">
        <v>2183</v>
      </c>
      <c r="B1780" s="27" t="s">
        <v>438</v>
      </c>
      <c r="C1780" s="27" t="s">
        <v>408</v>
      </c>
      <c r="D1780" s="25"/>
      <c r="E1780" s="25"/>
      <c r="F1780" s="25"/>
      <c r="G1780" s="25"/>
      <c r="H1780" s="25"/>
      <c r="I1780" s="25"/>
      <c r="J1780" s="27" t="s">
        <v>2184</v>
      </c>
      <c r="K1780" s="25" t="str">
        <f aca="false">IFERROR(__xludf.dummyfunction("SPLIT(J1780,"" "")"),"CIF")</f>
        <v>CIF</v>
      </c>
      <c r="L1780" s="28" t="str">
        <f aca="false">IFERROR(__xludf.dummyfunction("""COMPUTED_VALUE"""),"South")</f>
        <v>South</v>
      </c>
      <c r="M1780" s="27" t="str">
        <f aca="false">IFERROR(__xludf.dummyfunction("""COMPUTED_VALUE"""),"Africa")</f>
        <v>Africa</v>
      </c>
      <c r="N1780" s="25" t="str">
        <f aca="false">IFERROR(__xludf.dummyfunction("""COMPUTED_VALUE"""),"(Diff)")</f>
        <v>(Diff)</v>
      </c>
      <c r="O1780" s="25"/>
      <c r="P1780" s="25"/>
      <c r="Q1780" s="29" t="s">
        <v>415</v>
      </c>
      <c r="R1780" s="8" t="str">
        <f aca="false">B1780&amp;" "&amp;C1780&amp;" "&amp;D1780&amp;" "&amp;E1780&amp;" "&amp;G1780&amp;" "&amp;H1780&amp;" "&amp;J1780&amp;" "&amp;N1780</f>
        <v>Differentials Rare Earths     CIF South Africa (Diff) (Diff)</v>
      </c>
      <c r="S1780" s="25"/>
      <c r="T1780" s="8"/>
      <c r="U1780" s="8"/>
      <c r="V1780" s="25"/>
      <c r="W1780" s="25"/>
      <c r="X1780" s="25"/>
      <c r="Y1780" s="25"/>
      <c r="Z1780" s="25"/>
      <c r="AA1780" s="25"/>
      <c r="AB1780" s="25"/>
      <c r="AC1780" s="25"/>
      <c r="AD1780" s="25"/>
    </row>
    <row r="1781" customFormat="false" ht="15.75" hidden="false" customHeight="false" outlineLevel="0" collapsed="false">
      <c r="A1781" s="28" t="s">
        <v>2185</v>
      </c>
      <c r="B1781" s="27" t="s">
        <v>438</v>
      </c>
      <c r="C1781" s="27" t="s">
        <v>408</v>
      </c>
      <c r="D1781" s="25"/>
      <c r="E1781" s="25"/>
      <c r="F1781" s="25"/>
      <c r="G1781" s="25"/>
      <c r="H1781" s="25"/>
      <c r="I1781" s="25"/>
      <c r="J1781" s="27" t="s">
        <v>2184</v>
      </c>
      <c r="K1781" s="25" t="str">
        <f aca="false">IFERROR(__xludf.dummyfunction("SPLIT(J1781,"" "")"),"CIF")</f>
        <v>CIF</v>
      </c>
      <c r="L1781" s="28" t="str">
        <f aca="false">IFERROR(__xludf.dummyfunction("""COMPUTED_VALUE"""),"South")</f>
        <v>South</v>
      </c>
      <c r="M1781" s="27" t="str">
        <f aca="false">IFERROR(__xludf.dummyfunction("""COMPUTED_VALUE"""),"Africa")</f>
        <v>Africa</v>
      </c>
      <c r="N1781" s="25" t="str">
        <f aca="false">IFERROR(__xludf.dummyfunction("""COMPUTED_VALUE"""),"(Diff)")</f>
        <v>(Diff)</v>
      </c>
      <c r="O1781" s="25"/>
      <c r="P1781" s="25"/>
      <c r="Q1781" s="29" t="s">
        <v>413</v>
      </c>
      <c r="R1781" s="8" t="str">
        <f aca="false">B1781&amp;" "&amp;C1781&amp;" "&amp;D1781&amp;" "&amp;E1781&amp;" "&amp;G1781&amp;" "&amp;H1781&amp;" "&amp;J1781&amp;" "&amp;N1781</f>
        <v>Differentials Rare Earths     CIF South Africa (Diff) (Diff)</v>
      </c>
      <c r="S1781" s="25"/>
      <c r="T1781" s="8"/>
      <c r="U1781" s="8"/>
      <c r="V1781" s="25"/>
      <c r="W1781" s="25"/>
      <c r="X1781" s="25"/>
      <c r="Y1781" s="25"/>
      <c r="Z1781" s="25"/>
      <c r="AA1781" s="25"/>
      <c r="AB1781" s="25"/>
      <c r="AC1781" s="25"/>
      <c r="AD1781" s="25"/>
    </row>
    <row r="1782" customFormat="false" ht="15.75" hidden="false" customHeight="false" outlineLevel="0" collapsed="false">
      <c r="A1782" s="28" t="s">
        <v>2186</v>
      </c>
      <c r="B1782" s="27" t="s">
        <v>438</v>
      </c>
      <c r="C1782" s="27" t="s">
        <v>408</v>
      </c>
      <c r="D1782" s="25"/>
      <c r="E1782" s="25"/>
      <c r="F1782" s="25"/>
      <c r="G1782" s="25"/>
      <c r="H1782" s="25"/>
      <c r="I1782" s="25"/>
      <c r="J1782" s="27" t="s">
        <v>2184</v>
      </c>
      <c r="K1782" s="25" t="str">
        <f aca="false">IFERROR(__xludf.dummyfunction("SPLIT(J1782,"" "")"),"CIF")</f>
        <v>CIF</v>
      </c>
      <c r="L1782" s="28" t="str">
        <f aca="false">IFERROR(__xludf.dummyfunction("""COMPUTED_VALUE"""),"South")</f>
        <v>South</v>
      </c>
      <c r="M1782" s="27" t="str">
        <f aca="false">IFERROR(__xludf.dummyfunction("""COMPUTED_VALUE"""),"Africa")</f>
        <v>Africa</v>
      </c>
      <c r="N1782" s="25" t="str">
        <f aca="false">IFERROR(__xludf.dummyfunction("""COMPUTED_VALUE"""),"(Diff)")</f>
        <v>(Diff)</v>
      </c>
      <c r="O1782" s="25"/>
      <c r="P1782" s="25"/>
      <c r="Q1782" s="29" t="s">
        <v>411</v>
      </c>
      <c r="R1782" s="8" t="str">
        <f aca="false">B1782&amp;" "&amp;C1782&amp;" "&amp;D1782&amp;" "&amp;E1782&amp;" "&amp;G1782&amp;" "&amp;H1782&amp;" "&amp;J1782&amp;" "&amp;N1782</f>
        <v>Differentials Rare Earths     CIF South Africa (Diff) (Diff)</v>
      </c>
      <c r="S1782" s="25"/>
      <c r="T1782" s="8"/>
      <c r="U1782" s="8"/>
      <c r="V1782" s="25"/>
      <c r="W1782" s="25"/>
      <c r="X1782" s="25"/>
      <c r="Y1782" s="25"/>
      <c r="Z1782" s="25"/>
      <c r="AA1782" s="25"/>
      <c r="AB1782" s="25"/>
      <c r="AC1782" s="25"/>
      <c r="AD1782" s="25"/>
    </row>
    <row r="1783" customFormat="false" ht="15.75" hidden="false" customHeight="false" outlineLevel="0" collapsed="false">
      <c r="A1783" s="28" t="s">
        <v>2187</v>
      </c>
      <c r="B1783" s="27" t="s">
        <v>438</v>
      </c>
      <c r="C1783" s="27" t="s">
        <v>408</v>
      </c>
      <c r="D1783" s="25"/>
      <c r="E1783" s="25"/>
      <c r="F1783" s="25"/>
      <c r="G1783" s="25"/>
      <c r="H1783" s="25"/>
      <c r="I1783" s="25"/>
      <c r="J1783" s="27" t="s">
        <v>2184</v>
      </c>
      <c r="K1783" s="25" t="str">
        <f aca="false">IFERROR(__xludf.dummyfunction("SPLIT(J1783,"" "")"),"CIF")</f>
        <v>CIF</v>
      </c>
      <c r="L1783" s="28" t="str">
        <f aca="false">IFERROR(__xludf.dummyfunction("""COMPUTED_VALUE"""),"South")</f>
        <v>South</v>
      </c>
      <c r="M1783" s="27" t="str">
        <f aca="false">IFERROR(__xludf.dummyfunction("""COMPUTED_VALUE"""),"Africa")</f>
        <v>Africa</v>
      </c>
      <c r="N1783" s="25" t="str">
        <f aca="false">IFERROR(__xludf.dummyfunction("""COMPUTED_VALUE"""),"(Diff)")</f>
        <v>(Diff)</v>
      </c>
      <c r="O1783" s="25"/>
      <c r="P1783" s="25"/>
      <c r="Q1783" s="29" t="s">
        <v>409</v>
      </c>
      <c r="R1783" s="8" t="str">
        <f aca="false">B1783&amp;" "&amp;C1783&amp;" "&amp;D1783&amp;" "&amp;E1783&amp;" "&amp;G1783&amp;" "&amp;H1783&amp;" "&amp;J1783&amp;" "&amp;N1783</f>
        <v>Differentials Rare Earths     CIF South Africa (Diff) (Diff)</v>
      </c>
      <c r="S1783" s="25"/>
      <c r="T1783" s="8"/>
      <c r="U1783" s="8"/>
      <c r="V1783" s="25"/>
      <c r="W1783" s="25"/>
      <c r="X1783" s="25"/>
      <c r="Y1783" s="25"/>
      <c r="Z1783" s="25"/>
      <c r="AA1783" s="25"/>
      <c r="AB1783" s="25"/>
      <c r="AC1783" s="25"/>
      <c r="AD1783" s="25"/>
    </row>
    <row r="1784" customFormat="false" ht="15.75" hidden="false" customHeight="false" outlineLevel="0" collapsed="false">
      <c r="A1784" s="28" t="s">
        <v>2188</v>
      </c>
      <c r="B1784" s="27" t="s">
        <v>438</v>
      </c>
      <c r="C1784" s="27" t="s">
        <v>168</v>
      </c>
      <c r="D1784" s="25"/>
      <c r="E1784" s="25"/>
      <c r="F1784" s="25"/>
      <c r="G1784" s="25"/>
      <c r="H1784" s="25"/>
      <c r="I1784" s="25"/>
      <c r="J1784" s="27" t="s">
        <v>2189</v>
      </c>
      <c r="K1784" s="25" t="str">
        <f aca="false">IFERROR(__xludf.dummyfunction("SPLIT(J1784,"" "")"),"CIF")</f>
        <v>CIF</v>
      </c>
      <c r="L1784" s="28" t="str">
        <f aca="false">IFERROR(__xludf.dummyfunction("""COMPUTED_VALUE"""),"South")</f>
        <v>South</v>
      </c>
      <c r="M1784" s="27" t="str">
        <f aca="false">IFERROR(__xludf.dummyfunction("""COMPUTED_VALUE"""),"Korea")</f>
        <v>Korea</v>
      </c>
      <c r="N1784" s="25" t="str">
        <f aca="false">IFERROR(__xludf.dummyfunction("""COMPUTED_VALUE"""),"(Diff)")</f>
        <v>(Diff)</v>
      </c>
      <c r="O1784" s="25"/>
      <c r="P1784" s="25"/>
      <c r="Q1784" s="29" t="s">
        <v>175</v>
      </c>
      <c r="R1784" s="8" t="str">
        <f aca="false">B1784&amp;" "&amp;C1784&amp;" "&amp;D1784&amp;" "&amp;E1784&amp;" "&amp;G1784&amp;" "&amp;H1784&amp;" "&amp;J1784&amp;" "&amp;N1784</f>
        <v>Differentials Aluminium (Battery Grade)     CIF South Korea (Diff) (Diff)</v>
      </c>
      <c r="S1784" s="25"/>
      <c r="T1784" s="8"/>
      <c r="U1784" s="37" t="s">
        <v>2190</v>
      </c>
      <c r="V1784" s="37"/>
      <c r="W1784" s="25"/>
      <c r="X1784" s="25"/>
      <c r="Y1784" s="25"/>
      <c r="Z1784" s="25"/>
      <c r="AA1784" s="25"/>
      <c r="AB1784" s="25"/>
      <c r="AC1784" s="25"/>
      <c r="AD1784" s="25"/>
    </row>
    <row r="1785" customFormat="false" ht="15.75" hidden="false" customHeight="false" outlineLevel="0" collapsed="false">
      <c r="A1785" s="28" t="s">
        <v>2191</v>
      </c>
      <c r="B1785" s="27" t="s">
        <v>438</v>
      </c>
      <c r="C1785" s="27" t="s">
        <v>168</v>
      </c>
      <c r="D1785" s="25"/>
      <c r="E1785" s="25"/>
      <c r="F1785" s="25"/>
      <c r="G1785" s="25"/>
      <c r="H1785" s="25"/>
      <c r="I1785" s="25"/>
      <c r="J1785" s="27" t="s">
        <v>2189</v>
      </c>
      <c r="K1785" s="25" t="str">
        <f aca="false">IFERROR(__xludf.dummyfunction("SPLIT(J1785,"" "")"),"CIF")</f>
        <v>CIF</v>
      </c>
      <c r="L1785" s="28" t="str">
        <f aca="false">IFERROR(__xludf.dummyfunction("""COMPUTED_VALUE"""),"South")</f>
        <v>South</v>
      </c>
      <c r="M1785" s="27" t="str">
        <f aca="false">IFERROR(__xludf.dummyfunction("""COMPUTED_VALUE"""),"Korea")</f>
        <v>Korea</v>
      </c>
      <c r="N1785" s="25" t="str">
        <f aca="false">IFERROR(__xludf.dummyfunction("""COMPUTED_VALUE"""),"(Diff)")</f>
        <v>(Diff)</v>
      </c>
      <c r="O1785" s="25"/>
      <c r="P1785" s="25"/>
      <c r="Q1785" s="29" t="s">
        <v>173</v>
      </c>
      <c r="R1785" s="8" t="str">
        <f aca="false">B1785&amp;" "&amp;C1785&amp;" "&amp;D1785&amp;" "&amp;E1785&amp;" "&amp;G1785&amp;" "&amp;H1785&amp;" "&amp;J1785&amp;" "&amp;N1785</f>
        <v>Differentials Aluminium (Battery Grade)     CIF South Korea (Diff) (Diff)</v>
      </c>
      <c r="S1785" s="25"/>
      <c r="T1785" s="8"/>
      <c r="U1785" s="8"/>
      <c r="V1785" s="25"/>
      <c r="W1785" s="25"/>
      <c r="X1785" s="25"/>
      <c r="Y1785" s="25"/>
      <c r="Z1785" s="25"/>
      <c r="AA1785" s="25"/>
      <c r="AB1785" s="25"/>
      <c r="AC1785" s="25"/>
      <c r="AD1785" s="25"/>
    </row>
    <row r="1786" customFormat="false" ht="15.75" hidden="false" customHeight="false" outlineLevel="0" collapsed="false">
      <c r="A1786" s="28" t="s">
        <v>2192</v>
      </c>
      <c r="B1786" s="27" t="s">
        <v>438</v>
      </c>
      <c r="C1786" s="27" t="s">
        <v>168</v>
      </c>
      <c r="D1786" s="25"/>
      <c r="E1786" s="25"/>
      <c r="F1786" s="25"/>
      <c r="G1786" s="25"/>
      <c r="H1786" s="25"/>
      <c r="I1786" s="25"/>
      <c r="J1786" s="27" t="s">
        <v>2189</v>
      </c>
      <c r="K1786" s="25" t="str">
        <f aca="false">IFERROR(__xludf.dummyfunction("SPLIT(J1786,"" "")"),"CIF")</f>
        <v>CIF</v>
      </c>
      <c r="L1786" s="28" t="str">
        <f aca="false">IFERROR(__xludf.dummyfunction("""COMPUTED_VALUE"""),"South")</f>
        <v>South</v>
      </c>
      <c r="M1786" s="27" t="str">
        <f aca="false">IFERROR(__xludf.dummyfunction("""COMPUTED_VALUE"""),"Korea")</f>
        <v>Korea</v>
      </c>
      <c r="N1786" s="25" t="str">
        <f aca="false">IFERROR(__xludf.dummyfunction("""COMPUTED_VALUE"""),"(Diff)")</f>
        <v>(Diff)</v>
      </c>
      <c r="O1786" s="25"/>
      <c r="P1786" s="25"/>
      <c r="Q1786" s="29" t="s">
        <v>169</v>
      </c>
      <c r="R1786" s="8" t="str">
        <f aca="false">B1786&amp;" "&amp;C1786&amp;" "&amp;D1786&amp;" "&amp;E1786&amp;" "&amp;G1786&amp;" "&amp;H1786&amp;" "&amp;J1786&amp;" "&amp;N1786</f>
        <v>Differentials Aluminium (Battery Grade)     CIF South Korea (Diff) (Diff)</v>
      </c>
      <c r="S1786" s="25"/>
      <c r="T1786" s="8"/>
      <c r="U1786" s="8"/>
      <c r="V1786" s="25"/>
      <c r="W1786" s="25"/>
      <c r="X1786" s="25"/>
      <c r="Y1786" s="25"/>
      <c r="Z1786" s="25"/>
      <c r="AA1786" s="25"/>
      <c r="AB1786" s="25"/>
      <c r="AC1786" s="25"/>
      <c r="AD1786" s="25"/>
    </row>
    <row r="1787" customFormat="false" ht="15.75" hidden="false" customHeight="false" outlineLevel="0" collapsed="false">
      <c r="A1787" s="28" t="s">
        <v>2193</v>
      </c>
      <c r="B1787" s="27" t="s">
        <v>438</v>
      </c>
      <c r="C1787" s="27" t="s">
        <v>177</v>
      </c>
      <c r="D1787" s="25"/>
      <c r="E1787" s="25"/>
      <c r="F1787" s="25"/>
      <c r="G1787" s="25"/>
      <c r="H1787" s="25"/>
      <c r="I1787" s="25"/>
      <c r="J1787" s="27" t="s">
        <v>2189</v>
      </c>
      <c r="K1787" s="25" t="str">
        <f aca="false">IFERROR(__xludf.dummyfunction("SPLIT(J1787,"" "")"),"CIF")</f>
        <v>CIF</v>
      </c>
      <c r="L1787" s="28" t="str">
        <f aca="false">IFERROR(__xludf.dummyfunction("""COMPUTED_VALUE"""),"South")</f>
        <v>South</v>
      </c>
      <c r="M1787" s="27" t="str">
        <f aca="false">IFERROR(__xludf.dummyfunction("""COMPUTED_VALUE"""),"Korea")</f>
        <v>Korea</v>
      </c>
      <c r="N1787" s="25" t="str">
        <f aca="false">IFERROR(__xludf.dummyfunction("""COMPUTED_VALUE"""),"(Diff)")</f>
        <v>(Diff)</v>
      </c>
      <c r="O1787" s="25"/>
      <c r="P1787" s="25"/>
      <c r="Q1787" s="29" t="s">
        <v>209</v>
      </c>
      <c r="R1787" s="8" t="str">
        <f aca="false">B1787&amp;" "&amp;C1787&amp;" "&amp;D1787&amp;" "&amp;E1787&amp;" "&amp;G1787&amp;" "&amp;H1787&amp;" "&amp;J1787&amp;" "&amp;N1787</f>
        <v>Differentials Anode     CIF South Korea (Diff) (Diff)</v>
      </c>
      <c r="S1787" s="25"/>
      <c r="T1787" s="8"/>
      <c r="U1787" s="8"/>
      <c r="V1787" s="25"/>
      <c r="W1787" s="25"/>
      <c r="X1787" s="25"/>
      <c r="Y1787" s="25"/>
      <c r="Z1787" s="25"/>
      <c r="AA1787" s="25"/>
      <c r="AB1787" s="25"/>
      <c r="AC1787" s="25"/>
      <c r="AD1787" s="25"/>
    </row>
    <row r="1788" customFormat="false" ht="15.75" hidden="false" customHeight="false" outlineLevel="0" collapsed="false">
      <c r="A1788" s="28" t="s">
        <v>2194</v>
      </c>
      <c r="B1788" s="27" t="s">
        <v>438</v>
      </c>
      <c r="C1788" s="27" t="s">
        <v>177</v>
      </c>
      <c r="D1788" s="25"/>
      <c r="E1788" s="25"/>
      <c r="F1788" s="25"/>
      <c r="G1788" s="25"/>
      <c r="H1788" s="25"/>
      <c r="I1788" s="25"/>
      <c r="J1788" s="27" t="s">
        <v>2189</v>
      </c>
      <c r="K1788" s="25" t="str">
        <f aca="false">IFERROR(__xludf.dummyfunction("SPLIT(J1788,"" "")"),"CIF")</f>
        <v>CIF</v>
      </c>
      <c r="L1788" s="28" t="str">
        <f aca="false">IFERROR(__xludf.dummyfunction("""COMPUTED_VALUE"""),"South")</f>
        <v>South</v>
      </c>
      <c r="M1788" s="27" t="str">
        <f aca="false">IFERROR(__xludf.dummyfunction("""COMPUTED_VALUE"""),"Korea")</f>
        <v>Korea</v>
      </c>
      <c r="N1788" s="25" t="str">
        <f aca="false">IFERROR(__xludf.dummyfunction("""COMPUTED_VALUE"""),"(Diff)")</f>
        <v>(Diff)</v>
      </c>
      <c r="O1788" s="25"/>
      <c r="P1788" s="25"/>
      <c r="Q1788" s="29" t="s">
        <v>205</v>
      </c>
      <c r="R1788" s="8" t="str">
        <f aca="false">B1788&amp;" "&amp;C1788&amp;" "&amp;D1788&amp;" "&amp;E1788&amp;" "&amp;G1788&amp;" "&amp;H1788&amp;" "&amp;J1788&amp;" "&amp;N1788</f>
        <v>Differentials Anode     CIF South Korea (Diff) (Diff)</v>
      </c>
      <c r="S1788" s="25"/>
      <c r="T1788" s="8"/>
      <c r="U1788" s="8"/>
      <c r="V1788" s="25"/>
      <c r="W1788" s="25"/>
      <c r="X1788" s="25"/>
      <c r="Y1788" s="25"/>
      <c r="Z1788" s="25"/>
      <c r="AA1788" s="25"/>
      <c r="AB1788" s="25"/>
      <c r="AC1788" s="25"/>
      <c r="AD1788" s="25"/>
    </row>
    <row r="1789" customFormat="false" ht="15.75" hidden="false" customHeight="false" outlineLevel="0" collapsed="false">
      <c r="A1789" s="28" t="s">
        <v>2195</v>
      </c>
      <c r="B1789" s="27" t="s">
        <v>438</v>
      </c>
      <c r="C1789" s="27" t="s">
        <v>177</v>
      </c>
      <c r="D1789" s="25"/>
      <c r="E1789" s="25"/>
      <c r="F1789" s="25"/>
      <c r="G1789" s="25"/>
      <c r="H1789" s="25"/>
      <c r="I1789" s="25"/>
      <c r="J1789" s="27" t="s">
        <v>2189</v>
      </c>
      <c r="K1789" s="25" t="str">
        <f aca="false">IFERROR(__xludf.dummyfunction("SPLIT(J1789,"" "")"),"CIF")</f>
        <v>CIF</v>
      </c>
      <c r="L1789" s="28" t="str">
        <f aca="false">IFERROR(__xludf.dummyfunction("""COMPUTED_VALUE"""),"South")</f>
        <v>South</v>
      </c>
      <c r="M1789" s="27" t="str">
        <f aca="false">IFERROR(__xludf.dummyfunction("""COMPUTED_VALUE"""),"Korea")</f>
        <v>Korea</v>
      </c>
      <c r="N1789" s="25" t="str">
        <f aca="false">IFERROR(__xludf.dummyfunction("""COMPUTED_VALUE"""),"(Diff)")</f>
        <v>(Diff)</v>
      </c>
      <c r="O1789" s="25"/>
      <c r="P1789" s="25"/>
      <c r="Q1789" s="29" t="s">
        <v>202</v>
      </c>
      <c r="R1789" s="8" t="str">
        <f aca="false">B1789&amp;" "&amp;C1789&amp;" "&amp;D1789&amp;" "&amp;E1789&amp;" "&amp;G1789&amp;" "&amp;H1789&amp;" "&amp;J1789&amp;" "&amp;N1789</f>
        <v>Differentials Anode     CIF South Korea (Diff) (Diff)</v>
      </c>
      <c r="S1789" s="25"/>
      <c r="T1789" s="8"/>
      <c r="U1789" s="8"/>
      <c r="V1789" s="25"/>
      <c r="W1789" s="25"/>
      <c r="X1789" s="25"/>
      <c r="Y1789" s="25"/>
      <c r="Z1789" s="25"/>
      <c r="AA1789" s="25"/>
      <c r="AB1789" s="25"/>
      <c r="AC1789" s="25"/>
      <c r="AD1789" s="25"/>
    </row>
    <row r="1790" customFormat="false" ht="15.75" hidden="false" customHeight="false" outlineLevel="0" collapsed="false">
      <c r="A1790" s="28" t="s">
        <v>2196</v>
      </c>
      <c r="B1790" s="27" t="s">
        <v>438</v>
      </c>
      <c r="C1790" s="27" t="s">
        <v>177</v>
      </c>
      <c r="D1790" s="25"/>
      <c r="E1790" s="25"/>
      <c r="F1790" s="25"/>
      <c r="G1790" s="25"/>
      <c r="H1790" s="25"/>
      <c r="I1790" s="25"/>
      <c r="J1790" s="27" t="s">
        <v>2189</v>
      </c>
      <c r="K1790" s="25" t="str">
        <f aca="false">IFERROR(__xludf.dummyfunction("SPLIT(J1790,"" "")"),"CIF")</f>
        <v>CIF</v>
      </c>
      <c r="L1790" s="28" t="str">
        <f aca="false">IFERROR(__xludf.dummyfunction("""COMPUTED_VALUE"""),"South")</f>
        <v>South</v>
      </c>
      <c r="M1790" s="27" t="str">
        <f aca="false">IFERROR(__xludf.dummyfunction("""COMPUTED_VALUE"""),"Korea")</f>
        <v>Korea</v>
      </c>
      <c r="N1790" s="25" t="str">
        <f aca="false">IFERROR(__xludf.dummyfunction("""COMPUTED_VALUE"""),"(Diff)")</f>
        <v>(Diff)</v>
      </c>
      <c r="O1790" s="25"/>
      <c r="P1790" s="25"/>
      <c r="Q1790" s="29" t="s">
        <v>197</v>
      </c>
      <c r="R1790" s="8" t="str">
        <f aca="false">B1790&amp;" "&amp;C1790&amp;" "&amp;D1790&amp;" "&amp;E1790&amp;" "&amp;G1790&amp;" "&amp;H1790&amp;" "&amp;J1790&amp;" "&amp;N1790</f>
        <v>Differentials Anode     CIF South Korea (Diff) (Diff)</v>
      </c>
      <c r="S1790" s="25"/>
      <c r="T1790" s="8"/>
      <c r="U1790" s="8"/>
      <c r="V1790" s="25"/>
      <c r="W1790" s="25"/>
      <c r="X1790" s="25"/>
      <c r="Y1790" s="25"/>
      <c r="Z1790" s="25"/>
      <c r="AA1790" s="25"/>
      <c r="AB1790" s="25"/>
      <c r="AC1790" s="25"/>
      <c r="AD1790" s="25"/>
    </row>
    <row r="1791" customFormat="false" ht="15.75" hidden="false" customHeight="false" outlineLevel="0" collapsed="false">
      <c r="A1791" s="28" t="s">
        <v>2197</v>
      </c>
      <c r="B1791" s="27" t="s">
        <v>438</v>
      </c>
      <c r="C1791" s="27" t="s">
        <v>177</v>
      </c>
      <c r="D1791" s="25"/>
      <c r="E1791" s="25"/>
      <c r="F1791" s="25"/>
      <c r="G1791" s="25"/>
      <c r="H1791" s="25"/>
      <c r="I1791" s="25"/>
      <c r="J1791" s="27" t="s">
        <v>2189</v>
      </c>
      <c r="K1791" s="25" t="str">
        <f aca="false">IFERROR(__xludf.dummyfunction("SPLIT(J1791,"" "")"),"CIF")</f>
        <v>CIF</v>
      </c>
      <c r="L1791" s="28" t="str">
        <f aca="false">IFERROR(__xludf.dummyfunction("""COMPUTED_VALUE"""),"South")</f>
        <v>South</v>
      </c>
      <c r="M1791" s="27" t="str">
        <f aca="false">IFERROR(__xludf.dummyfunction("""COMPUTED_VALUE"""),"Korea")</f>
        <v>Korea</v>
      </c>
      <c r="N1791" s="25" t="str">
        <f aca="false">IFERROR(__xludf.dummyfunction("""COMPUTED_VALUE"""),"(Diff)")</f>
        <v>(Diff)</v>
      </c>
      <c r="O1791" s="25"/>
      <c r="P1791" s="25"/>
      <c r="Q1791" s="29" t="s">
        <v>193</v>
      </c>
      <c r="R1791" s="8" t="str">
        <f aca="false">B1791&amp;" "&amp;C1791&amp;" "&amp;D1791&amp;" "&amp;E1791&amp;" "&amp;G1791&amp;" "&amp;H1791&amp;" "&amp;J1791&amp;" "&amp;N1791</f>
        <v>Differentials Anode     CIF South Korea (Diff) (Diff)</v>
      </c>
      <c r="S1791" s="25"/>
      <c r="T1791" s="8"/>
      <c r="U1791" s="8"/>
      <c r="V1791" s="25"/>
      <c r="W1791" s="25"/>
      <c r="X1791" s="25"/>
      <c r="Y1791" s="25"/>
      <c r="Z1791" s="25"/>
      <c r="AA1791" s="25"/>
      <c r="AB1791" s="25"/>
      <c r="AC1791" s="25"/>
      <c r="AD1791" s="25"/>
    </row>
    <row r="1792" customFormat="false" ht="15.75" hidden="false" customHeight="false" outlineLevel="0" collapsed="false">
      <c r="A1792" s="28" t="s">
        <v>2198</v>
      </c>
      <c r="B1792" s="27" t="s">
        <v>438</v>
      </c>
      <c r="C1792" s="27" t="s">
        <v>177</v>
      </c>
      <c r="D1792" s="25"/>
      <c r="E1792" s="25"/>
      <c r="F1792" s="25"/>
      <c r="G1792" s="25"/>
      <c r="H1792" s="25"/>
      <c r="I1792" s="25"/>
      <c r="J1792" s="27" t="s">
        <v>2189</v>
      </c>
      <c r="K1792" s="25" t="str">
        <f aca="false">IFERROR(__xludf.dummyfunction("SPLIT(J1792,"" "")"),"CIF")</f>
        <v>CIF</v>
      </c>
      <c r="L1792" s="28" t="str">
        <f aca="false">IFERROR(__xludf.dummyfunction("""COMPUTED_VALUE"""),"South")</f>
        <v>South</v>
      </c>
      <c r="M1792" s="27" t="str">
        <f aca="false">IFERROR(__xludf.dummyfunction("""COMPUTED_VALUE"""),"Korea")</f>
        <v>Korea</v>
      </c>
      <c r="N1792" s="25" t="str">
        <f aca="false">IFERROR(__xludf.dummyfunction("""COMPUTED_VALUE"""),"(Diff)")</f>
        <v>(Diff)</v>
      </c>
      <c r="O1792" s="25"/>
      <c r="P1792" s="25"/>
      <c r="Q1792" s="29" t="s">
        <v>188</v>
      </c>
      <c r="R1792" s="8" t="str">
        <f aca="false">B1792&amp;" "&amp;C1792&amp;" "&amp;D1792&amp;" "&amp;E1792&amp;" "&amp;G1792&amp;" "&amp;H1792&amp;" "&amp;J1792&amp;" "&amp;N1792</f>
        <v>Differentials Anode     CIF South Korea (Diff) (Diff)</v>
      </c>
      <c r="S1792" s="25"/>
      <c r="T1792" s="8"/>
      <c r="U1792" s="8"/>
      <c r="V1792" s="25"/>
      <c r="W1792" s="25"/>
      <c r="X1792" s="25"/>
      <c r="Y1792" s="25"/>
      <c r="Z1792" s="25"/>
      <c r="AA1792" s="25"/>
      <c r="AB1792" s="25"/>
      <c r="AC1792" s="25"/>
      <c r="AD1792" s="25"/>
    </row>
    <row r="1793" customFormat="false" ht="15.75" hidden="false" customHeight="false" outlineLevel="0" collapsed="false">
      <c r="A1793" s="28" t="s">
        <v>2199</v>
      </c>
      <c r="B1793" s="27" t="s">
        <v>438</v>
      </c>
      <c r="C1793" s="27" t="s">
        <v>177</v>
      </c>
      <c r="D1793" s="25"/>
      <c r="E1793" s="25"/>
      <c r="F1793" s="25"/>
      <c r="G1793" s="25"/>
      <c r="H1793" s="25"/>
      <c r="I1793" s="25"/>
      <c r="J1793" s="27" t="s">
        <v>2189</v>
      </c>
      <c r="K1793" s="25" t="str">
        <f aca="false">IFERROR(__xludf.dummyfunction("SPLIT(J1793,"" "")"),"CIF")</f>
        <v>CIF</v>
      </c>
      <c r="L1793" s="28" t="str">
        <f aca="false">IFERROR(__xludf.dummyfunction("""COMPUTED_VALUE"""),"South")</f>
        <v>South</v>
      </c>
      <c r="M1793" s="27" t="str">
        <f aca="false">IFERROR(__xludf.dummyfunction("""COMPUTED_VALUE"""),"Korea")</f>
        <v>Korea</v>
      </c>
      <c r="N1793" s="25" t="str">
        <f aca="false">IFERROR(__xludf.dummyfunction("""COMPUTED_VALUE"""),"(Diff)")</f>
        <v>(Diff)</v>
      </c>
      <c r="O1793" s="25"/>
      <c r="P1793" s="25"/>
      <c r="Q1793" s="29" t="s">
        <v>180</v>
      </c>
      <c r="R1793" s="8" t="str">
        <f aca="false">B1793&amp;" "&amp;C1793&amp;" "&amp;D1793&amp;" "&amp;E1793&amp;" "&amp;G1793&amp;" "&amp;H1793&amp;" "&amp;J1793&amp;" "&amp;N1793</f>
        <v>Differentials Anode     CIF South Korea (Diff) (Diff)</v>
      </c>
      <c r="S1793" s="25"/>
      <c r="T1793" s="8"/>
      <c r="U1793" s="8"/>
      <c r="V1793" s="25"/>
      <c r="W1793" s="25"/>
      <c r="X1793" s="25"/>
      <c r="Y1793" s="25"/>
      <c r="Z1793" s="25"/>
      <c r="AA1793" s="25"/>
      <c r="AB1793" s="25"/>
      <c r="AC1793" s="25"/>
      <c r="AD1793" s="25"/>
    </row>
    <row r="1794" customFormat="false" ht="15.75" hidden="false" customHeight="false" outlineLevel="0" collapsed="false">
      <c r="A1794" s="28" t="s">
        <v>2200</v>
      </c>
      <c r="B1794" s="27" t="s">
        <v>438</v>
      </c>
      <c r="C1794" s="27" t="s">
        <v>211</v>
      </c>
      <c r="D1794" s="25"/>
      <c r="E1794" s="25"/>
      <c r="F1794" s="25"/>
      <c r="G1794" s="25"/>
      <c r="H1794" s="25"/>
      <c r="I1794" s="25"/>
      <c r="J1794" s="27" t="s">
        <v>2189</v>
      </c>
      <c r="K1794" s="25" t="str">
        <f aca="false">IFERROR(__xludf.dummyfunction("SPLIT(J1794,"" "")"),"CIF")</f>
        <v>CIF</v>
      </c>
      <c r="L1794" s="28" t="str">
        <f aca="false">IFERROR(__xludf.dummyfunction("""COMPUTED_VALUE"""),"South")</f>
        <v>South</v>
      </c>
      <c r="M1794" s="27" t="str">
        <f aca="false">IFERROR(__xludf.dummyfunction("""COMPUTED_VALUE"""),"Korea")</f>
        <v>Korea</v>
      </c>
      <c r="N1794" s="25" t="str">
        <f aca="false">IFERROR(__xludf.dummyfunction("""COMPUTED_VALUE"""),"(Diff)")</f>
        <v>(Diff)</v>
      </c>
      <c r="O1794" s="25"/>
      <c r="P1794" s="25"/>
      <c r="Q1794" s="29" t="s">
        <v>234</v>
      </c>
      <c r="R1794" s="8" t="str">
        <f aca="false">B1794&amp;" "&amp;C1794&amp;" "&amp;D1794&amp;" "&amp;E1794&amp;" "&amp;G1794&amp;" "&amp;H1794&amp;" "&amp;J1794&amp;" "&amp;N1794</f>
        <v>Differentials Binders &amp; Additives     CIF South Korea (Diff) (Diff)</v>
      </c>
      <c r="S1794" s="25"/>
      <c r="T1794" s="8"/>
      <c r="U1794" s="8"/>
      <c r="V1794" s="25"/>
      <c r="W1794" s="25"/>
      <c r="X1794" s="25"/>
      <c r="Y1794" s="25"/>
      <c r="Z1794" s="25"/>
      <c r="AA1794" s="25"/>
      <c r="AB1794" s="25"/>
      <c r="AC1794" s="25"/>
      <c r="AD1794" s="25"/>
    </row>
    <row r="1795" customFormat="false" ht="15.75" hidden="false" customHeight="false" outlineLevel="0" collapsed="false">
      <c r="A1795" s="28" t="s">
        <v>2201</v>
      </c>
      <c r="B1795" s="27" t="s">
        <v>438</v>
      </c>
      <c r="C1795" s="27" t="s">
        <v>211</v>
      </c>
      <c r="D1795" s="25"/>
      <c r="E1795" s="25"/>
      <c r="F1795" s="25"/>
      <c r="G1795" s="25"/>
      <c r="H1795" s="25"/>
      <c r="I1795" s="25"/>
      <c r="J1795" s="27" t="s">
        <v>2189</v>
      </c>
      <c r="K1795" s="25" t="str">
        <f aca="false">IFERROR(__xludf.dummyfunction("SPLIT(J1795,"" "")"),"CIF")</f>
        <v>CIF</v>
      </c>
      <c r="L1795" s="28" t="str">
        <f aca="false">IFERROR(__xludf.dummyfunction("""COMPUTED_VALUE"""),"South")</f>
        <v>South</v>
      </c>
      <c r="M1795" s="27" t="str">
        <f aca="false">IFERROR(__xludf.dummyfunction("""COMPUTED_VALUE"""),"Korea")</f>
        <v>Korea</v>
      </c>
      <c r="N1795" s="25" t="str">
        <f aca="false">IFERROR(__xludf.dummyfunction("""COMPUTED_VALUE"""),"(Diff)")</f>
        <v>(Diff)</v>
      </c>
      <c r="O1795" s="25"/>
      <c r="P1795" s="25"/>
      <c r="Q1795" s="29" t="s">
        <v>232</v>
      </c>
      <c r="R1795" s="8" t="str">
        <f aca="false">B1795&amp;" "&amp;C1795&amp;" "&amp;D1795&amp;" "&amp;E1795&amp;" "&amp;G1795&amp;" "&amp;H1795&amp;" "&amp;J1795&amp;" "&amp;N1795</f>
        <v>Differentials Binders &amp; Additives     CIF South Korea (Diff) (Diff)</v>
      </c>
      <c r="S1795" s="25"/>
      <c r="T1795" s="8"/>
      <c r="U1795" s="8"/>
      <c r="V1795" s="25"/>
      <c r="W1795" s="25"/>
      <c r="X1795" s="25"/>
      <c r="Y1795" s="25"/>
      <c r="Z1795" s="25"/>
      <c r="AA1795" s="25"/>
      <c r="AB1795" s="25"/>
      <c r="AC1795" s="25"/>
      <c r="AD1795" s="25"/>
    </row>
    <row r="1796" customFormat="false" ht="15.75" hidden="false" customHeight="false" outlineLevel="0" collapsed="false">
      <c r="A1796" s="28" t="s">
        <v>2202</v>
      </c>
      <c r="B1796" s="27" t="s">
        <v>438</v>
      </c>
      <c r="C1796" s="27" t="s">
        <v>211</v>
      </c>
      <c r="D1796" s="25"/>
      <c r="E1796" s="25"/>
      <c r="F1796" s="25"/>
      <c r="G1796" s="25"/>
      <c r="H1796" s="25"/>
      <c r="I1796" s="25"/>
      <c r="J1796" s="27" t="s">
        <v>2189</v>
      </c>
      <c r="K1796" s="25" t="str">
        <f aca="false">IFERROR(__xludf.dummyfunction("SPLIT(J1796,"" "")"),"CIF")</f>
        <v>CIF</v>
      </c>
      <c r="L1796" s="28" t="str">
        <f aca="false">IFERROR(__xludf.dummyfunction("""COMPUTED_VALUE"""),"South")</f>
        <v>South</v>
      </c>
      <c r="M1796" s="27" t="str">
        <f aca="false">IFERROR(__xludf.dummyfunction("""COMPUTED_VALUE"""),"Korea")</f>
        <v>Korea</v>
      </c>
      <c r="N1796" s="25" t="str">
        <f aca="false">IFERROR(__xludf.dummyfunction("""COMPUTED_VALUE"""),"(Diff)")</f>
        <v>(Diff)</v>
      </c>
      <c r="O1796" s="25"/>
      <c r="P1796" s="25"/>
      <c r="Q1796" s="29" t="s">
        <v>230</v>
      </c>
      <c r="R1796" s="8" t="str">
        <f aca="false">B1796&amp;" "&amp;C1796&amp;" "&amp;D1796&amp;" "&amp;E1796&amp;" "&amp;G1796&amp;" "&amp;H1796&amp;" "&amp;J1796&amp;" "&amp;N1796</f>
        <v>Differentials Binders &amp; Additives     CIF South Korea (Diff) (Diff)</v>
      </c>
      <c r="S1796" s="25"/>
      <c r="T1796" s="8"/>
      <c r="U1796" s="8"/>
      <c r="V1796" s="25"/>
      <c r="W1796" s="25"/>
      <c r="X1796" s="25"/>
      <c r="Y1796" s="25"/>
      <c r="Z1796" s="25"/>
      <c r="AA1796" s="25"/>
      <c r="AB1796" s="25"/>
      <c r="AC1796" s="25"/>
      <c r="AD1796" s="25"/>
    </row>
    <row r="1797" customFormat="false" ht="15.75" hidden="false" customHeight="false" outlineLevel="0" collapsed="false">
      <c r="A1797" s="28" t="s">
        <v>2203</v>
      </c>
      <c r="B1797" s="27" t="s">
        <v>438</v>
      </c>
      <c r="C1797" s="27" t="s">
        <v>211</v>
      </c>
      <c r="D1797" s="25"/>
      <c r="E1797" s="25"/>
      <c r="F1797" s="25"/>
      <c r="G1797" s="25"/>
      <c r="H1797" s="25"/>
      <c r="I1797" s="25"/>
      <c r="J1797" s="27" t="s">
        <v>2189</v>
      </c>
      <c r="K1797" s="25" t="str">
        <f aca="false">IFERROR(__xludf.dummyfunction("SPLIT(J1797,"" "")"),"CIF")</f>
        <v>CIF</v>
      </c>
      <c r="L1797" s="28" t="str">
        <f aca="false">IFERROR(__xludf.dummyfunction("""COMPUTED_VALUE"""),"South")</f>
        <v>South</v>
      </c>
      <c r="M1797" s="27" t="str">
        <f aca="false">IFERROR(__xludf.dummyfunction("""COMPUTED_VALUE"""),"Korea")</f>
        <v>Korea</v>
      </c>
      <c r="N1797" s="25" t="str">
        <f aca="false">IFERROR(__xludf.dummyfunction("""COMPUTED_VALUE"""),"(Diff)")</f>
        <v>(Diff)</v>
      </c>
      <c r="O1797" s="25"/>
      <c r="P1797" s="25"/>
      <c r="Q1797" s="29" t="s">
        <v>228</v>
      </c>
      <c r="R1797" s="8" t="str">
        <f aca="false">B1797&amp;" "&amp;C1797&amp;" "&amp;D1797&amp;" "&amp;E1797&amp;" "&amp;G1797&amp;" "&amp;H1797&amp;" "&amp;J1797&amp;" "&amp;N1797</f>
        <v>Differentials Binders &amp; Additives     CIF South Korea (Diff) (Diff)</v>
      </c>
      <c r="S1797" s="25"/>
      <c r="T1797" s="8"/>
      <c r="U1797" s="8"/>
      <c r="V1797" s="25"/>
      <c r="W1797" s="25"/>
      <c r="X1797" s="25"/>
      <c r="Y1797" s="25"/>
      <c r="Z1797" s="25"/>
      <c r="AA1797" s="25"/>
      <c r="AB1797" s="25"/>
      <c r="AC1797" s="25"/>
      <c r="AD1797" s="25"/>
    </row>
    <row r="1798" customFormat="false" ht="15.75" hidden="false" customHeight="false" outlineLevel="0" collapsed="false">
      <c r="A1798" s="28" t="s">
        <v>2204</v>
      </c>
      <c r="B1798" s="27" t="s">
        <v>438</v>
      </c>
      <c r="C1798" s="27" t="s">
        <v>211</v>
      </c>
      <c r="D1798" s="25"/>
      <c r="E1798" s="25"/>
      <c r="F1798" s="25"/>
      <c r="G1798" s="25"/>
      <c r="H1798" s="25"/>
      <c r="I1798" s="25"/>
      <c r="J1798" s="27" t="s">
        <v>2189</v>
      </c>
      <c r="K1798" s="25" t="str">
        <f aca="false">IFERROR(__xludf.dummyfunction("SPLIT(J1798,"" "")"),"CIF")</f>
        <v>CIF</v>
      </c>
      <c r="L1798" s="28" t="str">
        <f aca="false">IFERROR(__xludf.dummyfunction("""COMPUTED_VALUE"""),"South")</f>
        <v>South</v>
      </c>
      <c r="M1798" s="27" t="str">
        <f aca="false">IFERROR(__xludf.dummyfunction("""COMPUTED_VALUE"""),"Korea")</f>
        <v>Korea</v>
      </c>
      <c r="N1798" s="25" t="str">
        <f aca="false">IFERROR(__xludf.dummyfunction("""COMPUTED_VALUE"""),"(Diff)")</f>
        <v>(Diff)</v>
      </c>
      <c r="O1798" s="25"/>
      <c r="P1798" s="25"/>
      <c r="Q1798" s="29" t="s">
        <v>226</v>
      </c>
      <c r="R1798" s="8" t="str">
        <f aca="false">B1798&amp;" "&amp;C1798&amp;" "&amp;D1798&amp;" "&amp;E1798&amp;" "&amp;G1798&amp;" "&amp;H1798&amp;" "&amp;J1798&amp;" "&amp;N1798</f>
        <v>Differentials Binders &amp; Additives     CIF South Korea (Diff) (Diff)</v>
      </c>
      <c r="S1798" s="25"/>
      <c r="T1798" s="8"/>
      <c r="U1798" s="8"/>
      <c r="V1798" s="25"/>
      <c r="W1798" s="25"/>
      <c r="X1798" s="25"/>
      <c r="Y1798" s="25"/>
      <c r="Z1798" s="25"/>
      <c r="AA1798" s="25"/>
      <c r="AB1798" s="25"/>
      <c r="AC1798" s="25"/>
      <c r="AD1798" s="25"/>
    </row>
    <row r="1799" customFormat="false" ht="15.75" hidden="false" customHeight="false" outlineLevel="0" collapsed="false">
      <c r="A1799" s="28" t="s">
        <v>2205</v>
      </c>
      <c r="B1799" s="27" t="s">
        <v>438</v>
      </c>
      <c r="C1799" s="27" t="s">
        <v>211</v>
      </c>
      <c r="D1799" s="25"/>
      <c r="E1799" s="25"/>
      <c r="F1799" s="25"/>
      <c r="G1799" s="25"/>
      <c r="H1799" s="25"/>
      <c r="I1799" s="25"/>
      <c r="J1799" s="27" t="s">
        <v>2189</v>
      </c>
      <c r="K1799" s="25" t="str">
        <f aca="false">IFERROR(__xludf.dummyfunction("SPLIT(J1799,"" "")"),"CIF")</f>
        <v>CIF</v>
      </c>
      <c r="L1799" s="28" t="str">
        <f aca="false">IFERROR(__xludf.dummyfunction("""COMPUTED_VALUE"""),"South")</f>
        <v>South</v>
      </c>
      <c r="M1799" s="27" t="str">
        <f aca="false">IFERROR(__xludf.dummyfunction("""COMPUTED_VALUE"""),"Korea")</f>
        <v>Korea</v>
      </c>
      <c r="N1799" s="25" t="str">
        <f aca="false">IFERROR(__xludf.dummyfunction("""COMPUTED_VALUE"""),"(Diff)")</f>
        <v>(Diff)</v>
      </c>
      <c r="O1799" s="25"/>
      <c r="P1799" s="25"/>
      <c r="Q1799" s="29" t="s">
        <v>224</v>
      </c>
      <c r="R1799" s="8" t="str">
        <f aca="false">B1799&amp;" "&amp;C1799&amp;" "&amp;D1799&amp;" "&amp;E1799&amp;" "&amp;G1799&amp;" "&amp;H1799&amp;" "&amp;J1799&amp;" "&amp;N1799</f>
        <v>Differentials Binders &amp; Additives     CIF South Korea (Diff) (Diff)</v>
      </c>
      <c r="S1799" s="25"/>
      <c r="T1799" s="8"/>
      <c r="U1799" s="8"/>
      <c r="V1799" s="25"/>
      <c r="W1799" s="25"/>
      <c r="X1799" s="25"/>
      <c r="Y1799" s="25"/>
      <c r="Z1799" s="25"/>
      <c r="AA1799" s="25"/>
      <c r="AB1799" s="25"/>
      <c r="AC1799" s="25"/>
      <c r="AD1799" s="25"/>
    </row>
    <row r="1800" customFormat="false" ht="15.75" hidden="false" customHeight="false" outlineLevel="0" collapsed="false">
      <c r="A1800" s="28" t="s">
        <v>2206</v>
      </c>
      <c r="B1800" s="27" t="s">
        <v>438</v>
      </c>
      <c r="C1800" s="27" t="s">
        <v>211</v>
      </c>
      <c r="D1800" s="25"/>
      <c r="E1800" s="25"/>
      <c r="F1800" s="25"/>
      <c r="G1800" s="25"/>
      <c r="H1800" s="25"/>
      <c r="I1800" s="25"/>
      <c r="J1800" s="27" t="s">
        <v>2189</v>
      </c>
      <c r="K1800" s="25" t="str">
        <f aca="false">IFERROR(__xludf.dummyfunction("SPLIT(J1800,"" "")"),"CIF")</f>
        <v>CIF</v>
      </c>
      <c r="L1800" s="28" t="str">
        <f aca="false">IFERROR(__xludf.dummyfunction("""COMPUTED_VALUE"""),"South")</f>
        <v>South</v>
      </c>
      <c r="M1800" s="27" t="str">
        <f aca="false">IFERROR(__xludf.dummyfunction("""COMPUTED_VALUE"""),"Korea")</f>
        <v>Korea</v>
      </c>
      <c r="N1800" s="25" t="str">
        <f aca="false">IFERROR(__xludf.dummyfunction("""COMPUTED_VALUE"""),"(Diff)")</f>
        <v>(Diff)</v>
      </c>
      <c r="O1800" s="25"/>
      <c r="P1800" s="25"/>
      <c r="Q1800" s="29" t="s">
        <v>222</v>
      </c>
      <c r="R1800" s="8" t="str">
        <f aca="false">B1800&amp;" "&amp;C1800&amp;" "&amp;D1800&amp;" "&amp;E1800&amp;" "&amp;G1800&amp;" "&amp;H1800&amp;" "&amp;J1800&amp;" "&amp;N1800</f>
        <v>Differentials Binders &amp; Additives     CIF South Korea (Diff) (Diff)</v>
      </c>
      <c r="S1800" s="25"/>
      <c r="T1800" s="8"/>
      <c r="U1800" s="8"/>
      <c r="V1800" s="25"/>
      <c r="W1800" s="25"/>
      <c r="X1800" s="25"/>
      <c r="Y1800" s="25"/>
      <c r="Z1800" s="25"/>
      <c r="AA1800" s="25"/>
      <c r="AB1800" s="25"/>
      <c r="AC1800" s="25"/>
      <c r="AD1800" s="25"/>
    </row>
    <row r="1801" customFormat="false" ht="15.75" hidden="false" customHeight="false" outlineLevel="0" collapsed="false">
      <c r="A1801" s="28" t="s">
        <v>2207</v>
      </c>
      <c r="B1801" s="27" t="s">
        <v>438</v>
      </c>
      <c r="C1801" s="27" t="s">
        <v>211</v>
      </c>
      <c r="D1801" s="25"/>
      <c r="E1801" s="25"/>
      <c r="F1801" s="25"/>
      <c r="G1801" s="25"/>
      <c r="H1801" s="25"/>
      <c r="I1801" s="25"/>
      <c r="J1801" s="27" t="s">
        <v>2189</v>
      </c>
      <c r="K1801" s="25" t="str">
        <f aca="false">IFERROR(__xludf.dummyfunction("SPLIT(J1801,"" "")"),"CIF")</f>
        <v>CIF</v>
      </c>
      <c r="L1801" s="28" t="str">
        <f aca="false">IFERROR(__xludf.dummyfunction("""COMPUTED_VALUE"""),"South")</f>
        <v>South</v>
      </c>
      <c r="M1801" s="27" t="str">
        <f aca="false">IFERROR(__xludf.dummyfunction("""COMPUTED_VALUE"""),"Korea")</f>
        <v>Korea</v>
      </c>
      <c r="N1801" s="25" t="str">
        <f aca="false">IFERROR(__xludf.dummyfunction("""COMPUTED_VALUE"""),"(Diff)")</f>
        <v>(Diff)</v>
      </c>
      <c r="O1801" s="25"/>
      <c r="P1801" s="25"/>
      <c r="Q1801" s="29" t="s">
        <v>220</v>
      </c>
      <c r="R1801" s="8" t="str">
        <f aca="false">B1801&amp;" "&amp;C1801&amp;" "&amp;D1801&amp;" "&amp;E1801&amp;" "&amp;G1801&amp;" "&amp;H1801&amp;" "&amp;J1801&amp;" "&amp;N1801</f>
        <v>Differentials Binders &amp; Additives     CIF South Korea (Diff) (Diff)</v>
      </c>
      <c r="S1801" s="25"/>
      <c r="T1801" s="8"/>
      <c r="U1801" s="8"/>
      <c r="V1801" s="25"/>
      <c r="W1801" s="25"/>
      <c r="X1801" s="25"/>
      <c r="Y1801" s="25"/>
      <c r="Z1801" s="25"/>
      <c r="AA1801" s="25"/>
      <c r="AB1801" s="25"/>
      <c r="AC1801" s="25"/>
      <c r="AD1801" s="25"/>
    </row>
    <row r="1802" customFormat="false" ht="15.75" hidden="false" customHeight="false" outlineLevel="0" collapsed="false">
      <c r="A1802" s="28" t="s">
        <v>2208</v>
      </c>
      <c r="B1802" s="27" t="s">
        <v>438</v>
      </c>
      <c r="C1802" s="27" t="s">
        <v>211</v>
      </c>
      <c r="D1802" s="25"/>
      <c r="E1802" s="25"/>
      <c r="F1802" s="25"/>
      <c r="G1802" s="25"/>
      <c r="H1802" s="25"/>
      <c r="I1802" s="25"/>
      <c r="J1802" s="27" t="s">
        <v>2189</v>
      </c>
      <c r="K1802" s="25" t="str">
        <f aca="false">IFERROR(__xludf.dummyfunction("SPLIT(J1802,"" "")"),"CIF")</f>
        <v>CIF</v>
      </c>
      <c r="L1802" s="28" t="str">
        <f aca="false">IFERROR(__xludf.dummyfunction("""COMPUTED_VALUE"""),"South")</f>
        <v>South</v>
      </c>
      <c r="M1802" s="27" t="str">
        <f aca="false">IFERROR(__xludf.dummyfunction("""COMPUTED_VALUE"""),"Korea")</f>
        <v>Korea</v>
      </c>
      <c r="N1802" s="25" t="str">
        <f aca="false">IFERROR(__xludf.dummyfunction("""COMPUTED_VALUE"""),"(Diff)")</f>
        <v>(Diff)</v>
      </c>
      <c r="O1802" s="25"/>
      <c r="P1802" s="25"/>
      <c r="Q1802" s="29" t="s">
        <v>218</v>
      </c>
      <c r="R1802" s="8" t="str">
        <f aca="false">B1802&amp;" "&amp;C1802&amp;" "&amp;D1802&amp;" "&amp;E1802&amp;" "&amp;G1802&amp;" "&amp;H1802&amp;" "&amp;J1802&amp;" "&amp;N1802</f>
        <v>Differentials Binders &amp; Additives     CIF South Korea (Diff) (Diff)</v>
      </c>
      <c r="S1802" s="25"/>
      <c r="T1802" s="8"/>
      <c r="U1802" s="8"/>
      <c r="V1802" s="25"/>
      <c r="W1802" s="25"/>
      <c r="X1802" s="25"/>
      <c r="Y1802" s="25"/>
      <c r="Z1802" s="25"/>
      <c r="AA1802" s="25"/>
      <c r="AB1802" s="25"/>
      <c r="AC1802" s="25"/>
      <c r="AD1802" s="25"/>
    </row>
    <row r="1803" customFormat="false" ht="15.75" hidden="false" customHeight="false" outlineLevel="0" collapsed="false">
      <c r="A1803" s="28" t="s">
        <v>2209</v>
      </c>
      <c r="B1803" s="27" t="s">
        <v>438</v>
      </c>
      <c r="C1803" s="27" t="s">
        <v>211</v>
      </c>
      <c r="D1803" s="25"/>
      <c r="E1803" s="25"/>
      <c r="F1803" s="25"/>
      <c r="G1803" s="25"/>
      <c r="H1803" s="25"/>
      <c r="I1803" s="25"/>
      <c r="J1803" s="27" t="s">
        <v>2189</v>
      </c>
      <c r="K1803" s="25" t="str">
        <f aca="false">IFERROR(__xludf.dummyfunction("SPLIT(J1803,"" "")"),"CIF")</f>
        <v>CIF</v>
      </c>
      <c r="L1803" s="28" t="str">
        <f aca="false">IFERROR(__xludf.dummyfunction("""COMPUTED_VALUE"""),"South")</f>
        <v>South</v>
      </c>
      <c r="M1803" s="27" t="str">
        <f aca="false">IFERROR(__xludf.dummyfunction("""COMPUTED_VALUE"""),"Korea")</f>
        <v>Korea</v>
      </c>
      <c r="N1803" s="25" t="str">
        <f aca="false">IFERROR(__xludf.dummyfunction("""COMPUTED_VALUE"""),"(Diff)")</f>
        <v>(Diff)</v>
      </c>
      <c r="O1803" s="25"/>
      <c r="P1803" s="25"/>
      <c r="Q1803" s="29" t="s">
        <v>215</v>
      </c>
      <c r="R1803" s="8" t="str">
        <f aca="false">B1803&amp;" "&amp;C1803&amp;" "&amp;D1803&amp;" "&amp;E1803&amp;" "&amp;G1803&amp;" "&amp;H1803&amp;" "&amp;J1803&amp;" "&amp;N1803</f>
        <v>Differentials Binders &amp; Additives     CIF South Korea (Diff) (Diff)</v>
      </c>
      <c r="S1803" s="25"/>
      <c r="T1803" s="8"/>
      <c r="U1803" s="8"/>
      <c r="V1803" s="25"/>
      <c r="W1803" s="25"/>
      <c r="X1803" s="25"/>
      <c r="Y1803" s="25"/>
      <c r="Z1803" s="25"/>
      <c r="AA1803" s="25"/>
      <c r="AB1803" s="25"/>
      <c r="AC1803" s="25"/>
      <c r="AD1803" s="25"/>
    </row>
    <row r="1804" customFormat="false" ht="15.75" hidden="false" customHeight="false" outlineLevel="0" collapsed="false">
      <c r="A1804" s="28" t="s">
        <v>2210</v>
      </c>
      <c r="B1804" s="27" t="s">
        <v>438</v>
      </c>
      <c r="C1804" s="27" t="s">
        <v>211</v>
      </c>
      <c r="D1804" s="25"/>
      <c r="E1804" s="25"/>
      <c r="F1804" s="25"/>
      <c r="G1804" s="25"/>
      <c r="H1804" s="25"/>
      <c r="I1804" s="25"/>
      <c r="J1804" s="27" t="s">
        <v>2189</v>
      </c>
      <c r="K1804" s="25" t="str">
        <f aca="false">IFERROR(__xludf.dummyfunction("SPLIT(J1804,"" "")"),"CIF")</f>
        <v>CIF</v>
      </c>
      <c r="L1804" s="28" t="str">
        <f aca="false">IFERROR(__xludf.dummyfunction("""COMPUTED_VALUE"""),"South")</f>
        <v>South</v>
      </c>
      <c r="M1804" s="27" t="str">
        <f aca="false">IFERROR(__xludf.dummyfunction("""COMPUTED_VALUE"""),"Korea")</f>
        <v>Korea</v>
      </c>
      <c r="N1804" s="25" t="str">
        <f aca="false">IFERROR(__xludf.dummyfunction("""COMPUTED_VALUE"""),"(Diff)")</f>
        <v>(Diff)</v>
      </c>
      <c r="O1804" s="25"/>
      <c r="P1804" s="25"/>
      <c r="Q1804" s="29" t="s">
        <v>213</v>
      </c>
      <c r="R1804" s="8" t="str">
        <f aca="false">B1804&amp;" "&amp;C1804&amp;" "&amp;D1804&amp;" "&amp;E1804&amp;" "&amp;G1804&amp;" "&amp;H1804&amp;" "&amp;J1804&amp;" "&amp;N1804</f>
        <v>Differentials Binders &amp; Additives     CIF South Korea (Diff) (Diff)</v>
      </c>
      <c r="S1804" s="25"/>
      <c r="T1804" s="8"/>
      <c r="U1804" s="8"/>
      <c r="V1804" s="25"/>
      <c r="W1804" s="25"/>
      <c r="X1804" s="25"/>
      <c r="Y1804" s="25"/>
      <c r="Z1804" s="25"/>
      <c r="AA1804" s="25"/>
      <c r="AB1804" s="25"/>
      <c r="AC1804" s="25"/>
      <c r="AD1804" s="25"/>
    </row>
    <row r="1805" customFormat="false" ht="15.75" hidden="false" customHeight="false" outlineLevel="0" collapsed="false">
      <c r="A1805" s="28" t="s">
        <v>2211</v>
      </c>
      <c r="B1805" s="27" t="s">
        <v>438</v>
      </c>
      <c r="C1805" s="27" t="s">
        <v>236</v>
      </c>
      <c r="D1805" s="25"/>
      <c r="E1805" s="25"/>
      <c r="F1805" s="25"/>
      <c r="G1805" s="25"/>
      <c r="H1805" s="25"/>
      <c r="I1805" s="25"/>
      <c r="J1805" s="27" t="s">
        <v>2189</v>
      </c>
      <c r="K1805" s="25" t="str">
        <f aca="false">IFERROR(__xludf.dummyfunction("SPLIT(J1805,"" "")"),"CIF")</f>
        <v>CIF</v>
      </c>
      <c r="L1805" s="28" t="str">
        <f aca="false">IFERROR(__xludf.dummyfunction("""COMPUTED_VALUE"""),"South")</f>
        <v>South</v>
      </c>
      <c r="M1805" s="27" t="str">
        <f aca="false">IFERROR(__xludf.dummyfunction("""COMPUTED_VALUE"""),"Korea")</f>
        <v>Korea</v>
      </c>
      <c r="N1805" s="25" t="str">
        <f aca="false">IFERROR(__xludf.dummyfunction("""COMPUTED_VALUE"""),"(Diff)")</f>
        <v>(Diff)</v>
      </c>
      <c r="O1805" s="25"/>
      <c r="P1805" s="25"/>
      <c r="Q1805" s="29" t="s">
        <v>271</v>
      </c>
      <c r="R1805" s="8" t="str">
        <f aca="false">B1805&amp;" "&amp;C1805&amp;" "&amp;D1805&amp;" "&amp;E1805&amp;" "&amp;G1805&amp;" "&amp;H1805&amp;" "&amp;J1805&amp;" "&amp;N1805</f>
        <v>Differentials Cathode     CIF South Korea (Diff) (Diff)</v>
      </c>
      <c r="S1805" s="25"/>
      <c r="T1805" s="8"/>
      <c r="U1805" s="8"/>
      <c r="V1805" s="25"/>
      <c r="W1805" s="25"/>
      <c r="X1805" s="25"/>
      <c r="Y1805" s="25"/>
      <c r="Z1805" s="25"/>
      <c r="AA1805" s="25"/>
      <c r="AB1805" s="25"/>
      <c r="AC1805" s="25"/>
      <c r="AD1805" s="25"/>
    </row>
    <row r="1806" customFormat="false" ht="15.75" hidden="false" customHeight="false" outlineLevel="0" collapsed="false">
      <c r="A1806" s="28" t="s">
        <v>2212</v>
      </c>
      <c r="B1806" s="27" t="s">
        <v>438</v>
      </c>
      <c r="C1806" s="27" t="s">
        <v>236</v>
      </c>
      <c r="D1806" s="25"/>
      <c r="E1806" s="25"/>
      <c r="F1806" s="25"/>
      <c r="G1806" s="25"/>
      <c r="H1806" s="25"/>
      <c r="I1806" s="25"/>
      <c r="J1806" s="27" t="s">
        <v>2189</v>
      </c>
      <c r="K1806" s="25" t="str">
        <f aca="false">IFERROR(__xludf.dummyfunction("SPLIT(J1806,"" "")"),"CIF")</f>
        <v>CIF</v>
      </c>
      <c r="L1806" s="28" t="str">
        <f aca="false">IFERROR(__xludf.dummyfunction("""COMPUTED_VALUE"""),"South")</f>
        <v>South</v>
      </c>
      <c r="M1806" s="27" t="str">
        <f aca="false">IFERROR(__xludf.dummyfunction("""COMPUTED_VALUE"""),"Korea")</f>
        <v>Korea</v>
      </c>
      <c r="N1806" s="25" t="str">
        <f aca="false">IFERROR(__xludf.dummyfunction("""COMPUTED_VALUE"""),"(Diff)")</f>
        <v>(Diff)</v>
      </c>
      <c r="O1806" s="25"/>
      <c r="P1806" s="25"/>
      <c r="Q1806" s="29" t="s">
        <v>266</v>
      </c>
      <c r="R1806" s="8" t="str">
        <f aca="false">B1806&amp;" "&amp;C1806&amp;" "&amp;D1806&amp;" "&amp;E1806&amp;" "&amp;G1806&amp;" "&amp;H1806&amp;" "&amp;J1806&amp;" "&amp;N1806</f>
        <v>Differentials Cathode     CIF South Korea (Diff) (Diff)</v>
      </c>
      <c r="S1806" s="25"/>
      <c r="T1806" s="8"/>
      <c r="U1806" s="8"/>
      <c r="V1806" s="25"/>
      <c r="W1806" s="25"/>
      <c r="X1806" s="25"/>
      <c r="Y1806" s="25"/>
      <c r="Z1806" s="25"/>
      <c r="AA1806" s="25"/>
      <c r="AB1806" s="25"/>
      <c r="AC1806" s="25"/>
      <c r="AD1806" s="25"/>
    </row>
    <row r="1807" customFormat="false" ht="15.75" hidden="false" customHeight="false" outlineLevel="0" collapsed="false">
      <c r="A1807" s="28" t="s">
        <v>2213</v>
      </c>
      <c r="B1807" s="27" t="s">
        <v>438</v>
      </c>
      <c r="C1807" s="27" t="s">
        <v>236</v>
      </c>
      <c r="D1807" s="25"/>
      <c r="E1807" s="25"/>
      <c r="F1807" s="25"/>
      <c r="G1807" s="25"/>
      <c r="H1807" s="25"/>
      <c r="I1807" s="25"/>
      <c r="J1807" s="27" t="s">
        <v>2189</v>
      </c>
      <c r="K1807" s="25" t="str">
        <f aca="false">IFERROR(__xludf.dummyfunction("SPLIT(J1807,"" "")"),"CIF")</f>
        <v>CIF</v>
      </c>
      <c r="L1807" s="28" t="str">
        <f aca="false">IFERROR(__xludf.dummyfunction("""COMPUTED_VALUE"""),"South")</f>
        <v>South</v>
      </c>
      <c r="M1807" s="27" t="str">
        <f aca="false">IFERROR(__xludf.dummyfunction("""COMPUTED_VALUE"""),"Korea")</f>
        <v>Korea</v>
      </c>
      <c r="N1807" s="25" t="str">
        <f aca="false">IFERROR(__xludf.dummyfunction("""COMPUTED_VALUE"""),"(Diff)")</f>
        <v>(Diff)</v>
      </c>
      <c r="O1807" s="25"/>
      <c r="P1807" s="25"/>
      <c r="Q1807" s="29" t="s">
        <v>261</v>
      </c>
      <c r="R1807" s="8" t="str">
        <f aca="false">B1807&amp;" "&amp;C1807&amp;" "&amp;D1807&amp;" "&amp;E1807&amp;" "&amp;G1807&amp;" "&amp;H1807&amp;" "&amp;J1807&amp;" "&amp;N1807</f>
        <v>Differentials Cathode     CIF South Korea (Diff) (Diff)</v>
      </c>
      <c r="S1807" s="25"/>
      <c r="T1807" s="8"/>
      <c r="U1807" s="8"/>
      <c r="V1807" s="25"/>
      <c r="W1807" s="25"/>
      <c r="X1807" s="25"/>
      <c r="Y1807" s="25"/>
      <c r="Z1807" s="25"/>
      <c r="AA1807" s="25"/>
      <c r="AB1807" s="25"/>
      <c r="AC1807" s="25"/>
      <c r="AD1807" s="25"/>
    </row>
    <row r="1808" customFormat="false" ht="15.75" hidden="false" customHeight="false" outlineLevel="0" collapsed="false">
      <c r="A1808" s="28" t="s">
        <v>2214</v>
      </c>
      <c r="B1808" s="27" t="s">
        <v>438</v>
      </c>
      <c r="C1808" s="27" t="s">
        <v>236</v>
      </c>
      <c r="D1808" s="25"/>
      <c r="E1808" s="25"/>
      <c r="F1808" s="25"/>
      <c r="G1808" s="25"/>
      <c r="H1808" s="25"/>
      <c r="I1808" s="25"/>
      <c r="J1808" s="27" t="s">
        <v>2189</v>
      </c>
      <c r="K1808" s="25" t="str">
        <f aca="false">IFERROR(__xludf.dummyfunction("SPLIT(J1808,"" "")"),"CIF")</f>
        <v>CIF</v>
      </c>
      <c r="L1808" s="28" t="str">
        <f aca="false">IFERROR(__xludf.dummyfunction("""COMPUTED_VALUE"""),"South")</f>
        <v>South</v>
      </c>
      <c r="M1808" s="27" t="str">
        <f aca="false">IFERROR(__xludf.dummyfunction("""COMPUTED_VALUE"""),"Korea")</f>
        <v>Korea</v>
      </c>
      <c r="N1808" s="25" t="str">
        <f aca="false">IFERROR(__xludf.dummyfunction("""COMPUTED_VALUE"""),"(Diff)")</f>
        <v>(Diff)</v>
      </c>
      <c r="O1808" s="25"/>
      <c r="P1808" s="25"/>
      <c r="Q1808" s="29" t="s">
        <v>256</v>
      </c>
      <c r="R1808" s="8" t="str">
        <f aca="false">B1808&amp;" "&amp;C1808&amp;" "&amp;D1808&amp;" "&amp;E1808&amp;" "&amp;G1808&amp;" "&amp;H1808&amp;" "&amp;J1808&amp;" "&amp;N1808</f>
        <v>Differentials Cathode     CIF South Korea (Diff) (Diff)</v>
      </c>
      <c r="S1808" s="25"/>
      <c r="T1808" s="8"/>
      <c r="U1808" s="8"/>
      <c r="V1808" s="25"/>
      <c r="W1808" s="25"/>
      <c r="X1808" s="25"/>
      <c r="Y1808" s="25"/>
      <c r="Z1808" s="25"/>
      <c r="AA1808" s="25"/>
      <c r="AB1808" s="25"/>
      <c r="AC1808" s="25"/>
      <c r="AD1808" s="25"/>
    </row>
    <row r="1809" customFormat="false" ht="15.75" hidden="false" customHeight="false" outlineLevel="0" collapsed="false">
      <c r="A1809" s="28" t="s">
        <v>2215</v>
      </c>
      <c r="B1809" s="27" t="s">
        <v>438</v>
      </c>
      <c r="C1809" s="27" t="s">
        <v>236</v>
      </c>
      <c r="D1809" s="25"/>
      <c r="E1809" s="25"/>
      <c r="F1809" s="25"/>
      <c r="G1809" s="25"/>
      <c r="H1809" s="25"/>
      <c r="I1809" s="25"/>
      <c r="J1809" s="27" t="s">
        <v>2189</v>
      </c>
      <c r="K1809" s="25" t="str">
        <f aca="false">IFERROR(__xludf.dummyfunction("SPLIT(J1809,"" "")"),"CIF")</f>
        <v>CIF</v>
      </c>
      <c r="L1809" s="28" t="str">
        <f aca="false">IFERROR(__xludf.dummyfunction("""COMPUTED_VALUE"""),"South")</f>
        <v>South</v>
      </c>
      <c r="M1809" s="27" t="str">
        <f aca="false">IFERROR(__xludf.dummyfunction("""COMPUTED_VALUE"""),"Korea")</f>
        <v>Korea</v>
      </c>
      <c r="N1809" s="25" t="str">
        <f aca="false">IFERROR(__xludf.dummyfunction("""COMPUTED_VALUE"""),"(Diff)")</f>
        <v>(Diff)</v>
      </c>
      <c r="O1809" s="25"/>
      <c r="P1809" s="25"/>
      <c r="Q1809" s="29" t="s">
        <v>251</v>
      </c>
      <c r="R1809" s="8" t="str">
        <f aca="false">B1809&amp;" "&amp;C1809&amp;" "&amp;D1809&amp;" "&amp;E1809&amp;" "&amp;G1809&amp;" "&amp;H1809&amp;" "&amp;J1809&amp;" "&amp;N1809</f>
        <v>Differentials Cathode     CIF South Korea (Diff) (Diff)</v>
      </c>
      <c r="S1809" s="25"/>
      <c r="T1809" s="8"/>
      <c r="U1809" s="8"/>
      <c r="V1809" s="25"/>
      <c r="W1809" s="25"/>
      <c r="X1809" s="25"/>
      <c r="Y1809" s="25"/>
      <c r="Z1809" s="25"/>
      <c r="AA1809" s="25"/>
      <c r="AB1809" s="25"/>
      <c r="AC1809" s="25"/>
      <c r="AD1809" s="25"/>
    </row>
    <row r="1810" customFormat="false" ht="15.75" hidden="false" customHeight="false" outlineLevel="0" collapsed="false">
      <c r="A1810" s="28" t="s">
        <v>2216</v>
      </c>
      <c r="B1810" s="27" t="s">
        <v>438</v>
      </c>
      <c r="C1810" s="27" t="s">
        <v>236</v>
      </c>
      <c r="D1810" s="25"/>
      <c r="E1810" s="25"/>
      <c r="F1810" s="25"/>
      <c r="G1810" s="25"/>
      <c r="H1810" s="25"/>
      <c r="I1810" s="25"/>
      <c r="J1810" s="27" t="s">
        <v>2189</v>
      </c>
      <c r="K1810" s="25" t="str">
        <f aca="false">IFERROR(__xludf.dummyfunction("SPLIT(J1810,"" "")"),"CIF")</f>
        <v>CIF</v>
      </c>
      <c r="L1810" s="28" t="str">
        <f aca="false">IFERROR(__xludf.dummyfunction("""COMPUTED_VALUE"""),"South")</f>
        <v>South</v>
      </c>
      <c r="M1810" s="27" t="str">
        <f aca="false">IFERROR(__xludf.dummyfunction("""COMPUTED_VALUE"""),"Korea")</f>
        <v>Korea</v>
      </c>
      <c r="N1810" s="25" t="str">
        <f aca="false">IFERROR(__xludf.dummyfunction("""COMPUTED_VALUE"""),"(Diff)")</f>
        <v>(Diff)</v>
      </c>
      <c r="O1810" s="25"/>
      <c r="P1810" s="25"/>
      <c r="Q1810" s="29" t="s">
        <v>247</v>
      </c>
      <c r="R1810" s="8" t="str">
        <f aca="false">B1810&amp;" "&amp;C1810&amp;" "&amp;D1810&amp;" "&amp;E1810&amp;" "&amp;G1810&amp;" "&amp;H1810&amp;" "&amp;J1810&amp;" "&amp;N1810</f>
        <v>Differentials Cathode     CIF South Korea (Diff) (Diff)</v>
      </c>
      <c r="S1810" s="25"/>
      <c r="T1810" s="8"/>
      <c r="U1810" s="8"/>
      <c r="V1810" s="25"/>
      <c r="W1810" s="25"/>
      <c r="X1810" s="25"/>
      <c r="Y1810" s="25"/>
      <c r="Z1810" s="25"/>
      <c r="AA1810" s="25"/>
      <c r="AB1810" s="25"/>
      <c r="AC1810" s="25"/>
      <c r="AD1810" s="25"/>
    </row>
    <row r="1811" customFormat="false" ht="15.75" hidden="false" customHeight="false" outlineLevel="0" collapsed="false">
      <c r="A1811" s="28" t="s">
        <v>2217</v>
      </c>
      <c r="B1811" s="27" t="s">
        <v>438</v>
      </c>
      <c r="C1811" s="27" t="s">
        <v>236</v>
      </c>
      <c r="D1811" s="25"/>
      <c r="E1811" s="25"/>
      <c r="F1811" s="25"/>
      <c r="G1811" s="25"/>
      <c r="H1811" s="25"/>
      <c r="I1811" s="25"/>
      <c r="J1811" s="27" t="s">
        <v>2189</v>
      </c>
      <c r="K1811" s="25" t="str">
        <f aca="false">IFERROR(__xludf.dummyfunction("SPLIT(J1811,"" "")"),"CIF")</f>
        <v>CIF</v>
      </c>
      <c r="L1811" s="28" t="str">
        <f aca="false">IFERROR(__xludf.dummyfunction("""COMPUTED_VALUE"""),"South")</f>
        <v>South</v>
      </c>
      <c r="M1811" s="27" t="str">
        <f aca="false">IFERROR(__xludf.dummyfunction("""COMPUTED_VALUE"""),"Korea")</f>
        <v>Korea</v>
      </c>
      <c r="N1811" s="25" t="str">
        <f aca="false">IFERROR(__xludf.dummyfunction("""COMPUTED_VALUE"""),"(Diff)")</f>
        <v>(Diff)</v>
      </c>
      <c r="O1811" s="25"/>
      <c r="P1811" s="25"/>
      <c r="Q1811" s="29" t="s">
        <v>243</v>
      </c>
      <c r="R1811" s="8" t="str">
        <f aca="false">B1811&amp;" "&amp;C1811&amp;" "&amp;D1811&amp;" "&amp;E1811&amp;" "&amp;G1811&amp;" "&amp;H1811&amp;" "&amp;J1811&amp;" "&amp;N1811</f>
        <v>Differentials Cathode     CIF South Korea (Diff) (Diff)</v>
      </c>
      <c r="S1811" s="25"/>
      <c r="T1811" s="8"/>
      <c r="U1811" s="8"/>
      <c r="V1811" s="25"/>
      <c r="W1811" s="25"/>
      <c r="X1811" s="25"/>
      <c r="Y1811" s="25"/>
      <c r="Z1811" s="25"/>
      <c r="AA1811" s="25"/>
      <c r="AB1811" s="25"/>
      <c r="AC1811" s="25"/>
      <c r="AD1811" s="25"/>
    </row>
    <row r="1812" customFormat="false" ht="15.75" hidden="false" customHeight="false" outlineLevel="0" collapsed="false">
      <c r="A1812" s="28" t="s">
        <v>2218</v>
      </c>
      <c r="B1812" s="27" t="s">
        <v>438</v>
      </c>
      <c r="C1812" s="27" t="s">
        <v>236</v>
      </c>
      <c r="D1812" s="25"/>
      <c r="E1812" s="25"/>
      <c r="F1812" s="25"/>
      <c r="G1812" s="25"/>
      <c r="H1812" s="25"/>
      <c r="I1812" s="25"/>
      <c r="J1812" s="27" t="s">
        <v>2189</v>
      </c>
      <c r="K1812" s="25" t="str">
        <f aca="false">IFERROR(__xludf.dummyfunction("SPLIT(J1812,"" "")"),"CIF")</f>
        <v>CIF</v>
      </c>
      <c r="L1812" s="28" t="str">
        <f aca="false">IFERROR(__xludf.dummyfunction("""COMPUTED_VALUE"""),"South")</f>
        <v>South</v>
      </c>
      <c r="M1812" s="27" t="str">
        <f aca="false">IFERROR(__xludf.dummyfunction("""COMPUTED_VALUE"""),"Korea")</f>
        <v>Korea</v>
      </c>
      <c r="N1812" s="25" t="str">
        <f aca="false">IFERROR(__xludf.dummyfunction("""COMPUTED_VALUE"""),"(Diff)")</f>
        <v>(Diff)</v>
      </c>
      <c r="O1812" s="25"/>
      <c r="P1812" s="25"/>
      <c r="Q1812" s="29" t="s">
        <v>239</v>
      </c>
      <c r="R1812" s="8" t="str">
        <f aca="false">B1812&amp;" "&amp;C1812&amp;" "&amp;D1812&amp;" "&amp;E1812&amp;" "&amp;G1812&amp;" "&amp;H1812&amp;" "&amp;J1812&amp;" "&amp;N1812</f>
        <v>Differentials Cathode     CIF South Korea (Diff) (Diff)</v>
      </c>
      <c r="S1812" s="25"/>
      <c r="T1812" s="8"/>
      <c r="U1812" s="8"/>
      <c r="V1812" s="25"/>
      <c r="W1812" s="25"/>
      <c r="X1812" s="25"/>
      <c r="Y1812" s="25"/>
      <c r="Z1812" s="25"/>
      <c r="AA1812" s="25"/>
      <c r="AB1812" s="25"/>
      <c r="AC1812" s="25"/>
      <c r="AD1812" s="25"/>
    </row>
    <row r="1813" customFormat="false" ht="15.75" hidden="false" customHeight="false" outlineLevel="0" collapsed="false">
      <c r="A1813" s="28" t="s">
        <v>2219</v>
      </c>
      <c r="B1813" s="27" t="s">
        <v>438</v>
      </c>
      <c r="C1813" s="27" t="s">
        <v>273</v>
      </c>
      <c r="D1813" s="25"/>
      <c r="E1813" s="25"/>
      <c r="F1813" s="25"/>
      <c r="G1813" s="25"/>
      <c r="H1813" s="25"/>
      <c r="I1813" s="25"/>
      <c r="J1813" s="27" t="s">
        <v>2189</v>
      </c>
      <c r="K1813" s="25" t="str">
        <f aca="false">IFERROR(__xludf.dummyfunction("SPLIT(J1813,"" "")"),"CIF")</f>
        <v>CIF</v>
      </c>
      <c r="L1813" s="28" t="str">
        <f aca="false">IFERROR(__xludf.dummyfunction("""COMPUTED_VALUE"""),"South")</f>
        <v>South</v>
      </c>
      <c r="M1813" s="27" t="str">
        <f aca="false">IFERROR(__xludf.dummyfunction("""COMPUTED_VALUE"""),"Korea")</f>
        <v>Korea</v>
      </c>
      <c r="N1813" s="25" t="str">
        <f aca="false">IFERROR(__xludf.dummyfunction("""COMPUTED_VALUE"""),"(Diff)")</f>
        <v>(Diff)</v>
      </c>
      <c r="O1813" s="25"/>
      <c r="P1813" s="25"/>
      <c r="Q1813" s="29" t="s">
        <v>274</v>
      </c>
      <c r="R1813" s="8" t="str">
        <f aca="false">B1813&amp;" "&amp;C1813&amp;" "&amp;D1813&amp;" "&amp;E1813&amp;" "&amp;G1813&amp;" "&amp;H1813&amp;" "&amp;J1813&amp;" "&amp;N1813</f>
        <v>Differentials Cobalt     CIF South Korea (Diff) (Diff)</v>
      </c>
      <c r="S1813" s="25"/>
      <c r="T1813" s="8"/>
      <c r="U1813" s="8"/>
      <c r="V1813" s="25"/>
      <c r="W1813" s="25"/>
      <c r="X1813" s="25"/>
      <c r="Y1813" s="25"/>
      <c r="Z1813" s="25"/>
      <c r="AA1813" s="25"/>
      <c r="AB1813" s="25"/>
      <c r="AC1813" s="25"/>
      <c r="AD1813" s="25"/>
    </row>
    <row r="1814" customFormat="false" ht="15.75" hidden="false" customHeight="false" outlineLevel="0" collapsed="false">
      <c r="A1814" s="28" t="s">
        <v>2220</v>
      </c>
      <c r="B1814" s="27" t="s">
        <v>438</v>
      </c>
      <c r="C1814" s="27" t="s">
        <v>273</v>
      </c>
      <c r="D1814" s="25"/>
      <c r="E1814" s="25"/>
      <c r="F1814" s="25"/>
      <c r="G1814" s="25"/>
      <c r="H1814" s="25"/>
      <c r="I1814" s="25"/>
      <c r="J1814" s="27" t="s">
        <v>2189</v>
      </c>
      <c r="K1814" s="25" t="str">
        <f aca="false">IFERROR(__xludf.dummyfunction("SPLIT(J1814,"" "")"),"CIF")</f>
        <v>CIF</v>
      </c>
      <c r="L1814" s="28" t="str">
        <f aca="false">IFERROR(__xludf.dummyfunction("""COMPUTED_VALUE"""),"South")</f>
        <v>South</v>
      </c>
      <c r="M1814" s="27" t="str">
        <f aca="false">IFERROR(__xludf.dummyfunction("""COMPUTED_VALUE"""),"Korea")</f>
        <v>Korea</v>
      </c>
      <c r="N1814" s="25" t="str">
        <f aca="false">IFERROR(__xludf.dummyfunction("""COMPUTED_VALUE"""),"(Diff)")</f>
        <v>(Diff)</v>
      </c>
      <c r="O1814" s="25"/>
      <c r="P1814" s="25"/>
      <c r="Q1814" s="29" t="s">
        <v>282</v>
      </c>
      <c r="R1814" s="8" t="str">
        <f aca="false">B1814&amp;" "&amp;C1814&amp;" "&amp;D1814&amp;" "&amp;E1814&amp;" "&amp;G1814&amp;" "&amp;H1814&amp;" "&amp;J1814&amp;" "&amp;N1814</f>
        <v>Differentials Cobalt     CIF South Korea (Diff) (Diff)</v>
      </c>
      <c r="S1814" s="25"/>
      <c r="T1814" s="8"/>
      <c r="U1814" s="8"/>
      <c r="V1814" s="25"/>
      <c r="W1814" s="25"/>
      <c r="X1814" s="25"/>
      <c r="Y1814" s="25"/>
      <c r="Z1814" s="25"/>
      <c r="AA1814" s="25"/>
      <c r="AB1814" s="25"/>
      <c r="AC1814" s="25"/>
      <c r="AD1814" s="25"/>
    </row>
    <row r="1815" customFormat="false" ht="15.75" hidden="false" customHeight="false" outlineLevel="0" collapsed="false">
      <c r="A1815" s="28" t="s">
        <v>2221</v>
      </c>
      <c r="B1815" s="27" t="s">
        <v>438</v>
      </c>
      <c r="C1815" s="27" t="s">
        <v>273</v>
      </c>
      <c r="D1815" s="25"/>
      <c r="E1815" s="25"/>
      <c r="F1815" s="25"/>
      <c r="G1815" s="25"/>
      <c r="H1815" s="25"/>
      <c r="I1815" s="25"/>
      <c r="J1815" s="27" t="s">
        <v>2189</v>
      </c>
      <c r="K1815" s="25" t="str">
        <f aca="false">IFERROR(__xludf.dummyfunction("SPLIT(J1815,"" "")"),"CIF")</f>
        <v>CIF</v>
      </c>
      <c r="L1815" s="28" t="str">
        <f aca="false">IFERROR(__xludf.dummyfunction("""COMPUTED_VALUE"""),"South")</f>
        <v>South</v>
      </c>
      <c r="M1815" s="27" t="str">
        <f aca="false">IFERROR(__xludf.dummyfunction("""COMPUTED_VALUE"""),"Korea")</f>
        <v>Korea</v>
      </c>
      <c r="N1815" s="25" t="str">
        <f aca="false">IFERROR(__xludf.dummyfunction("""COMPUTED_VALUE"""),"(Diff)")</f>
        <v>(Diff)</v>
      </c>
      <c r="O1815" s="25"/>
      <c r="P1815" s="25"/>
      <c r="Q1815" s="29" t="s">
        <v>280</v>
      </c>
      <c r="R1815" s="8" t="str">
        <f aca="false">B1815&amp;" "&amp;C1815&amp;" "&amp;D1815&amp;" "&amp;E1815&amp;" "&amp;G1815&amp;" "&amp;H1815&amp;" "&amp;J1815&amp;" "&amp;N1815</f>
        <v>Differentials Cobalt     CIF South Korea (Diff) (Diff)</v>
      </c>
      <c r="S1815" s="25"/>
      <c r="T1815" s="8"/>
      <c r="U1815" s="8"/>
      <c r="V1815" s="25"/>
      <c r="W1815" s="25"/>
      <c r="X1815" s="25"/>
      <c r="Y1815" s="25"/>
      <c r="Z1815" s="25"/>
      <c r="AA1815" s="25"/>
      <c r="AB1815" s="25"/>
      <c r="AC1815" s="25"/>
      <c r="AD1815" s="25"/>
    </row>
    <row r="1816" customFormat="false" ht="15.75" hidden="false" customHeight="false" outlineLevel="0" collapsed="false">
      <c r="A1816" s="28" t="s">
        <v>2222</v>
      </c>
      <c r="B1816" s="27" t="s">
        <v>438</v>
      </c>
      <c r="C1816" s="27" t="s">
        <v>273</v>
      </c>
      <c r="D1816" s="25"/>
      <c r="E1816" s="25"/>
      <c r="F1816" s="25"/>
      <c r="G1816" s="25"/>
      <c r="H1816" s="25"/>
      <c r="I1816" s="25"/>
      <c r="J1816" s="27" t="s">
        <v>2189</v>
      </c>
      <c r="K1816" s="25" t="str">
        <f aca="false">IFERROR(__xludf.dummyfunction("SPLIT(J1816,"" "")"),"CIF")</f>
        <v>CIF</v>
      </c>
      <c r="L1816" s="28" t="str">
        <f aca="false">IFERROR(__xludf.dummyfunction("""COMPUTED_VALUE"""),"South")</f>
        <v>South</v>
      </c>
      <c r="M1816" s="27" t="str">
        <f aca="false">IFERROR(__xludf.dummyfunction("""COMPUTED_VALUE"""),"Korea")</f>
        <v>Korea</v>
      </c>
      <c r="N1816" s="25" t="str">
        <f aca="false">IFERROR(__xludf.dummyfunction("""COMPUTED_VALUE"""),"(Diff)")</f>
        <v>(Diff)</v>
      </c>
      <c r="O1816" s="25"/>
      <c r="P1816" s="25"/>
      <c r="Q1816" s="29" t="s">
        <v>278</v>
      </c>
      <c r="R1816" s="8" t="str">
        <f aca="false">B1816&amp;" "&amp;C1816&amp;" "&amp;D1816&amp;" "&amp;E1816&amp;" "&amp;G1816&amp;" "&amp;H1816&amp;" "&amp;J1816&amp;" "&amp;N1816</f>
        <v>Differentials Cobalt     CIF South Korea (Diff) (Diff)</v>
      </c>
      <c r="S1816" s="25"/>
      <c r="T1816" s="8"/>
      <c r="U1816" s="8"/>
      <c r="V1816" s="25"/>
      <c r="W1816" s="25"/>
      <c r="X1816" s="25"/>
      <c r="Y1816" s="25"/>
      <c r="Z1816" s="25"/>
      <c r="AA1816" s="25"/>
      <c r="AB1816" s="25"/>
      <c r="AC1816" s="25"/>
      <c r="AD1816" s="25"/>
    </row>
    <row r="1817" customFormat="false" ht="15.75" hidden="false" customHeight="false" outlineLevel="0" collapsed="false">
      <c r="A1817" s="28" t="s">
        <v>2223</v>
      </c>
      <c r="B1817" s="27" t="s">
        <v>438</v>
      </c>
      <c r="C1817" s="27" t="s">
        <v>273</v>
      </c>
      <c r="D1817" s="25"/>
      <c r="E1817" s="25"/>
      <c r="F1817" s="25"/>
      <c r="G1817" s="25"/>
      <c r="H1817" s="25"/>
      <c r="I1817" s="25"/>
      <c r="J1817" s="27" t="s">
        <v>2189</v>
      </c>
      <c r="K1817" s="25" t="str">
        <f aca="false">IFERROR(__xludf.dummyfunction("SPLIT(J1817,"" "")"),"CIF")</f>
        <v>CIF</v>
      </c>
      <c r="L1817" s="28" t="str">
        <f aca="false">IFERROR(__xludf.dummyfunction("""COMPUTED_VALUE"""),"South")</f>
        <v>South</v>
      </c>
      <c r="M1817" s="27" t="str">
        <f aca="false">IFERROR(__xludf.dummyfunction("""COMPUTED_VALUE"""),"Korea")</f>
        <v>Korea</v>
      </c>
      <c r="N1817" s="25" t="str">
        <f aca="false">IFERROR(__xludf.dummyfunction("""COMPUTED_VALUE"""),"(Diff)")</f>
        <v>(Diff)</v>
      </c>
      <c r="O1817" s="25"/>
      <c r="P1817" s="25"/>
      <c r="Q1817" s="29" t="s">
        <v>276</v>
      </c>
      <c r="R1817" s="8" t="str">
        <f aca="false">B1817&amp;" "&amp;C1817&amp;" "&amp;D1817&amp;" "&amp;E1817&amp;" "&amp;G1817&amp;" "&amp;H1817&amp;" "&amp;J1817&amp;" "&amp;N1817</f>
        <v>Differentials Cobalt     CIF South Korea (Diff) (Diff)</v>
      </c>
      <c r="S1817" s="25"/>
      <c r="T1817" s="8"/>
      <c r="U1817" s="8"/>
      <c r="V1817" s="25"/>
      <c r="W1817" s="25"/>
      <c r="X1817" s="25"/>
      <c r="Y1817" s="25"/>
      <c r="Z1817" s="25"/>
      <c r="AA1817" s="25"/>
      <c r="AB1817" s="25"/>
      <c r="AC1817" s="25"/>
      <c r="AD1817" s="25"/>
    </row>
    <row r="1818" customFormat="false" ht="15.75" hidden="false" customHeight="false" outlineLevel="0" collapsed="false">
      <c r="A1818" s="28" t="s">
        <v>2224</v>
      </c>
      <c r="B1818" s="27" t="s">
        <v>438</v>
      </c>
      <c r="C1818" s="27" t="s">
        <v>284</v>
      </c>
      <c r="D1818" s="25"/>
      <c r="E1818" s="25"/>
      <c r="F1818" s="25"/>
      <c r="G1818" s="25"/>
      <c r="H1818" s="25"/>
      <c r="I1818" s="25"/>
      <c r="J1818" s="27" t="s">
        <v>2189</v>
      </c>
      <c r="K1818" s="25" t="str">
        <f aca="false">IFERROR(__xludf.dummyfunction("SPLIT(J1818,"" "")"),"CIF")</f>
        <v>CIF</v>
      </c>
      <c r="L1818" s="28" t="str">
        <f aca="false">IFERROR(__xludf.dummyfunction("""COMPUTED_VALUE"""),"South")</f>
        <v>South</v>
      </c>
      <c r="M1818" s="27" t="str">
        <f aca="false">IFERROR(__xludf.dummyfunction("""COMPUTED_VALUE"""),"Korea")</f>
        <v>Korea</v>
      </c>
      <c r="N1818" s="25" t="str">
        <f aca="false">IFERROR(__xludf.dummyfunction("""COMPUTED_VALUE"""),"(Diff)")</f>
        <v>(Diff)</v>
      </c>
      <c r="O1818" s="25"/>
      <c r="P1818" s="25"/>
      <c r="Q1818" s="29" t="s">
        <v>287</v>
      </c>
      <c r="R1818" s="8" t="str">
        <f aca="false">B1818&amp;" "&amp;C1818&amp;" "&amp;D1818&amp;" "&amp;E1818&amp;" "&amp;G1818&amp;" "&amp;H1818&amp;" "&amp;J1818&amp;" "&amp;N1818</f>
        <v>Differentials Copper (Battery Grade)     CIF South Korea (Diff) (Diff)</v>
      </c>
      <c r="S1818" s="25"/>
      <c r="T1818" s="8"/>
      <c r="U1818" s="8"/>
      <c r="V1818" s="25"/>
      <c r="W1818" s="25"/>
      <c r="X1818" s="25"/>
      <c r="Y1818" s="25"/>
      <c r="Z1818" s="25"/>
      <c r="AA1818" s="25"/>
      <c r="AB1818" s="25"/>
      <c r="AC1818" s="25"/>
      <c r="AD1818" s="25"/>
    </row>
    <row r="1819" customFormat="false" ht="15.75" hidden="false" customHeight="false" outlineLevel="0" collapsed="false">
      <c r="A1819" s="28" t="s">
        <v>2225</v>
      </c>
      <c r="B1819" s="27" t="s">
        <v>438</v>
      </c>
      <c r="C1819" s="27" t="s">
        <v>284</v>
      </c>
      <c r="D1819" s="25"/>
      <c r="E1819" s="25"/>
      <c r="F1819" s="25"/>
      <c r="G1819" s="25"/>
      <c r="H1819" s="25"/>
      <c r="I1819" s="25"/>
      <c r="J1819" s="27" t="s">
        <v>2189</v>
      </c>
      <c r="K1819" s="25" t="str">
        <f aca="false">IFERROR(__xludf.dummyfunction("SPLIT(J1819,"" "")"),"CIF")</f>
        <v>CIF</v>
      </c>
      <c r="L1819" s="28" t="str">
        <f aca="false">IFERROR(__xludf.dummyfunction("""COMPUTED_VALUE"""),"South")</f>
        <v>South</v>
      </c>
      <c r="M1819" s="27" t="str">
        <f aca="false">IFERROR(__xludf.dummyfunction("""COMPUTED_VALUE"""),"Korea")</f>
        <v>Korea</v>
      </c>
      <c r="N1819" s="25" t="str">
        <f aca="false">IFERROR(__xludf.dummyfunction("""COMPUTED_VALUE"""),"(Diff)")</f>
        <v>(Diff)</v>
      </c>
      <c r="O1819" s="25"/>
      <c r="P1819" s="25"/>
      <c r="Q1819" s="29" t="s">
        <v>285</v>
      </c>
      <c r="R1819" s="8" t="str">
        <f aca="false">B1819&amp;" "&amp;C1819&amp;" "&amp;D1819&amp;" "&amp;E1819&amp;" "&amp;G1819&amp;" "&amp;H1819&amp;" "&amp;J1819&amp;" "&amp;N1819</f>
        <v>Differentials Copper (Battery Grade)     CIF South Korea (Diff) (Diff)</v>
      </c>
      <c r="S1819" s="25"/>
      <c r="T1819" s="8"/>
      <c r="U1819" s="8"/>
      <c r="V1819" s="25"/>
      <c r="W1819" s="25"/>
      <c r="X1819" s="25"/>
      <c r="Y1819" s="25"/>
      <c r="Z1819" s="25"/>
      <c r="AA1819" s="25"/>
      <c r="AB1819" s="25"/>
      <c r="AC1819" s="25"/>
      <c r="AD1819" s="25"/>
    </row>
    <row r="1820" customFormat="false" ht="15.75" hidden="false" customHeight="false" outlineLevel="0" collapsed="false">
      <c r="A1820" s="28" t="s">
        <v>2226</v>
      </c>
      <c r="B1820" s="27" t="s">
        <v>438</v>
      </c>
      <c r="C1820" s="27" t="s">
        <v>289</v>
      </c>
      <c r="D1820" s="25"/>
      <c r="E1820" s="25"/>
      <c r="F1820" s="25"/>
      <c r="G1820" s="25"/>
      <c r="H1820" s="25"/>
      <c r="I1820" s="25"/>
      <c r="J1820" s="27" t="s">
        <v>2189</v>
      </c>
      <c r="K1820" s="25" t="str">
        <f aca="false">IFERROR(__xludf.dummyfunction("SPLIT(J1820,"" "")"),"CIF")</f>
        <v>CIF</v>
      </c>
      <c r="L1820" s="28" t="str">
        <f aca="false">IFERROR(__xludf.dummyfunction("""COMPUTED_VALUE"""),"South")</f>
        <v>South</v>
      </c>
      <c r="M1820" s="27" t="str">
        <f aca="false">IFERROR(__xludf.dummyfunction("""COMPUTED_VALUE"""),"Korea")</f>
        <v>Korea</v>
      </c>
      <c r="N1820" s="25" t="str">
        <f aca="false">IFERROR(__xludf.dummyfunction("""COMPUTED_VALUE"""),"(Diff)")</f>
        <v>(Diff)</v>
      </c>
      <c r="O1820" s="25"/>
      <c r="P1820" s="25"/>
      <c r="Q1820" s="29" t="s">
        <v>306</v>
      </c>
      <c r="R1820" s="8" t="str">
        <f aca="false">B1820&amp;" "&amp;C1820&amp;" "&amp;D1820&amp;" "&amp;E1820&amp;" "&amp;G1820&amp;" "&amp;H1820&amp;" "&amp;J1820&amp;" "&amp;N1820</f>
        <v>Differentials Electrolyte     CIF South Korea (Diff) (Diff)</v>
      </c>
      <c r="S1820" s="25"/>
      <c r="T1820" s="8"/>
      <c r="U1820" s="8"/>
      <c r="V1820" s="25"/>
      <c r="W1820" s="25"/>
      <c r="X1820" s="25"/>
      <c r="Y1820" s="25"/>
      <c r="Z1820" s="25"/>
      <c r="AA1820" s="25"/>
      <c r="AB1820" s="25"/>
      <c r="AC1820" s="25"/>
      <c r="AD1820" s="25"/>
    </row>
    <row r="1821" customFormat="false" ht="15.75" hidden="false" customHeight="false" outlineLevel="0" collapsed="false">
      <c r="A1821" s="28" t="s">
        <v>2227</v>
      </c>
      <c r="B1821" s="27" t="s">
        <v>438</v>
      </c>
      <c r="C1821" s="27" t="s">
        <v>289</v>
      </c>
      <c r="D1821" s="25"/>
      <c r="E1821" s="25"/>
      <c r="F1821" s="25"/>
      <c r="G1821" s="25"/>
      <c r="H1821" s="25"/>
      <c r="I1821" s="25"/>
      <c r="J1821" s="27" t="s">
        <v>2189</v>
      </c>
      <c r="K1821" s="25" t="str">
        <f aca="false">IFERROR(__xludf.dummyfunction("SPLIT(J1821,"" "")"),"CIF")</f>
        <v>CIF</v>
      </c>
      <c r="L1821" s="28" t="str">
        <f aca="false">IFERROR(__xludf.dummyfunction("""COMPUTED_VALUE"""),"South")</f>
        <v>South</v>
      </c>
      <c r="M1821" s="27" t="str">
        <f aca="false">IFERROR(__xludf.dummyfunction("""COMPUTED_VALUE"""),"Korea")</f>
        <v>Korea</v>
      </c>
      <c r="N1821" s="25" t="str">
        <f aca="false">IFERROR(__xludf.dummyfunction("""COMPUTED_VALUE"""),"(Diff)")</f>
        <v>(Diff)</v>
      </c>
      <c r="O1821" s="25"/>
      <c r="P1821" s="25"/>
      <c r="Q1821" s="29" t="s">
        <v>304</v>
      </c>
      <c r="R1821" s="8" t="str">
        <f aca="false">B1821&amp;" "&amp;C1821&amp;" "&amp;D1821&amp;" "&amp;E1821&amp;" "&amp;G1821&amp;" "&amp;H1821&amp;" "&amp;J1821&amp;" "&amp;N1821</f>
        <v>Differentials Electrolyte     CIF South Korea (Diff) (Diff)</v>
      </c>
      <c r="S1821" s="25"/>
      <c r="T1821" s="8"/>
      <c r="U1821" s="8"/>
      <c r="V1821" s="25"/>
      <c r="W1821" s="25"/>
      <c r="X1821" s="25"/>
      <c r="Y1821" s="25"/>
      <c r="Z1821" s="25"/>
      <c r="AA1821" s="25"/>
      <c r="AB1821" s="25"/>
      <c r="AC1821" s="25"/>
      <c r="AD1821" s="25"/>
    </row>
    <row r="1822" customFormat="false" ht="15.75" hidden="false" customHeight="false" outlineLevel="0" collapsed="false">
      <c r="A1822" s="28" t="s">
        <v>2228</v>
      </c>
      <c r="B1822" s="27" t="s">
        <v>438</v>
      </c>
      <c r="C1822" s="27" t="s">
        <v>289</v>
      </c>
      <c r="D1822" s="25"/>
      <c r="E1822" s="25"/>
      <c r="F1822" s="25"/>
      <c r="G1822" s="25"/>
      <c r="H1822" s="25"/>
      <c r="I1822" s="25"/>
      <c r="J1822" s="27" t="s">
        <v>2189</v>
      </c>
      <c r="K1822" s="25" t="str">
        <f aca="false">IFERROR(__xludf.dummyfunction("SPLIT(J1822,"" "")"),"CIF")</f>
        <v>CIF</v>
      </c>
      <c r="L1822" s="28" t="str">
        <f aca="false">IFERROR(__xludf.dummyfunction("""COMPUTED_VALUE"""),"South")</f>
        <v>South</v>
      </c>
      <c r="M1822" s="27" t="str">
        <f aca="false">IFERROR(__xludf.dummyfunction("""COMPUTED_VALUE"""),"Korea")</f>
        <v>Korea</v>
      </c>
      <c r="N1822" s="25" t="str">
        <f aca="false">IFERROR(__xludf.dummyfunction("""COMPUTED_VALUE"""),"(Diff)")</f>
        <v>(Diff)</v>
      </c>
      <c r="O1822" s="25"/>
      <c r="P1822" s="25"/>
      <c r="Q1822" s="29" t="s">
        <v>302</v>
      </c>
      <c r="R1822" s="8" t="str">
        <f aca="false">B1822&amp;" "&amp;C1822&amp;" "&amp;D1822&amp;" "&amp;E1822&amp;" "&amp;G1822&amp;" "&amp;H1822&amp;" "&amp;J1822&amp;" "&amp;N1822</f>
        <v>Differentials Electrolyte     CIF South Korea (Diff) (Diff)</v>
      </c>
      <c r="S1822" s="25"/>
      <c r="T1822" s="8"/>
      <c r="U1822" s="8"/>
      <c r="V1822" s="25"/>
      <c r="W1822" s="25"/>
      <c r="X1822" s="25"/>
      <c r="Y1822" s="25"/>
      <c r="Z1822" s="25"/>
      <c r="AA1822" s="25"/>
      <c r="AB1822" s="25"/>
      <c r="AC1822" s="25"/>
      <c r="AD1822" s="25"/>
    </row>
    <row r="1823" customFormat="false" ht="15.75" hidden="false" customHeight="false" outlineLevel="0" collapsed="false">
      <c r="A1823" s="28" t="s">
        <v>2229</v>
      </c>
      <c r="B1823" s="27" t="s">
        <v>438</v>
      </c>
      <c r="C1823" s="27" t="s">
        <v>289</v>
      </c>
      <c r="D1823" s="25"/>
      <c r="E1823" s="25"/>
      <c r="F1823" s="25"/>
      <c r="G1823" s="25"/>
      <c r="H1823" s="25"/>
      <c r="I1823" s="25"/>
      <c r="J1823" s="27" t="s">
        <v>2189</v>
      </c>
      <c r="K1823" s="25" t="str">
        <f aca="false">IFERROR(__xludf.dummyfunction("SPLIT(J1823,"" "")"),"CIF")</f>
        <v>CIF</v>
      </c>
      <c r="L1823" s="28" t="str">
        <f aca="false">IFERROR(__xludf.dummyfunction("""COMPUTED_VALUE"""),"South")</f>
        <v>South</v>
      </c>
      <c r="M1823" s="27" t="str">
        <f aca="false">IFERROR(__xludf.dummyfunction("""COMPUTED_VALUE"""),"Korea")</f>
        <v>Korea</v>
      </c>
      <c r="N1823" s="25" t="str">
        <f aca="false">IFERROR(__xludf.dummyfunction("""COMPUTED_VALUE"""),"(Diff)")</f>
        <v>(Diff)</v>
      </c>
      <c r="O1823" s="25"/>
      <c r="P1823" s="25"/>
      <c r="Q1823" s="29" t="s">
        <v>300</v>
      </c>
      <c r="R1823" s="8" t="str">
        <f aca="false">B1823&amp;" "&amp;C1823&amp;" "&amp;D1823&amp;" "&amp;E1823&amp;" "&amp;G1823&amp;" "&amp;H1823&amp;" "&amp;J1823&amp;" "&amp;N1823</f>
        <v>Differentials Electrolyte     CIF South Korea (Diff) (Diff)</v>
      </c>
      <c r="S1823" s="25"/>
      <c r="T1823" s="8"/>
      <c r="U1823" s="8"/>
      <c r="V1823" s="25"/>
      <c r="W1823" s="25"/>
      <c r="X1823" s="25"/>
      <c r="Y1823" s="25"/>
      <c r="Z1823" s="25"/>
      <c r="AA1823" s="25"/>
      <c r="AB1823" s="25"/>
      <c r="AC1823" s="25"/>
      <c r="AD1823" s="25"/>
    </row>
    <row r="1824" customFormat="false" ht="15.75" hidden="false" customHeight="false" outlineLevel="0" collapsed="false">
      <c r="A1824" s="28" t="s">
        <v>2230</v>
      </c>
      <c r="B1824" s="27" t="s">
        <v>438</v>
      </c>
      <c r="C1824" s="27" t="s">
        <v>289</v>
      </c>
      <c r="D1824" s="25"/>
      <c r="E1824" s="25"/>
      <c r="F1824" s="25"/>
      <c r="G1824" s="25"/>
      <c r="H1824" s="25"/>
      <c r="I1824" s="25"/>
      <c r="J1824" s="27" t="s">
        <v>2189</v>
      </c>
      <c r="K1824" s="25" t="str">
        <f aca="false">IFERROR(__xludf.dummyfunction("SPLIT(J1824,"" "")"),"CIF")</f>
        <v>CIF</v>
      </c>
      <c r="L1824" s="28" t="str">
        <f aca="false">IFERROR(__xludf.dummyfunction("""COMPUTED_VALUE"""),"South")</f>
        <v>South</v>
      </c>
      <c r="M1824" s="27" t="str">
        <f aca="false">IFERROR(__xludf.dummyfunction("""COMPUTED_VALUE"""),"Korea")</f>
        <v>Korea</v>
      </c>
      <c r="N1824" s="25" t="str">
        <f aca="false">IFERROR(__xludf.dummyfunction("""COMPUTED_VALUE"""),"(Diff)")</f>
        <v>(Diff)</v>
      </c>
      <c r="O1824" s="25"/>
      <c r="P1824" s="25"/>
      <c r="Q1824" s="29" t="s">
        <v>298</v>
      </c>
      <c r="R1824" s="8" t="str">
        <f aca="false">B1824&amp;" "&amp;C1824&amp;" "&amp;D1824&amp;" "&amp;E1824&amp;" "&amp;G1824&amp;" "&amp;H1824&amp;" "&amp;J1824&amp;" "&amp;N1824</f>
        <v>Differentials Electrolyte     CIF South Korea (Diff) (Diff)</v>
      </c>
      <c r="S1824" s="25"/>
      <c r="T1824" s="8"/>
      <c r="U1824" s="8"/>
      <c r="V1824" s="25"/>
      <c r="W1824" s="25"/>
      <c r="X1824" s="25"/>
      <c r="Y1824" s="25"/>
      <c r="Z1824" s="25"/>
      <c r="AA1824" s="25"/>
      <c r="AB1824" s="25"/>
      <c r="AC1824" s="25"/>
      <c r="AD1824" s="25"/>
    </row>
    <row r="1825" customFormat="false" ht="15.75" hidden="false" customHeight="false" outlineLevel="0" collapsed="false">
      <c r="A1825" s="28" t="s">
        <v>2231</v>
      </c>
      <c r="B1825" s="27" t="s">
        <v>438</v>
      </c>
      <c r="C1825" s="27" t="s">
        <v>289</v>
      </c>
      <c r="D1825" s="25"/>
      <c r="E1825" s="25"/>
      <c r="F1825" s="25"/>
      <c r="G1825" s="25"/>
      <c r="H1825" s="25"/>
      <c r="I1825" s="25"/>
      <c r="J1825" s="27" t="s">
        <v>2189</v>
      </c>
      <c r="K1825" s="25" t="str">
        <f aca="false">IFERROR(__xludf.dummyfunction("SPLIT(J1825,"" "")"),"CIF")</f>
        <v>CIF</v>
      </c>
      <c r="L1825" s="28" t="str">
        <f aca="false">IFERROR(__xludf.dummyfunction("""COMPUTED_VALUE"""),"South")</f>
        <v>South</v>
      </c>
      <c r="M1825" s="27" t="str">
        <f aca="false">IFERROR(__xludf.dummyfunction("""COMPUTED_VALUE"""),"Korea")</f>
        <v>Korea</v>
      </c>
      <c r="N1825" s="25" t="str">
        <f aca="false">IFERROR(__xludf.dummyfunction("""COMPUTED_VALUE"""),"(Diff)")</f>
        <v>(Diff)</v>
      </c>
      <c r="O1825" s="25"/>
      <c r="P1825" s="25"/>
      <c r="Q1825" s="29" t="s">
        <v>296</v>
      </c>
      <c r="R1825" s="8" t="str">
        <f aca="false">B1825&amp;" "&amp;C1825&amp;" "&amp;D1825&amp;" "&amp;E1825&amp;" "&amp;G1825&amp;" "&amp;H1825&amp;" "&amp;J1825&amp;" "&amp;N1825</f>
        <v>Differentials Electrolyte     CIF South Korea (Diff) (Diff)</v>
      </c>
      <c r="S1825" s="25"/>
      <c r="T1825" s="8"/>
      <c r="U1825" s="8"/>
      <c r="V1825" s="25"/>
      <c r="W1825" s="25"/>
      <c r="X1825" s="25"/>
      <c r="Y1825" s="25"/>
      <c r="Z1825" s="25"/>
      <c r="AA1825" s="25"/>
      <c r="AB1825" s="25"/>
      <c r="AC1825" s="25"/>
      <c r="AD1825" s="25"/>
    </row>
    <row r="1826" customFormat="false" ht="15.75" hidden="false" customHeight="false" outlineLevel="0" collapsed="false">
      <c r="A1826" s="28" t="s">
        <v>2232</v>
      </c>
      <c r="B1826" s="27" t="s">
        <v>438</v>
      </c>
      <c r="C1826" s="27" t="s">
        <v>289</v>
      </c>
      <c r="D1826" s="25"/>
      <c r="E1826" s="25"/>
      <c r="F1826" s="25"/>
      <c r="G1826" s="25"/>
      <c r="H1826" s="25"/>
      <c r="I1826" s="25"/>
      <c r="J1826" s="27" t="s">
        <v>2189</v>
      </c>
      <c r="K1826" s="25" t="str">
        <f aca="false">IFERROR(__xludf.dummyfunction("SPLIT(J1826,"" "")"),"CIF")</f>
        <v>CIF</v>
      </c>
      <c r="L1826" s="28" t="str">
        <f aca="false">IFERROR(__xludf.dummyfunction("""COMPUTED_VALUE"""),"South")</f>
        <v>South</v>
      </c>
      <c r="M1826" s="27" t="str">
        <f aca="false">IFERROR(__xludf.dummyfunction("""COMPUTED_VALUE"""),"Korea")</f>
        <v>Korea</v>
      </c>
      <c r="N1826" s="25" t="str">
        <f aca="false">IFERROR(__xludf.dummyfunction("""COMPUTED_VALUE"""),"(Diff)")</f>
        <v>(Diff)</v>
      </c>
      <c r="O1826" s="25"/>
      <c r="P1826" s="25"/>
      <c r="Q1826" s="29" t="s">
        <v>294</v>
      </c>
      <c r="R1826" s="8" t="str">
        <f aca="false">B1826&amp;" "&amp;C1826&amp;" "&amp;D1826&amp;" "&amp;E1826&amp;" "&amp;G1826&amp;" "&amp;H1826&amp;" "&amp;J1826&amp;" "&amp;N1826</f>
        <v>Differentials Electrolyte     CIF South Korea (Diff) (Diff)</v>
      </c>
      <c r="S1826" s="25"/>
      <c r="T1826" s="8"/>
      <c r="U1826" s="8"/>
      <c r="V1826" s="25"/>
      <c r="W1826" s="25"/>
      <c r="X1826" s="25"/>
      <c r="Y1826" s="25"/>
      <c r="Z1826" s="25"/>
      <c r="AA1826" s="25"/>
      <c r="AB1826" s="25"/>
      <c r="AC1826" s="25"/>
      <c r="AD1826" s="25"/>
    </row>
    <row r="1827" customFormat="false" ht="15.75" hidden="false" customHeight="false" outlineLevel="0" collapsed="false">
      <c r="A1827" s="28" t="s">
        <v>2233</v>
      </c>
      <c r="B1827" s="27" t="s">
        <v>438</v>
      </c>
      <c r="C1827" s="27" t="s">
        <v>289</v>
      </c>
      <c r="D1827" s="25"/>
      <c r="E1827" s="25"/>
      <c r="F1827" s="25"/>
      <c r="G1827" s="25"/>
      <c r="H1827" s="25"/>
      <c r="I1827" s="25"/>
      <c r="J1827" s="27" t="s">
        <v>2189</v>
      </c>
      <c r="K1827" s="25" t="str">
        <f aca="false">IFERROR(__xludf.dummyfunction("SPLIT(J1827,"" "")"),"CIF")</f>
        <v>CIF</v>
      </c>
      <c r="L1827" s="28" t="str">
        <f aca="false">IFERROR(__xludf.dummyfunction("""COMPUTED_VALUE"""),"South")</f>
        <v>South</v>
      </c>
      <c r="M1827" s="27" t="str">
        <f aca="false">IFERROR(__xludf.dummyfunction("""COMPUTED_VALUE"""),"Korea")</f>
        <v>Korea</v>
      </c>
      <c r="N1827" s="25" t="str">
        <f aca="false">IFERROR(__xludf.dummyfunction("""COMPUTED_VALUE"""),"(Diff)")</f>
        <v>(Diff)</v>
      </c>
      <c r="O1827" s="25"/>
      <c r="P1827" s="25"/>
      <c r="Q1827" s="29" t="s">
        <v>291</v>
      </c>
      <c r="R1827" s="8" t="str">
        <f aca="false">B1827&amp;" "&amp;C1827&amp;" "&amp;D1827&amp;" "&amp;E1827&amp;" "&amp;G1827&amp;" "&amp;H1827&amp;" "&amp;J1827&amp;" "&amp;N1827</f>
        <v>Differentials Electrolyte     CIF South Korea (Diff) (Diff)</v>
      </c>
      <c r="S1827" s="25"/>
      <c r="T1827" s="8"/>
      <c r="U1827" s="8"/>
      <c r="V1827" s="25"/>
      <c r="W1827" s="25"/>
      <c r="X1827" s="25"/>
      <c r="Y1827" s="25"/>
      <c r="Z1827" s="25"/>
      <c r="AA1827" s="25"/>
      <c r="AB1827" s="25"/>
      <c r="AC1827" s="25"/>
      <c r="AD1827" s="25"/>
    </row>
    <row r="1828" customFormat="false" ht="15.75" hidden="false" customHeight="false" outlineLevel="0" collapsed="false">
      <c r="A1828" s="28" t="s">
        <v>2234</v>
      </c>
      <c r="B1828" s="27" t="s">
        <v>438</v>
      </c>
      <c r="C1828" s="27" t="s">
        <v>308</v>
      </c>
      <c r="D1828" s="25"/>
      <c r="E1828" s="25"/>
      <c r="F1828" s="25"/>
      <c r="G1828" s="25"/>
      <c r="H1828" s="25"/>
      <c r="I1828" s="25"/>
      <c r="J1828" s="27" t="s">
        <v>2189</v>
      </c>
      <c r="K1828" s="25" t="str">
        <f aca="false">IFERROR(__xludf.dummyfunction("SPLIT(J1828,"" "")"),"CIF")</f>
        <v>CIF</v>
      </c>
      <c r="L1828" s="28" t="str">
        <f aca="false">IFERROR(__xludf.dummyfunction("""COMPUTED_VALUE"""),"South")</f>
        <v>South</v>
      </c>
      <c r="M1828" s="27" t="str">
        <f aca="false">IFERROR(__xludf.dummyfunction("""COMPUTED_VALUE"""),"Korea")</f>
        <v>Korea</v>
      </c>
      <c r="N1828" s="25" t="str">
        <f aca="false">IFERROR(__xludf.dummyfunction("""COMPUTED_VALUE"""),"(Diff)")</f>
        <v>(Diff)</v>
      </c>
      <c r="O1828" s="25"/>
      <c r="P1828" s="25"/>
      <c r="Q1828" s="29" t="s">
        <v>358</v>
      </c>
      <c r="R1828" s="8" t="str">
        <f aca="false">B1828&amp;" "&amp;C1828&amp;" "&amp;D1828&amp;" "&amp;E1828&amp;" "&amp;G1828&amp;" "&amp;H1828&amp;" "&amp;J1828&amp;" "&amp;N1828</f>
        <v>Differentials Graphite     CIF South Korea (Diff) (Diff)</v>
      </c>
      <c r="S1828" s="25"/>
      <c r="T1828" s="8"/>
      <c r="U1828" s="8"/>
      <c r="V1828" s="25"/>
      <c r="W1828" s="25"/>
      <c r="X1828" s="25"/>
      <c r="Y1828" s="25"/>
      <c r="Z1828" s="25"/>
      <c r="AA1828" s="25"/>
      <c r="AB1828" s="25"/>
      <c r="AC1828" s="25"/>
      <c r="AD1828" s="25"/>
    </row>
    <row r="1829" customFormat="false" ht="15.75" hidden="false" customHeight="false" outlineLevel="0" collapsed="false">
      <c r="A1829" s="28" t="s">
        <v>2235</v>
      </c>
      <c r="B1829" s="27" t="s">
        <v>438</v>
      </c>
      <c r="C1829" s="27" t="s">
        <v>308</v>
      </c>
      <c r="D1829" s="25"/>
      <c r="E1829" s="25"/>
      <c r="F1829" s="25"/>
      <c r="G1829" s="25"/>
      <c r="H1829" s="25"/>
      <c r="I1829" s="25"/>
      <c r="J1829" s="27" t="s">
        <v>2189</v>
      </c>
      <c r="K1829" s="25" t="str">
        <f aca="false">IFERROR(__xludf.dummyfunction("SPLIT(J1829,"" "")"),"CIF")</f>
        <v>CIF</v>
      </c>
      <c r="L1829" s="28" t="str">
        <f aca="false">IFERROR(__xludf.dummyfunction("""COMPUTED_VALUE"""),"South")</f>
        <v>South</v>
      </c>
      <c r="M1829" s="27" t="str">
        <f aca="false">IFERROR(__xludf.dummyfunction("""COMPUTED_VALUE"""),"Korea")</f>
        <v>Korea</v>
      </c>
      <c r="N1829" s="25" t="str">
        <f aca="false">IFERROR(__xludf.dummyfunction("""COMPUTED_VALUE"""),"(Diff)")</f>
        <v>(Diff)</v>
      </c>
      <c r="O1829" s="25"/>
      <c r="P1829" s="25"/>
      <c r="Q1829" s="29" t="s">
        <v>356</v>
      </c>
      <c r="R1829" s="8" t="str">
        <f aca="false">B1829&amp;" "&amp;C1829&amp;" "&amp;D1829&amp;" "&amp;E1829&amp;" "&amp;G1829&amp;" "&amp;H1829&amp;" "&amp;J1829&amp;" "&amp;N1829</f>
        <v>Differentials Graphite     CIF South Korea (Diff) (Diff)</v>
      </c>
      <c r="S1829" s="25"/>
      <c r="T1829" s="8"/>
      <c r="U1829" s="8"/>
      <c r="V1829" s="25"/>
      <c r="W1829" s="25"/>
      <c r="X1829" s="25"/>
      <c r="Y1829" s="25"/>
      <c r="Z1829" s="25"/>
      <c r="AA1829" s="25"/>
      <c r="AB1829" s="25"/>
      <c r="AC1829" s="25"/>
      <c r="AD1829" s="25"/>
    </row>
    <row r="1830" customFormat="false" ht="15.75" hidden="false" customHeight="false" outlineLevel="0" collapsed="false">
      <c r="A1830" s="28" t="s">
        <v>2236</v>
      </c>
      <c r="B1830" s="27" t="s">
        <v>438</v>
      </c>
      <c r="C1830" s="27" t="s">
        <v>308</v>
      </c>
      <c r="D1830" s="25"/>
      <c r="E1830" s="25"/>
      <c r="F1830" s="25"/>
      <c r="G1830" s="25"/>
      <c r="H1830" s="25"/>
      <c r="I1830" s="25"/>
      <c r="J1830" s="27" t="s">
        <v>2189</v>
      </c>
      <c r="K1830" s="25" t="str">
        <f aca="false">IFERROR(__xludf.dummyfunction("SPLIT(J1830,"" "")"),"CIF")</f>
        <v>CIF</v>
      </c>
      <c r="L1830" s="28" t="str">
        <f aca="false">IFERROR(__xludf.dummyfunction("""COMPUTED_VALUE"""),"South")</f>
        <v>South</v>
      </c>
      <c r="M1830" s="27" t="str">
        <f aca="false">IFERROR(__xludf.dummyfunction("""COMPUTED_VALUE"""),"Korea")</f>
        <v>Korea</v>
      </c>
      <c r="N1830" s="25" t="str">
        <f aca="false">IFERROR(__xludf.dummyfunction("""COMPUTED_VALUE"""),"(Diff)")</f>
        <v>(Diff)</v>
      </c>
      <c r="O1830" s="25"/>
      <c r="P1830" s="25"/>
      <c r="Q1830" s="29" t="s">
        <v>354</v>
      </c>
      <c r="R1830" s="8" t="str">
        <f aca="false">B1830&amp;" "&amp;C1830&amp;" "&amp;D1830&amp;" "&amp;E1830&amp;" "&amp;G1830&amp;" "&amp;H1830&amp;" "&amp;J1830&amp;" "&amp;N1830</f>
        <v>Differentials Graphite     CIF South Korea (Diff) (Diff)</v>
      </c>
      <c r="S1830" s="25"/>
      <c r="T1830" s="8"/>
      <c r="U1830" s="8"/>
      <c r="V1830" s="25"/>
      <c r="W1830" s="25"/>
      <c r="X1830" s="25"/>
      <c r="Y1830" s="25"/>
      <c r="Z1830" s="25"/>
      <c r="AA1830" s="25"/>
      <c r="AB1830" s="25"/>
      <c r="AC1830" s="25"/>
      <c r="AD1830" s="25"/>
    </row>
    <row r="1831" customFormat="false" ht="15.75" hidden="false" customHeight="false" outlineLevel="0" collapsed="false">
      <c r="A1831" s="28" t="s">
        <v>2237</v>
      </c>
      <c r="B1831" s="27" t="s">
        <v>438</v>
      </c>
      <c r="C1831" s="27" t="s">
        <v>308</v>
      </c>
      <c r="D1831" s="25"/>
      <c r="E1831" s="25"/>
      <c r="F1831" s="25"/>
      <c r="G1831" s="25"/>
      <c r="H1831" s="25"/>
      <c r="I1831" s="25"/>
      <c r="J1831" s="27" t="s">
        <v>2189</v>
      </c>
      <c r="K1831" s="25" t="str">
        <f aca="false">IFERROR(__xludf.dummyfunction("SPLIT(J1831,"" "")"),"CIF")</f>
        <v>CIF</v>
      </c>
      <c r="L1831" s="28" t="str">
        <f aca="false">IFERROR(__xludf.dummyfunction("""COMPUTED_VALUE"""),"South")</f>
        <v>South</v>
      </c>
      <c r="M1831" s="27" t="str">
        <f aca="false">IFERROR(__xludf.dummyfunction("""COMPUTED_VALUE"""),"Korea")</f>
        <v>Korea</v>
      </c>
      <c r="N1831" s="25" t="str">
        <f aca="false">IFERROR(__xludf.dummyfunction("""COMPUTED_VALUE"""),"(Diff)")</f>
        <v>(Diff)</v>
      </c>
      <c r="O1831" s="25"/>
      <c r="P1831" s="25"/>
      <c r="Q1831" s="29" t="s">
        <v>352</v>
      </c>
      <c r="R1831" s="8" t="str">
        <f aca="false">B1831&amp;" "&amp;C1831&amp;" "&amp;D1831&amp;" "&amp;E1831&amp;" "&amp;G1831&amp;" "&amp;H1831&amp;" "&amp;J1831&amp;" "&amp;N1831</f>
        <v>Differentials Graphite     CIF South Korea (Diff) (Diff)</v>
      </c>
      <c r="S1831" s="25"/>
      <c r="T1831" s="8"/>
      <c r="U1831" s="8"/>
      <c r="V1831" s="25"/>
      <c r="W1831" s="25"/>
      <c r="X1831" s="25"/>
      <c r="Y1831" s="25"/>
      <c r="Z1831" s="25"/>
      <c r="AA1831" s="25"/>
      <c r="AB1831" s="25"/>
      <c r="AC1831" s="25"/>
      <c r="AD1831" s="25"/>
    </row>
    <row r="1832" customFormat="false" ht="15.75" hidden="false" customHeight="false" outlineLevel="0" collapsed="false">
      <c r="A1832" s="28" t="s">
        <v>2238</v>
      </c>
      <c r="B1832" s="27" t="s">
        <v>438</v>
      </c>
      <c r="C1832" s="27" t="s">
        <v>308</v>
      </c>
      <c r="D1832" s="25"/>
      <c r="E1832" s="25"/>
      <c r="F1832" s="25"/>
      <c r="G1832" s="25"/>
      <c r="H1832" s="25"/>
      <c r="I1832" s="25"/>
      <c r="J1832" s="27" t="s">
        <v>2189</v>
      </c>
      <c r="K1832" s="25" t="str">
        <f aca="false">IFERROR(__xludf.dummyfunction("SPLIT(J1832,"" "")"),"CIF")</f>
        <v>CIF</v>
      </c>
      <c r="L1832" s="28" t="str">
        <f aca="false">IFERROR(__xludf.dummyfunction("""COMPUTED_VALUE"""),"South")</f>
        <v>South</v>
      </c>
      <c r="M1832" s="27" t="str">
        <f aca="false">IFERROR(__xludf.dummyfunction("""COMPUTED_VALUE"""),"Korea")</f>
        <v>Korea</v>
      </c>
      <c r="N1832" s="25" t="str">
        <f aca="false">IFERROR(__xludf.dummyfunction("""COMPUTED_VALUE"""),"(Diff)")</f>
        <v>(Diff)</v>
      </c>
      <c r="O1832" s="25"/>
      <c r="P1832" s="25"/>
      <c r="Q1832" s="29" t="s">
        <v>350</v>
      </c>
      <c r="R1832" s="8" t="str">
        <f aca="false">B1832&amp;" "&amp;C1832&amp;" "&amp;D1832&amp;" "&amp;E1832&amp;" "&amp;G1832&amp;" "&amp;H1832&amp;" "&amp;J1832&amp;" "&amp;N1832</f>
        <v>Differentials Graphite     CIF South Korea (Diff) (Diff)</v>
      </c>
      <c r="S1832" s="25"/>
      <c r="T1832" s="8"/>
      <c r="U1832" s="8"/>
      <c r="V1832" s="25"/>
      <c r="W1832" s="25"/>
      <c r="X1832" s="25"/>
      <c r="Y1832" s="25"/>
      <c r="Z1832" s="25"/>
      <c r="AA1832" s="25"/>
      <c r="AB1832" s="25"/>
      <c r="AC1832" s="25"/>
      <c r="AD1832" s="25"/>
    </row>
    <row r="1833" customFormat="false" ht="15.75" hidden="false" customHeight="false" outlineLevel="0" collapsed="false">
      <c r="A1833" s="28" t="s">
        <v>2239</v>
      </c>
      <c r="B1833" s="27" t="s">
        <v>438</v>
      </c>
      <c r="C1833" s="27" t="s">
        <v>308</v>
      </c>
      <c r="D1833" s="25"/>
      <c r="E1833" s="25"/>
      <c r="F1833" s="25"/>
      <c r="G1833" s="25"/>
      <c r="H1833" s="25"/>
      <c r="I1833" s="25"/>
      <c r="J1833" s="27" t="s">
        <v>2189</v>
      </c>
      <c r="K1833" s="25" t="str">
        <f aca="false">IFERROR(__xludf.dummyfunction("SPLIT(J1833,"" "")"),"CIF")</f>
        <v>CIF</v>
      </c>
      <c r="L1833" s="28" t="str">
        <f aca="false">IFERROR(__xludf.dummyfunction("""COMPUTED_VALUE"""),"South")</f>
        <v>South</v>
      </c>
      <c r="M1833" s="27" t="str">
        <f aca="false">IFERROR(__xludf.dummyfunction("""COMPUTED_VALUE"""),"Korea")</f>
        <v>Korea</v>
      </c>
      <c r="N1833" s="25" t="str">
        <f aca="false">IFERROR(__xludf.dummyfunction("""COMPUTED_VALUE"""),"(Diff)")</f>
        <v>(Diff)</v>
      </c>
      <c r="O1833" s="25"/>
      <c r="P1833" s="25"/>
      <c r="Q1833" s="29" t="s">
        <v>347</v>
      </c>
      <c r="R1833" s="8" t="str">
        <f aca="false">B1833&amp;" "&amp;C1833&amp;" "&amp;D1833&amp;" "&amp;E1833&amp;" "&amp;G1833&amp;" "&amp;H1833&amp;" "&amp;J1833&amp;" "&amp;N1833</f>
        <v>Differentials Graphite     CIF South Korea (Diff) (Diff)</v>
      </c>
      <c r="S1833" s="25"/>
      <c r="T1833" s="8"/>
      <c r="U1833" s="8"/>
      <c r="V1833" s="25"/>
      <c r="W1833" s="25"/>
      <c r="X1833" s="25"/>
      <c r="Y1833" s="25"/>
      <c r="Z1833" s="25"/>
      <c r="AA1833" s="25"/>
      <c r="AB1833" s="25"/>
      <c r="AC1833" s="25"/>
      <c r="AD1833" s="25"/>
    </row>
    <row r="1834" customFormat="false" ht="15.75" hidden="false" customHeight="false" outlineLevel="0" collapsed="false">
      <c r="A1834" s="28" t="s">
        <v>2240</v>
      </c>
      <c r="B1834" s="27" t="s">
        <v>438</v>
      </c>
      <c r="C1834" s="27" t="s">
        <v>308</v>
      </c>
      <c r="D1834" s="25"/>
      <c r="E1834" s="25"/>
      <c r="F1834" s="25"/>
      <c r="G1834" s="25"/>
      <c r="H1834" s="25"/>
      <c r="I1834" s="25"/>
      <c r="J1834" s="27" t="s">
        <v>2189</v>
      </c>
      <c r="K1834" s="25" t="str">
        <f aca="false">IFERROR(__xludf.dummyfunction("SPLIT(J1834,"" "")"),"CIF")</f>
        <v>CIF</v>
      </c>
      <c r="L1834" s="28" t="str">
        <f aca="false">IFERROR(__xludf.dummyfunction("""COMPUTED_VALUE"""),"South")</f>
        <v>South</v>
      </c>
      <c r="M1834" s="27" t="str">
        <f aca="false">IFERROR(__xludf.dummyfunction("""COMPUTED_VALUE"""),"Korea")</f>
        <v>Korea</v>
      </c>
      <c r="N1834" s="25" t="str">
        <f aca="false">IFERROR(__xludf.dummyfunction("""COMPUTED_VALUE"""),"(Diff)")</f>
        <v>(Diff)</v>
      </c>
      <c r="O1834" s="25"/>
      <c r="P1834" s="25"/>
      <c r="Q1834" s="29" t="s">
        <v>344</v>
      </c>
      <c r="R1834" s="8" t="str">
        <f aca="false">B1834&amp;" "&amp;C1834&amp;" "&amp;D1834&amp;" "&amp;E1834&amp;" "&amp;G1834&amp;" "&amp;H1834&amp;" "&amp;J1834&amp;" "&amp;N1834</f>
        <v>Differentials Graphite     CIF South Korea (Diff) (Diff)</v>
      </c>
      <c r="S1834" s="25"/>
      <c r="T1834" s="8"/>
      <c r="U1834" s="8"/>
      <c r="V1834" s="25"/>
      <c r="W1834" s="25"/>
      <c r="X1834" s="25"/>
      <c r="Y1834" s="25"/>
      <c r="Z1834" s="25"/>
      <c r="AA1834" s="25"/>
      <c r="AB1834" s="25"/>
      <c r="AC1834" s="25"/>
      <c r="AD1834" s="25"/>
    </row>
    <row r="1835" customFormat="false" ht="15.75" hidden="false" customHeight="false" outlineLevel="0" collapsed="false">
      <c r="A1835" s="28" t="s">
        <v>2241</v>
      </c>
      <c r="B1835" s="27" t="s">
        <v>438</v>
      </c>
      <c r="C1835" s="27" t="s">
        <v>308</v>
      </c>
      <c r="D1835" s="25"/>
      <c r="E1835" s="25"/>
      <c r="F1835" s="25"/>
      <c r="G1835" s="25"/>
      <c r="H1835" s="25"/>
      <c r="I1835" s="25"/>
      <c r="J1835" s="27" t="s">
        <v>2189</v>
      </c>
      <c r="K1835" s="25" t="str">
        <f aca="false">IFERROR(__xludf.dummyfunction("SPLIT(J1835,"" "")"),"CIF")</f>
        <v>CIF</v>
      </c>
      <c r="L1835" s="28" t="str">
        <f aca="false">IFERROR(__xludf.dummyfunction("""COMPUTED_VALUE"""),"South")</f>
        <v>South</v>
      </c>
      <c r="M1835" s="27" t="str">
        <f aca="false">IFERROR(__xludf.dummyfunction("""COMPUTED_VALUE"""),"Korea")</f>
        <v>Korea</v>
      </c>
      <c r="N1835" s="25" t="str">
        <f aca="false">IFERROR(__xludf.dummyfunction("""COMPUTED_VALUE"""),"(Diff)")</f>
        <v>(Diff)</v>
      </c>
      <c r="O1835" s="25"/>
      <c r="P1835" s="25"/>
      <c r="Q1835" s="29" t="s">
        <v>340</v>
      </c>
      <c r="R1835" s="8" t="str">
        <f aca="false">B1835&amp;" "&amp;C1835&amp;" "&amp;D1835&amp;" "&amp;E1835&amp;" "&amp;G1835&amp;" "&amp;H1835&amp;" "&amp;J1835&amp;" "&amp;N1835</f>
        <v>Differentials Graphite     CIF South Korea (Diff) (Diff)</v>
      </c>
      <c r="S1835" s="25"/>
      <c r="T1835" s="8"/>
      <c r="U1835" s="8"/>
      <c r="V1835" s="25"/>
      <c r="W1835" s="25"/>
      <c r="X1835" s="25"/>
      <c r="Y1835" s="25"/>
      <c r="Z1835" s="25"/>
      <c r="AA1835" s="25"/>
      <c r="AB1835" s="25"/>
      <c r="AC1835" s="25"/>
      <c r="AD1835" s="25"/>
    </row>
    <row r="1836" customFormat="false" ht="15.75" hidden="false" customHeight="false" outlineLevel="0" collapsed="false">
      <c r="A1836" s="28" t="s">
        <v>2242</v>
      </c>
      <c r="B1836" s="27" t="s">
        <v>438</v>
      </c>
      <c r="C1836" s="27" t="s">
        <v>308</v>
      </c>
      <c r="D1836" s="25"/>
      <c r="E1836" s="25"/>
      <c r="F1836" s="25"/>
      <c r="G1836" s="25"/>
      <c r="H1836" s="25"/>
      <c r="I1836" s="25"/>
      <c r="J1836" s="27" t="s">
        <v>2189</v>
      </c>
      <c r="K1836" s="25" t="str">
        <f aca="false">IFERROR(__xludf.dummyfunction("SPLIT(J1836,"" "")"),"CIF")</f>
        <v>CIF</v>
      </c>
      <c r="L1836" s="28" t="str">
        <f aca="false">IFERROR(__xludf.dummyfunction("""COMPUTED_VALUE"""),"South")</f>
        <v>South</v>
      </c>
      <c r="M1836" s="27" t="str">
        <f aca="false">IFERROR(__xludf.dummyfunction("""COMPUTED_VALUE"""),"Korea")</f>
        <v>Korea</v>
      </c>
      <c r="N1836" s="25" t="str">
        <f aca="false">IFERROR(__xludf.dummyfunction("""COMPUTED_VALUE"""),"(Diff)")</f>
        <v>(Diff)</v>
      </c>
      <c r="O1836" s="25"/>
      <c r="P1836" s="25"/>
      <c r="Q1836" s="29" t="s">
        <v>338</v>
      </c>
      <c r="R1836" s="8" t="str">
        <f aca="false">B1836&amp;" "&amp;C1836&amp;" "&amp;D1836&amp;" "&amp;E1836&amp;" "&amp;G1836&amp;" "&amp;H1836&amp;" "&amp;J1836&amp;" "&amp;N1836</f>
        <v>Differentials Graphite     CIF South Korea (Diff) (Diff)</v>
      </c>
      <c r="S1836" s="25"/>
      <c r="T1836" s="8"/>
      <c r="U1836" s="8"/>
      <c r="V1836" s="25"/>
      <c r="W1836" s="25"/>
      <c r="X1836" s="25"/>
      <c r="Y1836" s="25"/>
      <c r="Z1836" s="25"/>
      <c r="AA1836" s="25"/>
      <c r="AB1836" s="25"/>
      <c r="AC1836" s="25"/>
      <c r="AD1836" s="25"/>
    </row>
    <row r="1837" customFormat="false" ht="15.75" hidden="false" customHeight="false" outlineLevel="0" collapsed="false">
      <c r="A1837" s="28" t="s">
        <v>2243</v>
      </c>
      <c r="B1837" s="27" t="s">
        <v>438</v>
      </c>
      <c r="C1837" s="27" t="s">
        <v>308</v>
      </c>
      <c r="D1837" s="25"/>
      <c r="E1837" s="25"/>
      <c r="F1837" s="25"/>
      <c r="G1837" s="25"/>
      <c r="H1837" s="25"/>
      <c r="I1837" s="25"/>
      <c r="J1837" s="27" t="s">
        <v>2189</v>
      </c>
      <c r="K1837" s="25" t="str">
        <f aca="false">IFERROR(__xludf.dummyfunction("SPLIT(J1837,"" "")"),"CIF")</f>
        <v>CIF</v>
      </c>
      <c r="L1837" s="28" t="str">
        <f aca="false">IFERROR(__xludf.dummyfunction("""COMPUTED_VALUE"""),"South")</f>
        <v>South</v>
      </c>
      <c r="M1837" s="27" t="str">
        <f aca="false">IFERROR(__xludf.dummyfunction("""COMPUTED_VALUE"""),"Korea")</f>
        <v>Korea</v>
      </c>
      <c r="N1837" s="25" t="str">
        <f aca="false">IFERROR(__xludf.dummyfunction("""COMPUTED_VALUE"""),"(Diff)")</f>
        <v>(Diff)</v>
      </c>
      <c r="O1837" s="25"/>
      <c r="P1837" s="25"/>
      <c r="Q1837" s="29" t="s">
        <v>335</v>
      </c>
      <c r="R1837" s="8" t="str">
        <f aca="false">B1837&amp;" "&amp;C1837&amp;" "&amp;D1837&amp;" "&amp;E1837&amp;" "&amp;G1837&amp;" "&amp;H1837&amp;" "&amp;J1837&amp;" "&amp;N1837</f>
        <v>Differentials Graphite     CIF South Korea (Diff) (Diff)</v>
      </c>
      <c r="S1837" s="25"/>
      <c r="T1837" s="8"/>
      <c r="U1837" s="8"/>
      <c r="V1837" s="25"/>
      <c r="W1837" s="25"/>
      <c r="X1837" s="25"/>
      <c r="Y1837" s="25"/>
      <c r="Z1837" s="25"/>
      <c r="AA1837" s="25"/>
      <c r="AB1837" s="25"/>
      <c r="AC1837" s="25"/>
      <c r="AD1837" s="25"/>
    </row>
    <row r="1838" customFormat="false" ht="15.75" hidden="false" customHeight="false" outlineLevel="0" collapsed="false">
      <c r="A1838" s="28" t="s">
        <v>2244</v>
      </c>
      <c r="B1838" s="27" t="s">
        <v>438</v>
      </c>
      <c r="C1838" s="27" t="s">
        <v>308</v>
      </c>
      <c r="D1838" s="25"/>
      <c r="E1838" s="25"/>
      <c r="F1838" s="25"/>
      <c r="G1838" s="25"/>
      <c r="H1838" s="25"/>
      <c r="I1838" s="25"/>
      <c r="J1838" s="27" t="s">
        <v>2189</v>
      </c>
      <c r="K1838" s="25" t="str">
        <f aca="false">IFERROR(__xludf.dummyfunction("SPLIT(J1838,"" "")"),"CIF")</f>
        <v>CIF</v>
      </c>
      <c r="L1838" s="28" t="str">
        <f aca="false">IFERROR(__xludf.dummyfunction("""COMPUTED_VALUE"""),"South")</f>
        <v>South</v>
      </c>
      <c r="M1838" s="27" t="str">
        <f aca="false">IFERROR(__xludf.dummyfunction("""COMPUTED_VALUE"""),"Korea")</f>
        <v>Korea</v>
      </c>
      <c r="N1838" s="25" t="str">
        <f aca="false">IFERROR(__xludf.dummyfunction("""COMPUTED_VALUE"""),"(Diff)")</f>
        <v>(Diff)</v>
      </c>
      <c r="O1838" s="25"/>
      <c r="P1838" s="25"/>
      <c r="Q1838" s="29" t="s">
        <v>332</v>
      </c>
      <c r="R1838" s="8" t="str">
        <f aca="false">B1838&amp;" "&amp;C1838&amp;" "&amp;D1838&amp;" "&amp;E1838&amp;" "&amp;G1838&amp;" "&amp;H1838&amp;" "&amp;J1838&amp;" "&amp;N1838</f>
        <v>Differentials Graphite     CIF South Korea (Diff) (Diff)</v>
      </c>
      <c r="S1838" s="25"/>
      <c r="T1838" s="8"/>
      <c r="U1838" s="8"/>
      <c r="V1838" s="25"/>
      <c r="W1838" s="25"/>
      <c r="X1838" s="25"/>
      <c r="Y1838" s="25"/>
      <c r="Z1838" s="25"/>
      <c r="AA1838" s="25"/>
      <c r="AB1838" s="25"/>
      <c r="AC1838" s="25"/>
      <c r="AD1838" s="25"/>
    </row>
    <row r="1839" customFormat="false" ht="15.75" hidden="false" customHeight="false" outlineLevel="0" collapsed="false">
      <c r="A1839" s="28" t="s">
        <v>2245</v>
      </c>
      <c r="B1839" s="27" t="s">
        <v>438</v>
      </c>
      <c r="C1839" s="27" t="s">
        <v>308</v>
      </c>
      <c r="D1839" s="25"/>
      <c r="E1839" s="25"/>
      <c r="F1839" s="25"/>
      <c r="G1839" s="25"/>
      <c r="H1839" s="25"/>
      <c r="I1839" s="25"/>
      <c r="J1839" s="27" t="s">
        <v>2189</v>
      </c>
      <c r="K1839" s="25" t="str">
        <f aca="false">IFERROR(__xludf.dummyfunction("SPLIT(J1839,"" "")"),"CIF")</f>
        <v>CIF</v>
      </c>
      <c r="L1839" s="28" t="str">
        <f aca="false">IFERROR(__xludf.dummyfunction("""COMPUTED_VALUE"""),"South")</f>
        <v>South</v>
      </c>
      <c r="M1839" s="27" t="str">
        <f aca="false">IFERROR(__xludf.dummyfunction("""COMPUTED_VALUE"""),"Korea")</f>
        <v>Korea</v>
      </c>
      <c r="N1839" s="25" t="str">
        <f aca="false">IFERROR(__xludf.dummyfunction("""COMPUTED_VALUE"""),"(Diff)")</f>
        <v>(Diff)</v>
      </c>
      <c r="O1839" s="25"/>
      <c r="P1839" s="25"/>
      <c r="Q1839" s="29" t="s">
        <v>329</v>
      </c>
      <c r="R1839" s="8" t="str">
        <f aca="false">B1839&amp;" "&amp;C1839&amp;" "&amp;D1839&amp;" "&amp;E1839&amp;" "&amp;G1839&amp;" "&amp;H1839&amp;" "&amp;J1839&amp;" "&amp;N1839</f>
        <v>Differentials Graphite     CIF South Korea (Diff) (Diff)</v>
      </c>
      <c r="S1839" s="25"/>
      <c r="T1839" s="8"/>
      <c r="U1839" s="8"/>
      <c r="V1839" s="25"/>
      <c r="W1839" s="25"/>
      <c r="X1839" s="25"/>
      <c r="Y1839" s="25"/>
      <c r="Z1839" s="25"/>
      <c r="AA1839" s="25"/>
      <c r="AB1839" s="25"/>
      <c r="AC1839" s="25"/>
      <c r="AD1839" s="25"/>
    </row>
    <row r="1840" customFormat="false" ht="15.75" hidden="false" customHeight="false" outlineLevel="0" collapsed="false">
      <c r="A1840" s="28" t="s">
        <v>2246</v>
      </c>
      <c r="B1840" s="27" t="s">
        <v>438</v>
      </c>
      <c r="C1840" s="27" t="s">
        <v>308</v>
      </c>
      <c r="D1840" s="25"/>
      <c r="E1840" s="25"/>
      <c r="F1840" s="25"/>
      <c r="G1840" s="25"/>
      <c r="H1840" s="25"/>
      <c r="I1840" s="25"/>
      <c r="J1840" s="27" t="s">
        <v>2189</v>
      </c>
      <c r="K1840" s="25" t="str">
        <f aca="false">IFERROR(__xludf.dummyfunction("SPLIT(J1840,"" "")"),"CIF")</f>
        <v>CIF</v>
      </c>
      <c r="L1840" s="28" t="str">
        <f aca="false">IFERROR(__xludf.dummyfunction("""COMPUTED_VALUE"""),"South")</f>
        <v>South</v>
      </c>
      <c r="M1840" s="27" t="str">
        <f aca="false">IFERROR(__xludf.dummyfunction("""COMPUTED_VALUE"""),"Korea")</f>
        <v>Korea</v>
      </c>
      <c r="N1840" s="25" t="str">
        <f aca="false">IFERROR(__xludf.dummyfunction("""COMPUTED_VALUE"""),"(Diff)")</f>
        <v>(Diff)</v>
      </c>
      <c r="O1840" s="25"/>
      <c r="P1840" s="25"/>
      <c r="Q1840" s="29" t="s">
        <v>326</v>
      </c>
      <c r="R1840" s="8" t="str">
        <f aca="false">B1840&amp;" "&amp;C1840&amp;" "&amp;D1840&amp;" "&amp;E1840&amp;" "&amp;G1840&amp;" "&amp;H1840&amp;" "&amp;J1840&amp;" "&amp;N1840</f>
        <v>Differentials Graphite     CIF South Korea (Diff) (Diff)</v>
      </c>
      <c r="S1840" s="25"/>
      <c r="T1840" s="8"/>
      <c r="U1840" s="8"/>
      <c r="V1840" s="25"/>
      <c r="W1840" s="25"/>
      <c r="X1840" s="25"/>
      <c r="Y1840" s="25"/>
      <c r="Z1840" s="25"/>
      <c r="AA1840" s="25"/>
      <c r="AB1840" s="25"/>
      <c r="AC1840" s="25"/>
      <c r="AD1840" s="25"/>
    </row>
    <row r="1841" customFormat="false" ht="15.75" hidden="false" customHeight="false" outlineLevel="0" collapsed="false">
      <c r="A1841" s="28" t="s">
        <v>2247</v>
      </c>
      <c r="B1841" s="27" t="s">
        <v>438</v>
      </c>
      <c r="C1841" s="27" t="s">
        <v>308</v>
      </c>
      <c r="D1841" s="25"/>
      <c r="E1841" s="25"/>
      <c r="F1841" s="25"/>
      <c r="G1841" s="25"/>
      <c r="H1841" s="25"/>
      <c r="I1841" s="25"/>
      <c r="J1841" s="27" t="s">
        <v>2189</v>
      </c>
      <c r="K1841" s="25" t="str">
        <f aca="false">IFERROR(__xludf.dummyfunction("SPLIT(J1841,"" "")"),"CIF")</f>
        <v>CIF</v>
      </c>
      <c r="L1841" s="28" t="str">
        <f aca="false">IFERROR(__xludf.dummyfunction("""COMPUTED_VALUE"""),"South")</f>
        <v>South</v>
      </c>
      <c r="M1841" s="27" t="str">
        <f aca="false">IFERROR(__xludf.dummyfunction("""COMPUTED_VALUE"""),"Korea")</f>
        <v>Korea</v>
      </c>
      <c r="N1841" s="25" t="str">
        <f aca="false">IFERROR(__xludf.dummyfunction("""COMPUTED_VALUE"""),"(Diff)")</f>
        <v>(Diff)</v>
      </c>
      <c r="O1841" s="25"/>
      <c r="P1841" s="25"/>
      <c r="Q1841" s="29" t="s">
        <v>323</v>
      </c>
      <c r="R1841" s="8" t="str">
        <f aca="false">B1841&amp;" "&amp;C1841&amp;" "&amp;D1841&amp;" "&amp;E1841&amp;" "&amp;G1841&amp;" "&amp;H1841&amp;" "&amp;J1841&amp;" "&amp;N1841</f>
        <v>Differentials Graphite     CIF South Korea (Diff) (Diff)</v>
      </c>
      <c r="S1841" s="25"/>
      <c r="T1841" s="8"/>
      <c r="U1841" s="8"/>
      <c r="V1841" s="25"/>
      <c r="W1841" s="25"/>
      <c r="X1841" s="25"/>
      <c r="Y1841" s="25"/>
      <c r="Z1841" s="25"/>
      <c r="AA1841" s="25"/>
      <c r="AB1841" s="25"/>
      <c r="AC1841" s="25"/>
      <c r="AD1841" s="25"/>
    </row>
    <row r="1842" customFormat="false" ht="15.75" hidden="false" customHeight="false" outlineLevel="0" collapsed="false">
      <c r="A1842" s="28" t="s">
        <v>2248</v>
      </c>
      <c r="B1842" s="27" t="s">
        <v>438</v>
      </c>
      <c r="C1842" s="27" t="s">
        <v>308</v>
      </c>
      <c r="D1842" s="25"/>
      <c r="E1842" s="25"/>
      <c r="F1842" s="25"/>
      <c r="G1842" s="25"/>
      <c r="H1842" s="25"/>
      <c r="I1842" s="25"/>
      <c r="J1842" s="27" t="s">
        <v>2189</v>
      </c>
      <c r="K1842" s="25" t="str">
        <f aca="false">IFERROR(__xludf.dummyfunction("SPLIT(J1842,"" "")"),"CIF")</f>
        <v>CIF</v>
      </c>
      <c r="L1842" s="28" t="str">
        <f aca="false">IFERROR(__xludf.dummyfunction("""COMPUTED_VALUE"""),"South")</f>
        <v>South</v>
      </c>
      <c r="M1842" s="27" t="str">
        <f aca="false">IFERROR(__xludf.dummyfunction("""COMPUTED_VALUE"""),"Korea")</f>
        <v>Korea</v>
      </c>
      <c r="N1842" s="25" t="str">
        <f aca="false">IFERROR(__xludf.dummyfunction("""COMPUTED_VALUE"""),"(Diff)")</f>
        <v>(Diff)</v>
      </c>
      <c r="O1842" s="25"/>
      <c r="P1842" s="25"/>
      <c r="Q1842" s="29" t="s">
        <v>319</v>
      </c>
      <c r="R1842" s="8" t="str">
        <f aca="false">B1842&amp;" "&amp;C1842&amp;" "&amp;D1842&amp;" "&amp;E1842&amp;" "&amp;G1842&amp;" "&amp;H1842&amp;" "&amp;J1842&amp;" "&amp;N1842</f>
        <v>Differentials Graphite     CIF South Korea (Diff) (Diff)</v>
      </c>
      <c r="S1842" s="25"/>
      <c r="T1842" s="8"/>
      <c r="U1842" s="8"/>
      <c r="V1842" s="25"/>
      <c r="W1842" s="25"/>
      <c r="X1842" s="25"/>
      <c r="Y1842" s="25"/>
      <c r="Z1842" s="25"/>
      <c r="AA1842" s="25"/>
      <c r="AB1842" s="25"/>
      <c r="AC1842" s="25"/>
      <c r="AD1842" s="25"/>
    </row>
    <row r="1843" customFormat="false" ht="15.75" hidden="false" customHeight="false" outlineLevel="0" collapsed="false">
      <c r="A1843" s="28" t="s">
        <v>2249</v>
      </c>
      <c r="B1843" s="27" t="s">
        <v>438</v>
      </c>
      <c r="C1843" s="27" t="s">
        <v>308</v>
      </c>
      <c r="D1843" s="25"/>
      <c r="E1843" s="25"/>
      <c r="F1843" s="25"/>
      <c r="G1843" s="25"/>
      <c r="H1843" s="25"/>
      <c r="I1843" s="25"/>
      <c r="J1843" s="27" t="s">
        <v>2189</v>
      </c>
      <c r="K1843" s="25" t="str">
        <f aca="false">IFERROR(__xludf.dummyfunction("SPLIT(J1843,"" "")"),"CIF")</f>
        <v>CIF</v>
      </c>
      <c r="L1843" s="28" t="str">
        <f aca="false">IFERROR(__xludf.dummyfunction("""COMPUTED_VALUE"""),"South")</f>
        <v>South</v>
      </c>
      <c r="M1843" s="27" t="str">
        <f aca="false">IFERROR(__xludf.dummyfunction("""COMPUTED_VALUE"""),"Korea")</f>
        <v>Korea</v>
      </c>
      <c r="N1843" s="25" t="str">
        <f aca="false">IFERROR(__xludf.dummyfunction("""COMPUTED_VALUE"""),"(Diff)")</f>
        <v>(Diff)</v>
      </c>
      <c r="O1843" s="25"/>
      <c r="P1843" s="25"/>
      <c r="Q1843" s="29" t="s">
        <v>315</v>
      </c>
      <c r="R1843" s="8" t="str">
        <f aca="false">B1843&amp;" "&amp;C1843&amp;" "&amp;D1843&amp;" "&amp;E1843&amp;" "&amp;G1843&amp;" "&amp;H1843&amp;" "&amp;J1843&amp;" "&amp;N1843</f>
        <v>Differentials Graphite     CIF South Korea (Diff) (Diff)</v>
      </c>
      <c r="S1843" s="25"/>
      <c r="T1843" s="8"/>
      <c r="U1843" s="8"/>
      <c r="V1843" s="25"/>
      <c r="W1843" s="25"/>
      <c r="X1843" s="25"/>
      <c r="Y1843" s="25"/>
      <c r="Z1843" s="25"/>
      <c r="AA1843" s="25"/>
      <c r="AB1843" s="25"/>
      <c r="AC1843" s="25"/>
      <c r="AD1843" s="25"/>
    </row>
    <row r="1844" customFormat="false" ht="15.75" hidden="false" customHeight="false" outlineLevel="0" collapsed="false">
      <c r="A1844" s="28" t="s">
        <v>2250</v>
      </c>
      <c r="B1844" s="27" t="s">
        <v>438</v>
      </c>
      <c r="C1844" s="27" t="s">
        <v>308</v>
      </c>
      <c r="D1844" s="25"/>
      <c r="E1844" s="25"/>
      <c r="F1844" s="25"/>
      <c r="G1844" s="25"/>
      <c r="H1844" s="25"/>
      <c r="I1844" s="25"/>
      <c r="J1844" s="27" t="s">
        <v>2189</v>
      </c>
      <c r="K1844" s="25" t="str">
        <f aca="false">IFERROR(__xludf.dummyfunction("SPLIT(J1844,"" "")"),"CIF")</f>
        <v>CIF</v>
      </c>
      <c r="L1844" s="28" t="str">
        <f aca="false">IFERROR(__xludf.dummyfunction("""COMPUTED_VALUE"""),"South")</f>
        <v>South</v>
      </c>
      <c r="M1844" s="27" t="str">
        <f aca="false">IFERROR(__xludf.dummyfunction("""COMPUTED_VALUE"""),"Korea")</f>
        <v>Korea</v>
      </c>
      <c r="N1844" s="25" t="str">
        <f aca="false">IFERROR(__xludf.dummyfunction("""COMPUTED_VALUE"""),"(Diff)")</f>
        <v>(Diff)</v>
      </c>
      <c r="O1844" s="25"/>
      <c r="P1844" s="25"/>
      <c r="Q1844" s="29" t="s">
        <v>311</v>
      </c>
      <c r="R1844" s="8" t="str">
        <f aca="false">B1844&amp;" "&amp;C1844&amp;" "&amp;D1844&amp;" "&amp;E1844&amp;" "&amp;G1844&amp;" "&amp;H1844&amp;" "&amp;J1844&amp;" "&amp;N1844</f>
        <v>Differentials Graphite     CIF South Korea (Diff) (Diff)</v>
      </c>
      <c r="S1844" s="25"/>
      <c r="T1844" s="8"/>
      <c r="U1844" s="8"/>
      <c r="V1844" s="25"/>
      <c r="W1844" s="25"/>
      <c r="X1844" s="25"/>
      <c r="Y1844" s="25"/>
      <c r="Z1844" s="25"/>
      <c r="AA1844" s="25"/>
      <c r="AB1844" s="25"/>
      <c r="AC1844" s="25"/>
      <c r="AD1844" s="25"/>
    </row>
    <row r="1845" customFormat="false" ht="15.75" hidden="false" customHeight="false" outlineLevel="0" collapsed="false">
      <c r="A1845" s="28" t="s">
        <v>2251</v>
      </c>
      <c r="B1845" s="27" t="s">
        <v>438</v>
      </c>
      <c r="C1845" s="27" t="s">
        <v>360</v>
      </c>
      <c r="D1845" s="25"/>
      <c r="E1845" s="25"/>
      <c r="F1845" s="25"/>
      <c r="G1845" s="25"/>
      <c r="H1845" s="25"/>
      <c r="I1845" s="25"/>
      <c r="J1845" s="27" t="s">
        <v>2189</v>
      </c>
      <c r="K1845" s="25" t="str">
        <f aca="false">IFERROR(__xludf.dummyfunction("SPLIT(J1845,"" "")"),"CIF")</f>
        <v>CIF</v>
      </c>
      <c r="L1845" s="28" t="str">
        <f aca="false">IFERROR(__xludf.dummyfunction("""COMPUTED_VALUE"""),"South")</f>
        <v>South</v>
      </c>
      <c r="M1845" s="27" t="str">
        <f aca="false">IFERROR(__xludf.dummyfunction("""COMPUTED_VALUE"""),"Korea")</f>
        <v>Korea</v>
      </c>
      <c r="N1845" s="25" t="str">
        <f aca="false">IFERROR(__xludf.dummyfunction("""COMPUTED_VALUE"""),"(Diff)")</f>
        <v>(Diff)</v>
      </c>
      <c r="O1845" s="25"/>
      <c r="P1845" s="25"/>
      <c r="Q1845" s="29" t="s">
        <v>368</v>
      </c>
      <c r="R1845" s="8" t="str">
        <f aca="false">B1845&amp;" "&amp;C1845&amp;" "&amp;D1845&amp;" "&amp;E1845&amp;" "&amp;G1845&amp;" "&amp;H1845&amp;" "&amp;J1845&amp;" "&amp;N1845</f>
        <v>Differentials Lithium     CIF South Korea (Diff) (Diff)</v>
      </c>
      <c r="S1845" s="25"/>
      <c r="T1845" s="8"/>
      <c r="U1845" s="8"/>
      <c r="V1845" s="25"/>
      <c r="W1845" s="25"/>
      <c r="X1845" s="25"/>
      <c r="Y1845" s="25"/>
      <c r="Z1845" s="25"/>
      <c r="AA1845" s="25"/>
      <c r="AB1845" s="25"/>
      <c r="AC1845" s="25"/>
      <c r="AD1845" s="25"/>
    </row>
    <row r="1846" customFormat="false" ht="15.75" hidden="false" customHeight="false" outlineLevel="0" collapsed="false">
      <c r="A1846" s="28" t="s">
        <v>2252</v>
      </c>
      <c r="B1846" s="27" t="s">
        <v>438</v>
      </c>
      <c r="C1846" s="27" t="s">
        <v>360</v>
      </c>
      <c r="D1846" s="25"/>
      <c r="E1846" s="25"/>
      <c r="F1846" s="25"/>
      <c r="G1846" s="25"/>
      <c r="H1846" s="25"/>
      <c r="I1846" s="25"/>
      <c r="J1846" s="27" t="s">
        <v>2189</v>
      </c>
      <c r="K1846" s="25" t="str">
        <f aca="false">IFERROR(__xludf.dummyfunction("SPLIT(J1846,"" "")"),"CIF")</f>
        <v>CIF</v>
      </c>
      <c r="L1846" s="28" t="str">
        <f aca="false">IFERROR(__xludf.dummyfunction("""COMPUTED_VALUE"""),"South")</f>
        <v>South</v>
      </c>
      <c r="M1846" s="27" t="str">
        <f aca="false">IFERROR(__xludf.dummyfunction("""COMPUTED_VALUE"""),"Korea")</f>
        <v>Korea</v>
      </c>
      <c r="N1846" s="25" t="str">
        <f aca="false">IFERROR(__xludf.dummyfunction("""COMPUTED_VALUE"""),"(Diff)")</f>
        <v>(Diff)</v>
      </c>
      <c r="O1846" s="25"/>
      <c r="P1846" s="25"/>
      <c r="Q1846" s="29" t="s">
        <v>366</v>
      </c>
      <c r="R1846" s="8" t="str">
        <f aca="false">B1846&amp;" "&amp;C1846&amp;" "&amp;D1846&amp;" "&amp;E1846&amp;" "&amp;G1846&amp;" "&amp;H1846&amp;" "&amp;J1846&amp;" "&amp;N1846</f>
        <v>Differentials Lithium     CIF South Korea (Diff) (Diff)</v>
      </c>
      <c r="S1846" s="25"/>
      <c r="T1846" s="8"/>
      <c r="U1846" s="8"/>
      <c r="V1846" s="25"/>
      <c r="W1846" s="25"/>
      <c r="X1846" s="25"/>
      <c r="Y1846" s="25"/>
      <c r="Z1846" s="25"/>
      <c r="AA1846" s="25"/>
      <c r="AB1846" s="25"/>
      <c r="AC1846" s="25"/>
      <c r="AD1846" s="25"/>
    </row>
    <row r="1847" customFormat="false" ht="15.75" hidden="false" customHeight="false" outlineLevel="0" collapsed="false">
      <c r="A1847" s="28" t="s">
        <v>2253</v>
      </c>
      <c r="B1847" s="27" t="s">
        <v>438</v>
      </c>
      <c r="C1847" s="27" t="s">
        <v>360</v>
      </c>
      <c r="D1847" s="25"/>
      <c r="E1847" s="25"/>
      <c r="F1847" s="25"/>
      <c r="G1847" s="25"/>
      <c r="H1847" s="25"/>
      <c r="I1847" s="25"/>
      <c r="J1847" s="27" t="s">
        <v>2189</v>
      </c>
      <c r="K1847" s="25" t="str">
        <f aca="false">IFERROR(__xludf.dummyfunction("SPLIT(J1847,"" "")"),"CIF")</f>
        <v>CIF</v>
      </c>
      <c r="L1847" s="28" t="str">
        <f aca="false">IFERROR(__xludf.dummyfunction("""COMPUTED_VALUE"""),"South")</f>
        <v>South</v>
      </c>
      <c r="M1847" s="27" t="str">
        <f aca="false">IFERROR(__xludf.dummyfunction("""COMPUTED_VALUE"""),"Korea")</f>
        <v>Korea</v>
      </c>
      <c r="N1847" s="25" t="str">
        <f aca="false">IFERROR(__xludf.dummyfunction("""COMPUTED_VALUE"""),"(Diff)")</f>
        <v>(Diff)</v>
      </c>
      <c r="O1847" s="25"/>
      <c r="P1847" s="25"/>
      <c r="Q1847" s="29" t="s">
        <v>361</v>
      </c>
      <c r="R1847" s="8" t="str">
        <f aca="false">B1847&amp;" "&amp;C1847&amp;" "&amp;D1847&amp;" "&amp;E1847&amp;" "&amp;G1847&amp;" "&amp;H1847&amp;" "&amp;J1847&amp;" "&amp;N1847</f>
        <v>Differentials Lithium     CIF South Korea (Diff) (Diff)</v>
      </c>
      <c r="S1847" s="25"/>
      <c r="T1847" s="8"/>
      <c r="U1847" s="8"/>
      <c r="V1847" s="25"/>
      <c r="W1847" s="25"/>
      <c r="X1847" s="25"/>
      <c r="Y1847" s="25"/>
      <c r="Z1847" s="25"/>
      <c r="AA1847" s="25"/>
      <c r="AB1847" s="25"/>
      <c r="AC1847" s="25"/>
      <c r="AD1847" s="25"/>
    </row>
    <row r="1848" customFormat="false" ht="15.75" hidden="false" customHeight="false" outlineLevel="0" collapsed="false">
      <c r="A1848" s="28" t="s">
        <v>2254</v>
      </c>
      <c r="B1848" s="27" t="s">
        <v>438</v>
      </c>
      <c r="C1848" s="27" t="s">
        <v>360</v>
      </c>
      <c r="D1848" s="25"/>
      <c r="E1848" s="25"/>
      <c r="F1848" s="25"/>
      <c r="G1848" s="25"/>
      <c r="H1848" s="25"/>
      <c r="I1848" s="25"/>
      <c r="J1848" s="27" t="s">
        <v>2189</v>
      </c>
      <c r="K1848" s="25" t="str">
        <f aca="false">IFERROR(__xludf.dummyfunction("SPLIT(J1848,"" "")"),"CIF")</f>
        <v>CIF</v>
      </c>
      <c r="L1848" s="28" t="str">
        <f aca="false">IFERROR(__xludf.dummyfunction("""COMPUTED_VALUE"""),"South")</f>
        <v>South</v>
      </c>
      <c r="M1848" s="27" t="str">
        <f aca="false">IFERROR(__xludf.dummyfunction("""COMPUTED_VALUE"""),"Korea")</f>
        <v>Korea</v>
      </c>
      <c r="N1848" s="25" t="str">
        <f aca="false">IFERROR(__xludf.dummyfunction("""COMPUTED_VALUE"""),"(Diff)")</f>
        <v>(Diff)</v>
      </c>
      <c r="O1848" s="25"/>
      <c r="P1848" s="25"/>
      <c r="Q1848" s="29" t="s">
        <v>363</v>
      </c>
      <c r="R1848" s="8" t="str">
        <f aca="false">B1848&amp;" "&amp;C1848&amp;" "&amp;D1848&amp;" "&amp;E1848&amp;" "&amp;G1848&amp;" "&amp;H1848&amp;" "&amp;J1848&amp;" "&amp;N1848</f>
        <v>Differentials Lithium     CIF South Korea (Diff) (Diff)</v>
      </c>
      <c r="S1848" s="25"/>
      <c r="T1848" s="8"/>
      <c r="U1848" s="8"/>
      <c r="V1848" s="25"/>
      <c r="W1848" s="25"/>
      <c r="X1848" s="25"/>
      <c r="Y1848" s="25"/>
      <c r="Z1848" s="25"/>
      <c r="AA1848" s="25"/>
      <c r="AB1848" s="25"/>
      <c r="AC1848" s="25"/>
      <c r="AD1848" s="25"/>
    </row>
    <row r="1849" customFormat="false" ht="15.75" hidden="false" customHeight="false" outlineLevel="0" collapsed="false">
      <c r="A1849" s="28" t="s">
        <v>2255</v>
      </c>
      <c r="B1849" s="27" t="s">
        <v>438</v>
      </c>
      <c r="C1849" s="27" t="s">
        <v>360</v>
      </c>
      <c r="D1849" s="25"/>
      <c r="E1849" s="25"/>
      <c r="F1849" s="25"/>
      <c r="G1849" s="25"/>
      <c r="H1849" s="25"/>
      <c r="I1849" s="25"/>
      <c r="J1849" s="27" t="s">
        <v>2189</v>
      </c>
      <c r="K1849" s="25" t="str">
        <f aca="false">IFERROR(__xludf.dummyfunction("SPLIT(J1849,"" "")"),"CIF")</f>
        <v>CIF</v>
      </c>
      <c r="L1849" s="28" t="str">
        <f aca="false">IFERROR(__xludf.dummyfunction("""COMPUTED_VALUE"""),"South")</f>
        <v>South</v>
      </c>
      <c r="M1849" s="27" t="str">
        <f aca="false">IFERROR(__xludf.dummyfunction("""COMPUTED_VALUE"""),"Korea")</f>
        <v>Korea</v>
      </c>
      <c r="N1849" s="25" t="str">
        <f aca="false">IFERROR(__xludf.dummyfunction("""COMPUTED_VALUE"""),"(Diff)")</f>
        <v>(Diff)</v>
      </c>
      <c r="O1849" s="25"/>
      <c r="P1849" s="25"/>
      <c r="Q1849" s="29" t="s">
        <v>361</v>
      </c>
      <c r="R1849" s="8" t="str">
        <f aca="false">B1849&amp;" "&amp;C1849&amp;" "&amp;D1849&amp;" "&amp;E1849&amp;" "&amp;G1849&amp;" "&amp;H1849&amp;" "&amp;J1849&amp;" "&amp;N1849</f>
        <v>Differentials Lithium     CIF South Korea (Diff) (Diff)</v>
      </c>
      <c r="S1849" s="25"/>
      <c r="T1849" s="8"/>
      <c r="U1849" s="8"/>
      <c r="V1849" s="25"/>
      <c r="W1849" s="25"/>
      <c r="X1849" s="25"/>
      <c r="Y1849" s="25"/>
      <c r="Z1849" s="25"/>
      <c r="AA1849" s="25"/>
      <c r="AB1849" s="25"/>
      <c r="AC1849" s="25"/>
      <c r="AD1849" s="25"/>
    </row>
    <row r="1850" customFormat="false" ht="15.75" hidden="false" customHeight="false" outlineLevel="0" collapsed="false">
      <c r="A1850" s="28" t="s">
        <v>2256</v>
      </c>
      <c r="B1850" s="27" t="s">
        <v>438</v>
      </c>
      <c r="C1850" s="27" t="s">
        <v>370</v>
      </c>
      <c r="D1850" s="25"/>
      <c r="E1850" s="25"/>
      <c r="F1850" s="25"/>
      <c r="G1850" s="25"/>
      <c r="H1850" s="25"/>
      <c r="I1850" s="25"/>
      <c r="J1850" s="27" t="s">
        <v>2189</v>
      </c>
      <c r="K1850" s="25" t="str">
        <f aca="false">IFERROR(__xludf.dummyfunction("SPLIT(J1850,"" "")"),"CIF")</f>
        <v>CIF</v>
      </c>
      <c r="L1850" s="28" t="str">
        <f aca="false">IFERROR(__xludf.dummyfunction("""COMPUTED_VALUE"""),"South")</f>
        <v>South</v>
      </c>
      <c r="M1850" s="27" t="str">
        <f aca="false">IFERROR(__xludf.dummyfunction("""COMPUTED_VALUE"""),"Korea")</f>
        <v>Korea</v>
      </c>
      <c r="N1850" s="25" t="str">
        <f aca="false">IFERROR(__xludf.dummyfunction("""COMPUTED_VALUE"""),"(Diff)")</f>
        <v>(Diff)</v>
      </c>
      <c r="O1850" s="25"/>
      <c r="P1850" s="25"/>
      <c r="Q1850" s="29" t="s">
        <v>374</v>
      </c>
      <c r="R1850" s="8" t="str">
        <f aca="false">B1850&amp;" "&amp;C1850&amp;" "&amp;D1850&amp;" "&amp;E1850&amp;" "&amp;G1850&amp;" "&amp;H1850&amp;" "&amp;J1850&amp;" "&amp;N1850</f>
        <v>Differentials Manganese     CIF South Korea (Diff) (Diff)</v>
      </c>
      <c r="S1850" s="25"/>
      <c r="T1850" s="8"/>
      <c r="U1850" s="8"/>
      <c r="V1850" s="25"/>
      <c r="W1850" s="25"/>
      <c r="X1850" s="25"/>
      <c r="Y1850" s="25"/>
      <c r="Z1850" s="25"/>
      <c r="AA1850" s="25"/>
      <c r="AB1850" s="25"/>
      <c r="AC1850" s="25"/>
      <c r="AD1850" s="25"/>
    </row>
    <row r="1851" customFormat="false" ht="15.75" hidden="false" customHeight="false" outlineLevel="0" collapsed="false">
      <c r="A1851" s="28" t="s">
        <v>2257</v>
      </c>
      <c r="B1851" s="27" t="s">
        <v>438</v>
      </c>
      <c r="C1851" s="27" t="s">
        <v>370</v>
      </c>
      <c r="D1851" s="25"/>
      <c r="E1851" s="25"/>
      <c r="F1851" s="25"/>
      <c r="G1851" s="25"/>
      <c r="H1851" s="25"/>
      <c r="I1851" s="25"/>
      <c r="J1851" s="27" t="s">
        <v>2189</v>
      </c>
      <c r="K1851" s="25" t="str">
        <f aca="false">IFERROR(__xludf.dummyfunction("SPLIT(J1851,"" "")"),"CIF")</f>
        <v>CIF</v>
      </c>
      <c r="L1851" s="28" t="str">
        <f aca="false">IFERROR(__xludf.dummyfunction("""COMPUTED_VALUE"""),"South")</f>
        <v>South</v>
      </c>
      <c r="M1851" s="27" t="str">
        <f aca="false">IFERROR(__xludf.dummyfunction("""COMPUTED_VALUE"""),"Korea")</f>
        <v>Korea</v>
      </c>
      <c r="N1851" s="25" t="str">
        <f aca="false">IFERROR(__xludf.dummyfunction("""COMPUTED_VALUE"""),"(Diff)")</f>
        <v>(Diff)</v>
      </c>
      <c r="O1851" s="25"/>
      <c r="P1851" s="25"/>
      <c r="Q1851" s="29" t="s">
        <v>371</v>
      </c>
      <c r="R1851" s="8" t="str">
        <f aca="false">B1851&amp;" "&amp;C1851&amp;" "&amp;D1851&amp;" "&amp;E1851&amp;" "&amp;G1851&amp;" "&amp;H1851&amp;" "&amp;J1851&amp;" "&amp;N1851</f>
        <v>Differentials Manganese     CIF South Korea (Diff) (Diff)</v>
      </c>
      <c r="S1851" s="25"/>
      <c r="T1851" s="8"/>
      <c r="U1851" s="8"/>
      <c r="V1851" s="25"/>
      <c r="W1851" s="25"/>
      <c r="X1851" s="25"/>
      <c r="Y1851" s="25"/>
      <c r="Z1851" s="25"/>
      <c r="AA1851" s="25"/>
      <c r="AB1851" s="25"/>
      <c r="AC1851" s="25"/>
      <c r="AD1851" s="25"/>
    </row>
    <row r="1852" customFormat="false" ht="15.75" hidden="false" customHeight="false" outlineLevel="0" collapsed="false">
      <c r="A1852" s="28" t="s">
        <v>2258</v>
      </c>
      <c r="B1852" s="27" t="s">
        <v>438</v>
      </c>
      <c r="C1852" s="27" t="s">
        <v>376</v>
      </c>
      <c r="D1852" s="25"/>
      <c r="E1852" s="25"/>
      <c r="F1852" s="25"/>
      <c r="G1852" s="25"/>
      <c r="H1852" s="25"/>
      <c r="I1852" s="25"/>
      <c r="J1852" s="27" t="s">
        <v>2189</v>
      </c>
      <c r="K1852" s="25" t="str">
        <f aca="false">IFERROR(__xludf.dummyfunction("SPLIT(J1852,"" "")"),"CIF")</f>
        <v>CIF</v>
      </c>
      <c r="L1852" s="28" t="str">
        <f aca="false">IFERROR(__xludf.dummyfunction("""COMPUTED_VALUE"""),"South")</f>
        <v>South</v>
      </c>
      <c r="M1852" s="27" t="str">
        <f aca="false">IFERROR(__xludf.dummyfunction("""COMPUTED_VALUE"""),"Korea")</f>
        <v>Korea</v>
      </c>
      <c r="N1852" s="25" t="str">
        <f aca="false">IFERROR(__xludf.dummyfunction("""COMPUTED_VALUE"""),"(Diff)")</f>
        <v>(Diff)</v>
      </c>
      <c r="O1852" s="25"/>
      <c r="P1852" s="25"/>
      <c r="Q1852" s="29" t="s">
        <v>381</v>
      </c>
      <c r="R1852" s="8" t="str">
        <f aca="false">B1852&amp;" "&amp;C1852&amp;" "&amp;D1852&amp;" "&amp;E1852&amp;" "&amp;G1852&amp;" "&amp;H1852&amp;" "&amp;J1852&amp;" "&amp;N1852</f>
        <v>Differentials Nickel     CIF South Korea (Diff) (Diff)</v>
      </c>
      <c r="S1852" s="25"/>
      <c r="T1852" s="8"/>
      <c r="U1852" s="8"/>
      <c r="V1852" s="25"/>
      <c r="W1852" s="25"/>
      <c r="X1852" s="25"/>
      <c r="Y1852" s="25"/>
      <c r="Z1852" s="25"/>
      <c r="AA1852" s="25"/>
      <c r="AB1852" s="25"/>
      <c r="AC1852" s="25"/>
      <c r="AD1852" s="25"/>
    </row>
    <row r="1853" customFormat="false" ht="15.75" hidden="false" customHeight="false" outlineLevel="0" collapsed="false">
      <c r="A1853" s="28" t="s">
        <v>2259</v>
      </c>
      <c r="B1853" s="27" t="s">
        <v>438</v>
      </c>
      <c r="C1853" s="27" t="s">
        <v>376</v>
      </c>
      <c r="D1853" s="25"/>
      <c r="E1853" s="25"/>
      <c r="F1853" s="25"/>
      <c r="G1853" s="25"/>
      <c r="H1853" s="25"/>
      <c r="I1853" s="25"/>
      <c r="J1853" s="27" t="s">
        <v>2189</v>
      </c>
      <c r="K1853" s="25" t="str">
        <f aca="false">IFERROR(__xludf.dummyfunction("SPLIT(J1853,"" "")"),"CIF")</f>
        <v>CIF</v>
      </c>
      <c r="L1853" s="28" t="str">
        <f aca="false">IFERROR(__xludf.dummyfunction("""COMPUTED_VALUE"""),"South")</f>
        <v>South</v>
      </c>
      <c r="M1853" s="27" t="str">
        <f aca="false">IFERROR(__xludf.dummyfunction("""COMPUTED_VALUE"""),"Korea")</f>
        <v>Korea</v>
      </c>
      <c r="N1853" s="25" t="str">
        <f aca="false">IFERROR(__xludf.dummyfunction("""COMPUTED_VALUE"""),"(Diff)")</f>
        <v>(Diff)</v>
      </c>
      <c r="O1853" s="25"/>
      <c r="P1853" s="25"/>
      <c r="Q1853" s="29" t="s">
        <v>379</v>
      </c>
      <c r="R1853" s="8" t="str">
        <f aca="false">B1853&amp;" "&amp;C1853&amp;" "&amp;D1853&amp;" "&amp;E1853&amp;" "&amp;G1853&amp;" "&amp;H1853&amp;" "&amp;J1853&amp;" "&amp;N1853</f>
        <v>Differentials Nickel     CIF South Korea (Diff) (Diff)</v>
      </c>
      <c r="S1853" s="25"/>
      <c r="T1853" s="8"/>
      <c r="U1853" s="8"/>
      <c r="V1853" s="25"/>
      <c r="W1853" s="25"/>
      <c r="X1853" s="25"/>
      <c r="Y1853" s="25"/>
      <c r="Z1853" s="25"/>
      <c r="AA1853" s="25"/>
      <c r="AB1853" s="25"/>
      <c r="AC1853" s="25"/>
      <c r="AD1853" s="25"/>
    </row>
    <row r="1854" customFormat="false" ht="15.75" hidden="false" customHeight="false" outlineLevel="0" collapsed="false">
      <c r="A1854" s="28" t="s">
        <v>2260</v>
      </c>
      <c r="B1854" s="27" t="s">
        <v>438</v>
      </c>
      <c r="C1854" s="27" t="s">
        <v>376</v>
      </c>
      <c r="D1854" s="25"/>
      <c r="E1854" s="25"/>
      <c r="F1854" s="25"/>
      <c r="G1854" s="25"/>
      <c r="H1854" s="25"/>
      <c r="I1854" s="25"/>
      <c r="J1854" s="27" t="s">
        <v>2189</v>
      </c>
      <c r="K1854" s="25" t="str">
        <f aca="false">IFERROR(__xludf.dummyfunction("SPLIT(J1854,"" "")"),"CIF")</f>
        <v>CIF</v>
      </c>
      <c r="L1854" s="28" t="str">
        <f aca="false">IFERROR(__xludf.dummyfunction("""COMPUTED_VALUE"""),"South")</f>
        <v>South</v>
      </c>
      <c r="M1854" s="27" t="str">
        <f aca="false">IFERROR(__xludf.dummyfunction("""COMPUTED_VALUE"""),"Korea")</f>
        <v>Korea</v>
      </c>
      <c r="N1854" s="25" t="str">
        <f aca="false">IFERROR(__xludf.dummyfunction("""COMPUTED_VALUE"""),"(Diff)")</f>
        <v>(Diff)</v>
      </c>
      <c r="O1854" s="25"/>
      <c r="P1854" s="25"/>
      <c r="Q1854" s="29" t="s">
        <v>377</v>
      </c>
      <c r="R1854" s="8" t="str">
        <f aca="false">B1854&amp;" "&amp;C1854&amp;" "&amp;D1854&amp;" "&amp;E1854&amp;" "&amp;G1854&amp;" "&amp;H1854&amp;" "&amp;J1854&amp;" "&amp;N1854</f>
        <v>Differentials Nickel     CIF South Korea (Diff) (Diff)</v>
      </c>
      <c r="S1854" s="25"/>
      <c r="T1854" s="8"/>
      <c r="U1854" s="8"/>
      <c r="V1854" s="25"/>
      <c r="W1854" s="25"/>
      <c r="X1854" s="25"/>
      <c r="Y1854" s="25"/>
      <c r="Z1854" s="25"/>
      <c r="AA1854" s="25"/>
      <c r="AB1854" s="25"/>
      <c r="AC1854" s="25"/>
      <c r="AD1854" s="25"/>
    </row>
    <row r="1855" customFormat="false" ht="15.75" hidden="false" customHeight="false" outlineLevel="0" collapsed="false">
      <c r="A1855" s="28" t="s">
        <v>2261</v>
      </c>
      <c r="B1855" s="27" t="s">
        <v>438</v>
      </c>
      <c r="C1855" s="27" t="s">
        <v>383</v>
      </c>
      <c r="D1855" s="25"/>
      <c r="E1855" s="25"/>
      <c r="F1855" s="25"/>
      <c r="G1855" s="25"/>
      <c r="H1855" s="25"/>
      <c r="I1855" s="25"/>
      <c r="J1855" s="27" t="s">
        <v>2189</v>
      </c>
      <c r="K1855" s="25" t="str">
        <f aca="false">IFERROR(__xludf.dummyfunction("SPLIT(J1855,"" "")"),"CIF")</f>
        <v>CIF</v>
      </c>
      <c r="L1855" s="28" t="str">
        <f aca="false">IFERROR(__xludf.dummyfunction("""COMPUTED_VALUE"""),"South")</f>
        <v>South</v>
      </c>
      <c r="M1855" s="27" t="str">
        <f aca="false">IFERROR(__xludf.dummyfunction("""COMPUTED_VALUE"""),"Korea")</f>
        <v>Korea</v>
      </c>
      <c r="N1855" s="25" t="str">
        <f aca="false">IFERROR(__xludf.dummyfunction("""COMPUTED_VALUE"""),"(Diff)")</f>
        <v>(Diff)</v>
      </c>
      <c r="O1855" s="25"/>
      <c r="P1855" s="25"/>
      <c r="Q1855" s="29" t="s">
        <v>406</v>
      </c>
      <c r="R1855" s="8" t="str">
        <f aca="false">B1855&amp;" "&amp;C1855&amp;" "&amp;D1855&amp;" "&amp;E1855&amp;" "&amp;G1855&amp;" "&amp;H1855&amp;" "&amp;J1855&amp;" "&amp;N1855</f>
        <v>Differentials Precursor     CIF South Korea (Diff) (Diff)</v>
      </c>
      <c r="S1855" s="25"/>
      <c r="T1855" s="8"/>
      <c r="U1855" s="8"/>
      <c r="V1855" s="25"/>
      <c r="W1855" s="25"/>
      <c r="X1855" s="25"/>
      <c r="Y1855" s="25"/>
      <c r="Z1855" s="25"/>
      <c r="AA1855" s="25"/>
      <c r="AB1855" s="25"/>
      <c r="AC1855" s="25"/>
      <c r="AD1855" s="25"/>
    </row>
    <row r="1856" customFormat="false" ht="15.75" hidden="false" customHeight="false" outlineLevel="0" collapsed="false">
      <c r="A1856" s="28" t="s">
        <v>2262</v>
      </c>
      <c r="B1856" s="27" t="s">
        <v>438</v>
      </c>
      <c r="C1856" s="27" t="s">
        <v>383</v>
      </c>
      <c r="D1856" s="25"/>
      <c r="E1856" s="25"/>
      <c r="F1856" s="25"/>
      <c r="G1856" s="25"/>
      <c r="H1856" s="25"/>
      <c r="I1856" s="25"/>
      <c r="J1856" s="27" t="s">
        <v>2189</v>
      </c>
      <c r="K1856" s="25" t="str">
        <f aca="false">IFERROR(__xludf.dummyfunction("SPLIT(J1856,"" "")"),"CIF")</f>
        <v>CIF</v>
      </c>
      <c r="L1856" s="28" t="str">
        <f aca="false">IFERROR(__xludf.dummyfunction("""COMPUTED_VALUE"""),"South")</f>
        <v>South</v>
      </c>
      <c r="M1856" s="27" t="str">
        <f aca="false">IFERROR(__xludf.dummyfunction("""COMPUTED_VALUE"""),"Korea")</f>
        <v>Korea</v>
      </c>
      <c r="N1856" s="25" t="str">
        <f aca="false">IFERROR(__xludf.dummyfunction("""COMPUTED_VALUE"""),"(Diff)")</f>
        <v>(Diff)</v>
      </c>
      <c r="O1856" s="25"/>
      <c r="P1856" s="25"/>
      <c r="Q1856" s="29" t="s">
        <v>404</v>
      </c>
      <c r="R1856" s="8" t="str">
        <f aca="false">B1856&amp;" "&amp;C1856&amp;" "&amp;D1856&amp;" "&amp;E1856&amp;" "&amp;G1856&amp;" "&amp;H1856&amp;" "&amp;J1856&amp;" "&amp;N1856</f>
        <v>Differentials Precursor     CIF South Korea (Diff) (Diff)</v>
      </c>
      <c r="S1856" s="25"/>
      <c r="T1856" s="8"/>
      <c r="U1856" s="8"/>
      <c r="V1856" s="25"/>
      <c r="W1856" s="25"/>
      <c r="X1856" s="25"/>
      <c r="Y1856" s="25"/>
      <c r="Z1856" s="25"/>
      <c r="AA1856" s="25"/>
      <c r="AB1856" s="25"/>
      <c r="AC1856" s="25"/>
      <c r="AD1856" s="25"/>
    </row>
    <row r="1857" customFormat="false" ht="15.75" hidden="false" customHeight="false" outlineLevel="0" collapsed="false">
      <c r="A1857" s="28" t="s">
        <v>2263</v>
      </c>
      <c r="B1857" s="27" t="s">
        <v>438</v>
      </c>
      <c r="C1857" s="27" t="s">
        <v>383</v>
      </c>
      <c r="D1857" s="25"/>
      <c r="E1857" s="25"/>
      <c r="F1857" s="25"/>
      <c r="G1857" s="25"/>
      <c r="H1857" s="25"/>
      <c r="I1857" s="25"/>
      <c r="J1857" s="27" t="s">
        <v>2189</v>
      </c>
      <c r="K1857" s="25" t="str">
        <f aca="false">IFERROR(__xludf.dummyfunction("SPLIT(J1857,"" "")"),"CIF")</f>
        <v>CIF</v>
      </c>
      <c r="L1857" s="28" t="str">
        <f aca="false">IFERROR(__xludf.dummyfunction("""COMPUTED_VALUE"""),"South")</f>
        <v>South</v>
      </c>
      <c r="M1857" s="27" t="str">
        <f aca="false">IFERROR(__xludf.dummyfunction("""COMPUTED_VALUE"""),"Korea")</f>
        <v>Korea</v>
      </c>
      <c r="N1857" s="25" t="str">
        <f aca="false">IFERROR(__xludf.dummyfunction("""COMPUTED_VALUE"""),"(Diff)")</f>
        <v>(Diff)</v>
      </c>
      <c r="O1857" s="25"/>
      <c r="P1857" s="25"/>
      <c r="Q1857" s="29" t="s">
        <v>402</v>
      </c>
      <c r="R1857" s="8" t="str">
        <f aca="false">B1857&amp;" "&amp;C1857&amp;" "&amp;D1857&amp;" "&amp;E1857&amp;" "&amp;G1857&amp;" "&amp;H1857&amp;" "&amp;J1857&amp;" "&amp;N1857</f>
        <v>Differentials Precursor     CIF South Korea (Diff) (Diff)</v>
      </c>
      <c r="S1857" s="25"/>
      <c r="T1857" s="8"/>
      <c r="U1857" s="8"/>
      <c r="V1857" s="25"/>
      <c r="W1857" s="25"/>
      <c r="X1857" s="25"/>
      <c r="Y1857" s="25"/>
      <c r="Z1857" s="25"/>
      <c r="AA1857" s="25"/>
      <c r="AB1857" s="25"/>
      <c r="AC1857" s="25"/>
      <c r="AD1857" s="25"/>
    </row>
    <row r="1858" customFormat="false" ht="15.75" hidden="false" customHeight="false" outlineLevel="0" collapsed="false">
      <c r="A1858" s="28" t="s">
        <v>2264</v>
      </c>
      <c r="B1858" s="27" t="s">
        <v>438</v>
      </c>
      <c r="C1858" s="27" t="s">
        <v>383</v>
      </c>
      <c r="D1858" s="25"/>
      <c r="E1858" s="25"/>
      <c r="F1858" s="25"/>
      <c r="G1858" s="25"/>
      <c r="H1858" s="25"/>
      <c r="I1858" s="25"/>
      <c r="J1858" s="27" t="s">
        <v>2189</v>
      </c>
      <c r="K1858" s="25" t="str">
        <f aca="false">IFERROR(__xludf.dummyfunction("SPLIT(J1858,"" "")"),"CIF")</f>
        <v>CIF</v>
      </c>
      <c r="L1858" s="28" t="str">
        <f aca="false">IFERROR(__xludf.dummyfunction("""COMPUTED_VALUE"""),"South")</f>
        <v>South</v>
      </c>
      <c r="M1858" s="27" t="str">
        <f aca="false">IFERROR(__xludf.dummyfunction("""COMPUTED_VALUE"""),"Korea")</f>
        <v>Korea</v>
      </c>
      <c r="N1858" s="25" t="str">
        <f aca="false">IFERROR(__xludf.dummyfunction("""COMPUTED_VALUE"""),"(Diff)")</f>
        <v>(Diff)</v>
      </c>
      <c r="O1858" s="25"/>
      <c r="P1858" s="25"/>
      <c r="Q1858" s="29" t="s">
        <v>400</v>
      </c>
      <c r="R1858" s="8" t="str">
        <f aca="false">B1858&amp;" "&amp;C1858&amp;" "&amp;D1858&amp;" "&amp;E1858&amp;" "&amp;G1858&amp;" "&amp;H1858&amp;" "&amp;J1858&amp;" "&amp;N1858</f>
        <v>Differentials Precursor     CIF South Korea (Diff) (Diff)</v>
      </c>
      <c r="S1858" s="25"/>
      <c r="T1858" s="8"/>
      <c r="U1858" s="8"/>
      <c r="V1858" s="25"/>
      <c r="W1858" s="25"/>
      <c r="X1858" s="25"/>
      <c r="Y1858" s="25"/>
      <c r="Z1858" s="25"/>
      <c r="AA1858" s="25"/>
      <c r="AB1858" s="25"/>
      <c r="AC1858" s="25"/>
      <c r="AD1858" s="25"/>
    </row>
    <row r="1859" customFormat="false" ht="15.75" hidden="false" customHeight="false" outlineLevel="0" collapsed="false">
      <c r="A1859" s="28" t="s">
        <v>2265</v>
      </c>
      <c r="B1859" s="27" t="s">
        <v>438</v>
      </c>
      <c r="C1859" s="27" t="s">
        <v>383</v>
      </c>
      <c r="D1859" s="25"/>
      <c r="E1859" s="25"/>
      <c r="F1859" s="25"/>
      <c r="G1859" s="25"/>
      <c r="H1859" s="25"/>
      <c r="I1859" s="25"/>
      <c r="J1859" s="27" t="s">
        <v>2189</v>
      </c>
      <c r="K1859" s="25" t="str">
        <f aca="false">IFERROR(__xludf.dummyfunction("SPLIT(J1859,"" "")"),"CIF")</f>
        <v>CIF</v>
      </c>
      <c r="L1859" s="28" t="str">
        <f aca="false">IFERROR(__xludf.dummyfunction("""COMPUTED_VALUE"""),"South")</f>
        <v>South</v>
      </c>
      <c r="M1859" s="27" t="str">
        <f aca="false">IFERROR(__xludf.dummyfunction("""COMPUTED_VALUE"""),"Korea")</f>
        <v>Korea</v>
      </c>
      <c r="N1859" s="25" t="str">
        <f aca="false">IFERROR(__xludf.dummyfunction("""COMPUTED_VALUE"""),"(Diff)")</f>
        <v>(Diff)</v>
      </c>
      <c r="O1859" s="25"/>
      <c r="P1859" s="25"/>
      <c r="Q1859" s="29" t="s">
        <v>398</v>
      </c>
      <c r="R1859" s="8" t="str">
        <f aca="false">B1859&amp;" "&amp;C1859&amp;" "&amp;D1859&amp;" "&amp;E1859&amp;" "&amp;G1859&amp;" "&amp;H1859&amp;" "&amp;J1859&amp;" "&amp;N1859</f>
        <v>Differentials Precursor     CIF South Korea (Diff) (Diff)</v>
      </c>
      <c r="S1859" s="25"/>
      <c r="T1859" s="8"/>
      <c r="U1859" s="8"/>
      <c r="V1859" s="25"/>
      <c r="W1859" s="25"/>
      <c r="X1859" s="25"/>
      <c r="Y1859" s="25"/>
      <c r="Z1859" s="25"/>
      <c r="AA1859" s="25"/>
      <c r="AB1859" s="25"/>
      <c r="AC1859" s="25"/>
      <c r="AD1859" s="25"/>
    </row>
    <row r="1860" customFormat="false" ht="15.75" hidden="false" customHeight="false" outlineLevel="0" collapsed="false">
      <c r="A1860" s="28" t="s">
        <v>2266</v>
      </c>
      <c r="B1860" s="27" t="s">
        <v>438</v>
      </c>
      <c r="C1860" s="27" t="s">
        <v>383</v>
      </c>
      <c r="D1860" s="25"/>
      <c r="E1860" s="25"/>
      <c r="F1860" s="25"/>
      <c r="G1860" s="25"/>
      <c r="H1860" s="25"/>
      <c r="I1860" s="25"/>
      <c r="J1860" s="27" t="s">
        <v>2189</v>
      </c>
      <c r="K1860" s="25" t="str">
        <f aca="false">IFERROR(__xludf.dummyfunction("SPLIT(J1860,"" "")"),"CIF")</f>
        <v>CIF</v>
      </c>
      <c r="L1860" s="28" t="str">
        <f aca="false">IFERROR(__xludf.dummyfunction("""COMPUTED_VALUE"""),"South")</f>
        <v>South</v>
      </c>
      <c r="M1860" s="27" t="str">
        <f aca="false">IFERROR(__xludf.dummyfunction("""COMPUTED_VALUE"""),"Korea")</f>
        <v>Korea</v>
      </c>
      <c r="N1860" s="25" t="str">
        <f aca="false">IFERROR(__xludf.dummyfunction("""COMPUTED_VALUE"""),"(Diff)")</f>
        <v>(Diff)</v>
      </c>
      <c r="O1860" s="25"/>
      <c r="P1860" s="25"/>
      <c r="Q1860" s="29" t="s">
        <v>259</v>
      </c>
      <c r="R1860" s="8" t="str">
        <f aca="false">B1860&amp;" "&amp;C1860&amp;" "&amp;D1860&amp;" "&amp;E1860&amp;" "&amp;G1860&amp;" "&amp;H1860&amp;" "&amp;J1860&amp;" "&amp;N1860</f>
        <v>Differentials Precursor     CIF South Korea (Diff) (Diff)</v>
      </c>
      <c r="S1860" s="25"/>
      <c r="T1860" s="8"/>
      <c r="U1860" s="8"/>
      <c r="V1860" s="25"/>
      <c r="W1860" s="25"/>
      <c r="X1860" s="25"/>
      <c r="Y1860" s="25"/>
      <c r="Z1860" s="25"/>
      <c r="AA1860" s="25"/>
      <c r="AB1860" s="25"/>
      <c r="AC1860" s="25"/>
      <c r="AD1860" s="25"/>
    </row>
    <row r="1861" customFormat="false" ht="15.75" hidden="false" customHeight="false" outlineLevel="0" collapsed="false">
      <c r="A1861" s="28" t="s">
        <v>2267</v>
      </c>
      <c r="B1861" s="27" t="s">
        <v>438</v>
      </c>
      <c r="C1861" s="27" t="s">
        <v>383</v>
      </c>
      <c r="D1861" s="25"/>
      <c r="E1861" s="25"/>
      <c r="F1861" s="25"/>
      <c r="G1861" s="25"/>
      <c r="H1861" s="25"/>
      <c r="I1861" s="25"/>
      <c r="J1861" s="27" t="s">
        <v>2189</v>
      </c>
      <c r="K1861" s="25" t="str">
        <f aca="false">IFERROR(__xludf.dummyfunction("SPLIT(J1861,"" "")"),"CIF")</f>
        <v>CIF</v>
      </c>
      <c r="L1861" s="28" t="str">
        <f aca="false">IFERROR(__xludf.dummyfunction("""COMPUTED_VALUE"""),"South")</f>
        <v>South</v>
      </c>
      <c r="M1861" s="27" t="str">
        <f aca="false">IFERROR(__xludf.dummyfunction("""COMPUTED_VALUE"""),"Korea")</f>
        <v>Korea</v>
      </c>
      <c r="N1861" s="25" t="str">
        <f aca="false">IFERROR(__xludf.dummyfunction("""COMPUTED_VALUE"""),"(Diff)")</f>
        <v>(Diff)</v>
      </c>
      <c r="O1861" s="25"/>
      <c r="P1861" s="25"/>
      <c r="Q1861" s="29" t="s">
        <v>395</v>
      </c>
      <c r="R1861" s="8" t="str">
        <f aca="false">B1861&amp;" "&amp;C1861&amp;" "&amp;D1861&amp;" "&amp;E1861&amp;" "&amp;G1861&amp;" "&amp;H1861&amp;" "&amp;J1861&amp;" "&amp;N1861</f>
        <v>Differentials Precursor     CIF South Korea (Diff) (Diff)</v>
      </c>
      <c r="S1861" s="25"/>
      <c r="T1861" s="8"/>
      <c r="U1861" s="8"/>
      <c r="V1861" s="25"/>
      <c r="W1861" s="25"/>
      <c r="X1861" s="25"/>
      <c r="Y1861" s="25"/>
      <c r="Z1861" s="25"/>
      <c r="AA1861" s="25"/>
      <c r="AB1861" s="25"/>
      <c r="AC1861" s="25"/>
      <c r="AD1861" s="25"/>
    </row>
    <row r="1862" customFormat="false" ht="15.75" hidden="false" customHeight="false" outlineLevel="0" collapsed="false">
      <c r="A1862" s="28" t="s">
        <v>2268</v>
      </c>
      <c r="B1862" s="27" t="s">
        <v>438</v>
      </c>
      <c r="C1862" s="27" t="s">
        <v>383</v>
      </c>
      <c r="D1862" s="25"/>
      <c r="E1862" s="25"/>
      <c r="F1862" s="25"/>
      <c r="G1862" s="25"/>
      <c r="H1862" s="25"/>
      <c r="I1862" s="25"/>
      <c r="J1862" s="27" t="s">
        <v>2189</v>
      </c>
      <c r="K1862" s="25" t="str">
        <f aca="false">IFERROR(__xludf.dummyfunction("SPLIT(J1862,"" "")"),"CIF")</f>
        <v>CIF</v>
      </c>
      <c r="L1862" s="28" t="str">
        <f aca="false">IFERROR(__xludf.dummyfunction("""COMPUTED_VALUE"""),"South")</f>
        <v>South</v>
      </c>
      <c r="M1862" s="27" t="str">
        <f aca="false">IFERROR(__xludf.dummyfunction("""COMPUTED_VALUE"""),"Korea")</f>
        <v>Korea</v>
      </c>
      <c r="N1862" s="25" t="str">
        <f aca="false">IFERROR(__xludf.dummyfunction("""COMPUTED_VALUE"""),"(Diff)")</f>
        <v>(Diff)</v>
      </c>
      <c r="O1862" s="25"/>
      <c r="P1862" s="25"/>
      <c r="Q1862" s="29" t="s">
        <v>393</v>
      </c>
      <c r="R1862" s="8" t="str">
        <f aca="false">B1862&amp;" "&amp;C1862&amp;" "&amp;D1862&amp;" "&amp;E1862&amp;" "&amp;G1862&amp;" "&amp;H1862&amp;" "&amp;J1862&amp;" "&amp;N1862</f>
        <v>Differentials Precursor     CIF South Korea (Diff) (Diff)</v>
      </c>
      <c r="S1862" s="25"/>
      <c r="T1862" s="8"/>
      <c r="U1862" s="8"/>
      <c r="V1862" s="25"/>
      <c r="W1862" s="25"/>
      <c r="X1862" s="25"/>
      <c r="Y1862" s="25"/>
      <c r="Z1862" s="25"/>
      <c r="AA1862" s="25"/>
      <c r="AB1862" s="25"/>
      <c r="AC1862" s="25"/>
      <c r="AD1862" s="25"/>
    </row>
    <row r="1863" customFormat="false" ht="15.75" hidden="false" customHeight="false" outlineLevel="0" collapsed="false">
      <c r="A1863" s="28" t="s">
        <v>2269</v>
      </c>
      <c r="B1863" s="27" t="s">
        <v>438</v>
      </c>
      <c r="C1863" s="27" t="s">
        <v>383</v>
      </c>
      <c r="D1863" s="25"/>
      <c r="E1863" s="25"/>
      <c r="F1863" s="25"/>
      <c r="G1863" s="25"/>
      <c r="H1863" s="25"/>
      <c r="I1863" s="25"/>
      <c r="J1863" s="27" t="s">
        <v>2189</v>
      </c>
      <c r="K1863" s="25" t="str">
        <f aca="false">IFERROR(__xludf.dummyfunction("SPLIT(J1863,"" "")"),"CIF")</f>
        <v>CIF</v>
      </c>
      <c r="L1863" s="28" t="str">
        <f aca="false">IFERROR(__xludf.dummyfunction("""COMPUTED_VALUE"""),"South")</f>
        <v>South</v>
      </c>
      <c r="M1863" s="27" t="str">
        <f aca="false">IFERROR(__xludf.dummyfunction("""COMPUTED_VALUE"""),"Korea")</f>
        <v>Korea</v>
      </c>
      <c r="N1863" s="25" t="str">
        <f aca="false">IFERROR(__xludf.dummyfunction("""COMPUTED_VALUE"""),"(Diff)")</f>
        <v>(Diff)</v>
      </c>
      <c r="O1863" s="25"/>
      <c r="P1863" s="25"/>
      <c r="Q1863" s="29" t="s">
        <v>391</v>
      </c>
      <c r="R1863" s="8" t="str">
        <f aca="false">B1863&amp;" "&amp;C1863&amp;" "&amp;D1863&amp;" "&amp;E1863&amp;" "&amp;G1863&amp;" "&amp;H1863&amp;" "&amp;J1863&amp;" "&amp;N1863</f>
        <v>Differentials Precursor     CIF South Korea (Diff) (Diff)</v>
      </c>
      <c r="S1863" s="25"/>
      <c r="T1863" s="8"/>
      <c r="U1863" s="8"/>
      <c r="V1863" s="25"/>
      <c r="W1863" s="25"/>
      <c r="X1863" s="25"/>
      <c r="Y1863" s="25"/>
      <c r="Z1863" s="25"/>
      <c r="AA1863" s="25"/>
      <c r="AB1863" s="25"/>
      <c r="AC1863" s="25"/>
      <c r="AD1863" s="25"/>
    </row>
    <row r="1864" customFormat="false" ht="15.75" hidden="false" customHeight="false" outlineLevel="0" collapsed="false">
      <c r="A1864" s="28" t="s">
        <v>2270</v>
      </c>
      <c r="B1864" s="27" t="s">
        <v>438</v>
      </c>
      <c r="C1864" s="27" t="s">
        <v>383</v>
      </c>
      <c r="D1864" s="25"/>
      <c r="E1864" s="25"/>
      <c r="F1864" s="25"/>
      <c r="G1864" s="25"/>
      <c r="H1864" s="25"/>
      <c r="I1864" s="25"/>
      <c r="J1864" s="27" t="s">
        <v>2189</v>
      </c>
      <c r="K1864" s="25" t="str">
        <f aca="false">IFERROR(__xludf.dummyfunction("SPLIT(J1864,"" "")"),"CIF")</f>
        <v>CIF</v>
      </c>
      <c r="L1864" s="28" t="str">
        <f aca="false">IFERROR(__xludf.dummyfunction("""COMPUTED_VALUE"""),"South")</f>
        <v>South</v>
      </c>
      <c r="M1864" s="27" t="str">
        <f aca="false">IFERROR(__xludf.dummyfunction("""COMPUTED_VALUE"""),"Korea")</f>
        <v>Korea</v>
      </c>
      <c r="N1864" s="25" t="str">
        <f aca="false">IFERROR(__xludf.dummyfunction("""COMPUTED_VALUE"""),"(Diff)")</f>
        <v>(Diff)</v>
      </c>
      <c r="O1864" s="25"/>
      <c r="P1864" s="25"/>
      <c r="Q1864" s="29" t="s">
        <v>389</v>
      </c>
      <c r="R1864" s="8" t="str">
        <f aca="false">B1864&amp;" "&amp;C1864&amp;" "&amp;D1864&amp;" "&amp;E1864&amp;" "&amp;G1864&amp;" "&amp;H1864&amp;" "&amp;J1864&amp;" "&amp;N1864</f>
        <v>Differentials Precursor     CIF South Korea (Diff) (Diff)</v>
      </c>
      <c r="S1864" s="25"/>
      <c r="T1864" s="8"/>
      <c r="U1864" s="8"/>
      <c r="V1864" s="25"/>
      <c r="W1864" s="25"/>
      <c r="X1864" s="25"/>
      <c r="Y1864" s="25"/>
      <c r="Z1864" s="25"/>
      <c r="AA1864" s="25"/>
      <c r="AB1864" s="25"/>
      <c r="AC1864" s="25"/>
      <c r="AD1864" s="25"/>
    </row>
    <row r="1865" customFormat="false" ht="15.75" hidden="false" customHeight="false" outlineLevel="0" collapsed="false">
      <c r="A1865" s="28" t="s">
        <v>2271</v>
      </c>
      <c r="B1865" s="27" t="s">
        <v>438</v>
      </c>
      <c r="C1865" s="27" t="s">
        <v>383</v>
      </c>
      <c r="D1865" s="25"/>
      <c r="E1865" s="25"/>
      <c r="F1865" s="25"/>
      <c r="G1865" s="25"/>
      <c r="H1865" s="25"/>
      <c r="I1865" s="25"/>
      <c r="J1865" s="27" t="s">
        <v>2189</v>
      </c>
      <c r="K1865" s="25" t="str">
        <f aca="false">IFERROR(__xludf.dummyfunction("SPLIT(J1865,"" "")"),"CIF")</f>
        <v>CIF</v>
      </c>
      <c r="L1865" s="28" t="str">
        <f aca="false">IFERROR(__xludf.dummyfunction("""COMPUTED_VALUE"""),"South")</f>
        <v>South</v>
      </c>
      <c r="M1865" s="27" t="str">
        <f aca="false">IFERROR(__xludf.dummyfunction("""COMPUTED_VALUE"""),"Korea")</f>
        <v>Korea</v>
      </c>
      <c r="N1865" s="25" t="str">
        <f aca="false">IFERROR(__xludf.dummyfunction("""COMPUTED_VALUE"""),"(Diff)")</f>
        <v>(Diff)</v>
      </c>
      <c r="O1865" s="25"/>
      <c r="P1865" s="25"/>
      <c r="Q1865" s="29" t="s">
        <v>387</v>
      </c>
      <c r="R1865" s="8" t="str">
        <f aca="false">B1865&amp;" "&amp;C1865&amp;" "&amp;D1865&amp;" "&amp;E1865&amp;" "&amp;G1865&amp;" "&amp;H1865&amp;" "&amp;J1865&amp;" "&amp;N1865</f>
        <v>Differentials Precursor     CIF South Korea (Diff) (Diff)</v>
      </c>
      <c r="S1865" s="25"/>
      <c r="T1865" s="8"/>
      <c r="U1865" s="8"/>
      <c r="V1865" s="25"/>
      <c r="W1865" s="25"/>
      <c r="X1865" s="25"/>
      <c r="Y1865" s="25"/>
      <c r="Z1865" s="25"/>
      <c r="AA1865" s="25"/>
      <c r="AB1865" s="25"/>
      <c r="AC1865" s="25"/>
      <c r="AD1865" s="25"/>
    </row>
    <row r="1866" customFormat="false" ht="15.75" hidden="false" customHeight="false" outlineLevel="0" collapsed="false">
      <c r="A1866" s="28" t="s">
        <v>2272</v>
      </c>
      <c r="B1866" s="27" t="s">
        <v>438</v>
      </c>
      <c r="C1866" s="27" t="s">
        <v>383</v>
      </c>
      <c r="D1866" s="25"/>
      <c r="E1866" s="25"/>
      <c r="F1866" s="25"/>
      <c r="G1866" s="25"/>
      <c r="H1866" s="25"/>
      <c r="I1866" s="25"/>
      <c r="J1866" s="27" t="s">
        <v>2189</v>
      </c>
      <c r="K1866" s="25" t="str">
        <f aca="false">IFERROR(__xludf.dummyfunction("SPLIT(J1866,"" "")"),"CIF")</f>
        <v>CIF</v>
      </c>
      <c r="L1866" s="28" t="str">
        <f aca="false">IFERROR(__xludf.dummyfunction("""COMPUTED_VALUE"""),"South")</f>
        <v>South</v>
      </c>
      <c r="M1866" s="27" t="str">
        <f aca="false">IFERROR(__xludf.dummyfunction("""COMPUTED_VALUE"""),"Korea")</f>
        <v>Korea</v>
      </c>
      <c r="N1866" s="25" t="str">
        <f aca="false">IFERROR(__xludf.dummyfunction("""COMPUTED_VALUE"""),"(Diff)")</f>
        <v>(Diff)</v>
      </c>
      <c r="O1866" s="25"/>
      <c r="P1866" s="25"/>
      <c r="Q1866" s="29" t="s">
        <v>385</v>
      </c>
      <c r="R1866" s="8" t="str">
        <f aca="false">B1866&amp;" "&amp;C1866&amp;" "&amp;D1866&amp;" "&amp;E1866&amp;" "&amp;G1866&amp;" "&amp;H1866&amp;" "&amp;J1866&amp;" "&amp;N1866</f>
        <v>Differentials Precursor     CIF South Korea (Diff) (Diff)</v>
      </c>
      <c r="S1866" s="25"/>
      <c r="T1866" s="8"/>
      <c r="U1866" s="8"/>
      <c r="V1866" s="25"/>
      <c r="W1866" s="25"/>
      <c r="X1866" s="25"/>
      <c r="Y1866" s="25"/>
      <c r="Z1866" s="25"/>
      <c r="AA1866" s="25"/>
      <c r="AB1866" s="25"/>
      <c r="AC1866" s="25"/>
      <c r="AD1866" s="25"/>
    </row>
    <row r="1867" customFormat="false" ht="15.75" hidden="false" customHeight="false" outlineLevel="0" collapsed="false">
      <c r="A1867" s="28" t="s">
        <v>2273</v>
      </c>
      <c r="B1867" s="27" t="s">
        <v>438</v>
      </c>
      <c r="C1867" s="27" t="s">
        <v>408</v>
      </c>
      <c r="D1867" s="25"/>
      <c r="E1867" s="25"/>
      <c r="F1867" s="25"/>
      <c r="G1867" s="25"/>
      <c r="H1867" s="25"/>
      <c r="I1867" s="25"/>
      <c r="J1867" s="27" t="s">
        <v>2189</v>
      </c>
      <c r="K1867" s="25" t="str">
        <f aca="false">IFERROR(__xludf.dummyfunction("SPLIT(J1867,"" "")"),"CIF")</f>
        <v>CIF</v>
      </c>
      <c r="L1867" s="28" t="str">
        <f aca="false">IFERROR(__xludf.dummyfunction("""COMPUTED_VALUE"""),"South")</f>
        <v>South</v>
      </c>
      <c r="M1867" s="27" t="str">
        <f aca="false">IFERROR(__xludf.dummyfunction("""COMPUTED_VALUE"""),"Korea")</f>
        <v>Korea</v>
      </c>
      <c r="N1867" s="25" t="str">
        <f aca="false">IFERROR(__xludf.dummyfunction("""COMPUTED_VALUE"""),"(Diff)")</f>
        <v>(Diff)</v>
      </c>
      <c r="O1867" s="25"/>
      <c r="P1867" s="25"/>
      <c r="Q1867" s="29" t="s">
        <v>415</v>
      </c>
      <c r="R1867" s="8" t="str">
        <f aca="false">B1867&amp;" "&amp;C1867&amp;" "&amp;D1867&amp;" "&amp;E1867&amp;" "&amp;G1867&amp;" "&amp;H1867&amp;" "&amp;J1867&amp;" "&amp;N1867</f>
        <v>Differentials Rare Earths     CIF South Korea (Diff) (Diff)</v>
      </c>
      <c r="S1867" s="25"/>
      <c r="T1867" s="8"/>
      <c r="U1867" s="8"/>
      <c r="V1867" s="25"/>
      <c r="W1867" s="25"/>
      <c r="X1867" s="25"/>
      <c r="Y1867" s="25"/>
      <c r="Z1867" s="25"/>
      <c r="AA1867" s="25"/>
      <c r="AB1867" s="25"/>
      <c r="AC1867" s="25"/>
      <c r="AD1867" s="25"/>
    </row>
    <row r="1868" customFormat="false" ht="15.75" hidden="false" customHeight="false" outlineLevel="0" collapsed="false">
      <c r="A1868" s="28" t="s">
        <v>2274</v>
      </c>
      <c r="B1868" s="27" t="s">
        <v>438</v>
      </c>
      <c r="C1868" s="27" t="s">
        <v>408</v>
      </c>
      <c r="D1868" s="25"/>
      <c r="E1868" s="25"/>
      <c r="F1868" s="25"/>
      <c r="G1868" s="25"/>
      <c r="H1868" s="25"/>
      <c r="I1868" s="25"/>
      <c r="J1868" s="27" t="s">
        <v>2189</v>
      </c>
      <c r="K1868" s="25" t="str">
        <f aca="false">IFERROR(__xludf.dummyfunction("SPLIT(J1868,"" "")"),"CIF")</f>
        <v>CIF</v>
      </c>
      <c r="L1868" s="28" t="str">
        <f aca="false">IFERROR(__xludf.dummyfunction("""COMPUTED_VALUE"""),"South")</f>
        <v>South</v>
      </c>
      <c r="M1868" s="27" t="str">
        <f aca="false">IFERROR(__xludf.dummyfunction("""COMPUTED_VALUE"""),"Korea")</f>
        <v>Korea</v>
      </c>
      <c r="N1868" s="25" t="str">
        <f aca="false">IFERROR(__xludf.dummyfunction("""COMPUTED_VALUE"""),"(Diff)")</f>
        <v>(Diff)</v>
      </c>
      <c r="O1868" s="25"/>
      <c r="P1868" s="25"/>
      <c r="Q1868" s="29" t="s">
        <v>413</v>
      </c>
      <c r="R1868" s="8" t="str">
        <f aca="false">B1868&amp;" "&amp;C1868&amp;" "&amp;D1868&amp;" "&amp;E1868&amp;" "&amp;G1868&amp;" "&amp;H1868&amp;" "&amp;J1868&amp;" "&amp;N1868</f>
        <v>Differentials Rare Earths     CIF South Korea (Diff) (Diff)</v>
      </c>
      <c r="S1868" s="25"/>
      <c r="T1868" s="8"/>
      <c r="U1868" s="8"/>
      <c r="V1868" s="25"/>
      <c r="W1868" s="25"/>
      <c r="X1868" s="25"/>
      <c r="Y1868" s="25"/>
      <c r="Z1868" s="25"/>
      <c r="AA1868" s="25"/>
      <c r="AB1868" s="25"/>
      <c r="AC1868" s="25"/>
      <c r="AD1868" s="25"/>
    </row>
    <row r="1869" customFormat="false" ht="15.75" hidden="false" customHeight="false" outlineLevel="0" collapsed="false">
      <c r="A1869" s="28" t="s">
        <v>2275</v>
      </c>
      <c r="B1869" s="27" t="s">
        <v>438</v>
      </c>
      <c r="C1869" s="27" t="s">
        <v>408</v>
      </c>
      <c r="D1869" s="25"/>
      <c r="E1869" s="25"/>
      <c r="F1869" s="25"/>
      <c r="G1869" s="25"/>
      <c r="H1869" s="25"/>
      <c r="I1869" s="25"/>
      <c r="J1869" s="27" t="s">
        <v>2189</v>
      </c>
      <c r="K1869" s="25" t="str">
        <f aca="false">IFERROR(__xludf.dummyfunction("SPLIT(J1869,"" "")"),"CIF")</f>
        <v>CIF</v>
      </c>
      <c r="L1869" s="28" t="str">
        <f aca="false">IFERROR(__xludf.dummyfunction("""COMPUTED_VALUE"""),"South")</f>
        <v>South</v>
      </c>
      <c r="M1869" s="27" t="str">
        <f aca="false">IFERROR(__xludf.dummyfunction("""COMPUTED_VALUE"""),"Korea")</f>
        <v>Korea</v>
      </c>
      <c r="N1869" s="25" t="str">
        <f aca="false">IFERROR(__xludf.dummyfunction("""COMPUTED_VALUE"""),"(Diff)")</f>
        <v>(Diff)</v>
      </c>
      <c r="O1869" s="25"/>
      <c r="P1869" s="25"/>
      <c r="Q1869" s="29" t="s">
        <v>411</v>
      </c>
      <c r="R1869" s="8" t="str">
        <f aca="false">B1869&amp;" "&amp;C1869&amp;" "&amp;D1869&amp;" "&amp;E1869&amp;" "&amp;G1869&amp;" "&amp;H1869&amp;" "&amp;J1869&amp;" "&amp;N1869</f>
        <v>Differentials Rare Earths     CIF South Korea (Diff) (Diff)</v>
      </c>
      <c r="S1869" s="25"/>
      <c r="T1869" s="8"/>
      <c r="U1869" s="8"/>
      <c r="V1869" s="25"/>
      <c r="W1869" s="25"/>
      <c r="X1869" s="25"/>
      <c r="Y1869" s="25"/>
      <c r="Z1869" s="25"/>
      <c r="AA1869" s="25"/>
      <c r="AB1869" s="25"/>
      <c r="AC1869" s="25"/>
      <c r="AD1869" s="25"/>
    </row>
    <row r="1870" customFormat="false" ht="15.75" hidden="false" customHeight="false" outlineLevel="0" collapsed="false">
      <c r="A1870" s="28" t="s">
        <v>2276</v>
      </c>
      <c r="B1870" s="27" t="s">
        <v>438</v>
      </c>
      <c r="C1870" s="27" t="s">
        <v>408</v>
      </c>
      <c r="D1870" s="25"/>
      <c r="E1870" s="25"/>
      <c r="F1870" s="25"/>
      <c r="G1870" s="25"/>
      <c r="H1870" s="25"/>
      <c r="I1870" s="25"/>
      <c r="J1870" s="27" t="s">
        <v>2189</v>
      </c>
      <c r="K1870" s="25" t="str">
        <f aca="false">IFERROR(__xludf.dummyfunction("SPLIT(J1870,"" "")"),"CIF")</f>
        <v>CIF</v>
      </c>
      <c r="L1870" s="28" t="str">
        <f aca="false">IFERROR(__xludf.dummyfunction("""COMPUTED_VALUE"""),"South")</f>
        <v>South</v>
      </c>
      <c r="M1870" s="27" t="str">
        <f aca="false">IFERROR(__xludf.dummyfunction("""COMPUTED_VALUE"""),"Korea")</f>
        <v>Korea</v>
      </c>
      <c r="N1870" s="25" t="str">
        <f aca="false">IFERROR(__xludf.dummyfunction("""COMPUTED_VALUE"""),"(Diff)")</f>
        <v>(Diff)</v>
      </c>
      <c r="O1870" s="25"/>
      <c r="P1870" s="25"/>
      <c r="Q1870" s="29" t="s">
        <v>409</v>
      </c>
      <c r="R1870" s="8" t="str">
        <f aca="false">B1870&amp;" "&amp;C1870&amp;" "&amp;D1870&amp;" "&amp;E1870&amp;" "&amp;G1870&amp;" "&amp;H1870&amp;" "&amp;J1870&amp;" "&amp;N1870</f>
        <v>Differentials Rare Earths     CIF South Korea (Diff) (Diff)</v>
      </c>
      <c r="S1870" s="25"/>
      <c r="T1870" s="8"/>
      <c r="U1870" s="8"/>
      <c r="V1870" s="25"/>
      <c r="W1870" s="25"/>
      <c r="X1870" s="25"/>
      <c r="Y1870" s="25"/>
      <c r="Z1870" s="25"/>
      <c r="AA1870" s="25"/>
      <c r="AB1870" s="25"/>
      <c r="AC1870" s="25"/>
      <c r="AD1870" s="25"/>
    </row>
    <row r="1871" customFormat="false" ht="15.75" hidden="false" customHeight="false" outlineLevel="0" collapsed="false">
      <c r="A1871" s="28" t="s">
        <v>2277</v>
      </c>
      <c r="B1871" s="27" t="s">
        <v>438</v>
      </c>
      <c r="C1871" s="27" t="s">
        <v>417</v>
      </c>
      <c r="D1871" s="25"/>
      <c r="E1871" s="25"/>
      <c r="F1871" s="25"/>
      <c r="G1871" s="25"/>
      <c r="H1871" s="25"/>
      <c r="I1871" s="25"/>
      <c r="J1871" s="27" t="s">
        <v>2189</v>
      </c>
      <c r="K1871" s="25" t="str">
        <f aca="false">IFERROR(__xludf.dummyfunction("SPLIT(J1871,"" "")"),"CIF")</f>
        <v>CIF</v>
      </c>
      <c r="L1871" s="28" t="str">
        <f aca="false">IFERROR(__xludf.dummyfunction("""COMPUTED_VALUE"""),"South")</f>
        <v>South</v>
      </c>
      <c r="M1871" s="27" t="str">
        <f aca="false">IFERROR(__xludf.dummyfunction("""COMPUTED_VALUE"""),"Korea")</f>
        <v>Korea</v>
      </c>
      <c r="N1871" s="25" t="str">
        <f aca="false">IFERROR(__xludf.dummyfunction("""COMPUTED_VALUE"""),"(Diff)")</f>
        <v>(Diff)</v>
      </c>
      <c r="O1871" s="25"/>
      <c r="P1871" s="25"/>
      <c r="Q1871" s="29" t="s">
        <v>436</v>
      </c>
      <c r="R1871" s="8" t="str">
        <f aca="false">B1871&amp;" "&amp;C1871&amp;" "&amp;D1871&amp;" "&amp;E1871&amp;" "&amp;G1871&amp;" "&amp;H1871&amp;" "&amp;J1871&amp;" "&amp;N1871</f>
        <v>Differentials Solvent     CIF South Korea (Diff) (Diff)</v>
      </c>
      <c r="S1871" s="25"/>
      <c r="T1871" s="8"/>
      <c r="U1871" s="8"/>
      <c r="V1871" s="25"/>
      <c r="W1871" s="25"/>
      <c r="X1871" s="25"/>
      <c r="Y1871" s="25"/>
      <c r="Z1871" s="25"/>
      <c r="AA1871" s="25"/>
      <c r="AB1871" s="25"/>
      <c r="AC1871" s="25"/>
      <c r="AD1871" s="25"/>
    </row>
    <row r="1872" customFormat="false" ht="15.75" hidden="false" customHeight="false" outlineLevel="0" collapsed="false">
      <c r="A1872" s="28" t="s">
        <v>2278</v>
      </c>
      <c r="B1872" s="27" t="s">
        <v>438</v>
      </c>
      <c r="C1872" s="27" t="s">
        <v>417</v>
      </c>
      <c r="D1872" s="25"/>
      <c r="E1872" s="25"/>
      <c r="F1872" s="25"/>
      <c r="G1872" s="25"/>
      <c r="H1872" s="25"/>
      <c r="I1872" s="25"/>
      <c r="J1872" s="27" t="s">
        <v>2189</v>
      </c>
      <c r="K1872" s="25" t="str">
        <f aca="false">IFERROR(__xludf.dummyfunction("SPLIT(J1872,"" "")"),"CIF")</f>
        <v>CIF</v>
      </c>
      <c r="L1872" s="28" t="str">
        <f aca="false">IFERROR(__xludf.dummyfunction("""COMPUTED_VALUE"""),"South")</f>
        <v>South</v>
      </c>
      <c r="M1872" s="27" t="str">
        <f aca="false">IFERROR(__xludf.dummyfunction("""COMPUTED_VALUE"""),"Korea")</f>
        <v>Korea</v>
      </c>
      <c r="N1872" s="25" t="str">
        <f aca="false">IFERROR(__xludf.dummyfunction("""COMPUTED_VALUE"""),"(Diff)")</f>
        <v>(Diff)</v>
      </c>
      <c r="O1872" s="25"/>
      <c r="P1872" s="25"/>
      <c r="Q1872" s="29" t="s">
        <v>434</v>
      </c>
      <c r="R1872" s="8" t="str">
        <f aca="false">B1872&amp;" "&amp;C1872&amp;" "&amp;D1872&amp;" "&amp;E1872&amp;" "&amp;G1872&amp;" "&amp;H1872&amp;" "&amp;J1872&amp;" "&amp;N1872</f>
        <v>Differentials Solvent     CIF South Korea (Diff) (Diff)</v>
      </c>
      <c r="S1872" s="25"/>
      <c r="T1872" s="8"/>
      <c r="U1872" s="8"/>
      <c r="V1872" s="25"/>
      <c r="W1872" s="25"/>
      <c r="X1872" s="25"/>
      <c r="Y1872" s="25"/>
      <c r="Z1872" s="25"/>
      <c r="AA1872" s="25"/>
      <c r="AB1872" s="25"/>
      <c r="AC1872" s="25"/>
      <c r="AD1872" s="25"/>
    </row>
    <row r="1873" customFormat="false" ht="15.75" hidden="false" customHeight="false" outlineLevel="0" collapsed="false">
      <c r="A1873" s="28" t="s">
        <v>2279</v>
      </c>
      <c r="B1873" s="27" t="s">
        <v>438</v>
      </c>
      <c r="C1873" s="27" t="s">
        <v>417</v>
      </c>
      <c r="D1873" s="25"/>
      <c r="E1873" s="25"/>
      <c r="F1873" s="25"/>
      <c r="G1873" s="25"/>
      <c r="H1873" s="25"/>
      <c r="I1873" s="25"/>
      <c r="J1873" s="27" t="s">
        <v>2189</v>
      </c>
      <c r="K1873" s="25" t="str">
        <f aca="false">IFERROR(__xludf.dummyfunction("SPLIT(J1873,"" "")"),"CIF")</f>
        <v>CIF</v>
      </c>
      <c r="L1873" s="28" t="str">
        <f aca="false">IFERROR(__xludf.dummyfunction("""COMPUTED_VALUE"""),"South")</f>
        <v>South</v>
      </c>
      <c r="M1873" s="27" t="str">
        <f aca="false">IFERROR(__xludf.dummyfunction("""COMPUTED_VALUE"""),"Korea")</f>
        <v>Korea</v>
      </c>
      <c r="N1873" s="25" t="str">
        <f aca="false">IFERROR(__xludf.dummyfunction("""COMPUTED_VALUE"""),"(Diff)")</f>
        <v>(Diff)</v>
      </c>
      <c r="O1873" s="25"/>
      <c r="P1873" s="25"/>
      <c r="Q1873" s="29" t="s">
        <v>432</v>
      </c>
      <c r="R1873" s="8" t="str">
        <f aca="false">B1873&amp;" "&amp;C1873&amp;" "&amp;D1873&amp;" "&amp;E1873&amp;" "&amp;G1873&amp;" "&amp;H1873&amp;" "&amp;J1873&amp;" "&amp;N1873</f>
        <v>Differentials Solvent     CIF South Korea (Diff) (Diff)</v>
      </c>
      <c r="S1873" s="25"/>
      <c r="T1873" s="8"/>
      <c r="U1873" s="8"/>
      <c r="V1873" s="25"/>
      <c r="W1873" s="25"/>
      <c r="X1873" s="25"/>
      <c r="Y1873" s="25"/>
      <c r="Z1873" s="25"/>
      <c r="AA1873" s="25"/>
      <c r="AB1873" s="25"/>
      <c r="AC1873" s="25"/>
      <c r="AD1873" s="25"/>
    </row>
    <row r="1874" customFormat="false" ht="15.75" hidden="false" customHeight="false" outlineLevel="0" collapsed="false">
      <c r="A1874" s="28" t="s">
        <v>2280</v>
      </c>
      <c r="B1874" s="27" t="s">
        <v>438</v>
      </c>
      <c r="C1874" s="27" t="s">
        <v>417</v>
      </c>
      <c r="D1874" s="25"/>
      <c r="E1874" s="25"/>
      <c r="F1874" s="25"/>
      <c r="G1874" s="25"/>
      <c r="H1874" s="25"/>
      <c r="I1874" s="25"/>
      <c r="J1874" s="27" t="s">
        <v>2189</v>
      </c>
      <c r="K1874" s="25" t="str">
        <f aca="false">IFERROR(__xludf.dummyfunction("SPLIT(J1874,"" "")"),"CIF")</f>
        <v>CIF</v>
      </c>
      <c r="L1874" s="28" t="str">
        <f aca="false">IFERROR(__xludf.dummyfunction("""COMPUTED_VALUE"""),"South")</f>
        <v>South</v>
      </c>
      <c r="M1874" s="27" t="str">
        <f aca="false">IFERROR(__xludf.dummyfunction("""COMPUTED_VALUE"""),"Korea")</f>
        <v>Korea</v>
      </c>
      <c r="N1874" s="25" t="str">
        <f aca="false">IFERROR(__xludf.dummyfunction("""COMPUTED_VALUE"""),"(Diff)")</f>
        <v>(Diff)</v>
      </c>
      <c r="O1874" s="25"/>
      <c r="P1874" s="25"/>
      <c r="Q1874" s="29" t="s">
        <v>430</v>
      </c>
      <c r="R1874" s="8" t="str">
        <f aca="false">B1874&amp;" "&amp;C1874&amp;" "&amp;D1874&amp;" "&amp;E1874&amp;" "&amp;G1874&amp;" "&amp;H1874&amp;" "&amp;J1874&amp;" "&amp;N1874</f>
        <v>Differentials Solvent     CIF South Korea (Diff) (Diff)</v>
      </c>
      <c r="S1874" s="25"/>
      <c r="T1874" s="8"/>
      <c r="U1874" s="8"/>
      <c r="V1874" s="25"/>
      <c r="W1874" s="25"/>
      <c r="X1874" s="25"/>
      <c r="Y1874" s="25"/>
      <c r="Z1874" s="25"/>
      <c r="AA1874" s="25"/>
      <c r="AB1874" s="25"/>
      <c r="AC1874" s="25"/>
      <c r="AD1874" s="25"/>
    </row>
    <row r="1875" customFormat="false" ht="15.75" hidden="false" customHeight="false" outlineLevel="0" collapsed="false">
      <c r="A1875" s="28" t="s">
        <v>2281</v>
      </c>
      <c r="B1875" s="27" t="s">
        <v>438</v>
      </c>
      <c r="C1875" s="27" t="s">
        <v>417</v>
      </c>
      <c r="D1875" s="25"/>
      <c r="E1875" s="25"/>
      <c r="F1875" s="25"/>
      <c r="G1875" s="25"/>
      <c r="H1875" s="25"/>
      <c r="I1875" s="25"/>
      <c r="J1875" s="27" t="s">
        <v>2189</v>
      </c>
      <c r="K1875" s="25" t="str">
        <f aca="false">IFERROR(__xludf.dummyfunction("SPLIT(J1875,"" "")"),"CIF")</f>
        <v>CIF</v>
      </c>
      <c r="L1875" s="28" t="str">
        <f aca="false">IFERROR(__xludf.dummyfunction("""COMPUTED_VALUE"""),"South")</f>
        <v>South</v>
      </c>
      <c r="M1875" s="27" t="str">
        <f aca="false">IFERROR(__xludf.dummyfunction("""COMPUTED_VALUE"""),"Korea")</f>
        <v>Korea</v>
      </c>
      <c r="N1875" s="25" t="str">
        <f aca="false">IFERROR(__xludf.dummyfunction("""COMPUTED_VALUE"""),"(Diff)")</f>
        <v>(Diff)</v>
      </c>
      <c r="O1875" s="25"/>
      <c r="P1875" s="25"/>
      <c r="Q1875" s="29" t="s">
        <v>428</v>
      </c>
      <c r="R1875" s="8" t="str">
        <f aca="false">B1875&amp;" "&amp;C1875&amp;" "&amp;D1875&amp;" "&amp;E1875&amp;" "&amp;G1875&amp;" "&amp;H1875&amp;" "&amp;J1875&amp;" "&amp;N1875</f>
        <v>Differentials Solvent     CIF South Korea (Diff) (Diff)</v>
      </c>
      <c r="S1875" s="25"/>
      <c r="T1875" s="8"/>
      <c r="U1875" s="8"/>
      <c r="V1875" s="25"/>
      <c r="W1875" s="25"/>
      <c r="X1875" s="25"/>
      <c r="Y1875" s="25"/>
      <c r="Z1875" s="25"/>
      <c r="AA1875" s="25"/>
      <c r="AB1875" s="25"/>
      <c r="AC1875" s="25"/>
      <c r="AD1875" s="25"/>
    </row>
    <row r="1876" customFormat="false" ht="15.75" hidden="false" customHeight="false" outlineLevel="0" collapsed="false">
      <c r="A1876" s="28" t="s">
        <v>2282</v>
      </c>
      <c r="B1876" s="27" t="s">
        <v>438</v>
      </c>
      <c r="C1876" s="27" t="s">
        <v>417</v>
      </c>
      <c r="D1876" s="25"/>
      <c r="E1876" s="25"/>
      <c r="F1876" s="25"/>
      <c r="G1876" s="25"/>
      <c r="H1876" s="25"/>
      <c r="I1876" s="25"/>
      <c r="J1876" s="27" t="s">
        <v>2189</v>
      </c>
      <c r="K1876" s="25" t="str">
        <f aca="false">IFERROR(__xludf.dummyfunction("SPLIT(J1876,"" "")"),"CIF")</f>
        <v>CIF</v>
      </c>
      <c r="L1876" s="28" t="str">
        <f aca="false">IFERROR(__xludf.dummyfunction("""COMPUTED_VALUE"""),"South")</f>
        <v>South</v>
      </c>
      <c r="M1876" s="27" t="str">
        <f aca="false">IFERROR(__xludf.dummyfunction("""COMPUTED_VALUE"""),"Korea")</f>
        <v>Korea</v>
      </c>
      <c r="N1876" s="25" t="str">
        <f aca="false">IFERROR(__xludf.dummyfunction("""COMPUTED_VALUE"""),"(Diff)")</f>
        <v>(Diff)</v>
      </c>
      <c r="O1876" s="25"/>
      <c r="P1876" s="25"/>
      <c r="Q1876" s="29" t="s">
        <v>426</v>
      </c>
      <c r="R1876" s="8" t="str">
        <f aca="false">B1876&amp;" "&amp;C1876&amp;" "&amp;D1876&amp;" "&amp;E1876&amp;" "&amp;G1876&amp;" "&amp;H1876&amp;" "&amp;J1876&amp;" "&amp;N1876</f>
        <v>Differentials Solvent     CIF South Korea (Diff) (Diff)</v>
      </c>
      <c r="S1876" s="25"/>
      <c r="T1876" s="8"/>
      <c r="U1876" s="8"/>
      <c r="V1876" s="25"/>
      <c r="W1876" s="25"/>
      <c r="X1876" s="25"/>
      <c r="Y1876" s="25"/>
      <c r="Z1876" s="25"/>
      <c r="AA1876" s="25"/>
      <c r="AB1876" s="25"/>
      <c r="AC1876" s="25"/>
      <c r="AD1876" s="25"/>
    </row>
    <row r="1877" customFormat="false" ht="15.75" hidden="false" customHeight="false" outlineLevel="0" collapsed="false">
      <c r="A1877" s="28" t="s">
        <v>2283</v>
      </c>
      <c r="B1877" s="27" t="s">
        <v>438</v>
      </c>
      <c r="C1877" s="27" t="s">
        <v>417</v>
      </c>
      <c r="D1877" s="25"/>
      <c r="E1877" s="25"/>
      <c r="F1877" s="25"/>
      <c r="G1877" s="25"/>
      <c r="H1877" s="25"/>
      <c r="I1877" s="25"/>
      <c r="J1877" s="27" t="s">
        <v>2189</v>
      </c>
      <c r="K1877" s="25" t="str">
        <f aca="false">IFERROR(__xludf.dummyfunction("SPLIT(J1877,"" "")"),"CIF")</f>
        <v>CIF</v>
      </c>
      <c r="L1877" s="28" t="str">
        <f aca="false">IFERROR(__xludf.dummyfunction("""COMPUTED_VALUE"""),"South")</f>
        <v>South</v>
      </c>
      <c r="M1877" s="27" t="str">
        <f aca="false">IFERROR(__xludf.dummyfunction("""COMPUTED_VALUE"""),"Korea")</f>
        <v>Korea</v>
      </c>
      <c r="N1877" s="25" t="str">
        <f aca="false">IFERROR(__xludf.dummyfunction("""COMPUTED_VALUE"""),"(Diff)")</f>
        <v>(Diff)</v>
      </c>
      <c r="O1877" s="25"/>
      <c r="P1877" s="25"/>
      <c r="Q1877" s="29" t="s">
        <v>424</v>
      </c>
      <c r="R1877" s="8" t="str">
        <f aca="false">B1877&amp;" "&amp;C1877&amp;" "&amp;D1877&amp;" "&amp;E1877&amp;" "&amp;G1877&amp;" "&amp;H1877&amp;" "&amp;J1877&amp;" "&amp;N1877</f>
        <v>Differentials Solvent     CIF South Korea (Diff) (Diff)</v>
      </c>
      <c r="S1877" s="25"/>
      <c r="T1877" s="8"/>
      <c r="U1877" s="8"/>
      <c r="V1877" s="25"/>
      <c r="W1877" s="25"/>
      <c r="X1877" s="25"/>
      <c r="Y1877" s="25"/>
      <c r="Z1877" s="25"/>
      <c r="AA1877" s="25"/>
      <c r="AB1877" s="25"/>
      <c r="AC1877" s="25"/>
      <c r="AD1877" s="25"/>
    </row>
    <row r="1878" customFormat="false" ht="15.75" hidden="false" customHeight="false" outlineLevel="0" collapsed="false">
      <c r="A1878" s="28" t="s">
        <v>2284</v>
      </c>
      <c r="B1878" s="27" t="s">
        <v>438</v>
      </c>
      <c r="C1878" s="27" t="s">
        <v>417</v>
      </c>
      <c r="D1878" s="25"/>
      <c r="E1878" s="25"/>
      <c r="F1878" s="25"/>
      <c r="G1878" s="25"/>
      <c r="H1878" s="25"/>
      <c r="I1878" s="25"/>
      <c r="J1878" s="27" t="s">
        <v>2189</v>
      </c>
      <c r="K1878" s="25" t="str">
        <f aca="false">IFERROR(__xludf.dummyfunction("SPLIT(J1878,"" "")"),"CIF")</f>
        <v>CIF</v>
      </c>
      <c r="L1878" s="28" t="str">
        <f aca="false">IFERROR(__xludf.dummyfunction("""COMPUTED_VALUE"""),"South")</f>
        <v>South</v>
      </c>
      <c r="M1878" s="27" t="str">
        <f aca="false">IFERROR(__xludf.dummyfunction("""COMPUTED_VALUE"""),"Korea")</f>
        <v>Korea</v>
      </c>
      <c r="N1878" s="25" t="str">
        <f aca="false">IFERROR(__xludf.dummyfunction("""COMPUTED_VALUE"""),"(Diff)")</f>
        <v>(Diff)</v>
      </c>
      <c r="O1878" s="25"/>
      <c r="P1878" s="25"/>
      <c r="Q1878" s="29" t="s">
        <v>422</v>
      </c>
      <c r="R1878" s="8" t="str">
        <f aca="false">B1878&amp;" "&amp;C1878&amp;" "&amp;D1878&amp;" "&amp;E1878&amp;" "&amp;G1878&amp;" "&amp;H1878&amp;" "&amp;J1878&amp;" "&amp;N1878</f>
        <v>Differentials Solvent     CIF South Korea (Diff) (Diff)</v>
      </c>
      <c r="S1878" s="25"/>
      <c r="T1878" s="8"/>
      <c r="U1878" s="8"/>
      <c r="V1878" s="25"/>
      <c r="W1878" s="25"/>
      <c r="X1878" s="25"/>
      <c r="Y1878" s="25"/>
      <c r="Z1878" s="25"/>
      <c r="AA1878" s="25"/>
      <c r="AB1878" s="25"/>
      <c r="AC1878" s="25"/>
      <c r="AD1878" s="25"/>
    </row>
    <row r="1879" customFormat="false" ht="15.75" hidden="false" customHeight="false" outlineLevel="0" collapsed="false">
      <c r="A1879" s="28" t="s">
        <v>2285</v>
      </c>
      <c r="B1879" s="27" t="s">
        <v>438</v>
      </c>
      <c r="C1879" s="27" t="s">
        <v>417</v>
      </c>
      <c r="D1879" s="25"/>
      <c r="E1879" s="25"/>
      <c r="F1879" s="25"/>
      <c r="G1879" s="25"/>
      <c r="H1879" s="25"/>
      <c r="I1879" s="25"/>
      <c r="J1879" s="27" t="s">
        <v>2189</v>
      </c>
      <c r="K1879" s="25" t="str">
        <f aca="false">IFERROR(__xludf.dummyfunction("SPLIT(J1879,"" "")"),"CIF")</f>
        <v>CIF</v>
      </c>
      <c r="L1879" s="28" t="str">
        <f aca="false">IFERROR(__xludf.dummyfunction("""COMPUTED_VALUE"""),"South")</f>
        <v>South</v>
      </c>
      <c r="M1879" s="27" t="str">
        <f aca="false">IFERROR(__xludf.dummyfunction("""COMPUTED_VALUE"""),"Korea")</f>
        <v>Korea</v>
      </c>
      <c r="N1879" s="25" t="str">
        <f aca="false">IFERROR(__xludf.dummyfunction("""COMPUTED_VALUE"""),"(Diff)")</f>
        <v>(Diff)</v>
      </c>
      <c r="O1879" s="25"/>
      <c r="P1879" s="25"/>
      <c r="Q1879" s="29" t="s">
        <v>420</v>
      </c>
      <c r="R1879" s="8" t="str">
        <f aca="false">B1879&amp;" "&amp;C1879&amp;" "&amp;D1879&amp;" "&amp;E1879&amp;" "&amp;G1879&amp;" "&amp;H1879&amp;" "&amp;J1879&amp;" "&amp;N1879</f>
        <v>Differentials Solvent     CIF South Korea (Diff) (Diff)</v>
      </c>
      <c r="S1879" s="25"/>
      <c r="T1879" s="8"/>
      <c r="U1879" s="8"/>
      <c r="V1879" s="25"/>
      <c r="W1879" s="25"/>
      <c r="X1879" s="25"/>
      <c r="Y1879" s="25"/>
      <c r="Z1879" s="25"/>
      <c r="AA1879" s="25"/>
      <c r="AB1879" s="25"/>
      <c r="AC1879" s="25"/>
      <c r="AD1879" s="25"/>
    </row>
    <row r="1880" customFormat="false" ht="15.75" hidden="false" customHeight="false" outlineLevel="0" collapsed="false">
      <c r="A1880" s="28" t="s">
        <v>2286</v>
      </c>
      <c r="B1880" s="27" t="s">
        <v>438</v>
      </c>
      <c r="C1880" s="27" t="s">
        <v>417</v>
      </c>
      <c r="D1880" s="25"/>
      <c r="E1880" s="25"/>
      <c r="F1880" s="25"/>
      <c r="G1880" s="25"/>
      <c r="H1880" s="25"/>
      <c r="I1880" s="25"/>
      <c r="J1880" s="27" t="s">
        <v>2189</v>
      </c>
      <c r="K1880" s="25" t="str">
        <f aca="false">IFERROR(__xludf.dummyfunction("SPLIT(J1880,"" "")"),"CIF")</f>
        <v>CIF</v>
      </c>
      <c r="L1880" s="28" t="str">
        <f aca="false">IFERROR(__xludf.dummyfunction("""COMPUTED_VALUE"""),"South")</f>
        <v>South</v>
      </c>
      <c r="M1880" s="27" t="str">
        <f aca="false">IFERROR(__xludf.dummyfunction("""COMPUTED_VALUE"""),"Korea")</f>
        <v>Korea</v>
      </c>
      <c r="N1880" s="25" t="str">
        <f aca="false">IFERROR(__xludf.dummyfunction("""COMPUTED_VALUE"""),"(Diff)")</f>
        <v>(Diff)</v>
      </c>
      <c r="O1880" s="25"/>
      <c r="P1880" s="25"/>
      <c r="Q1880" s="29" t="s">
        <v>418</v>
      </c>
      <c r="R1880" s="8" t="str">
        <f aca="false">B1880&amp;" "&amp;C1880&amp;" "&amp;D1880&amp;" "&amp;E1880&amp;" "&amp;G1880&amp;" "&amp;H1880&amp;" "&amp;J1880&amp;" "&amp;N1880</f>
        <v>Differentials Solvent     CIF South Korea (Diff) (Diff)</v>
      </c>
      <c r="S1880" s="25"/>
      <c r="T1880" s="8"/>
      <c r="U1880" s="8"/>
      <c r="V1880" s="25"/>
      <c r="W1880" s="25"/>
      <c r="X1880" s="25"/>
      <c r="Y1880" s="25"/>
      <c r="Z1880" s="25"/>
      <c r="AA1880" s="25"/>
      <c r="AB1880" s="25"/>
      <c r="AC1880" s="25"/>
      <c r="AD1880" s="25"/>
    </row>
    <row r="1881" customFormat="false" ht="15.75" hidden="false" customHeight="false" outlineLevel="0" collapsed="false">
      <c r="A1881" s="28" t="s">
        <v>2287</v>
      </c>
      <c r="B1881" s="27" t="s">
        <v>438</v>
      </c>
      <c r="C1881" s="27" t="s">
        <v>168</v>
      </c>
      <c r="D1881" s="25"/>
      <c r="E1881" s="25"/>
      <c r="F1881" s="25"/>
      <c r="G1881" s="25"/>
      <c r="H1881" s="25"/>
      <c r="I1881" s="25"/>
      <c r="J1881" s="27" t="s">
        <v>2288</v>
      </c>
      <c r="K1881" s="25" t="str">
        <f aca="false">IFERROR(__xludf.dummyfunction("SPLIT(J1881,"" "")"),"CIF")</f>
        <v>CIF</v>
      </c>
      <c r="L1881" s="28" t="str">
        <f aca="false">IFERROR(__xludf.dummyfunction("""COMPUTED_VALUE"""),"Spain")</f>
        <v>Spain</v>
      </c>
      <c r="M1881" s="27" t="str">
        <f aca="false">IFERROR(__xludf.dummyfunction("""COMPUTED_VALUE"""),"(Diff)")</f>
        <v>(Diff)</v>
      </c>
      <c r="N1881" s="25"/>
      <c r="O1881" s="25"/>
      <c r="P1881" s="25"/>
      <c r="Q1881" s="29" t="s">
        <v>175</v>
      </c>
      <c r="R1881" s="8" t="str">
        <f aca="false">B1881&amp;" "&amp;C1881&amp;" "&amp;D1881&amp;" "&amp;E1881&amp;" "&amp;G1881&amp;" "&amp;H1881&amp;" "&amp;J1881&amp;" "&amp;N1881</f>
        <v>Differentials Aluminium (Battery Grade)     CIF Spain (Diff) </v>
      </c>
      <c r="S1881" s="25"/>
      <c r="T1881" s="8"/>
      <c r="U1881" s="8"/>
      <c r="V1881" s="25"/>
      <c r="W1881" s="25"/>
      <c r="X1881" s="25"/>
      <c r="Y1881" s="25"/>
      <c r="Z1881" s="25"/>
      <c r="AA1881" s="25"/>
      <c r="AB1881" s="25"/>
      <c r="AC1881" s="25"/>
      <c r="AD1881" s="25"/>
    </row>
    <row r="1882" customFormat="false" ht="15.75" hidden="false" customHeight="false" outlineLevel="0" collapsed="false">
      <c r="A1882" s="28" t="s">
        <v>2289</v>
      </c>
      <c r="B1882" s="27" t="s">
        <v>438</v>
      </c>
      <c r="C1882" s="27" t="s">
        <v>168</v>
      </c>
      <c r="D1882" s="25"/>
      <c r="E1882" s="25"/>
      <c r="F1882" s="25"/>
      <c r="G1882" s="25"/>
      <c r="H1882" s="25"/>
      <c r="I1882" s="25"/>
      <c r="J1882" s="27" t="s">
        <v>2288</v>
      </c>
      <c r="K1882" s="25" t="str">
        <f aca="false">IFERROR(__xludf.dummyfunction("SPLIT(J1882,"" "")"),"CIF")</f>
        <v>CIF</v>
      </c>
      <c r="L1882" s="28" t="str">
        <f aca="false">IFERROR(__xludf.dummyfunction("""COMPUTED_VALUE"""),"Spain")</f>
        <v>Spain</v>
      </c>
      <c r="M1882" s="27" t="str">
        <f aca="false">IFERROR(__xludf.dummyfunction("""COMPUTED_VALUE"""),"(Diff)")</f>
        <v>(Diff)</v>
      </c>
      <c r="N1882" s="25"/>
      <c r="O1882" s="25"/>
      <c r="P1882" s="25"/>
      <c r="Q1882" s="29" t="s">
        <v>173</v>
      </c>
      <c r="R1882" s="8" t="str">
        <f aca="false">B1882&amp;" "&amp;C1882&amp;" "&amp;D1882&amp;" "&amp;E1882&amp;" "&amp;G1882&amp;" "&amp;H1882&amp;" "&amp;J1882&amp;" "&amp;N1882</f>
        <v>Differentials Aluminium (Battery Grade)     CIF Spain (Diff) </v>
      </c>
      <c r="S1882" s="25"/>
      <c r="T1882" s="8"/>
      <c r="U1882" s="8"/>
      <c r="V1882" s="25"/>
      <c r="W1882" s="25"/>
      <c r="X1882" s="25"/>
      <c r="Y1882" s="25"/>
      <c r="Z1882" s="25"/>
      <c r="AA1882" s="25"/>
      <c r="AB1882" s="25"/>
      <c r="AC1882" s="25"/>
      <c r="AD1882" s="25"/>
    </row>
    <row r="1883" customFormat="false" ht="15.75" hidden="false" customHeight="false" outlineLevel="0" collapsed="false">
      <c r="A1883" s="28" t="s">
        <v>2290</v>
      </c>
      <c r="B1883" s="27" t="s">
        <v>438</v>
      </c>
      <c r="C1883" s="27" t="s">
        <v>168</v>
      </c>
      <c r="D1883" s="25"/>
      <c r="E1883" s="25"/>
      <c r="F1883" s="25"/>
      <c r="G1883" s="25"/>
      <c r="H1883" s="25"/>
      <c r="I1883" s="25"/>
      <c r="J1883" s="27" t="s">
        <v>2288</v>
      </c>
      <c r="K1883" s="25" t="str">
        <f aca="false">IFERROR(__xludf.dummyfunction("SPLIT(J1883,"" "")"),"CIF")</f>
        <v>CIF</v>
      </c>
      <c r="L1883" s="28" t="str">
        <f aca="false">IFERROR(__xludf.dummyfunction("""COMPUTED_VALUE"""),"Spain")</f>
        <v>Spain</v>
      </c>
      <c r="M1883" s="27" t="str">
        <f aca="false">IFERROR(__xludf.dummyfunction("""COMPUTED_VALUE"""),"(Diff)")</f>
        <v>(Diff)</v>
      </c>
      <c r="N1883" s="25"/>
      <c r="O1883" s="25"/>
      <c r="P1883" s="25"/>
      <c r="Q1883" s="29" t="s">
        <v>169</v>
      </c>
      <c r="R1883" s="8" t="str">
        <f aca="false">B1883&amp;" "&amp;C1883&amp;" "&amp;D1883&amp;" "&amp;E1883&amp;" "&amp;G1883&amp;" "&amp;H1883&amp;" "&amp;J1883&amp;" "&amp;N1883</f>
        <v>Differentials Aluminium (Battery Grade)     CIF Spain (Diff) </v>
      </c>
      <c r="S1883" s="25"/>
      <c r="T1883" s="8"/>
      <c r="U1883" s="8"/>
      <c r="V1883" s="25"/>
      <c r="W1883" s="25"/>
      <c r="X1883" s="25"/>
      <c r="Y1883" s="25"/>
      <c r="Z1883" s="25"/>
      <c r="AA1883" s="25"/>
      <c r="AB1883" s="25"/>
      <c r="AC1883" s="25"/>
      <c r="AD1883" s="25"/>
    </row>
    <row r="1884" customFormat="false" ht="15.75" hidden="false" customHeight="false" outlineLevel="0" collapsed="false">
      <c r="A1884" s="28" t="s">
        <v>2291</v>
      </c>
      <c r="B1884" s="27" t="s">
        <v>438</v>
      </c>
      <c r="C1884" s="27" t="s">
        <v>177</v>
      </c>
      <c r="D1884" s="25"/>
      <c r="E1884" s="25"/>
      <c r="F1884" s="25"/>
      <c r="G1884" s="25"/>
      <c r="H1884" s="25"/>
      <c r="I1884" s="25"/>
      <c r="J1884" s="27" t="s">
        <v>2288</v>
      </c>
      <c r="K1884" s="25" t="str">
        <f aca="false">IFERROR(__xludf.dummyfunction("SPLIT(J1884,"" "")"),"CIF")</f>
        <v>CIF</v>
      </c>
      <c r="L1884" s="28" t="str">
        <f aca="false">IFERROR(__xludf.dummyfunction("""COMPUTED_VALUE"""),"Spain")</f>
        <v>Spain</v>
      </c>
      <c r="M1884" s="27" t="str">
        <f aca="false">IFERROR(__xludf.dummyfunction("""COMPUTED_VALUE"""),"(Diff)")</f>
        <v>(Diff)</v>
      </c>
      <c r="N1884" s="25"/>
      <c r="O1884" s="25"/>
      <c r="P1884" s="25"/>
      <c r="Q1884" s="29" t="s">
        <v>209</v>
      </c>
      <c r="R1884" s="8" t="str">
        <f aca="false">B1884&amp;" "&amp;C1884&amp;" "&amp;D1884&amp;" "&amp;E1884&amp;" "&amp;G1884&amp;" "&amp;H1884&amp;" "&amp;J1884&amp;" "&amp;N1884</f>
        <v>Differentials Anode     CIF Spain (Diff) </v>
      </c>
      <c r="S1884" s="25"/>
      <c r="T1884" s="8"/>
      <c r="U1884" s="8"/>
      <c r="V1884" s="25"/>
      <c r="W1884" s="25"/>
      <c r="X1884" s="25"/>
      <c r="Y1884" s="25"/>
      <c r="Z1884" s="25"/>
      <c r="AA1884" s="25"/>
      <c r="AB1884" s="25"/>
      <c r="AC1884" s="25"/>
      <c r="AD1884" s="25"/>
    </row>
    <row r="1885" customFormat="false" ht="15.75" hidden="false" customHeight="false" outlineLevel="0" collapsed="false">
      <c r="A1885" s="28" t="s">
        <v>2292</v>
      </c>
      <c r="B1885" s="27" t="s">
        <v>438</v>
      </c>
      <c r="C1885" s="27" t="s">
        <v>177</v>
      </c>
      <c r="D1885" s="25"/>
      <c r="E1885" s="25"/>
      <c r="F1885" s="25"/>
      <c r="G1885" s="25"/>
      <c r="H1885" s="25"/>
      <c r="I1885" s="25"/>
      <c r="J1885" s="27" t="s">
        <v>2288</v>
      </c>
      <c r="K1885" s="25" t="str">
        <f aca="false">IFERROR(__xludf.dummyfunction("SPLIT(J1885,"" "")"),"CIF")</f>
        <v>CIF</v>
      </c>
      <c r="L1885" s="28" t="str">
        <f aca="false">IFERROR(__xludf.dummyfunction("""COMPUTED_VALUE"""),"Spain")</f>
        <v>Spain</v>
      </c>
      <c r="M1885" s="27" t="str">
        <f aca="false">IFERROR(__xludf.dummyfunction("""COMPUTED_VALUE"""),"(Diff)")</f>
        <v>(Diff)</v>
      </c>
      <c r="N1885" s="25"/>
      <c r="O1885" s="25"/>
      <c r="P1885" s="25"/>
      <c r="Q1885" s="29" t="s">
        <v>205</v>
      </c>
      <c r="R1885" s="8" t="str">
        <f aca="false">B1885&amp;" "&amp;C1885&amp;" "&amp;D1885&amp;" "&amp;E1885&amp;" "&amp;G1885&amp;" "&amp;H1885&amp;" "&amp;J1885&amp;" "&amp;N1885</f>
        <v>Differentials Anode     CIF Spain (Diff) </v>
      </c>
      <c r="S1885" s="25"/>
      <c r="T1885" s="8"/>
      <c r="U1885" s="8"/>
      <c r="V1885" s="25"/>
      <c r="W1885" s="25"/>
      <c r="X1885" s="25"/>
      <c r="Y1885" s="25"/>
      <c r="Z1885" s="25"/>
      <c r="AA1885" s="25"/>
      <c r="AB1885" s="25"/>
      <c r="AC1885" s="25"/>
      <c r="AD1885" s="25"/>
    </row>
    <row r="1886" customFormat="false" ht="15.75" hidden="false" customHeight="false" outlineLevel="0" collapsed="false">
      <c r="A1886" s="28" t="s">
        <v>2293</v>
      </c>
      <c r="B1886" s="27" t="s">
        <v>438</v>
      </c>
      <c r="C1886" s="27" t="s">
        <v>177</v>
      </c>
      <c r="D1886" s="25"/>
      <c r="E1886" s="25"/>
      <c r="F1886" s="25"/>
      <c r="G1886" s="25"/>
      <c r="H1886" s="25"/>
      <c r="I1886" s="25"/>
      <c r="J1886" s="27" t="s">
        <v>2288</v>
      </c>
      <c r="K1886" s="25" t="str">
        <f aca="false">IFERROR(__xludf.dummyfunction("SPLIT(J1886,"" "")"),"CIF")</f>
        <v>CIF</v>
      </c>
      <c r="L1886" s="28" t="str">
        <f aca="false">IFERROR(__xludf.dummyfunction("""COMPUTED_VALUE"""),"Spain")</f>
        <v>Spain</v>
      </c>
      <c r="M1886" s="27" t="str">
        <f aca="false">IFERROR(__xludf.dummyfunction("""COMPUTED_VALUE"""),"(Diff)")</f>
        <v>(Diff)</v>
      </c>
      <c r="N1886" s="25"/>
      <c r="O1886" s="25"/>
      <c r="P1886" s="25"/>
      <c r="Q1886" s="29" t="s">
        <v>202</v>
      </c>
      <c r="R1886" s="8" t="str">
        <f aca="false">B1886&amp;" "&amp;C1886&amp;" "&amp;D1886&amp;" "&amp;E1886&amp;" "&amp;G1886&amp;" "&amp;H1886&amp;" "&amp;J1886&amp;" "&amp;N1886</f>
        <v>Differentials Anode     CIF Spain (Diff) </v>
      </c>
      <c r="S1886" s="25"/>
      <c r="T1886" s="8"/>
      <c r="U1886" s="8"/>
      <c r="V1886" s="25"/>
      <c r="W1886" s="25"/>
      <c r="X1886" s="25"/>
      <c r="Y1886" s="25"/>
      <c r="Z1886" s="25"/>
      <c r="AA1886" s="25"/>
      <c r="AB1886" s="25"/>
      <c r="AC1886" s="25"/>
      <c r="AD1886" s="25"/>
    </row>
    <row r="1887" customFormat="false" ht="15.75" hidden="false" customHeight="false" outlineLevel="0" collapsed="false">
      <c r="A1887" s="28" t="s">
        <v>2294</v>
      </c>
      <c r="B1887" s="27" t="s">
        <v>438</v>
      </c>
      <c r="C1887" s="27" t="s">
        <v>177</v>
      </c>
      <c r="D1887" s="25"/>
      <c r="E1887" s="25"/>
      <c r="F1887" s="25"/>
      <c r="G1887" s="25"/>
      <c r="H1887" s="25"/>
      <c r="I1887" s="25"/>
      <c r="J1887" s="27" t="s">
        <v>2288</v>
      </c>
      <c r="K1887" s="25" t="str">
        <f aca="false">IFERROR(__xludf.dummyfunction("SPLIT(J1887,"" "")"),"CIF")</f>
        <v>CIF</v>
      </c>
      <c r="L1887" s="28" t="str">
        <f aca="false">IFERROR(__xludf.dummyfunction("""COMPUTED_VALUE"""),"Spain")</f>
        <v>Spain</v>
      </c>
      <c r="M1887" s="27" t="str">
        <f aca="false">IFERROR(__xludf.dummyfunction("""COMPUTED_VALUE"""),"(Diff)")</f>
        <v>(Diff)</v>
      </c>
      <c r="N1887" s="25"/>
      <c r="O1887" s="25"/>
      <c r="P1887" s="25"/>
      <c r="Q1887" s="29" t="s">
        <v>197</v>
      </c>
      <c r="R1887" s="8" t="str">
        <f aca="false">B1887&amp;" "&amp;C1887&amp;" "&amp;D1887&amp;" "&amp;E1887&amp;" "&amp;G1887&amp;" "&amp;H1887&amp;" "&amp;J1887&amp;" "&amp;N1887</f>
        <v>Differentials Anode     CIF Spain (Diff) </v>
      </c>
      <c r="S1887" s="25"/>
      <c r="T1887" s="8"/>
      <c r="U1887" s="8"/>
      <c r="V1887" s="25"/>
      <c r="W1887" s="25"/>
      <c r="X1887" s="25"/>
      <c r="Y1887" s="25"/>
      <c r="Z1887" s="25"/>
      <c r="AA1887" s="25"/>
      <c r="AB1887" s="25"/>
      <c r="AC1887" s="25"/>
      <c r="AD1887" s="25"/>
    </row>
    <row r="1888" customFormat="false" ht="15.75" hidden="false" customHeight="false" outlineLevel="0" collapsed="false">
      <c r="A1888" s="28" t="s">
        <v>2295</v>
      </c>
      <c r="B1888" s="27" t="s">
        <v>438</v>
      </c>
      <c r="C1888" s="27" t="s">
        <v>177</v>
      </c>
      <c r="D1888" s="25"/>
      <c r="E1888" s="25"/>
      <c r="F1888" s="25"/>
      <c r="G1888" s="25"/>
      <c r="H1888" s="25"/>
      <c r="I1888" s="25"/>
      <c r="J1888" s="27" t="s">
        <v>2288</v>
      </c>
      <c r="K1888" s="25" t="str">
        <f aca="false">IFERROR(__xludf.dummyfunction("SPLIT(J1888,"" "")"),"CIF")</f>
        <v>CIF</v>
      </c>
      <c r="L1888" s="28" t="str">
        <f aca="false">IFERROR(__xludf.dummyfunction("""COMPUTED_VALUE"""),"Spain")</f>
        <v>Spain</v>
      </c>
      <c r="M1888" s="27" t="str">
        <f aca="false">IFERROR(__xludf.dummyfunction("""COMPUTED_VALUE"""),"(Diff)")</f>
        <v>(Diff)</v>
      </c>
      <c r="N1888" s="25"/>
      <c r="O1888" s="25"/>
      <c r="P1888" s="25"/>
      <c r="Q1888" s="29" t="s">
        <v>193</v>
      </c>
      <c r="R1888" s="8" t="str">
        <f aca="false">B1888&amp;" "&amp;C1888&amp;" "&amp;D1888&amp;" "&amp;E1888&amp;" "&amp;G1888&amp;" "&amp;H1888&amp;" "&amp;J1888&amp;" "&amp;N1888</f>
        <v>Differentials Anode     CIF Spain (Diff) </v>
      </c>
      <c r="S1888" s="25"/>
      <c r="T1888" s="8"/>
      <c r="U1888" s="8"/>
      <c r="V1888" s="25"/>
      <c r="W1888" s="25"/>
      <c r="X1888" s="25"/>
      <c r="Y1888" s="25"/>
      <c r="Z1888" s="25"/>
      <c r="AA1888" s="25"/>
      <c r="AB1888" s="25"/>
      <c r="AC1888" s="25"/>
      <c r="AD1888" s="25"/>
    </row>
    <row r="1889" customFormat="false" ht="15.75" hidden="false" customHeight="false" outlineLevel="0" collapsed="false">
      <c r="A1889" s="28" t="s">
        <v>2296</v>
      </c>
      <c r="B1889" s="27" t="s">
        <v>438</v>
      </c>
      <c r="C1889" s="27" t="s">
        <v>177</v>
      </c>
      <c r="D1889" s="25"/>
      <c r="E1889" s="25"/>
      <c r="F1889" s="25"/>
      <c r="G1889" s="25"/>
      <c r="H1889" s="25"/>
      <c r="I1889" s="25"/>
      <c r="J1889" s="27" t="s">
        <v>2288</v>
      </c>
      <c r="K1889" s="25" t="str">
        <f aca="false">IFERROR(__xludf.dummyfunction("SPLIT(J1889,"" "")"),"CIF")</f>
        <v>CIF</v>
      </c>
      <c r="L1889" s="28" t="str">
        <f aca="false">IFERROR(__xludf.dummyfunction("""COMPUTED_VALUE"""),"Spain")</f>
        <v>Spain</v>
      </c>
      <c r="M1889" s="27" t="str">
        <f aca="false">IFERROR(__xludf.dummyfunction("""COMPUTED_VALUE"""),"(Diff)")</f>
        <v>(Diff)</v>
      </c>
      <c r="N1889" s="25"/>
      <c r="O1889" s="25"/>
      <c r="P1889" s="25"/>
      <c r="Q1889" s="29" t="s">
        <v>188</v>
      </c>
      <c r="R1889" s="8" t="str">
        <f aca="false">B1889&amp;" "&amp;C1889&amp;" "&amp;D1889&amp;" "&amp;E1889&amp;" "&amp;G1889&amp;" "&amp;H1889&amp;" "&amp;J1889&amp;" "&amp;N1889</f>
        <v>Differentials Anode     CIF Spain (Diff) </v>
      </c>
      <c r="S1889" s="25"/>
      <c r="T1889" s="8"/>
      <c r="U1889" s="8"/>
      <c r="V1889" s="25"/>
      <c r="W1889" s="25"/>
      <c r="X1889" s="25"/>
      <c r="Y1889" s="25"/>
      <c r="Z1889" s="25"/>
      <c r="AA1889" s="25"/>
      <c r="AB1889" s="25"/>
      <c r="AC1889" s="25"/>
      <c r="AD1889" s="25"/>
    </row>
    <row r="1890" customFormat="false" ht="15.75" hidden="false" customHeight="false" outlineLevel="0" collapsed="false">
      <c r="A1890" s="28" t="s">
        <v>2297</v>
      </c>
      <c r="B1890" s="27" t="s">
        <v>438</v>
      </c>
      <c r="C1890" s="27" t="s">
        <v>177</v>
      </c>
      <c r="D1890" s="25"/>
      <c r="E1890" s="25"/>
      <c r="F1890" s="25"/>
      <c r="G1890" s="25"/>
      <c r="H1890" s="25"/>
      <c r="I1890" s="25"/>
      <c r="J1890" s="27" t="s">
        <v>2288</v>
      </c>
      <c r="K1890" s="25" t="str">
        <f aca="false">IFERROR(__xludf.dummyfunction("SPLIT(J1890,"" "")"),"CIF")</f>
        <v>CIF</v>
      </c>
      <c r="L1890" s="28" t="str">
        <f aca="false">IFERROR(__xludf.dummyfunction("""COMPUTED_VALUE"""),"Spain")</f>
        <v>Spain</v>
      </c>
      <c r="M1890" s="27" t="str">
        <f aca="false">IFERROR(__xludf.dummyfunction("""COMPUTED_VALUE"""),"(Diff)")</f>
        <v>(Diff)</v>
      </c>
      <c r="N1890" s="25"/>
      <c r="O1890" s="25"/>
      <c r="P1890" s="25"/>
      <c r="Q1890" s="29" t="s">
        <v>180</v>
      </c>
      <c r="R1890" s="8" t="str">
        <f aca="false">B1890&amp;" "&amp;C1890&amp;" "&amp;D1890&amp;" "&amp;E1890&amp;" "&amp;G1890&amp;" "&amp;H1890&amp;" "&amp;J1890&amp;" "&amp;N1890</f>
        <v>Differentials Anode     CIF Spain (Diff) </v>
      </c>
      <c r="S1890" s="25"/>
      <c r="T1890" s="8"/>
      <c r="U1890" s="8"/>
      <c r="V1890" s="25"/>
      <c r="W1890" s="25"/>
      <c r="X1890" s="25"/>
      <c r="Y1890" s="25"/>
      <c r="Z1890" s="25"/>
      <c r="AA1890" s="25"/>
      <c r="AB1890" s="25"/>
      <c r="AC1890" s="25"/>
      <c r="AD1890" s="25"/>
    </row>
    <row r="1891" customFormat="false" ht="15.75" hidden="false" customHeight="false" outlineLevel="0" collapsed="false">
      <c r="A1891" s="28" t="s">
        <v>2298</v>
      </c>
      <c r="B1891" s="27" t="s">
        <v>438</v>
      </c>
      <c r="C1891" s="27" t="s">
        <v>211</v>
      </c>
      <c r="D1891" s="25"/>
      <c r="E1891" s="25"/>
      <c r="F1891" s="25"/>
      <c r="G1891" s="25"/>
      <c r="H1891" s="25"/>
      <c r="I1891" s="25"/>
      <c r="J1891" s="27" t="s">
        <v>2288</v>
      </c>
      <c r="K1891" s="25" t="str">
        <f aca="false">IFERROR(__xludf.dummyfunction("SPLIT(J1891,"" "")"),"CIF")</f>
        <v>CIF</v>
      </c>
      <c r="L1891" s="28" t="str">
        <f aca="false">IFERROR(__xludf.dummyfunction("""COMPUTED_VALUE"""),"Spain")</f>
        <v>Spain</v>
      </c>
      <c r="M1891" s="27" t="str">
        <f aca="false">IFERROR(__xludf.dummyfunction("""COMPUTED_VALUE"""),"(Diff)")</f>
        <v>(Diff)</v>
      </c>
      <c r="N1891" s="25"/>
      <c r="O1891" s="25"/>
      <c r="P1891" s="25"/>
      <c r="Q1891" s="29" t="s">
        <v>234</v>
      </c>
      <c r="R1891" s="8" t="str">
        <f aca="false">B1891&amp;" "&amp;C1891&amp;" "&amp;D1891&amp;" "&amp;E1891&amp;" "&amp;G1891&amp;" "&amp;H1891&amp;" "&amp;J1891&amp;" "&amp;N1891</f>
        <v>Differentials Binders &amp; Additives     CIF Spain (Diff) </v>
      </c>
      <c r="S1891" s="25"/>
      <c r="T1891" s="8"/>
      <c r="U1891" s="8"/>
      <c r="V1891" s="25"/>
      <c r="W1891" s="25"/>
      <c r="X1891" s="25"/>
      <c r="Y1891" s="25"/>
      <c r="Z1891" s="25"/>
      <c r="AA1891" s="25"/>
      <c r="AB1891" s="25"/>
      <c r="AC1891" s="25"/>
      <c r="AD1891" s="25"/>
    </row>
    <row r="1892" customFormat="false" ht="15.75" hidden="false" customHeight="false" outlineLevel="0" collapsed="false">
      <c r="A1892" s="28" t="s">
        <v>2299</v>
      </c>
      <c r="B1892" s="27" t="s">
        <v>438</v>
      </c>
      <c r="C1892" s="27" t="s">
        <v>211</v>
      </c>
      <c r="D1892" s="25"/>
      <c r="E1892" s="25"/>
      <c r="F1892" s="25"/>
      <c r="G1892" s="25"/>
      <c r="H1892" s="25"/>
      <c r="I1892" s="25"/>
      <c r="J1892" s="27" t="s">
        <v>2288</v>
      </c>
      <c r="K1892" s="25" t="str">
        <f aca="false">IFERROR(__xludf.dummyfunction("SPLIT(J1892,"" "")"),"CIF")</f>
        <v>CIF</v>
      </c>
      <c r="L1892" s="28" t="str">
        <f aca="false">IFERROR(__xludf.dummyfunction("""COMPUTED_VALUE"""),"Spain")</f>
        <v>Spain</v>
      </c>
      <c r="M1892" s="27" t="str">
        <f aca="false">IFERROR(__xludf.dummyfunction("""COMPUTED_VALUE"""),"(Diff)")</f>
        <v>(Diff)</v>
      </c>
      <c r="N1892" s="25"/>
      <c r="O1892" s="25"/>
      <c r="P1892" s="25"/>
      <c r="Q1892" s="29" t="s">
        <v>232</v>
      </c>
      <c r="R1892" s="8" t="str">
        <f aca="false">B1892&amp;" "&amp;C1892&amp;" "&amp;D1892&amp;" "&amp;E1892&amp;" "&amp;G1892&amp;" "&amp;H1892&amp;" "&amp;J1892&amp;" "&amp;N1892</f>
        <v>Differentials Binders &amp; Additives     CIF Spain (Diff) </v>
      </c>
      <c r="S1892" s="25"/>
      <c r="T1892" s="8"/>
      <c r="U1892" s="8"/>
      <c r="V1892" s="25"/>
      <c r="W1892" s="25"/>
      <c r="X1892" s="25"/>
      <c r="Y1892" s="25"/>
      <c r="Z1892" s="25"/>
      <c r="AA1892" s="25"/>
      <c r="AB1892" s="25"/>
      <c r="AC1892" s="25"/>
      <c r="AD1892" s="25"/>
    </row>
    <row r="1893" customFormat="false" ht="15.75" hidden="false" customHeight="false" outlineLevel="0" collapsed="false">
      <c r="A1893" s="28" t="s">
        <v>2300</v>
      </c>
      <c r="B1893" s="27" t="s">
        <v>438</v>
      </c>
      <c r="C1893" s="27" t="s">
        <v>211</v>
      </c>
      <c r="D1893" s="25"/>
      <c r="E1893" s="25"/>
      <c r="F1893" s="25"/>
      <c r="G1893" s="25"/>
      <c r="H1893" s="25"/>
      <c r="I1893" s="25"/>
      <c r="J1893" s="27" t="s">
        <v>2288</v>
      </c>
      <c r="K1893" s="25" t="str">
        <f aca="false">IFERROR(__xludf.dummyfunction("SPLIT(J1893,"" "")"),"CIF")</f>
        <v>CIF</v>
      </c>
      <c r="L1893" s="28" t="str">
        <f aca="false">IFERROR(__xludf.dummyfunction("""COMPUTED_VALUE"""),"Spain")</f>
        <v>Spain</v>
      </c>
      <c r="M1893" s="27" t="str">
        <f aca="false">IFERROR(__xludf.dummyfunction("""COMPUTED_VALUE"""),"(Diff)")</f>
        <v>(Diff)</v>
      </c>
      <c r="N1893" s="25"/>
      <c r="O1893" s="25"/>
      <c r="P1893" s="25"/>
      <c r="Q1893" s="29" t="s">
        <v>230</v>
      </c>
      <c r="R1893" s="8" t="str">
        <f aca="false">B1893&amp;" "&amp;C1893&amp;" "&amp;D1893&amp;" "&amp;E1893&amp;" "&amp;G1893&amp;" "&amp;H1893&amp;" "&amp;J1893&amp;" "&amp;N1893</f>
        <v>Differentials Binders &amp; Additives     CIF Spain (Diff) </v>
      </c>
      <c r="S1893" s="25"/>
      <c r="T1893" s="8"/>
      <c r="U1893" s="8"/>
      <c r="V1893" s="25"/>
      <c r="W1893" s="25"/>
      <c r="X1893" s="25"/>
      <c r="Y1893" s="25"/>
      <c r="Z1893" s="25"/>
      <c r="AA1893" s="25"/>
      <c r="AB1893" s="25"/>
      <c r="AC1893" s="25"/>
      <c r="AD1893" s="25"/>
    </row>
    <row r="1894" customFormat="false" ht="15.75" hidden="false" customHeight="false" outlineLevel="0" collapsed="false">
      <c r="A1894" s="28" t="s">
        <v>2301</v>
      </c>
      <c r="B1894" s="27" t="s">
        <v>438</v>
      </c>
      <c r="C1894" s="27" t="s">
        <v>211</v>
      </c>
      <c r="D1894" s="25"/>
      <c r="E1894" s="25"/>
      <c r="F1894" s="25"/>
      <c r="G1894" s="25"/>
      <c r="H1894" s="25"/>
      <c r="I1894" s="25"/>
      <c r="J1894" s="27" t="s">
        <v>2288</v>
      </c>
      <c r="K1894" s="25" t="str">
        <f aca="false">IFERROR(__xludf.dummyfunction("SPLIT(J1894,"" "")"),"CIF")</f>
        <v>CIF</v>
      </c>
      <c r="L1894" s="28" t="str">
        <f aca="false">IFERROR(__xludf.dummyfunction("""COMPUTED_VALUE"""),"Spain")</f>
        <v>Spain</v>
      </c>
      <c r="M1894" s="27" t="str">
        <f aca="false">IFERROR(__xludf.dummyfunction("""COMPUTED_VALUE"""),"(Diff)")</f>
        <v>(Diff)</v>
      </c>
      <c r="N1894" s="25"/>
      <c r="O1894" s="25"/>
      <c r="P1894" s="25"/>
      <c r="Q1894" s="29" t="s">
        <v>228</v>
      </c>
      <c r="R1894" s="8" t="str">
        <f aca="false">B1894&amp;" "&amp;C1894&amp;" "&amp;D1894&amp;" "&amp;E1894&amp;" "&amp;G1894&amp;" "&amp;H1894&amp;" "&amp;J1894&amp;" "&amp;N1894</f>
        <v>Differentials Binders &amp; Additives     CIF Spain (Diff) </v>
      </c>
      <c r="S1894" s="25"/>
      <c r="T1894" s="8"/>
      <c r="U1894" s="8"/>
      <c r="V1894" s="25"/>
      <c r="W1894" s="25"/>
      <c r="X1894" s="25"/>
      <c r="Y1894" s="25"/>
      <c r="Z1894" s="25"/>
      <c r="AA1894" s="25"/>
      <c r="AB1894" s="25"/>
      <c r="AC1894" s="25"/>
      <c r="AD1894" s="25"/>
    </row>
    <row r="1895" customFormat="false" ht="15.75" hidden="false" customHeight="false" outlineLevel="0" collapsed="false">
      <c r="A1895" s="28" t="s">
        <v>2302</v>
      </c>
      <c r="B1895" s="27" t="s">
        <v>438</v>
      </c>
      <c r="C1895" s="27" t="s">
        <v>211</v>
      </c>
      <c r="D1895" s="25"/>
      <c r="E1895" s="25"/>
      <c r="F1895" s="25"/>
      <c r="G1895" s="25"/>
      <c r="H1895" s="25"/>
      <c r="I1895" s="25"/>
      <c r="J1895" s="27" t="s">
        <v>2288</v>
      </c>
      <c r="K1895" s="25" t="str">
        <f aca="false">IFERROR(__xludf.dummyfunction("SPLIT(J1895,"" "")"),"CIF")</f>
        <v>CIF</v>
      </c>
      <c r="L1895" s="28" t="str">
        <f aca="false">IFERROR(__xludf.dummyfunction("""COMPUTED_VALUE"""),"Spain")</f>
        <v>Spain</v>
      </c>
      <c r="M1895" s="27" t="str">
        <f aca="false">IFERROR(__xludf.dummyfunction("""COMPUTED_VALUE"""),"(Diff)")</f>
        <v>(Diff)</v>
      </c>
      <c r="N1895" s="25"/>
      <c r="O1895" s="25"/>
      <c r="P1895" s="25"/>
      <c r="Q1895" s="29" t="s">
        <v>226</v>
      </c>
      <c r="R1895" s="8" t="str">
        <f aca="false">B1895&amp;" "&amp;C1895&amp;" "&amp;D1895&amp;" "&amp;E1895&amp;" "&amp;G1895&amp;" "&amp;H1895&amp;" "&amp;J1895&amp;" "&amp;N1895</f>
        <v>Differentials Binders &amp; Additives     CIF Spain (Diff) </v>
      </c>
      <c r="S1895" s="25"/>
      <c r="T1895" s="8"/>
      <c r="U1895" s="8"/>
      <c r="V1895" s="25"/>
      <c r="W1895" s="25"/>
      <c r="X1895" s="25"/>
      <c r="Y1895" s="25"/>
      <c r="Z1895" s="25"/>
      <c r="AA1895" s="25"/>
      <c r="AB1895" s="25"/>
      <c r="AC1895" s="25"/>
      <c r="AD1895" s="25"/>
    </row>
    <row r="1896" customFormat="false" ht="15.75" hidden="false" customHeight="false" outlineLevel="0" collapsed="false">
      <c r="A1896" s="28" t="s">
        <v>2303</v>
      </c>
      <c r="B1896" s="27" t="s">
        <v>438</v>
      </c>
      <c r="C1896" s="27" t="s">
        <v>211</v>
      </c>
      <c r="D1896" s="25"/>
      <c r="E1896" s="25"/>
      <c r="F1896" s="25"/>
      <c r="G1896" s="25"/>
      <c r="H1896" s="25"/>
      <c r="I1896" s="25"/>
      <c r="J1896" s="27" t="s">
        <v>2288</v>
      </c>
      <c r="K1896" s="25" t="str">
        <f aca="false">IFERROR(__xludf.dummyfunction("SPLIT(J1896,"" "")"),"CIF")</f>
        <v>CIF</v>
      </c>
      <c r="L1896" s="28" t="str">
        <f aca="false">IFERROR(__xludf.dummyfunction("""COMPUTED_VALUE"""),"Spain")</f>
        <v>Spain</v>
      </c>
      <c r="M1896" s="27" t="str">
        <f aca="false">IFERROR(__xludf.dummyfunction("""COMPUTED_VALUE"""),"(Diff)")</f>
        <v>(Diff)</v>
      </c>
      <c r="N1896" s="25"/>
      <c r="O1896" s="25"/>
      <c r="P1896" s="25"/>
      <c r="Q1896" s="29" t="s">
        <v>224</v>
      </c>
      <c r="R1896" s="8" t="str">
        <f aca="false">B1896&amp;" "&amp;C1896&amp;" "&amp;D1896&amp;" "&amp;E1896&amp;" "&amp;G1896&amp;" "&amp;H1896&amp;" "&amp;J1896&amp;" "&amp;N1896</f>
        <v>Differentials Binders &amp; Additives     CIF Spain (Diff) </v>
      </c>
      <c r="S1896" s="25"/>
      <c r="T1896" s="8"/>
      <c r="U1896" s="8"/>
      <c r="V1896" s="25"/>
      <c r="W1896" s="25"/>
      <c r="X1896" s="25"/>
      <c r="Y1896" s="25"/>
      <c r="Z1896" s="25"/>
      <c r="AA1896" s="25"/>
      <c r="AB1896" s="25"/>
      <c r="AC1896" s="25"/>
      <c r="AD1896" s="25"/>
    </row>
    <row r="1897" customFormat="false" ht="15.75" hidden="false" customHeight="false" outlineLevel="0" collapsed="false">
      <c r="A1897" s="28" t="s">
        <v>2304</v>
      </c>
      <c r="B1897" s="27" t="s">
        <v>438</v>
      </c>
      <c r="C1897" s="27" t="s">
        <v>211</v>
      </c>
      <c r="D1897" s="25"/>
      <c r="E1897" s="25"/>
      <c r="F1897" s="25"/>
      <c r="G1897" s="25"/>
      <c r="H1897" s="25"/>
      <c r="I1897" s="25"/>
      <c r="J1897" s="27" t="s">
        <v>2288</v>
      </c>
      <c r="K1897" s="25" t="str">
        <f aca="false">IFERROR(__xludf.dummyfunction("SPLIT(J1897,"" "")"),"CIF")</f>
        <v>CIF</v>
      </c>
      <c r="L1897" s="28" t="str">
        <f aca="false">IFERROR(__xludf.dummyfunction("""COMPUTED_VALUE"""),"Spain")</f>
        <v>Spain</v>
      </c>
      <c r="M1897" s="27" t="str">
        <f aca="false">IFERROR(__xludf.dummyfunction("""COMPUTED_VALUE"""),"(Diff)")</f>
        <v>(Diff)</v>
      </c>
      <c r="N1897" s="25"/>
      <c r="O1897" s="25"/>
      <c r="P1897" s="25"/>
      <c r="Q1897" s="29" t="s">
        <v>222</v>
      </c>
      <c r="R1897" s="8" t="str">
        <f aca="false">B1897&amp;" "&amp;C1897&amp;" "&amp;D1897&amp;" "&amp;E1897&amp;" "&amp;G1897&amp;" "&amp;H1897&amp;" "&amp;J1897&amp;" "&amp;N1897</f>
        <v>Differentials Binders &amp; Additives     CIF Spain (Diff) </v>
      </c>
      <c r="S1897" s="25"/>
      <c r="T1897" s="8"/>
      <c r="U1897" s="8"/>
      <c r="V1897" s="25"/>
      <c r="W1897" s="25"/>
      <c r="X1897" s="25"/>
      <c r="Y1897" s="25"/>
      <c r="Z1897" s="25"/>
      <c r="AA1897" s="25"/>
      <c r="AB1897" s="25"/>
      <c r="AC1897" s="25"/>
      <c r="AD1897" s="25"/>
    </row>
    <row r="1898" customFormat="false" ht="15.75" hidden="false" customHeight="false" outlineLevel="0" collapsed="false">
      <c r="A1898" s="28" t="s">
        <v>2305</v>
      </c>
      <c r="B1898" s="27" t="s">
        <v>438</v>
      </c>
      <c r="C1898" s="27" t="s">
        <v>211</v>
      </c>
      <c r="D1898" s="25"/>
      <c r="E1898" s="25"/>
      <c r="F1898" s="25"/>
      <c r="G1898" s="25"/>
      <c r="H1898" s="25"/>
      <c r="I1898" s="25"/>
      <c r="J1898" s="27" t="s">
        <v>2288</v>
      </c>
      <c r="K1898" s="25" t="str">
        <f aca="false">IFERROR(__xludf.dummyfunction("SPLIT(J1898,"" "")"),"CIF")</f>
        <v>CIF</v>
      </c>
      <c r="L1898" s="28" t="str">
        <f aca="false">IFERROR(__xludf.dummyfunction("""COMPUTED_VALUE"""),"Spain")</f>
        <v>Spain</v>
      </c>
      <c r="M1898" s="27" t="str">
        <f aca="false">IFERROR(__xludf.dummyfunction("""COMPUTED_VALUE"""),"(Diff)")</f>
        <v>(Diff)</v>
      </c>
      <c r="N1898" s="25"/>
      <c r="O1898" s="25"/>
      <c r="P1898" s="25"/>
      <c r="Q1898" s="29" t="s">
        <v>220</v>
      </c>
      <c r="R1898" s="8" t="str">
        <f aca="false">B1898&amp;" "&amp;C1898&amp;" "&amp;D1898&amp;" "&amp;E1898&amp;" "&amp;G1898&amp;" "&amp;H1898&amp;" "&amp;J1898&amp;" "&amp;N1898</f>
        <v>Differentials Binders &amp; Additives     CIF Spain (Diff) </v>
      </c>
      <c r="S1898" s="25"/>
      <c r="T1898" s="8"/>
      <c r="U1898" s="8"/>
      <c r="V1898" s="25"/>
      <c r="W1898" s="25"/>
      <c r="X1898" s="25"/>
      <c r="Y1898" s="25"/>
      <c r="Z1898" s="25"/>
      <c r="AA1898" s="25"/>
      <c r="AB1898" s="25"/>
      <c r="AC1898" s="25"/>
      <c r="AD1898" s="25"/>
    </row>
    <row r="1899" customFormat="false" ht="15.75" hidden="false" customHeight="false" outlineLevel="0" collapsed="false">
      <c r="A1899" s="28" t="s">
        <v>2306</v>
      </c>
      <c r="B1899" s="27" t="s">
        <v>438</v>
      </c>
      <c r="C1899" s="27" t="s">
        <v>211</v>
      </c>
      <c r="D1899" s="25"/>
      <c r="E1899" s="25"/>
      <c r="F1899" s="25"/>
      <c r="G1899" s="25"/>
      <c r="H1899" s="25"/>
      <c r="I1899" s="25"/>
      <c r="J1899" s="27" t="s">
        <v>2288</v>
      </c>
      <c r="K1899" s="25" t="str">
        <f aca="false">IFERROR(__xludf.dummyfunction("SPLIT(J1899,"" "")"),"CIF")</f>
        <v>CIF</v>
      </c>
      <c r="L1899" s="28" t="str">
        <f aca="false">IFERROR(__xludf.dummyfunction("""COMPUTED_VALUE"""),"Spain")</f>
        <v>Spain</v>
      </c>
      <c r="M1899" s="27" t="str">
        <f aca="false">IFERROR(__xludf.dummyfunction("""COMPUTED_VALUE"""),"(Diff)")</f>
        <v>(Diff)</v>
      </c>
      <c r="N1899" s="25"/>
      <c r="O1899" s="25"/>
      <c r="P1899" s="25"/>
      <c r="Q1899" s="29" t="s">
        <v>218</v>
      </c>
      <c r="R1899" s="8" t="str">
        <f aca="false">B1899&amp;" "&amp;C1899&amp;" "&amp;D1899&amp;" "&amp;E1899&amp;" "&amp;G1899&amp;" "&amp;H1899&amp;" "&amp;J1899&amp;" "&amp;N1899</f>
        <v>Differentials Binders &amp; Additives     CIF Spain (Diff) </v>
      </c>
      <c r="S1899" s="25"/>
      <c r="T1899" s="8"/>
      <c r="U1899" s="8"/>
      <c r="V1899" s="25"/>
      <c r="W1899" s="25"/>
      <c r="X1899" s="25"/>
      <c r="Y1899" s="25"/>
      <c r="Z1899" s="25"/>
      <c r="AA1899" s="25"/>
      <c r="AB1899" s="25"/>
      <c r="AC1899" s="25"/>
      <c r="AD1899" s="25"/>
    </row>
    <row r="1900" customFormat="false" ht="15.75" hidden="false" customHeight="false" outlineLevel="0" collapsed="false">
      <c r="A1900" s="28" t="s">
        <v>2307</v>
      </c>
      <c r="B1900" s="27" t="s">
        <v>438</v>
      </c>
      <c r="C1900" s="27" t="s">
        <v>211</v>
      </c>
      <c r="D1900" s="25"/>
      <c r="E1900" s="25"/>
      <c r="F1900" s="25"/>
      <c r="G1900" s="25"/>
      <c r="H1900" s="25"/>
      <c r="I1900" s="25"/>
      <c r="J1900" s="27" t="s">
        <v>2288</v>
      </c>
      <c r="K1900" s="25" t="str">
        <f aca="false">IFERROR(__xludf.dummyfunction("SPLIT(J1900,"" "")"),"CIF")</f>
        <v>CIF</v>
      </c>
      <c r="L1900" s="28" t="str">
        <f aca="false">IFERROR(__xludf.dummyfunction("""COMPUTED_VALUE"""),"Spain")</f>
        <v>Spain</v>
      </c>
      <c r="M1900" s="27" t="str">
        <f aca="false">IFERROR(__xludf.dummyfunction("""COMPUTED_VALUE"""),"(Diff)")</f>
        <v>(Diff)</v>
      </c>
      <c r="N1900" s="25"/>
      <c r="O1900" s="25"/>
      <c r="P1900" s="25"/>
      <c r="Q1900" s="29" t="s">
        <v>215</v>
      </c>
      <c r="R1900" s="8" t="str">
        <f aca="false">B1900&amp;" "&amp;C1900&amp;" "&amp;D1900&amp;" "&amp;E1900&amp;" "&amp;G1900&amp;" "&amp;H1900&amp;" "&amp;J1900&amp;" "&amp;N1900</f>
        <v>Differentials Binders &amp; Additives     CIF Spain (Diff) </v>
      </c>
      <c r="S1900" s="25"/>
      <c r="T1900" s="8"/>
      <c r="U1900" s="8"/>
      <c r="V1900" s="25"/>
      <c r="W1900" s="25"/>
      <c r="X1900" s="25"/>
      <c r="Y1900" s="25"/>
      <c r="Z1900" s="25"/>
      <c r="AA1900" s="25"/>
      <c r="AB1900" s="25"/>
      <c r="AC1900" s="25"/>
      <c r="AD1900" s="25"/>
    </row>
    <row r="1901" customFormat="false" ht="15.75" hidden="false" customHeight="false" outlineLevel="0" collapsed="false">
      <c r="A1901" s="28" t="s">
        <v>2308</v>
      </c>
      <c r="B1901" s="27" t="s">
        <v>438</v>
      </c>
      <c r="C1901" s="27" t="s">
        <v>211</v>
      </c>
      <c r="D1901" s="25"/>
      <c r="E1901" s="25"/>
      <c r="F1901" s="25"/>
      <c r="G1901" s="25"/>
      <c r="H1901" s="25"/>
      <c r="I1901" s="25"/>
      <c r="J1901" s="27" t="s">
        <v>2288</v>
      </c>
      <c r="K1901" s="25" t="str">
        <f aca="false">IFERROR(__xludf.dummyfunction("SPLIT(J1901,"" "")"),"CIF")</f>
        <v>CIF</v>
      </c>
      <c r="L1901" s="28" t="str">
        <f aca="false">IFERROR(__xludf.dummyfunction("""COMPUTED_VALUE"""),"Spain")</f>
        <v>Spain</v>
      </c>
      <c r="M1901" s="27" t="str">
        <f aca="false">IFERROR(__xludf.dummyfunction("""COMPUTED_VALUE"""),"(Diff)")</f>
        <v>(Diff)</v>
      </c>
      <c r="N1901" s="25"/>
      <c r="O1901" s="25"/>
      <c r="P1901" s="25"/>
      <c r="Q1901" s="29" t="s">
        <v>213</v>
      </c>
      <c r="R1901" s="8" t="str">
        <f aca="false">B1901&amp;" "&amp;C1901&amp;" "&amp;D1901&amp;" "&amp;E1901&amp;" "&amp;G1901&amp;" "&amp;H1901&amp;" "&amp;J1901&amp;" "&amp;N1901</f>
        <v>Differentials Binders &amp; Additives     CIF Spain (Diff) </v>
      </c>
      <c r="S1901" s="25"/>
      <c r="T1901" s="8"/>
      <c r="U1901" s="8"/>
      <c r="V1901" s="25"/>
      <c r="W1901" s="25"/>
      <c r="X1901" s="25"/>
      <c r="Y1901" s="25"/>
      <c r="Z1901" s="25"/>
      <c r="AA1901" s="25"/>
      <c r="AB1901" s="25"/>
      <c r="AC1901" s="25"/>
      <c r="AD1901" s="25"/>
    </row>
    <row r="1902" customFormat="false" ht="15.75" hidden="false" customHeight="false" outlineLevel="0" collapsed="false">
      <c r="A1902" s="28" t="s">
        <v>2309</v>
      </c>
      <c r="B1902" s="27" t="s">
        <v>438</v>
      </c>
      <c r="C1902" s="27" t="s">
        <v>236</v>
      </c>
      <c r="D1902" s="25"/>
      <c r="E1902" s="25"/>
      <c r="F1902" s="25"/>
      <c r="G1902" s="25"/>
      <c r="H1902" s="25"/>
      <c r="I1902" s="25"/>
      <c r="J1902" s="27" t="s">
        <v>2288</v>
      </c>
      <c r="K1902" s="25" t="str">
        <f aca="false">IFERROR(__xludf.dummyfunction("SPLIT(J1902,"" "")"),"CIF")</f>
        <v>CIF</v>
      </c>
      <c r="L1902" s="28" t="str">
        <f aca="false">IFERROR(__xludf.dummyfunction("""COMPUTED_VALUE"""),"Spain")</f>
        <v>Spain</v>
      </c>
      <c r="M1902" s="27" t="str">
        <f aca="false">IFERROR(__xludf.dummyfunction("""COMPUTED_VALUE"""),"(Diff)")</f>
        <v>(Diff)</v>
      </c>
      <c r="N1902" s="25"/>
      <c r="O1902" s="25"/>
      <c r="P1902" s="25"/>
      <c r="Q1902" s="29" t="s">
        <v>271</v>
      </c>
      <c r="R1902" s="8" t="str">
        <f aca="false">B1902&amp;" "&amp;C1902&amp;" "&amp;D1902&amp;" "&amp;E1902&amp;" "&amp;G1902&amp;" "&amp;H1902&amp;" "&amp;J1902&amp;" "&amp;N1902</f>
        <v>Differentials Cathode     CIF Spain (Diff) </v>
      </c>
      <c r="S1902" s="25"/>
      <c r="T1902" s="8"/>
      <c r="U1902" s="8"/>
      <c r="V1902" s="25"/>
      <c r="W1902" s="25"/>
      <c r="X1902" s="25"/>
      <c r="Y1902" s="25"/>
      <c r="Z1902" s="25"/>
      <c r="AA1902" s="25"/>
      <c r="AB1902" s="25"/>
      <c r="AC1902" s="25"/>
      <c r="AD1902" s="25"/>
    </row>
    <row r="1903" customFormat="false" ht="15.75" hidden="false" customHeight="false" outlineLevel="0" collapsed="false">
      <c r="A1903" s="28" t="s">
        <v>2310</v>
      </c>
      <c r="B1903" s="27" t="s">
        <v>438</v>
      </c>
      <c r="C1903" s="27" t="s">
        <v>236</v>
      </c>
      <c r="D1903" s="25"/>
      <c r="E1903" s="25"/>
      <c r="F1903" s="25"/>
      <c r="G1903" s="25"/>
      <c r="H1903" s="25"/>
      <c r="I1903" s="25"/>
      <c r="J1903" s="27" t="s">
        <v>2288</v>
      </c>
      <c r="K1903" s="25" t="str">
        <f aca="false">IFERROR(__xludf.dummyfunction("SPLIT(J1903,"" "")"),"CIF")</f>
        <v>CIF</v>
      </c>
      <c r="L1903" s="28" t="str">
        <f aca="false">IFERROR(__xludf.dummyfunction("""COMPUTED_VALUE"""),"Spain")</f>
        <v>Spain</v>
      </c>
      <c r="M1903" s="27" t="str">
        <f aca="false">IFERROR(__xludf.dummyfunction("""COMPUTED_VALUE"""),"(Diff)")</f>
        <v>(Diff)</v>
      </c>
      <c r="N1903" s="25"/>
      <c r="O1903" s="25"/>
      <c r="P1903" s="25"/>
      <c r="Q1903" s="29" t="s">
        <v>266</v>
      </c>
      <c r="R1903" s="8" t="str">
        <f aca="false">B1903&amp;" "&amp;C1903&amp;" "&amp;D1903&amp;" "&amp;E1903&amp;" "&amp;G1903&amp;" "&amp;H1903&amp;" "&amp;J1903&amp;" "&amp;N1903</f>
        <v>Differentials Cathode     CIF Spain (Diff) </v>
      </c>
      <c r="S1903" s="25"/>
      <c r="T1903" s="8"/>
      <c r="U1903" s="8"/>
      <c r="V1903" s="25"/>
      <c r="W1903" s="25"/>
      <c r="X1903" s="25"/>
      <c r="Y1903" s="25"/>
      <c r="Z1903" s="25"/>
      <c r="AA1903" s="25"/>
      <c r="AB1903" s="25"/>
      <c r="AC1903" s="25"/>
      <c r="AD1903" s="25"/>
    </row>
    <row r="1904" customFormat="false" ht="15.75" hidden="false" customHeight="false" outlineLevel="0" collapsed="false">
      <c r="A1904" s="28" t="s">
        <v>2311</v>
      </c>
      <c r="B1904" s="27" t="s">
        <v>438</v>
      </c>
      <c r="C1904" s="27" t="s">
        <v>236</v>
      </c>
      <c r="D1904" s="25"/>
      <c r="E1904" s="25"/>
      <c r="F1904" s="25"/>
      <c r="G1904" s="25"/>
      <c r="H1904" s="25"/>
      <c r="I1904" s="25"/>
      <c r="J1904" s="27" t="s">
        <v>2288</v>
      </c>
      <c r="K1904" s="25" t="str">
        <f aca="false">IFERROR(__xludf.dummyfunction("SPLIT(J1904,"" "")"),"CIF")</f>
        <v>CIF</v>
      </c>
      <c r="L1904" s="28" t="str">
        <f aca="false">IFERROR(__xludf.dummyfunction("""COMPUTED_VALUE"""),"Spain")</f>
        <v>Spain</v>
      </c>
      <c r="M1904" s="27" t="str">
        <f aca="false">IFERROR(__xludf.dummyfunction("""COMPUTED_VALUE"""),"(Diff)")</f>
        <v>(Diff)</v>
      </c>
      <c r="N1904" s="25"/>
      <c r="O1904" s="25"/>
      <c r="P1904" s="25"/>
      <c r="Q1904" s="29" t="s">
        <v>261</v>
      </c>
      <c r="R1904" s="8" t="str">
        <f aca="false">B1904&amp;" "&amp;C1904&amp;" "&amp;D1904&amp;" "&amp;E1904&amp;" "&amp;G1904&amp;" "&amp;H1904&amp;" "&amp;J1904&amp;" "&amp;N1904</f>
        <v>Differentials Cathode     CIF Spain (Diff) </v>
      </c>
      <c r="S1904" s="25"/>
      <c r="T1904" s="8"/>
      <c r="U1904" s="8"/>
      <c r="V1904" s="25"/>
      <c r="W1904" s="25"/>
      <c r="X1904" s="25"/>
      <c r="Y1904" s="25"/>
      <c r="Z1904" s="25"/>
      <c r="AA1904" s="25"/>
      <c r="AB1904" s="25"/>
      <c r="AC1904" s="25"/>
      <c r="AD1904" s="25"/>
    </row>
    <row r="1905" customFormat="false" ht="15.75" hidden="false" customHeight="false" outlineLevel="0" collapsed="false">
      <c r="A1905" s="28" t="s">
        <v>2312</v>
      </c>
      <c r="B1905" s="27" t="s">
        <v>438</v>
      </c>
      <c r="C1905" s="27" t="s">
        <v>236</v>
      </c>
      <c r="D1905" s="25"/>
      <c r="E1905" s="25"/>
      <c r="F1905" s="25"/>
      <c r="G1905" s="25"/>
      <c r="H1905" s="25"/>
      <c r="I1905" s="25"/>
      <c r="J1905" s="27" t="s">
        <v>2288</v>
      </c>
      <c r="K1905" s="25" t="str">
        <f aca="false">IFERROR(__xludf.dummyfunction("SPLIT(J1905,"" "")"),"CIF")</f>
        <v>CIF</v>
      </c>
      <c r="L1905" s="28" t="str">
        <f aca="false">IFERROR(__xludf.dummyfunction("""COMPUTED_VALUE"""),"Spain")</f>
        <v>Spain</v>
      </c>
      <c r="M1905" s="27" t="str">
        <f aca="false">IFERROR(__xludf.dummyfunction("""COMPUTED_VALUE"""),"(Diff)")</f>
        <v>(Diff)</v>
      </c>
      <c r="N1905" s="25"/>
      <c r="O1905" s="25"/>
      <c r="P1905" s="25"/>
      <c r="Q1905" s="29" t="s">
        <v>256</v>
      </c>
      <c r="R1905" s="8" t="str">
        <f aca="false">B1905&amp;" "&amp;C1905&amp;" "&amp;D1905&amp;" "&amp;E1905&amp;" "&amp;G1905&amp;" "&amp;H1905&amp;" "&amp;J1905&amp;" "&amp;N1905</f>
        <v>Differentials Cathode     CIF Spain (Diff) </v>
      </c>
      <c r="S1905" s="25"/>
      <c r="T1905" s="8"/>
      <c r="U1905" s="8"/>
      <c r="V1905" s="25"/>
      <c r="W1905" s="25"/>
      <c r="X1905" s="25"/>
      <c r="Y1905" s="25"/>
      <c r="Z1905" s="25"/>
      <c r="AA1905" s="25"/>
      <c r="AB1905" s="25"/>
      <c r="AC1905" s="25"/>
      <c r="AD1905" s="25"/>
    </row>
    <row r="1906" customFormat="false" ht="15.75" hidden="false" customHeight="false" outlineLevel="0" collapsed="false">
      <c r="A1906" s="28" t="s">
        <v>2313</v>
      </c>
      <c r="B1906" s="27" t="s">
        <v>438</v>
      </c>
      <c r="C1906" s="27" t="s">
        <v>236</v>
      </c>
      <c r="D1906" s="25"/>
      <c r="E1906" s="25"/>
      <c r="F1906" s="25"/>
      <c r="G1906" s="25"/>
      <c r="H1906" s="25"/>
      <c r="I1906" s="25"/>
      <c r="J1906" s="27" t="s">
        <v>2288</v>
      </c>
      <c r="K1906" s="25" t="str">
        <f aca="false">IFERROR(__xludf.dummyfunction("SPLIT(J1906,"" "")"),"CIF")</f>
        <v>CIF</v>
      </c>
      <c r="L1906" s="28" t="str">
        <f aca="false">IFERROR(__xludf.dummyfunction("""COMPUTED_VALUE"""),"Spain")</f>
        <v>Spain</v>
      </c>
      <c r="M1906" s="27" t="str">
        <f aca="false">IFERROR(__xludf.dummyfunction("""COMPUTED_VALUE"""),"(Diff)")</f>
        <v>(Diff)</v>
      </c>
      <c r="N1906" s="25"/>
      <c r="O1906" s="25"/>
      <c r="P1906" s="25"/>
      <c r="Q1906" s="29" t="s">
        <v>251</v>
      </c>
      <c r="R1906" s="8" t="str">
        <f aca="false">B1906&amp;" "&amp;C1906&amp;" "&amp;D1906&amp;" "&amp;E1906&amp;" "&amp;G1906&amp;" "&amp;H1906&amp;" "&amp;J1906&amp;" "&amp;N1906</f>
        <v>Differentials Cathode     CIF Spain (Diff) </v>
      </c>
      <c r="S1906" s="25"/>
      <c r="T1906" s="8"/>
      <c r="U1906" s="8"/>
      <c r="V1906" s="25"/>
      <c r="W1906" s="25"/>
      <c r="X1906" s="25"/>
      <c r="Y1906" s="25"/>
      <c r="Z1906" s="25"/>
      <c r="AA1906" s="25"/>
      <c r="AB1906" s="25"/>
      <c r="AC1906" s="25"/>
      <c r="AD1906" s="25"/>
    </row>
    <row r="1907" customFormat="false" ht="15.75" hidden="false" customHeight="false" outlineLevel="0" collapsed="false">
      <c r="A1907" s="28" t="s">
        <v>2314</v>
      </c>
      <c r="B1907" s="27" t="s">
        <v>438</v>
      </c>
      <c r="C1907" s="27" t="s">
        <v>236</v>
      </c>
      <c r="D1907" s="25"/>
      <c r="E1907" s="25"/>
      <c r="F1907" s="25"/>
      <c r="G1907" s="25"/>
      <c r="H1907" s="25"/>
      <c r="I1907" s="25"/>
      <c r="J1907" s="27" t="s">
        <v>2288</v>
      </c>
      <c r="K1907" s="25" t="str">
        <f aca="false">IFERROR(__xludf.dummyfunction("SPLIT(J1907,"" "")"),"CIF")</f>
        <v>CIF</v>
      </c>
      <c r="L1907" s="28" t="str">
        <f aca="false">IFERROR(__xludf.dummyfunction("""COMPUTED_VALUE"""),"Spain")</f>
        <v>Spain</v>
      </c>
      <c r="M1907" s="27" t="str">
        <f aca="false">IFERROR(__xludf.dummyfunction("""COMPUTED_VALUE"""),"(Diff)")</f>
        <v>(Diff)</v>
      </c>
      <c r="N1907" s="25"/>
      <c r="O1907" s="25"/>
      <c r="P1907" s="25"/>
      <c r="Q1907" s="29" t="s">
        <v>247</v>
      </c>
      <c r="R1907" s="8" t="str">
        <f aca="false">B1907&amp;" "&amp;C1907&amp;" "&amp;D1907&amp;" "&amp;E1907&amp;" "&amp;G1907&amp;" "&amp;H1907&amp;" "&amp;J1907&amp;" "&amp;N1907</f>
        <v>Differentials Cathode     CIF Spain (Diff) </v>
      </c>
      <c r="S1907" s="25"/>
      <c r="T1907" s="8"/>
      <c r="U1907" s="8"/>
      <c r="V1907" s="25"/>
      <c r="W1907" s="25"/>
      <c r="X1907" s="25"/>
      <c r="Y1907" s="25"/>
      <c r="Z1907" s="25"/>
      <c r="AA1907" s="25"/>
      <c r="AB1907" s="25"/>
      <c r="AC1907" s="25"/>
      <c r="AD1907" s="25"/>
    </row>
    <row r="1908" customFormat="false" ht="15.75" hidden="false" customHeight="false" outlineLevel="0" collapsed="false">
      <c r="A1908" s="28" t="s">
        <v>2315</v>
      </c>
      <c r="B1908" s="27" t="s">
        <v>438</v>
      </c>
      <c r="C1908" s="27" t="s">
        <v>236</v>
      </c>
      <c r="D1908" s="25"/>
      <c r="E1908" s="25"/>
      <c r="F1908" s="25"/>
      <c r="G1908" s="25"/>
      <c r="H1908" s="25"/>
      <c r="I1908" s="25"/>
      <c r="J1908" s="27" t="s">
        <v>2288</v>
      </c>
      <c r="K1908" s="25" t="str">
        <f aca="false">IFERROR(__xludf.dummyfunction("SPLIT(J1908,"" "")"),"CIF")</f>
        <v>CIF</v>
      </c>
      <c r="L1908" s="28" t="str">
        <f aca="false">IFERROR(__xludf.dummyfunction("""COMPUTED_VALUE"""),"Spain")</f>
        <v>Spain</v>
      </c>
      <c r="M1908" s="27" t="str">
        <f aca="false">IFERROR(__xludf.dummyfunction("""COMPUTED_VALUE"""),"(Diff)")</f>
        <v>(Diff)</v>
      </c>
      <c r="N1908" s="25"/>
      <c r="O1908" s="25"/>
      <c r="P1908" s="25"/>
      <c r="Q1908" s="29" t="s">
        <v>243</v>
      </c>
      <c r="R1908" s="8" t="str">
        <f aca="false">B1908&amp;" "&amp;C1908&amp;" "&amp;D1908&amp;" "&amp;E1908&amp;" "&amp;G1908&amp;" "&amp;H1908&amp;" "&amp;J1908&amp;" "&amp;N1908</f>
        <v>Differentials Cathode     CIF Spain (Diff) </v>
      </c>
      <c r="S1908" s="25"/>
      <c r="T1908" s="8"/>
      <c r="U1908" s="8"/>
      <c r="V1908" s="25"/>
      <c r="W1908" s="25"/>
      <c r="X1908" s="25"/>
      <c r="Y1908" s="25"/>
      <c r="Z1908" s="25"/>
      <c r="AA1908" s="25"/>
      <c r="AB1908" s="25"/>
      <c r="AC1908" s="25"/>
      <c r="AD1908" s="25"/>
    </row>
    <row r="1909" customFormat="false" ht="15.75" hidden="false" customHeight="false" outlineLevel="0" collapsed="false">
      <c r="A1909" s="28" t="s">
        <v>2316</v>
      </c>
      <c r="B1909" s="27" t="s">
        <v>438</v>
      </c>
      <c r="C1909" s="27" t="s">
        <v>236</v>
      </c>
      <c r="D1909" s="25"/>
      <c r="E1909" s="25"/>
      <c r="F1909" s="25"/>
      <c r="G1909" s="25"/>
      <c r="H1909" s="25"/>
      <c r="I1909" s="25"/>
      <c r="J1909" s="27" t="s">
        <v>2288</v>
      </c>
      <c r="K1909" s="25" t="str">
        <f aca="false">IFERROR(__xludf.dummyfunction("SPLIT(J1909,"" "")"),"CIF")</f>
        <v>CIF</v>
      </c>
      <c r="L1909" s="28" t="str">
        <f aca="false">IFERROR(__xludf.dummyfunction("""COMPUTED_VALUE"""),"Spain")</f>
        <v>Spain</v>
      </c>
      <c r="M1909" s="27" t="str">
        <f aca="false">IFERROR(__xludf.dummyfunction("""COMPUTED_VALUE"""),"(Diff)")</f>
        <v>(Diff)</v>
      </c>
      <c r="N1909" s="25"/>
      <c r="O1909" s="25"/>
      <c r="P1909" s="25"/>
      <c r="Q1909" s="29" t="s">
        <v>239</v>
      </c>
      <c r="R1909" s="8" t="str">
        <f aca="false">B1909&amp;" "&amp;C1909&amp;" "&amp;D1909&amp;" "&amp;E1909&amp;" "&amp;G1909&amp;" "&amp;H1909&amp;" "&amp;J1909&amp;" "&amp;N1909</f>
        <v>Differentials Cathode     CIF Spain (Diff) </v>
      </c>
      <c r="S1909" s="25"/>
      <c r="T1909" s="8"/>
      <c r="U1909" s="8"/>
      <c r="V1909" s="25"/>
      <c r="W1909" s="25"/>
      <c r="X1909" s="25"/>
      <c r="Y1909" s="25"/>
      <c r="Z1909" s="25"/>
      <c r="AA1909" s="25"/>
      <c r="AB1909" s="25"/>
      <c r="AC1909" s="25"/>
      <c r="AD1909" s="25"/>
    </row>
    <row r="1910" customFormat="false" ht="15.75" hidden="false" customHeight="false" outlineLevel="0" collapsed="false">
      <c r="A1910" s="28" t="s">
        <v>2317</v>
      </c>
      <c r="B1910" s="27" t="s">
        <v>438</v>
      </c>
      <c r="C1910" s="27" t="s">
        <v>284</v>
      </c>
      <c r="D1910" s="25"/>
      <c r="E1910" s="25"/>
      <c r="F1910" s="25"/>
      <c r="G1910" s="25"/>
      <c r="H1910" s="25"/>
      <c r="I1910" s="25"/>
      <c r="J1910" s="27" t="s">
        <v>2288</v>
      </c>
      <c r="K1910" s="25" t="str">
        <f aca="false">IFERROR(__xludf.dummyfunction("SPLIT(J1910,"" "")"),"CIF")</f>
        <v>CIF</v>
      </c>
      <c r="L1910" s="28" t="str">
        <f aca="false">IFERROR(__xludf.dummyfunction("""COMPUTED_VALUE"""),"Spain")</f>
        <v>Spain</v>
      </c>
      <c r="M1910" s="27" t="str">
        <f aca="false">IFERROR(__xludf.dummyfunction("""COMPUTED_VALUE"""),"(Diff)")</f>
        <v>(Diff)</v>
      </c>
      <c r="N1910" s="25"/>
      <c r="O1910" s="25"/>
      <c r="P1910" s="25"/>
      <c r="Q1910" s="29" t="s">
        <v>287</v>
      </c>
      <c r="R1910" s="8" t="str">
        <f aca="false">B1910&amp;" "&amp;C1910&amp;" "&amp;D1910&amp;" "&amp;E1910&amp;" "&amp;G1910&amp;" "&amp;H1910&amp;" "&amp;J1910&amp;" "&amp;N1910</f>
        <v>Differentials Copper (Battery Grade)     CIF Spain (Diff) </v>
      </c>
      <c r="S1910" s="25"/>
      <c r="T1910" s="8"/>
      <c r="U1910" s="8"/>
      <c r="V1910" s="25"/>
      <c r="W1910" s="25"/>
      <c r="X1910" s="25"/>
      <c r="Y1910" s="25"/>
      <c r="Z1910" s="25"/>
      <c r="AA1910" s="25"/>
      <c r="AB1910" s="25"/>
      <c r="AC1910" s="25"/>
      <c r="AD1910" s="25"/>
    </row>
    <row r="1911" customFormat="false" ht="15.75" hidden="false" customHeight="false" outlineLevel="0" collapsed="false">
      <c r="A1911" s="28" t="s">
        <v>2318</v>
      </c>
      <c r="B1911" s="27" t="s">
        <v>438</v>
      </c>
      <c r="C1911" s="27" t="s">
        <v>284</v>
      </c>
      <c r="D1911" s="25"/>
      <c r="E1911" s="25"/>
      <c r="F1911" s="25"/>
      <c r="G1911" s="25"/>
      <c r="H1911" s="25"/>
      <c r="I1911" s="25"/>
      <c r="J1911" s="27" t="s">
        <v>2288</v>
      </c>
      <c r="K1911" s="25" t="str">
        <f aca="false">IFERROR(__xludf.dummyfunction("SPLIT(J1911,"" "")"),"CIF")</f>
        <v>CIF</v>
      </c>
      <c r="L1911" s="28" t="str">
        <f aca="false">IFERROR(__xludf.dummyfunction("""COMPUTED_VALUE"""),"Spain")</f>
        <v>Spain</v>
      </c>
      <c r="M1911" s="27" t="str">
        <f aca="false">IFERROR(__xludf.dummyfunction("""COMPUTED_VALUE"""),"(Diff)")</f>
        <v>(Diff)</v>
      </c>
      <c r="N1911" s="25"/>
      <c r="O1911" s="25"/>
      <c r="P1911" s="25"/>
      <c r="Q1911" s="29" t="s">
        <v>285</v>
      </c>
      <c r="R1911" s="8" t="str">
        <f aca="false">B1911&amp;" "&amp;C1911&amp;" "&amp;D1911&amp;" "&amp;E1911&amp;" "&amp;G1911&amp;" "&amp;H1911&amp;" "&amp;J1911&amp;" "&amp;N1911</f>
        <v>Differentials Copper (Battery Grade)     CIF Spain (Diff) </v>
      </c>
      <c r="S1911" s="25"/>
      <c r="T1911" s="8"/>
      <c r="U1911" s="8"/>
      <c r="V1911" s="25"/>
      <c r="W1911" s="25"/>
      <c r="X1911" s="25"/>
      <c r="Y1911" s="25"/>
      <c r="Z1911" s="25"/>
      <c r="AA1911" s="25"/>
      <c r="AB1911" s="25"/>
      <c r="AC1911" s="25"/>
      <c r="AD1911" s="25"/>
    </row>
    <row r="1912" customFormat="false" ht="15.75" hidden="false" customHeight="false" outlineLevel="0" collapsed="false">
      <c r="A1912" s="28" t="s">
        <v>2319</v>
      </c>
      <c r="B1912" s="27" t="s">
        <v>438</v>
      </c>
      <c r="C1912" s="27" t="s">
        <v>289</v>
      </c>
      <c r="D1912" s="25"/>
      <c r="E1912" s="25"/>
      <c r="F1912" s="25"/>
      <c r="G1912" s="25"/>
      <c r="H1912" s="25"/>
      <c r="I1912" s="25"/>
      <c r="J1912" s="27" t="s">
        <v>2288</v>
      </c>
      <c r="K1912" s="25" t="str">
        <f aca="false">IFERROR(__xludf.dummyfunction("SPLIT(J1912,"" "")"),"CIF")</f>
        <v>CIF</v>
      </c>
      <c r="L1912" s="28" t="str">
        <f aca="false">IFERROR(__xludf.dummyfunction("""COMPUTED_VALUE"""),"Spain")</f>
        <v>Spain</v>
      </c>
      <c r="M1912" s="27" t="str">
        <f aca="false">IFERROR(__xludf.dummyfunction("""COMPUTED_VALUE"""),"(Diff)")</f>
        <v>(Diff)</v>
      </c>
      <c r="N1912" s="25"/>
      <c r="O1912" s="25"/>
      <c r="P1912" s="25"/>
      <c r="Q1912" s="29" t="s">
        <v>306</v>
      </c>
      <c r="R1912" s="8" t="str">
        <f aca="false">B1912&amp;" "&amp;C1912&amp;" "&amp;D1912&amp;" "&amp;E1912&amp;" "&amp;G1912&amp;" "&amp;H1912&amp;" "&amp;J1912&amp;" "&amp;N1912</f>
        <v>Differentials Electrolyte     CIF Spain (Diff) </v>
      </c>
      <c r="S1912" s="25"/>
      <c r="T1912" s="8"/>
      <c r="U1912" s="8"/>
      <c r="V1912" s="25"/>
      <c r="W1912" s="25"/>
      <c r="X1912" s="25"/>
      <c r="Y1912" s="25"/>
      <c r="Z1912" s="25"/>
      <c r="AA1912" s="25"/>
      <c r="AB1912" s="25"/>
      <c r="AC1912" s="25"/>
      <c r="AD1912" s="25"/>
    </row>
    <row r="1913" customFormat="false" ht="15.75" hidden="false" customHeight="false" outlineLevel="0" collapsed="false">
      <c r="A1913" s="28" t="s">
        <v>2320</v>
      </c>
      <c r="B1913" s="27" t="s">
        <v>438</v>
      </c>
      <c r="C1913" s="27" t="s">
        <v>289</v>
      </c>
      <c r="D1913" s="25"/>
      <c r="E1913" s="25"/>
      <c r="F1913" s="25"/>
      <c r="G1913" s="25"/>
      <c r="H1913" s="25"/>
      <c r="I1913" s="25"/>
      <c r="J1913" s="27" t="s">
        <v>2288</v>
      </c>
      <c r="K1913" s="25" t="str">
        <f aca="false">IFERROR(__xludf.dummyfunction("SPLIT(J1913,"" "")"),"CIF")</f>
        <v>CIF</v>
      </c>
      <c r="L1913" s="28" t="str">
        <f aca="false">IFERROR(__xludf.dummyfunction("""COMPUTED_VALUE"""),"Spain")</f>
        <v>Spain</v>
      </c>
      <c r="M1913" s="27" t="str">
        <f aca="false">IFERROR(__xludf.dummyfunction("""COMPUTED_VALUE"""),"(Diff)")</f>
        <v>(Diff)</v>
      </c>
      <c r="N1913" s="25"/>
      <c r="O1913" s="25"/>
      <c r="P1913" s="25"/>
      <c r="Q1913" s="29" t="s">
        <v>304</v>
      </c>
      <c r="R1913" s="8" t="str">
        <f aca="false">B1913&amp;" "&amp;C1913&amp;" "&amp;D1913&amp;" "&amp;E1913&amp;" "&amp;G1913&amp;" "&amp;H1913&amp;" "&amp;J1913&amp;" "&amp;N1913</f>
        <v>Differentials Electrolyte     CIF Spain (Diff) </v>
      </c>
      <c r="S1913" s="25"/>
      <c r="T1913" s="8"/>
      <c r="U1913" s="8"/>
      <c r="V1913" s="25"/>
      <c r="W1913" s="25"/>
      <c r="X1913" s="25"/>
      <c r="Y1913" s="25"/>
      <c r="Z1913" s="25"/>
      <c r="AA1913" s="25"/>
      <c r="AB1913" s="25"/>
      <c r="AC1913" s="25"/>
      <c r="AD1913" s="25"/>
    </row>
    <row r="1914" customFormat="false" ht="15.75" hidden="false" customHeight="false" outlineLevel="0" collapsed="false">
      <c r="A1914" s="28" t="s">
        <v>2321</v>
      </c>
      <c r="B1914" s="27" t="s">
        <v>438</v>
      </c>
      <c r="C1914" s="27" t="s">
        <v>289</v>
      </c>
      <c r="D1914" s="25"/>
      <c r="E1914" s="25"/>
      <c r="F1914" s="25"/>
      <c r="G1914" s="25"/>
      <c r="H1914" s="25"/>
      <c r="I1914" s="25"/>
      <c r="J1914" s="27" t="s">
        <v>2288</v>
      </c>
      <c r="K1914" s="25" t="str">
        <f aca="false">IFERROR(__xludf.dummyfunction("SPLIT(J1914,"" "")"),"CIF")</f>
        <v>CIF</v>
      </c>
      <c r="L1914" s="28" t="str">
        <f aca="false">IFERROR(__xludf.dummyfunction("""COMPUTED_VALUE"""),"Spain")</f>
        <v>Spain</v>
      </c>
      <c r="M1914" s="27" t="str">
        <f aca="false">IFERROR(__xludf.dummyfunction("""COMPUTED_VALUE"""),"(Diff)")</f>
        <v>(Diff)</v>
      </c>
      <c r="N1914" s="25"/>
      <c r="O1914" s="25"/>
      <c r="P1914" s="25"/>
      <c r="Q1914" s="29" t="s">
        <v>302</v>
      </c>
      <c r="R1914" s="8" t="str">
        <f aca="false">B1914&amp;" "&amp;C1914&amp;" "&amp;D1914&amp;" "&amp;E1914&amp;" "&amp;G1914&amp;" "&amp;H1914&amp;" "&amp;J1914&amp;" "&amp;N1914</f>
        <v>Differentials Electrolyte     CIF Spain (Diff) </v>
      </c>
      <c r="S1914" s="25"/>
      <c r="T1914" s="8"/>
      <c r="U1914" s="8"/>
      <c r="V1914" s="25"/>
      <c r="W1914" s="25"/>
      <c r="X1914" s="25"/>
      <c r="Y1914" s="25"/>
      <c r="Z1914" s="25"/>
      <c r="AA1914" s="25"/>
      <c r="AB1914" s="25"/>
      <c r="AC1914" s="25"/>
      <c r="AD1914" s="25"/>
    </row>
    <row r="1915" customFormat="false" ht="15.75" hidden="false" customHeight="false" outlineLevel="0" collapsed="false">
      <c r="A1915" s="28" t="s">
        <v>2322</v>
      </c>
      <c r="B1915" s="27" t="s">
        <v>438</v>
      </c>
      <c r="C1915" s="27" t="s">
        <v>289</v>
      </c>
      <c r="D1915" s="25"/>
      <c r="E1915" s="25"/>
      <c r="F1915" s="25"/>
      <c r="G1915" s="25"/>
      <c r="H1915" s="25"/>
      <c r="I1915" s="25"/>
      <c r="J1915" s="27" t="s">
        <v>2288</v>
      </c>
      <c r="K1915" s="25" t="str">
        <f aca="false">IFERROR(__xludf.dummyfunction("SPLIT(J1915,"" "")"),"CIF")</f>
        <v>CIF</v>
      </c>
      <c r="L1915" s="28" t="str">
        <f aca="false">IFERROR(__xludf.dummyfunction("""COMPUTED_VALUE"""),"Spain")</f>
        <v>Spain</v>
      </c>
      <c r="M1915" s="27" t="str">
        <f aca="false">IFERROR(__xludf.dummyfunction("""COMPUTED_VALUE"""),"(Diff)")</f>
        <v>(Diff)</v>
      </c>
      <c r="N1915" s="25"/>
      <c r="O1915" s="25"/>
      <c r="P1915" s="25"/>
      <c r="Q1915" s="29" t="s">
        <v>300</v>
      </c>
      <c r="R1915" s="8" t="str">
        <f aca="false">B1915&amp;" "&amp;C1915&amp;" "&amp;D1915&amp;" "&amp;E1915&amp;" "&amp;G1915&amp;" "&amp;H1915&amp;" "&amp;J1915&amp;" "&amp;N1915</f>
        <v>Differentials Electrolyte     CIF Spain (Diff) </v>
      </c>
      <c r="S1915" s="25"/>
      <c r="T1915" s="8"/>
      <c r="U1915" s="8"/>
      <c r="V1915" s="25"/>
      <c r="W1915" s="25"/>
      <c r="X1915" s="25"/>
      <c r="Y1915" s="25"/>
      <c r="Z1915" s="25"/>
      <c r="AA1915" s="25"/>
      <c r="AB1915" s="25"/>
      <c r="AC1915" s="25"/>
      <c r="AD1915" s="25"/>
    </row>
    <row r="1916" customFormat="false" ht="15.75" hidden="false" customHeight="false" outlineLevel="0" collapsed="false">
      <c r="A1916" s="28" t="s">
        <v>2323</v>
      </c>
      <c r="B1916" s="27" t="s">
        <v>438</v>
      </c>
      <c r="C1916" s="27" t="s">
        <v>289</v>
      </c>
      <c r="D1916" s="25"/>
      <c r="E1916" s="25"/>
      <c r="F1916" s="25"/>
      <c r="G1916" s="25"/>
      <c r="H1916" s="25"/>
      <c r="I1916" s="25"/>
      <c r="J1916" s="27" t="s">
        <v>2288</v>
      </c>
      <c r="K1916" s="25" t="str">
        <f aca="false">IFERROR(__xludf.dummyfunction("SPLIT(J1916,"" "")"),"CIF")</f>
        <v>CIF</v>
      </c>
      <c r="L1916" s="28" t="str">
        <f aca="false">IFERROR(__xludf.dummyfunction("""COMPUTED_VALUE"""),"Spain")</f>
        <v>Spain</v>
      </c>
      <c r="M1916" s="27" t="str">
        <f aca="false">IFERROR(__xludf.dummyfunction("""COMPUTED_VALUE"""),"(Diff)")</f>
        <v>(Diff)</v>
      </c>
      <c r="N1916" s="25"/>
      <c r="O1916" s="25"/>
      <c r="P1916" s="25"/>
      <c r="Q1916" s="29" t="s">
        <v>298</v>
      </c>
      <c r="R1916" s="8" t="str">
        <f aca="false">B1916&amp;" "&amp;C1916&amp;" "&amp;D1916&amp;" "&amp;E1916&amp;" "&amp;G1916&amp;" "&amp;H1916&amp;" "&amp;J1916&amp;" "&amp;N1916</f>
        <v>Differentials Electrolyte     CIF Spain (Diff) </v>
      </c>
      <c r="S1916" s="25"/>
      <c r="T1916" s="8"/>
      <c r="U1916" s="8"/>
      <c r="V1916" s="25"/>
      <c r="W1916" s="25"/>
      <c r="X1916" s="25"/>
      <c r="Y1916" s="25"/>
      <c r="Z1916" s="25"/>
      <c r="AA1916" s="25"/>
      <c r="AB1916" s="25"/>
      <c r="AC1916" s="25"/>
      <c r="AD1916" s="25"/>
    </row>
    <row r="1917" customFormat="false" ht="15.75" hidden="false" customHeight="false" outlineLevel="0" collapsed="false">
      <c r="A1917" s="28" t="s">
        <v>2324</v>
      </c>
      <c r="B1917" s="27" t="s">
        <v>438</v>
      </c>
      <c r="C1917" s="27" t="s">
        <v>289</v>
      </c>
      <c r="D1917" s="25"/>
      <c r="E1917" s="25"/>
      <c r="F1917" s="25"/>
      <c r="G1917" s="25"/>
      <c r="H1917" s="25"/>
      <c r="I1917" s="25"/>
      <c r="J1917" s="27" t="s">
        <v>2288</v>
      </c>
      <c r="K1917" s="25" t="str">
        <f aca="false">IFERROR(__xludf.dummyfunction("SPLIT(J1917,"" "")"),"CIF")</f>
        <v>CIF</v>
      </c>
      <c r="L1917" s="28" t="str">
        <f aca="false">IFERROR(__xludf.dummyfunction("""COMPUTED_VALUE"""),"Spain")</f>
        <v>Spain</v>
      </c>
      <c r="M1917" s="27" t="str">
        <f aca="false">IFERROR(__xludf.dummyfunction("""COMPUTED_VALUE"""),"(Diff)")</f>
        <v>(Diff)</v>
      </c>
      <c r="N1917" s="25"/>
      <c r="O1917" s="25"/>
      <c r="P1917" s="25"/>
      <c r="Q1917" s="29" t="s">
        <v>296</v>
      </c>
      <c r="R1917" s="8" t="str">
        <f aca="false">B1917&amp;" "&amp;C1917&amp;" "&amp;D1917&amp;" "&amp;E1917&amp;" "&amp;G1917&amp;" "&amp;H1917&amp;" "&amp;J1917&amp;" "&amp;N1917</f>
        <v>Differentials Electrolyte     CIF Spain (Diff) </v>
      </c>
      <c r="S1917" s="25"/>
      <c r="T1917" s="8"/>
      <c r="U1917" s="8"/>
      <c r="V1917" s="25"/>
      <c r="W1917" s="25"/>
      <c r="X1917" s="25"/>
      <c r="Y1917" s="25"/>
      <c r="Z1917" s="25"/>
      <c r="AA1917" s="25"/>
      <c r="AB1917" s="25"/>
      <c r="AC1917" s="25"/>
      <c r="AD1917" s="25"/>
    </row>
    <row r="1918" customFormat="false" ht="15.75" hidden="false" customHeight="false" outlineLevel="0" collapsed="false">
      <c r="A1918" s="28" t="s">
        <v>2325</v>
      </c>
      <c r="B1918" s="27" t="s">
        <v>438</v>
      </c>
      <c r="C1918" s="27" t="s">
        <v>289</v>
      </c>
      <c r="D1918" s="25"/>
      <c r="E1918" s="25"/>
      <c r="F1918" s="25"/>
      <c r="G1918" s="25"/>
      <c r="H1918" s="25"/>
      <c r="I1918" s="25"/>
      <c r="J1918" s="27" t="s">
        <v>2288</v>
      </c>
      <c r="K1918" s="25" t="str">
        <f aca="false">IFERROR(__xludf.dummyfunction("SPLIT(J1918,"" "")"),"CIF")</f>
        <v>CIF</v>
      </c>
      <c r="L1918" s="28" t="str">
        <f aca="false">IFERROR(__xludf.dummyfunction("""COMPUTED_VALUE"""),"Spain")</f>
        <v>Spain</v>
      </c>
      <c r="M1918" s="27" t="str">
        <f aca="false">IFERROR(__xludf.dummyfunction("""COMPUTED_VALUE"""),"(Diff)")</f>
        <v>(Diff)</v>
      </c>
      <c r="N1918" s="25"/>
      <c r="O1918" s="25"/>
      <c r="P1918" s="25"/>
      <c r="Q1918" s="29" t="s">
        <v>294</v>
      </c>
      <c r="R1918" s="8" t="str">
        <f aca="false">B1918&amp;" "&amp;C1918&amp;" "&amp;D1918&amp;" "&amp;E1918&amp;" "&amp;G1918&amp;" "&amp;H1918&amp;" "&amp;J1918&amp;" "&amp;N1918</f>
        <v>Differentials Electrolyte     CIF Spain (Diff) </v>
      </c>
      <c r="S1918" s="25"/>
      <c r="T1918" s="8"/>
      <c r="U1918" s="8"/>
      <c r="V1918" s="25"/>
      <c r="W1918" s="25"/>
      <c r="X1918" s="25"/>
      <c r="Y1918" s="25"/>
      <c r="Z1918" s="25"/>
      <c r="AA1918" s="25"/>
      <c r="AB1918" s="25"/>
      <c r="AC1918" s="25"/>
      <c r="AD1918" s="25"/>
    </row>
    <row r="1919" customFormat="false" ht="15.75" hidden="false" customHeight="false" outlineLevel="0" collapsed="false">
      <c r="A1919" s="28" t="s">
        <v>2326</v>
      </c>
      <c r="B1919" s="27" t="s">
        <v>438</v>
      </c>
      <c r="C1919" s="27" t="s">
        <v>289</v>
      </c>
      <c r="D1919" s="25"/>
      <c r="E1919" s="25"/>
      <c r="F1919" s="25"/>
      <c r="G1919" s="25"/>
      <c r="H1919" s="25"/>
      <c r="I1919" s="25"/>
      <c r="J1919" s="27" t="s">
        <v>2288</v>
      </c>
      <c r="K1919" s="25" t="str">
        <f aca="false">IFERROR(__xludf.dummyfunction("SPLIT(J1919,"" "")"),"CIF")</f>
        <v>CIF</v>
      </c>
      <c r="L1919" s="28" t="str">
        <f aca="false">IFERROR(__xludf.dummyfunction("""COMPUTED_VALUE"""),"Spain")</f>
        <v>Spain</v>
      </c>
      <c r="M1919" s="27" t="str">
        <f aca="false">IFERROR(__xludf.dummyfunction("""COMPUTED_VALUE"""),"(Diff)")</f>
        <v>(Diff)</v>
      </c>
      <c r="N1919" s="25"/>
      <c r="O1919" s="25"/>
      <c r="P1919" s="25"/>
      <c r="Q1919" s="29" t="s">
        <v>291</v>
      </c>
      <c r="R1919" s="8" t="str">
        <f aca="false">B1919&amp;" "&amp;C1919&amp;" "&amp;D1919&amp;" "&amp;E1919&amp;" "&amp;G1919&amp;" "&amp;H1919&amp;" "&amp;J1919&amp;" "&amp;N1919</f>
        <v>Differentials Electrolyte     CIF Spain (Diff) </v>
      </c>
      <c r="S1919" s="25"/>
      <c r="T1919" s="8"/>
      <c r="U1919" s="8"/>
      <c r="V1919" s="25"/>
      <c r="W1919" s="25"/>
      <c r="X1919" s="25"/>
      <c r="Y1919" s="25"/>
      <c r="Z1919" s="25"/>
      <c r="AA1919" s="25"/>
      <c r="AB1919" s="25"/>
      <c r="AC1919" s="25"/>
      <c r="AD1919" s="25"/>
    </row>
    <row r="1920" customFormat="false" ht="15.75" hidden="false" customHeight="false" outlineLevel="0" collapsed="false">
      <c r="A1920" s="28" t="s">
        <v>2327</v>
      </c>
      <c r="B1920" s="27" t="s">
        <v>438</v>
      </c>
      <c r="C1920" s="27" t="s">
        <v>308</v>
      </c>
      <c r="D1920" s="25"/>
      <c r="E1920" s="25"/>
      <c r="F1920" s="25"/>
      <c r="G1920" s="25"/>
      <c r="H1920" s="25"/>
      <c r="I1920" s="25"/>
      <c r="J1920" s="27" t="s">
        <v>2288</v>
      </c>
      <c r="K1920" s="25" t="str">
        <f aca="false">IFERROR(__xludf.dummyfunction("SPLIT(J1920,"" "")"),"CIF")</f>
        <v>CIF</v>
      </c>
      <c r="L1920" s="28" t="str">
        <f aca="false">IFERROR(__xludf.dummyfunction("""COMPUTED_VALUE"""),"Spain")</f>
        <v>Spain</v>
      </c>
      <c r="M1920" s="27" t="str">
        <f aca="false">IFERROR(__xludf.dummyfunction("""COMPUTED_VALUE"""),"(Diff)")</f>
        <v>(Diff)</v>
      </c>
      <c r="N1920" s="25"/>
      <c r="O1920" s="25"/>
      <c r="P1920" s="25"/>
      <c r="Q1920" s="29" t="s">
        <v>358</v>
      </c>
      <c r="R1920" s="8" t="str">
        <f aca="false">B1920&amp;" "&amp;C1920&amp;" "&amp;D1920&amp;" "&amp;E1920&amp;" "&amp;G1920&amp;" "&amp;H1920&amp;" "&amp;J1920&amp;" "&amp;N1920</f>
        <v>Differentials Graphite     CIF Spain (Diff) </v>
      </c>
      <c r="S1920" s="25"/>
      <c r="T1920" s="8"/>
      <c r="U1920" s="8"/>
      <c r="V1920" s="25"/>
      <c r="W1920" s="25"/>
      <c r="X1920" s="25"/>
      <c r="Y1920" s="25"/>
      <c r="Z1920" s="25"/>
      <c r="AA1920" s="25"/>
      <c r="AB1920" s="25"/>
      <c r="AC1920" s="25"/>
      <c r="AD1920" s="25"/>
    </row>
    <row r="1921" customFormat="false" ht="15.75" hidden="false" customHeight="false" outlineLevel="0" collapsed="false">
      <c r="A1921" s="28" t="s">
        <v>2328</v>
      </c>
      <c r="B1921" s="27" t="s">
        <v>438</v>
      </c>
      <c r="C1921" s="27" t="s">
        <v>308</v>
      </c>
      <c r="D1921" s="25"/>
      <c r="E1921" s="25"/>
      <c r="F1921" s="25"/>
      <c r="G1921" s="25"/>
      <c r="H1921" s="25"/>
      <c r="I1921" s="25"/>
      <c r="J1921" s="27" t="s">
        <v>2288</v>
      </c>
      <c r="K1921" s="25" t="str">
        <f aca="false">IFERROR(__xludf.dummyfunction("SPLIT(J1921,"" "")"),"CIF")</f>
        <v>CIF</v>
      </c>
      <c r="L1921" s="28" t="str">
        <f aca="false">IFERROR(__xludf.dummyfunction("""COMPUTED_VALUE"""),"Spain")</f>
        <v>Spain</v>
      </c>
      <c r="M1921" s="27" t="str">
        <f aca="false">IFERROR(__xludf.dummyfunction("""COMPUTED_VALUE"""),"(Diff)")</f>
        <v>(Diff)</v>
      </c>
      <c r="N1921" s="25"/>
      <c r="O1921" s="25"/>
      <c r="P1921" s="25"/>
      <c r="Q1921" s="29" t="s">
        <v>356</v>
      </c>
      <c r="R1921" s="8" t="str">
        <f aca="false">B1921&amp;" "&amp;C1921&amp;" "&amp;D1921&amp;" "&amp;E1921&amp;" "&amp;G1921&amp;" "&amp;H1921&amp;" "&amp;J1921&amp;" "&amp;N1921</f>
        <v>Differentials Graphite     CIF Spain (Diff) </v>
      </c>
      <c r="S1921" s="25"/>
      <c r="T1921" s="8"/>
      <c r="U1921" s="8"/>
      <c r="V1921" s="25"/>
      <c r="W1921" s="25"/>
      <c r="X1921" s="25"/>
      <c r="Y1921" s="25"/>
      <c r="Z1921" s="25"/>
      <c r="AA1921" s="25"/>
      <c r="AB1921" s="25"/>
      <c r="AC1921" s="25"/>
      <c r="AD1921" s="25"/>
    </row>
    <row r="1922" customFormat="false" ht="15.75" hidden="false" customHeight="false" outlineLevel="0" collapsed="false">
      <c r="A1922" s="28" t="s">
        <v>2329</v>
      </c>
      <c r="B1922" s="27" t="s">
        <v>438</v>
      </c>
      <c r="C1922" s="27" t="s">
        <v>308</v>
      </c>
      <c r="D1922" s="25"/>
      <c r="E1922" s="25"/>
      <c r="F1922" s="25"/>
      <c r="G1922" s="25"/>
      <c r="H1922" s="25"/>
      <c r="I1922" s="25"/>
      <c r="J1922" s="27" t="s">
        <v>2288</v>
      </c>
      <c r="K1922" s="25" t="str">
        <f aca="false">IFERROR(__xludf.dummyfunction("SPLIT(J1922,"" "")"),"CIF")</f>
        <v>CIF</v>
      </c>
      <c r="L1922" s="28" t="str">
        <f aca="false">IFERROR(__xludf.dummyfunction("""COMPUTED_VALUE"""),"Spain")</f>
        <v>Spain</v>
      </c>
      <c r="M1922" s="27" t="str">
        <f aca="false">IFERROR(__xludf.dummyfunction("""COMPUTED_VALUE"""),"(Diff)")</f>
        <v>(Diff)</v>
      </c>
      <c r="N1922" s="25"/>
      <c r="O1922" s="25"/>
      <c r="P1922" s="25"/>
      <c r="Q1922" s="29" t="s">
        <v>354</v>
      </c>
      <c r="R1922" s="8" t="str">
        <f aca="false">B1922&amp;" "&amp;C1922&amp;" "&amp;D1922&amp;" "&amp;E1922&amp;" "&amp;G1922&amp;" "&amp;H1922&amp;" "&amp;J1922&amp;" "&amp;N1922</f>
        <v>Differentials Graphite     CIF Spain (Diff) </v>
      </c>
      <c r="S1922" s="25"/>
      <c r="T1922" s="8"/>
      <c r="U1922" s="8"/>
      <c r="V1922" s="25"/>
      <c r="W1922" s="25"/>
      <c r="X1922" s="25"/>
      <c r="Y1922" s="25"/>
      <c r="Z1922" s="25"/>
      <c r="AA1922" s="25"/>
      <c r="AB1922" s="25"/>
      <c r="AC1922" s="25"/>
      <c r="AD1922" s="25"/>
    </row>
    <row r="1923" customFormat="false" ht="15.75" hidden="false" customHeight="false" outlineLevel="0" collapsed="false">
      <c r="A1923" s="28" t="s">
        <v>2330</v>
      </c>
      <c r="B1923" s="27" t="s">
        <v>438</v>
      </c>
      <c r="C1923" s="27" t="s">
        <v>308</v>
      </c>
      <c r="D1923" s="25"/>
      <c r="E1923" s="25"/>
      <c r="F1923" s="25"/>
      <c r="G1923" s="25"/>
      <c r="H1923" s="25"/>
      <c r="I1923" s="25"/>
      <c r="J1923" s="27" t="s">
        <v>2288</v>
      </c>
      <c r="K1923" s="25" t="str">
        <f aca="false">IFERROR(__xludf.dummyfunction("SPLIT(J1923,"" "")"),"CIF")</f>
        <v>CIF</v>
      </c>
      <c r="L1923" s="28" t="str">
        <f aca="false">IFERROR(__xludf.dummyfunction("""COMPUTED_VALUE"""),"Spain")</f>
        <v>Spain</v>
      </c>
      <c r="M1923" s="27" t="str">
        <f aca="false">IFERROR(__xludf.dummyfunction("""COMPUTED_VALUE"""),"(Diff)")</f>
        <v>(Diff)</v>
      </c>
      <c r="N1923" s="25"/>
      <c r="O1923" s="25"/>
      <c r="P1923" s="25"/>
      <c r="Q1923" s="29" t="s">
        <v>352</v>
      </c>
      <c r="R1923" s="8" t="str">
        <f aca="false">B1923&amp;" "&amp;C1923&amp;" "&amp;D1923&amp;" "&amp;E1923&amp;" "&amp;G1923&amp;" "&amp;H1923&amp;" "&amp;J1923&amp;" "&amp;N1923</f>
        <v>Differentials Graphite     CIF Spain (Diff) </v>
      </c>
      <c r="S1923" s="25"/>
      <c r="T1923" s="8"/>
      <c r="U1923" s="8"/>
      <c r="V1923" s="25"/>
      <c r="W1923" s="25"/>
      <c r="X1923" s="25"/>
      <c r="Y1923" s="25"/>
      <c r="Z1923" s="25"/>
      <c r="AA1923" s="25"/>
      <c r="AB1923" s="25"/>
      <c r="AC1923" s="25"/>
      <c r="AD1923" s="25"/>
    </row>
    <row r="1924" customFormat="false" ht="15.75" hidden="false" customHeight="false" outlineLevel="0" collapsed="false">
      <c r="A1924" s="28" t="s">
        <v>2331</v>
      </c>
      <c r="B1924" s="27" t="s">
        <v>438</v>
      </c>
      <c r="C1924" s="27" t="s">
        <v>308</v>
      </c>
      <c r="D1924" s="25"/>
      <c r="E1924" s="25"/>
      <c r="F1924" s="25"/>
      <c r="G1924" s="25"/>
      <c r="H1924" s="25"/>
      <c r="I1924" s="25"/>
      <c r="J1924" s="27" t="s">
        <v>2288</v>
      </c>
      <c r="K1924" s="25" t="str">
        <f aca="false">IFERROR(__xludf.dummyfunction("SPLIT(J1924,"" "")"),"CIF")</f>
        <v>CIF</v>
      </c>
      <c r="L1924" s="28" t="str">
        <f aca="false">IFERROR(__xludf.dummyfunction("""COMPUTED_VALUE"""),"Spain")</f>
        <v>Spain</v>
      </c>
      <c r="M1924" s="27" t="str">
        <f aca="false">IFERROR(__xludf.dummyfunction("""COMPUTED_VALUE"""),"(Diff)")</f>
        <v>(Diff)</v>
      </c>
      <c r="N1924" s="25"/>
      <c r="O1924" s="25"/>
      <c r="P1924" s="25"/>
      <c r="Q1924" s="29" t="s">
        <v>350</v>
      </c>
      <c r="R1924" s="8" t="str">
        <f aca="false">B1924&amp;" "&amp;C1924&amp;" "&amp;D1924&amp;" "&amp;E1924&amp;" "&amp;G1924&amp;" "&amp;H1924&amp;" "&amp;J1924&amp;" "&amp;N1924</f>
        <v>Differentials Graphite     CIF Spain (Diff) </v>
      </c>
      <c r="S1924" s="25"/>
      <c r="T1924" s="8"/>
      <c r="U1924" s="8"/>
      <c r="V1924" s="25"/>
      <c r="W1924" s="25"/>
      <c r="X1924" s="25"/>
      <c r="Y1924" s="25"/>
      <c r="Z1924" s="25"/>
      <c r="AA1924" s="25"/>
      <c r="AB1924" s="25"/>
      <c r="AC1924" s="25"/>
      <c r="AD1924" s="25"/>
    </row>
    <row r="1925" customFormat="false" ht="15.75" hidden="false" customHeight="false" outlineLevel="0" collapsed="false">
      <c r="A1925" s="28" t="s">
        <v>2332</v>
      </c>
      <c r="B1925" s="27" t="s">
        <v>438</v>
      </c>
      <c r="C1925" s="27" t="s">
        <v>308</v>
      </c>
      <c r="D1925" s="25"/>
      <c r="E1925" s="25"/>
      <c r="F1925" s="25"/>
      <c r="G1925" s="25"/>
      <c r="H1925" s="25"/>
      <c r="I1925" s="25"/>
      <c r="J1925" s="27" t="s">
        <v>2288</v>
      </c>
      <c r="K1925" s="25" t="str">
        <f aca="false">IFERROR(__xludf.dummyfunction("SPLIT(J1925,"" "")"),"CIF")</f>
        <v>CIF</v>
      </c>
      <c r="L1925" s="28" t="str">
        <f aca="false">IFERROR(__xludf.dummyfunction("""COMPUTED_VALUE"""),"Spain")</f>
        <v>Spain</v>
      </c>
      <c r="M1925" s="27" t="str">
        <f aca="false">IFERROR(__xludf.dummyfunction("""COMPUTED_VALUE"""),"(Diff)")</f>
        <v>(Diff)</v>
      </c>
      <c r="N1925" s="25"/>
      <c r="O1925" s="25"/>
      <c r="P1925" s="25"/>
      <c r="Q1925" s="29" t="s">
        <v>347</v>
      </c>
      <c r="R1925" s="8" t="str">
        <f aca="false">B1925&amp;" "&amp;C1925&amp;" "&amp;D1925&amp;" "&amp;E1925&amp;" "&amp;G1925&amp;" "&amp;H1925&amp;" "&amp;J1925&amp;" "&amp;N1925</f>
        <v>Differentials Graphite     CIF Spain (Diff) </v>
      </c>
      <c r="S1925" s="25"/>
      <c r="T1925" s="8"/>
      <c r="U1925" s="8"/>
      <c r="V1925" s="25"/>
      <c r="W1925" s="25"/>
      <c r="X1925" s="25"/>
      <c r="Y1925" s="25"/>
      <c r="Z1925" s="25"/>
      <c r="AA1925" s="25"/>
      <c r="AB1925" s="25"/>
      <c r="AC1925" s="25"/>
      <c r="AD1925" s="25"/>
    </row>
    <row r="1926" customFormat="false" ht="15.75" hidden="false" customHeight="false" outlineLevel="0" collapsed="false">
      <c r="A1926" s="28" t="s">
        <v>2333</v>
      </c>
      <c r="B1926" s="27" t="s">
        <v>438</v>
      </c>
      <c r="C1926" s="27" t="s">
        <v>308</v>
      </c>
      <c r="D1926" s="25"/>
      <c r="E1926" s="25"/>
      <c r="F1926" s="25"/>
      <c r="G1926" s="25"/>
      <c r="H1926" s="25"/>
      <c r="I1926" s="25"/>
      <c r="J1926" s="27" t="s">
        <v>2288</v>
      </c>
      <c r="K1926" s="25" t="str">
        <f aca="false">IFERROR(__xludf.dummyfunction("SPLIT(J1926,"" "")"),"CIF")</f>
        <v>CIF</v>
      </c>
      <c r="L1926" s="28" t="str">
        <f aca="false">IFERROR(__xludf.dummyfunction("""COMPUTED_VALUE"""),"Spain")</f>
        <v>Spain</v>
      </c>
      <c r="M1926" s="27" t="str">
        <f aca="false">IFERROR(__xludf.dummyfunction("""COMPUTED_VALUE"""),"(Diff)")</f>
        <v>(Diff)</v>
      </c>
      <c r="N1926" s="25"/>
      <c r="O1926" s="25"/>
      <c r="P1926" s="25"/>
      <c r="Q1926" s="29" t="s">
        <v>344</v>
      </c>
      <c r="R1926" s="8" t="str">
        <f aca="false">B1926&amp;" "&amp;C1926&amp;" "&amp;D1926&amp;" "&amp;E1926&amp;" "&amp;G1926&amp;" "&amp;H1926&amp;" "&amp;J1926&amp;" "&amp;N1926</f>
        <v>Differentials Graphite     CIF Spain (Diff) </v>
      </c>
      <c r="S1926" s="25"/>
      <c r="T1926" s="8"/>
      <c r="U1926" s="8"/>
      <c r="V1926" s="25"/>
      <c r="W1926" s="25"/>
      <c r="X1926" s="25"/>
      <c r="Y1926" s="25"/>
      <c r="Z1926" s="25"/>
      <c r="AA1926" s="25"/>
      <c r="AB1926" s="25"/>
      <c r="AC1926" s="25"/>
      <c r="AD1926" s="25"/>
    </row>
    <row r="1927" customFormat="false" ht="15.75" hidden="false" customHeight="false" outlineLevel="0" collapsed="false">
      <c r="A1927" s="28" t="s">
        <v>2334</v>
      </c>
      <c r="B1927" s="27" t="s">
        <v>438</v>
      </c>
      <c r="C1927" s="27" t="s">
        <v>308</v>
      </c>
      <c r="D1927" s="25"/>
      <c r="E1927" s="25"/>
      <c r="F1927" s="25"/>
      <c r="G1927" s="25"/>
      <c r="H1927" s="25"/>
      <c r="I1927" s="25"/>
      <c r="J1927" s="27" t="s">
        <v>2288</v>
      </c>
      <c r="K1927" s="25" t="str">
        <f aca="false">IFERROR(__xludf.dummyfunction("SPLIT(J1927,"" "")"),"CIF")</f>
        <v>CIF</v>
      </c>
      <c r="L1927" s="28" t="str">
        <f aca="false">IFERROR(__xludf.dummyfunction("""COMPUTED_VALUE"""),"Spain")</f>
        <v>Spain</v>
      </c>
      <c r="M1927" s="27" t="str">
        <f aca="false">IFERROR(__xludf.dummyfunction("""COMPUTED_VALUE"""),"(Diff)")</f>
        <v>(Diff)</v>
      </c>
      <c r="N1927" s="25"/>
      <c r="O1927" s="25"/>
      <c r="P1927" s="25"/>
      <c r="Q1927" s="29" t="s">
        <v>340</v>
      </c>
      <c r="R1927" s="8" t="str">
        <f aca="false">B1927&amp;" "&amp;C1927&amp;" "&amp;D1927&amp;" "&amp;E1927&amp;" "&amp;G1927&amp;" "&amp;H1927&amp;" "&amp;J1927&amp;" "&amp;N1927</f>
        <v>Differentials Graphite     CIF Spain (Diff) </v>
      </c>
      <c r="S1927" s="25"/>
      <c r="T1927" s="8"/>
      <c r="U1927" s="8"/>
      <c r="V1927" s="25"/>
      <c r="W1927" s="25"/>
      <c r="X1927" s="25"/>
      <c r="Y1927" s="25"/>
      <c r="Z1927" s="25"/>
      <c r="AA1927" s="25"/>
      <c r="AB1927" s="25"/>
      <c r="AC1927" s="25"/>
      <c r="AD1927" s="25"/>
    </row>
    <row r="1928" customFormat="false" ht="15.75" hidden="false" customHeight="false" outlineLevel="0" collapsed="false">
      <c r="A1928" s="28" t="s">
        <v>2335</v>
      </c>
      <c r="B1928" s="27" t="s">
        <v>438</v>
      </c>
      <c r="C1928" s="27" t="s">
        <v>308</v>
      </c>
      <c r="D1928" s="25"/>
      <c r="E1928" s="25"/>
      <c r="F1928" s="25"/>
      <c r="G1928" s="25"/>
      <c r="H1928" s="25"/>
      <c r="I1928" s="25"/>
      <c r="J1928" s="27" t="s">
        <v>2288</v>
      </c>
      <c r="K1928" s="25" t="str">
        <f aca="false">IFERROR(__xludf.dummyfunction("SPLIT(J1928,"" "")"),"CIF")</f>
        <v>CIF</v>
      </c>
      <c r="L1928" s="28" t="str">
        <f aca="false">IFERROR(__xludf.dummyfunction("""COMPUTED_VALUE"""),"Spain")</f>
        <v>Spain</v>
      </c>
      <c r="M1928" s="27" t="str">
        <f aca="false">IFERROR(__xludf.dummyfunction("""COMPUTED_VALUE"""),"(Diff)")</f>
        <v>(Diff)</v>
      </c>
      <c r="N1928" s="25"/>
      <c r="O1928" s="25"/>
      <c r="P1928" s="25"/>
      <c r="Q1928" s="29" t="s">
        <v>338</v>
      </c>
      <c r="R1928" s="8" t="str">
        <f aca="false">B1928&amp;" "&amp;C1928&amp;" "&amp;D1928&amp;" "&amp;E1928&amp;" "&amp;G1928&amp;" "&amp;H1928&amp;" "&amp;J1928&amp;" "&amp;N1928</f>
        <v>Differentials Graphite     CIF Spain (Diff) </v>
      </c>
      <c r="S1928" s="25"/>
      <c r="T1928" s="8"/>
      <c r="U1928" s="8"/>
      <c r="V1928" s="25"/>
      <c r="W1928" s="25"/>
      <c r="X1928" s="25"/>
      <c r="Y1928" s="25"/>
      <c r="Z1928" s="25"/>
      <c r="AA1928" s="25"/>
      <c r="AB1928" s="25"/>
      <c r="AC1928" s="25"/>
      <c r="AD1928" s="25"/>
    </row>
    <row r="1929" customFormat="false" ht="15.75" hidden="false" customHeight="false" outlineLevel="0" collapsed="false">
      <c r="A1929" s="28" t="s">
        <v>2336</v>
      </c>
      <c r="B1929" s="27" t="s">
        <v>438</v>
      </c>
      <c r="C1929" s="27" t="s">
        <v>308</v>
      </c>
      <c r="D1929" s="25"/>
      <c r="E1929" s="25"/>
      <c r="F1929" s="25"/>
      <c r="G1929" s="25"/>
      <c r="H1929" s="25"/>
      <c r="I1929" s="25"/>
      <c r="J1929" s="27" t="s">
        <v>2288</v>
      </c>
      <c r="K1929" s="25" t="str">
        <f aca="false">IFERROR(__xludf.dummyfunction("SPLIT(J1929,"" "")"),"CIF")</f>
        <v>CIF</v>
      </c>
      <c r="L1929" s="28" t="str">
        <f aca="false">IFERROR(__xludf.dummyfunction("""COMPUTED_VALUE"""),"Spain")</f>
        <v>Spain</v>
      </c>
      <c r="M1929" s="27" t="str">
        <f aca="false">IFERROR(__xludf.dummyfunction("""COMPUTED_VALUE"""),"(Diff)")</f>
        <v>(Diff)</v>
      </c>
      <c r="N1929" s="25"/>
      <c r="O1929" s="25"/>
      <c r="P1929" s="25"/>
      <c r="Q1929" s="29" t="s">
        <v>335</v>
      </c>
      <c r="R1929" s="8" t="str">
        <f aca="false">B1929&amp;" "&amp;C1929&amp;" "&amp;D1929&amp;" "&amp;E1929&amp;" "&amp;G1929&amp;" "&amp;H1929&amp;" "&amp;J1929&amp;" "&amp;N1929</f>
        <v>Differentials Graphite     CIF Spain (Diff) </v>
      </c>
      <c r="S1929" s="25"/>
      <c r="T1929" s="8"/>
      <c r="U1929" s="8"/>
      <c r="V1929" s="25"/>
      <c r="W1929" s="25"/>
      <c r="X1929" s="25"/>
      <c r="Y1929" s="25"/>
      <c r="Z1929" s="25"/>
      <c r="AA1929" s="25"/>
      <c r="AB1929" s="25"/>
      <c r="AC1929" s="25"/>
      <c r="AD1929" s="25"/>
    </row>
    <row r="1930" customFormat="false" ht="15.75" hidden="false" customHeight="false" outlineLevel="0" collapsed="false">
      <c r="A1930" s="28" t="s">
        <v>2337</v>
      </c>
      <c r="B1930" s="27" t="s">
        <v>438</v>
      </c>
      <c r="C1930" s="27" t="s">
        <v>308</v>
      </c>
      <c r="D1930" s="25"/>
      <c r="E1930" s="25"/>
      <c r="F1930" s="25"/>
      <c r="G1930" s="25"/>
      <c r="H1930" s="25"/>
      <c r="I1930" s="25"/>
      <c r="J1930" s="27" t="s">
        <v>2288</v>
      </c>
      <c r="K1930" s="25" t="str">
        <f aca="false">IFERROR(__xludf.dummyfunction("SPLIT(J1930,"" "")"),"CIF")</f>
        <v>CIF</v>
      </c>
      <c r="L1930" s="28" t="str">
        <f aca="false">IFERROR(__xludf.dummyfunction("""COMPUTED_VALUE"""),"Spain")</f>
        <v>Spain</v>
      </c>
      <c r="M1930" s="27" t="str">
        <f aca="false">IFERROR(__xludf.dummyfunction("""COMPUTED_VALUE"""),"(Diff)")</f>
        <v>(Diff)</v>
      </c>
      <c r="N1930" s="25"/>
      <c r="O1930" s="25"/>
      <c r="P1930" s="25"/>
      <c r="Q1930" s="29" t="s">
        <v>332</v>
      </c>
      <c r="R1930" s="8" t="str">
        <f aca="false">B1930&amp;" "&amp;C1930&amp;" "&amp;D1930&amp;" "&amp;E1930&amp;" "&amp;G1930&amp;" "&amp;H1930&amp;" "&amp;J1930&amp;" "&amp;N1930</f>
        <v>Differentials Graphite     CIF Spain (Diff) </v>
      </c>
      <c r="S1930" s="25"/>
      <c r="T1930" s="8"/>
      <c r="U1930" s="8"/>
      <c r="V1930" s="25"/>
      <c r="W1930" s="25"/>
      <c r="X1930" s="25"/>
      <c r="Y1930" s="25"/>
      <c r="Z1930" s="25"/>
      <c r="AA1930" s="25"/>
      <c r="AB1930" s="25"/>
      <c r="AC1930" s="25"/>
      <c r="AD1930" s="25"/>
    </row>
    <row r="1931" customFormat="false" ht="15.75" hidden="false" customHeight="false" outlineLevel="0" collapsed="false">
      <c r="A1931" s="28" t="s">
        <v>2338</v>
      </c>
      <c r="B1931" s="27" t="s">
        <v>438</v>
      </c>
      <c r="C1931" s="27" t="s">
        <v>308</v>
      </c>
      <c r="D1931" s="25"/>
      <c r="E1931" s="25"/>
      <c r="F1931" s="25"/>
      <c r="G1931" s="25"/>
      <c r="H1931" s="25"/>
      <c r="I1931" s="25"/>
      <c r="J1931" s="27" t="s">
        <v>2288</v>
      </c>
      <c r="K1931" s="25" t="str">
        <f aca="false">IFERROR(__xludf.dummyfunction("SPLIT(J1931,"" "")"),"CIF")</f>
        <v>CIF</v>
      </c>
      <c r="L1931" s="28" t="str">
        <f aca="false">IFERROR(__xludf.dummyfunction("""COMPUTED_VALUE"""),"Spain")</f>
        <v>Spain</v>
      </c>
      <c r="M1931" s="27" t="str">
        <f aca="false">IFERROR(__xludf.dummyfunction("""COMPUTED_VALUE"""),"(Diff)")</f>
        <v>(Diff)</v>
      </c>
      <c r="N1931" s="25"/>
      <c r="O1931" s="25"/>
      <c r="P1931" s="25"/>
      <c r="Q1931" s="29" t="s">
        <v>329</v>
      </c>
      <c r="R1931" s="8" t="str">
        <f aca="false">B1931&amp;" "&amp;C1931&amp;" "&amp;D1931&amp;" "&amp;E1931&amp;" "&amp;G1931&amp;" "&amp;H1931&amp;" "&amp;J1931&amp;" "&amp;N1931</f>
        <v>Differentials Graphite     CIF Spain (Diff) </v>
      </c>
      <c r="S1931" s="25"/>
      <c r="T1931" s="8"/>
      <c r="U1931" s="8"/>
      <c r="V1931" s="25"/>
      <c r="W1931" s="25"/>
      <c r="X1931" s="25"/>
      <c r="Y1931" s="25"/>
      <c r="Z1931" s="25"/>
      <c r="AA1931" s="25"/>
      <c r="AB1931" s="25"/>
      <c r="AC1931" s="25"/>
      <c r="AD1931" s="25"/>
    </row>
    <row r="1932" customFormat="false" ht="15.75" hidden="false" customHeight="false" outlineLevel="0" collapsed="false">
      <c r="A1932" s="28" t="s">
        <v>2339</v>
      </c>
      <c r="B1932" s="27" t="s">
        <v>438</v>
      </c>
      <c r="C1932" s="27" t="s">
        <v>308</v>
      </c>
      <c r="D1932" s="25"/>
      <c r="E1932" s="25"/>
      <c r="F1932" s="25"/>
      <c r="G1932" s="25"/>
      <c r="H1932" s="25"/>
      <c r="I1932" s="25"/>
      <c r="J1932" s="27" t="s">
        <v>2288</v>
      </c>
      <c r="K1932" s="25" t="str">
        <f aca="false">IFERROR(__xludf.dummyfunction("SPLIT(J1932,"" "")"),"CIF")</f>
        <v>CIF</v>
      </c>
      <c r="L1932" s="28" t="str">
        <f aca="false">IFERROR(__xludf.dummyfunction("""COMPUTED_VALUE"""),"Spain")</f>
        <v>Spain</v>
      </c>
      <c r="M1932" s="27" t="str">
        <f aca="false">IFERROR(__xludf.dummyfunction("""COMPUTED_VALUE"""),"(Diff)")</f>
        <v>(Diff)</v>
      </c>
      <c r="N1932" s="25"/>
      <c r="O1932" s="25"/>
      <c r="P1932" s="25"/>
      <c r="Q1932" s="29" t="s">
        <v>326</v>
      </c>
      <c r="R1932" s="8" t="str">
        <f aca="false">B1932&amp;" "&amp;C1932&amp;" "&amp;D1932&amp;" "&amp;E1932&amp;" "&amp;G1932&amp;" "&amp;H1932&amp;" "&amp;J1932&amp;" "&amp;N1932</f>
        <v>Differentials Graphite     CIF Spain (Diff) </v>
      </c>
      <c r="S1932" s="25"/>
      <c r="T1932" s="8"/>
      <c r="U1932" s="8"/>
      <c r="V1932" s="25"/>
      <c r="W1932" s="25"/>
      <c r="X1932" s="25"/>
      <c r="Y1932" s="25"/>
      <c r="Z1932" s="25"/>
      <c r="AA1932" s="25"/>
      <c r="AB1932" s="25"/>
      <c r="AC1932" s="25"/>
      <c r="AD1932" s="25"/>
    </row>
    <row r="1933" customFormat="false" ht="15.75" hidden="false" customHeight="false" outlineLevel="0" collapsed="false">
      <c r="A1933" s="28" t="s">
        <v>2340</v>
      </c>
      <c r="B1933" s="27" t="s">
        <v>438</v>
      </c>
      <c r="C1933" s="27" t="s">
        <v>308</v>
      </c>
      <c r="D1933" s="25"/>
      <c r="E1933" s="25"/>
      <c r="F1933" s="25"/>
      <c r="G1933" s="25"/>
      <c r="H1933" s="25"/>
      <c r="I1933" s="25"/>
      <c r="J1933" s="27" t="s">
        <v>2288</v>
      </c>
      <c r="K1933" s="25" t="str">
        <f aca="false">IFERROR(__xludf.dummyfunction("SPLIT(J1933,"" "")"),"CIF")</f>
        <v>CIF</v>
      </c>
      <c r="L1933" s="28" t="str">
        <f aca="false">IFERROR(__xludf.dummyfunction("""COMPUTED_VALUE"""),"Spain")</f>
        <v>Spain</v>
      </c>
      <c r="M1933" s="27" t="str">
        <f aca="false">IFERROR(__xludf.dummyfunction("""COMPUTED_VALUE"""),"(Diff)")</f>
        <v>(Diff)</v>
      </c>
      <c r="N1933" s="25"/>
      <c r="O1933" s="25"/>
      <c r="P1933" s="25"/>
      <c r="Q1933" s="29" t="s">
        <v>323</v>
      </c>
      <c r="R1933" s="8" t="str">
        <f aca="false">B1933&amp;" "&amp;C1933&amp;" "&amp;D1933&amp;" "&amp;E1933&amp;" "&amp;G1933&amp;" "&amp;H1933&amp;" "&amp;J1933&amp;" "&amp;N1933</f>
        <v>Differentials Graphite     CIF Spain (Diff) </v>
      </c>
      <c r="S1933" s="25"/>
      <c r="T1933" s="8"/>
      <c r="U1933" s="8"/>
      <c r="V1933" s="25"/>
      <c r="W1933" s="25"/>
      <c r="X1933" s="25"/>
      <c r="Y1933" s="25"/>
      <c r="Z1933" s="25"/>
      <c r="AA1933" s="25"/>
      <c r="AB1933" s="25"/>
      <c r="AC1933" s="25"/>
      <c r="AD1933" s="25"/>
    </row>
    <row r="1934" customFormat="false" ht="15.75" hidden="false" customHeight="false" outlineLevel="0" collapsed="false">
      <c r="A1934" s="28" t="s">
        <v>2341</v>
      </c>
      <c r="B1934" s="27" t="s">
        <v>438</v>
      </c>
      <c r="C1934" s="27" t="s">
        <v>308</v>
      </c>
      <c r="D1934" s="25"/>
      <c r="E1934" s="25"/>
      <c r="F1934" s="25"/>
      <c r="G1934" s="25"/>
      <c r="H1934" s="25"/>
      <c r="I1934" s="25"/>
      <c r="J1934" s="27" t="s">
        <v>2288</v>
      </c>
      <c r="K1934" s="25" t="str">
        <f aca="false">IFERROR(__xludf.dummyfunction("SPLIT(J1934,"" "")"),"CIF")</f>
        <v>CIF</v>
      </c>
      <c r="L1934" s="28" t="str">
        <f aca="false">IFERROR(__xludf.dummyfunction("""COMPUTED_VALUE"""),"Spain")</f>
        <v>Spain</v>
      </c>
      <c r="M1934" s="27" t="str">
        <f aca="false">IFERROR(__xludf.dummyfunction("""COMPUTED_VALUE"""),"(Diff)")</f>
        <v>(Diff)</v>
      </c>
      <c r="N1934" s="25"/>
      <c r="O1934" s="25"/>
      <c r="P1934" s="25"/>
      <c r="Q1934" s="29" t="s">
        <v>319</v>
      </c>
      <c r="R1934" s="8" t="str">
        <f aca="false">B1934&amp;" "&amp;C1934&amp;" "&amp;D1934&amp;" "&amp;E1934&amp;" "&amp;G1934&amp;" "&amp;H1934&amp;" "&amp;J1934&amp;" "&amp;N1934</f>
        <v>Differentials Graphite     CIF Spain (Diff) </v>
      </c>
      <c r="S1934" s="25"/>
      <c r="T1934" s="8"/>
      <c r="U1934" s="8"/>
      <c r="V1934" s="25"/>
      <c r="W1934" s="25"/>
      <c r="X1934" s="25"/>
      <c r="Y1934" s="25"/>
      <c r="Z1934" s="25"/>
      <c r="AA1934" s="25"/>
      <c r="AB1934" s="25"/>
      <c r="AC1934" s="25"/>
      <c r="AD1934" s="25"/>
    </row>
    <row r="1935" customFormat="false" ht="15.75" hidden="false" customHeight="false" outlineLevel="0" collapsed="false">
      <c r="A1935" s="28" t="s">
        <v>2342</v>
      </c>
      <c r="B1935" s="27" t="s">
        <v>438</v>
      </c>
      <c r="C1935" s="27" t="s">
        <v>308</v>
      </c>
      <c r="D1935" s="25"/>
      <c r="E1935" s="25"/>
      <c r="F1935" s="25"/>
      <c r="G1935" s="25"/>
      <c r="H1935" s="25"/>
      <c r="I1935" s="25"/>
      <c r="J1935" s="27" t="s">
        <v>2288</v>
      </c>
      <c r="K1935" s="25" t="str">
        <f aca="false">IFERROR(__xludf.dummyfunction("SPLIT(J1935,"" "")"),"CIF")</f>
        <v>CIF</v>
      </c>
      <c r="L1935" s="28" t="str">
        <f aca="false">IFERROR(__xludf.dummyfunction("""COMPUTED_VALUE"""),"Spain")</f>
        <v>Spain</v>
      </c>
      <c r="M1935" s="27" t="str">
        <f aca="false">IFERROR(__xludf.dummyfunction("""COMPUTED_VALUE"""),"(Diff)")</f>
        <v>(Diff)</v>
      </c>
      <c r="N1935" s="25"/>
      <c r="O1935" s="25"/>
      <c r="P1935" s="25"/>
      <c r="Q1935" s="29" t="s">
        <v>315</v>
      </c>
      <c r="R1935" s="8" t="str">
        <f aca="false">B1935&amp;" "&amp;C1935&amp;" "&amp;D1935&amp;" "&amp;E1935&amp;" "&amp;G1935&amp;" "&amp;H1935&amp;" "&amp;J1935&amp;" "&amp;N1935</f>
        <v>Differentials Graphite     CIF Spain (Diff) </v>
      </c>
      <c r="S1935" s="25"/>
      <c r="T1935" s="8"/>
      <c r="U1935" s="8"/>
      <c r="V1935" s="25"/>
      <c r="W1935" s="25"/>
      <c r="X1935" s="25"/>
      <c r="Y1935" s="25"/>
      <c r="Z1935" s="25"/>
      <c r="AA1935" s="25"/>
      <c r="AB1935" s="25"/>
      <c r="AC1935" s="25"/>
      <c r="AD1935" s="25"/>
    </row>
    <row r="1936" customFormat="false" ht="15.75" hidden="false" customHeight="false" outlineLevel="0" collapsed="false">
      <c r="A1936" s="28" t="s">
        <v>2343</v>
      </c>
      <c r="B1936" s="27" t="s">
        <v>438</v>
      </c>
      <c r="C1936" s="27" t="s">
        <v>308</v>
      </c>
      <c r="D1936" s="25"/>
      <c r="E1936" s="25"/>
      <c r="F1936" s="25"/>
      <c r="G1936" s="25"/>
      <c r="H1936" s="25"/>
      <c r="I1936" s="25"/>
      <c r="J1936" s="27" t="s">
        <v>2288</v>
      </c>
      <c r="K1936" s="25" t="str">
        <f aca="false">IFERROR(__xludf.dummyfunction("SPLIT(J1936,"" "")"),"CIF")</f>
        <v>CIF</v>
      </c>
      <c r="L1936" s="28" t="str">
        <f aca="false">IFERROR(__xludf.dummyfunction("""COMPUTED_VALUE"""),"Spain")</f>
        <v>Spain</v>
      </c>
      <c r="M1936" s="27" t="str">
        <f aca="false">IFERROR(__xludf.dummyfunction("""COMPUTED_VALUE"""),"(Diff)")</f>
        <v>(Diff)</v>
      </c>
      <c r="N1936" s="25"/>
      <c r="O1936" s="25"/>
      <c r="P1936" s="25"/>
      <c r="Q1936" s="29" t="s">
        <v>311</v>
      </c>
      <c r="R1936" s="8" t="str">
        <f aca="false">B1936&amp;" "&amp;C1936&amp;" "&amp;D1936&amp;" "&amp;E1936&amp;" "&amp;G1936&amp;" "&amp;H1936&amp;" "&amp;J1936&amp;" "&amp;N1936</f>
        <v>Differentials Graphite     CIF Spain (Diff) </v>
      </c>
      <c r="S1936" s="25"/>
      <c r="T1936" s="8"/>
      <c r="U1936" s="8"/>
      <c r="V1936" s="25"/>
      <c r="W1936" s="25"/>
      <c r="X1936" s="25"/>
      <c r="Y1936" s="25"/>
      <c r="Z1936" s="25"/>
      <c r="AA1936" s="25"/>
      <c r="AB1936" s="25"/>
      <c r="AC1936" s="25"/>
      <c r="AD1936" s="25"/>
    </row>
    <row r="1937" customFormat="false" ht="15.75" hidden="false" customHeight="false" outlineLevel="0" collapsed="false">
      <c r="A1937" s="28" t="s">
        <v>2344</v>
      </c>
      <c r="B1937" s="27" t="s">
        <v>438</v>
      </c>
      <c r="C1937" s="27" t="s">
        <v>360</v>
      </c>
      <c r="D1937" s="25"/>
      <c r="E1937" s="25"/>
      <c r="F1937" s="25"/>
      <c r="G1937" s="25"/>
      <c r="H1937" s="25"/>
      <c r="I1937" s="25"/>
      <c r="J1937" s="27" t="s">
        <v>2288</v>
      </c>
      <c r="K1937" s="25" t="str">
        <f aca="false">IFERROR(__xludf.dummyfunction("SPLIT(J1937,"" "")"),"CIF")</f>
        <v>CIF</v>
      </c>
      <c r="L1937" s="28" t="str">
        <f aca="false">IFERROR(__xludf.dummyfunction("""COMPUTED_VALUE"""),"Spain")</f>
        <v>Spain</v>
      </c>
      <c r="M1937" s="27" t="str">
        <f aca="false">IFERROR(__xludf.dummyfunction("""COMPUTED_VALUE"""),"(Diff)")</f>
        <v>(Diff)</v>
      </c>
      <c r="N1937" s="25"/>
      <c r="O1937" s="25"/>
      <c r="P1937" s="25"/>
      <c r="Q1937" s="29" t="s">
        <v>368</v>
      </c>
      <c r="R1937" s="8" t="str">
        <f aca="false">B1937&amp;" "&amp;C1937&amp;" "&amp;D1937&amp;" "&amp;E1937&amp;" "&amp;G1937&amp;" "&amp;H1937&amp;" "&amp;J1937&amp;" "&amp;N1937</f>
        <v>Differentials Lithium     CIF Spain (Diff) </v>
      </c>
      <c r="S1937" s="25"/>
      <c r="T1937" s="8"/>
      <c r="U1937" s="8"/>
      <c r="V1937" s="25"/>
      <c r="W1937" s="25"/>
      <c r="X1937" s="25"/>
      <c r="Y1937" s="25"/>
      <c r="Z1937" s="25"/>
      <c r="AA1937" s="25"/>
      <c r="AB1937" s="25"/>
      <c r="AC1937" s="25"/>
      <c r="AD1937" s="25"/>
    </row>
    <row r="1938" customFormat="false" ht="15.75" hidden="false" customHeight="false" outlineLevel="0" collapsed="false">
      <c r="A1938" s="28" t="s">
        <v>2345</v>
      </c>
      <c r="B1938" s="27" t="s">
        <v>438</v>
      </c>
      <c r="C1938" s="27" t="s">
        <v>360</v>
      </c>
      <c r="D1938" s="25"/>
      <c r="E1938" s="25"/>
      <c r="F1938" s="25"/>
      <c r="G1938" s="25"/>
      <c r="H1938" s="25"/>
      <c r="I1938" s="25"/>
      <c r="J1938" s="27" t="s">
        <v>2288</v>
      </c>
      <c r="K1938" s="25" t="str">
        <f aca="false">IFERROR(__xludf.dummyfunction("SPLIT(J1938,"" "")"),"CIF")</f>
        <v>CIF</v>
      </c>
      <c r="L1938" s="28" t="str">
        <f aca="false">IFERROR(__xludf.dummyfunction("""COMPUTED_VALUE"""),"Spain")</f>
        <v>Spain</v>
      </c>
      <c r="M1938" s="27" t="str">
        <f aca="false">IFERROR(__xludf.dummyfunction("""COMPUTED_VALUE"""),"(Diff)")</f>
        <v>(Diff)</v>
      </c>
      <c r="N1938" s="25"/>
      <c r="O1938" s="25"/>
      <c r="P1938" s="25"/>
      <c r="Q1938" s="29" t="s">
        <v>366</v>
      </c>
      <c r="R1938" s="8" t="str">
        <f aca="false">B1938&amp;" "&amp;C1938&amp;" "&amp;D1938&amp;" "&amp;E1938&amp;" "&amp;G1938&amp;" "&amp;H1938&amp;" "&amp;J1938&amp;" "&amp;N1938</f>
        <v>Differentials Lithium     CIF Spain (Diff) </v>
      </c>
      <c r="S1938" s="25"/>
      <c r="T1938" s="8"/>
      <c r="U1938" s="8"/>
      <c r="V1938" s="25"/>
      <c r="W1938" s="25"/>
      <c r="X1938" s="25"/>
      <c r="Y1938" s="25"/>
      <c r="Z1938" s="25"/>
      <c r="AA1938" s="25"/>
      <c r="AB1938" s="25"/>
      <c r="AC1938" s="25"/>
      <c r="AD1938" s="25"/>
    </row>
    <row r="1939" customFormat="false" ht="15.75" hidden="false" customHeight="false" outlineLevel="0" collapsed="false">
      <c r="A1939" s="28" t="s">
        <v>2346</v>
      </c>
      <c r="B1939" s="27" t="s">
        <v>438</v>
      </c>
      <c r="C1939" s="27" t="s">
        <v>360</v>
      </c>
      <c r="D1939" s="25"/>
      <c r="E1939" s="25"/>
      <c r="F1939" s="25"/>
      <c r="G1939" s="25"/>
      <c r="H1939" s="25"/>
      <c r="I1939" s="25"/>
      <c r="J1939" s="27" t="s">
        <v>2288</v>
      </c>
      <c r="K1939" s="25" t="str">
        <f aca="false">IFERROR(__xludf.dummyfunction("SPLIT(J1939,"" "")"),"CIF")</f>
        <v>CIF</v>
      </c>
      <c r="L1939" s="28" t="str">
        <f aca="false">IFERROR(__xludf.dummyfunction("""COMPUTED_VALUE"""),"Spain")</f>
        <v>Spain</v>
      </c>
      <c r="M1939" s="27" t="str">
        <f aca="false">IFERROR(__xludf.dummyfunction("""COMPUTED_VALUE"""),"(Diff)")</f>
        <v>(Diff)</v>
      </c>
      <c r="N1939" s="25"/>
      <c r="O1939" s="25"/>
      <c r="P1939" s="25"/>
      <c r="Q1939" s="29" t="s">
        <v>361</v>
      </c>
      <c r="R1939" s="8" t="str">
        <f aca="false">B1939&amp;" "&amp;C1939&amp;" "&amp;D1939&amp;" "&amp;E1939&amp;" "&amp;G1939&amp;" "&amp;H1939&amp;" "&amp;J1939&amp;" "&amp;N1939</f>
        <v>Differentials Lithium     CIF Spain (Diff) </v>
      </c>
      <c r="S1939" s="25"/>
      <c r="T1939" s="8"/>
      <c r="U1939" s="8"/>
      <c r="V1939" s="25"/>
      <c r="W1939" s="25"/>
      <c r="X1939" s="25"/>
      <c r="Y1939" s="25"/>
      <c r="Z1939" s="25"/>
      <c r="AA1939" s="25"/>
      <c r="AB1939" s="25"/>
      <c r="AC1939" s="25"/>
      <c r="AD1939" s="25"/>
    </row>
    <row r="1940" customFormat="false" ht="15.75" hidden="false" customHeight="false" outlineLevel="0" collapsed="false">
      <c r="A1940" s="28" t="s">
        <v>2347</v>
      </c>
      <c r="B1940" s="27" t="s">
        <v>438</v>
      </c>
      <c r="C1940" s="27" t="s">
        <v>360</v>
      </c>
      <c r="D1940" s="25"/>
      <c r="E1940" s="25"/>
      <c r="F1940" s="25"/>
      <c r="G1940" s="25"/>
      <c r="H1940" s="25"/>
      <c r="I1940" s="25"/>
      <c r="J1940" s="27" t="s">
        <v>2288</v>
      </c>
      <c r="K1940" s="25" t="str">
        <f aca="false">IFERROR(__xludf.dummyfunction("SPLIT(J1940,"" "")"),"CIF")</f>
        <v>CIF</v>
      </c>
      <c r="L1940" s="28" t="str">
        <f aca="false">IFERROR(__xludf.dummyfunction("""COMPUTED_VALUE"""),"Spain")</f>
        <v>Spain</v>
      </c>
      <c r="M1940" s="27" t="str">
        <f aca="false">IFERROR(__xludf.dummyfunction("""COMPUTED_VALUE"""),"(Diff)")</f>
        <v>(Diff)</v>
      </c>
      <c r="N1940" s="25"/>
      <c r="O1940" s="25"/>
      <c r="P1940" s="25"/>
      <c r="Q1940" s="29" t="s">
        <v>363</v>
      </c>
      <c r="R1940" s="8" t="str">
        <f aca="false">B1940&amp;" "&amp;C1940&amp;" "&amp;D1940&amp;" "&amp;E1940&amp;" "&amp;G1940&amp;" "&amp;H1940&amp;" "&amp;J1940&amp;" "&amp;N1940</f>
        <v>Differentials Lithium     CIF Spain (Diff) </v>
      </c>
      <c r="S1940" s="25"/>
      <c r="T1940" s="8"/>
      <c r="U1940" s="8"/>
      <c r="V1940" s="25"/>
      <c r="W1940" s="25"/>
      <c r="X1940" s="25"/>
      <c r="Y1940" s="25"/>
      <c r="Z1940" s="25"/>
      <c r="AA1940" s="25"/>
      <c r="AB1940" s="25"/>
      <c r="AC1940" s="25"/>
      <c r="AD1940" s="25"/>
    </row>
    <row r="1941" customFormat="false" ht="15.75" hidden="false" customHeight="false" outlineLevel="0" collapsed="false">
      <c r="A1941" s="28" t="s">
        <v>2348</v>
      </c>
      <c r="B1941" s="27" t="s">
        <v>438</v>
      </c>
      <c r="C1941" s="27" t="s">
        <v>360</v>
      </c>
      <c r="D1941" s="25"/>
      <c r="E1941" s="25"/>
      <c r="F1941" s="25"/>
      <c r="G1941" s="25"/>
      <c r="H1941" s="25"/>
      <c r="I1941" s="25"/>
      <c r="J1941" s="27" t="s">
        <v>2288</v>
      </c>
      <c r="K1941" s="25" t="str">
        <f aca="false">IFERROR(__xludf.dummyfunction("SPLIT(J1941,"" "")"),"CIF")</f>
        <v>CIF</v>
      </c>
      <c r="L1941" s="28" t="str">
        <f aca="false">IFERROR(__xludf.dummyfunction("""COMPUTED_VALUE"""),"Spain")</f>
        <v>Spain</v>
      </c>
      <c r="M1941" s="27" t="str">
        <f aca="false">IFERROR(__xludf.dummyfunction("""COMPUTED_VALUE"""),"(Diff)")</f>
        <v>(Diff)</v>
      </c>
      <c r="N1941" s="25"/>
      <c r="O1941" s="25"/>
      <c r="P1941" s="25"/>
      <c r="Q1941" s="29" t="s">
        <v>361</v>
      </c>
      <c r="R1941" s="8" t="str">
        <f aca="false">B1941&amp;" "&amp;C1941&amp;" "&amp;D1941&amp;" "&amp;E1941&amp;" "&amp;G1941&amp;" "&amp;H1941&amp;" "&amp;J1941&amp;" "&amp;N1941</f>
        <v>Differentials Lithium     CIF Spain (Diff) </v>
      </c>
      <c r="S1941" s="25"/>
      <c r="T1941" s="8"/>
      <c r="U1941" s="8"/>
      <c r="V1941" s="25"/>
      <c r="W1941" s="25"/>
      <c r="X1941" s="25"/>
      <c r="Y1941" s="25"/>
      <c r="Z1941" s="25"/>
      <c r="AA1941" s="25"/>
      <c r="AB1941" s="25"/>
      <c r="AC1941" s="25"/>
      <c r="AD1941" s="25"/>
    </row>
    <row r="1942" customFormat="false" ht="15.75" hidden="false" customHeight="false" outlineLevel="0" collapsed="false">
      <c r="A1942" s="28" t="s">
        <v>2349</v>
      </c>
      <c r="B1942" s="27" t="s">
        <v>438</v>
      </c>
      <c r="C1942" s="27" t="s">
        <v>383</v>
      </c>
      <c r="D1942" s="25"/>
      <c r="E1942" s="25"/>
      <c r="F1942" s="25"/>
      <c r="G1942" s="25"/>
      <c r="H1942" s="25"/>
      <c r="I1942" s="25"/>
      <c r="J1942" s="27" t="s">
        <v>2288</v>
      </c>
      <c r="K1942" s="25" t="str">
        <f aca="false">IFERROR(__xludf.dummyfunction("SPLIT(J1942,"" "")"),"CIF")</f>
        <v>CIF</v>
      </c>
      <c r="L1942" s="28" t="str">
        <f aca="false">IFERROR(__xludf.dummyfunction("""COMPUTED_VALUE"""),"Spain")</f>
        <v>Spain</v>
      </c>
      <c r="M1942" s="27" t="str">
        <f aca="false">IFERROR(__xludf.dummyfunction("""COMPUTED_VALUE"""),"(Diff)")</f>
        <v>(Diff)</v>
      </c>
      <c r="N1942" s="25"/>
      <c r="O1942" s="25"/>
      <c r="P1942" s="25"/>
      <c r="Q1942" s="29" t="s">
        <v>406</v>
      </c>
      <c r="R1942" s="8" t="str">
        <f aca="false">B1942&amp;" "&amp;C1942&amp;" "&amp;D1942&amp;" "&amp;E1942&amp;" "&amp;G1942&amp;" "&amp;H1942&amp;" "&amp;J1942&amp;" "&amp;N1942</f>
        <v>Differentials Precursor     CIF Spain (Diff) </v>
      </c>
      <c r="S1942" s="25"/>
      <c r="T1942" s="8"/>
      <c r="U1942" s="8"/>
      <c r="V1942" s="25"/>
      <c r="W1942" s="25"/>
      <c r="X1942" s="25"/>
      <c r="Y1942" s="25"/>
      <c r="Z1942" s="25"/>
      <c r="AA1942" s="25"/>
      <c r="AB1942" s="25"/>
      <c r="AC1942" s="25"/>
      <c r="AD1942" s="25"/>
    </row>
    <row r="1943" customFormat="false" ht="15.75" hidden="false" customHeight="false" outlineLevel="0" collapsed="false">
      <c r="A1943" s="28" t="s">
        <v>2350</v>
      </c>
      <c r="B1943" s="27" t="s">
        <v>438</v>
      </c>
      <c r="C1943" s="27" t="s">
        <v>383</v>
      </c>
      <c r="D1943" s="25"/>
      <c r="E1943" s="25"/>
      <c r="F1943" s="25"/>
      <c r="G1943" s="25"/>
      <c r="H1943" s="25"/>
      <c r="I1943" s="25"/>
      <c r="J1943" s="27" t="s">
        <v>2288</v>
      </c>
      <c r="K1943" s="25" t="str">
        <f aca="false">IFERROR(__xludf.dummyfunction("SPLIT(J1943,"" "")"),"CIF")</f>
        <v>CIF</v>
      </c>
      <c r="L1943" s="28" t="str">
        <f aca="false">IFERROR(__xludf.dummyfunction("""COMPUTED_VALUE"""),"Spain")</f>
        <v>Spain</v>
      </c>
      <c r="M1943" s="27" t="str">
        <f aca="false">IFERROR(__xludf.dummyfunction("""COMPUTED_VALUE"""),"(Diff)")</f>
        <v>(Diff)</v>
      </c>
      <c r="N1943" s="25"/>
      <c r="O1943" s="25"/>
      <c r="P1943" s="25"/>
      <c r="Q1943" s="29" t="s">
        <v>404</v>
      </c>
      <c r="R1943" s="8" t="str">
        <f aca="false">B1943&amp;" "&amp;C1943&amp;" "&amp;D1943&amp;" "&amp;E1943&amp;" "&amp;G1943&amp;" "&amp;H1943&amp;" "&amp;J1943&amp;" "&amp;N1943</f>
        <v>Differentials Precursor     CIF Spain (Diff) </v>
      </c>
      <c r="S1943" s="25"/>
      <c r="T1943" s="8"/>
      <c r="U1943" s="8"/>
      <c r="V1943" s="25"/>
      <c r="W1943" s="25"/>
      <c r="X1943" s="25"/>
      <c r="Y1943" s="25"/>
      <c r="Z1943" s="25"/>
      <c r="AA1943" s="25"/>
      <c r="AB1943" s="25"/>
      <c r="AC1943" s="25"/>
      <c r="AD1943" s="25"/>
    </row>
    <row r="1944" customFormat="false" ht="15.75" hidden="false" customHeight="false" outlineLevel="0" collapsed="false">
      <c r="A1944" s="28" t="s">
        <v>2351</v>
      </c>
      <c r="B1944" s="27" t="s">
        <v>438</v>
      </c>
      <c r="C1944" s="27" t="s">
        <v>383</v>
      </c>
      <c r="D1944" s="25"/>
      <c r="E1944" s="25"/>
      <c r="F1944" s="25"/>
      <c r="G1944" s="25"/>
      <c r="H1944" s="25"/>
      <c r="I1944" s="25"/>
      <c r="J1944" s="27" t="s">
        <v>2288</v>
      </c>
      <c r="K1944" s="25" t="str">
        <f aca="false">IFERROR(__xludf.dummyfunction("SPLIT(J1944,"" "")"),"CIF")</f>
        <v>CIF</v>
      </c>
      <c r="L1944" s="28" t="str">
        <f aca="false">IFERROR(__xludf.dummyfunction("""COMPUTED_VALUE"""),"Spain")</f>
        <v>Spain</v>
      </c>
      <c r="M1944" s="27" t="str">
        <f aca="false">IFERROR(__xludf.dummyfunction("""COMPUTED_VALUE"""),"(Diff)")</f>
        <v>(Diff)</v>
      </c>
      <c r="N1944" s="25"/>
      <c r="O1944" s="25"/>
      <c r="P1944" s="25"/>
      <c r="Q1944" s="29" t="s">
        <v>402</v>
      </c>
      <c r="R1944" s="8" t="str">
        <f aca="false">B1944&amp;" "&amp;C1944&amp;" "&amp;D1944&amp;" "&amp;E1944&amp;" "&amp;G1944&amp;" "&amp;H1944&amp;" "&amp;J1944&amp;" "&amp;N1944</f>
        <v>Differentials Precursor     CIF Spain (Diff) </v>
      </c>
      <c r="S1944" s="25"/>
      <c r="T1944" s="8"/>
      <c r="U1944" s="8"/>
      <c r="V1944" s="25"/>
      <c r="W1944" s="25"/>
      <c r="X1944" s="25"/>
      <c r="Y1944" s="25"/>
      <c r="Z1944" s="25"/>
      <c r="AA1944" s="25"/>
      <c r="AB1944" s="25"/>
      <c r="AC1944" s="25"/>
      <c r="AD1944" s="25"/>
    </row>
    <row r="1945" customFormat="false" ht="15.75" hidden="false" customHeight="false" outlineLevel="0" collapsed="false">
      <c r="A1945" s="28" t="s">
        <v>2352</v>
      </c>
      <c r="B1945" s="27" t="s">
        <v>438</v>
      </c>
      <c r="C1945" s="27" t="s">
        <v>383</v>
      </c>
      <c r="D1945" s="25"/>
      <c r="E1945" s="25"/>
      <c r="F1945" s="25"/>
      <c r="G1945" s="25"/>
      <c r="H1945" s="25"/>
      <c r="I1945" s="25"/>
      <c r="J1945" s="27" t="s">
        <v>2288</v>
      </c>
      <c r="K1945" s="25" t="str">
        <f aca="false">IFERROR(__xludf.dummyfunction("SPLIT(J1945,"" "")"),"CIF")</f>
        <v>CIF</v>
      </c>
      <c r="L1945" s="28" t="str">
        <f aca="false">IFERROR(__xludf.dummyfunction("""COMPUTED_VALUE"""),"Spain")</f>
        <v>Spain</v>
      </c>
      <c r="M1945" s="27" t="str">
        <f aca="false">IFERROR(__xludf.dummyfunction("""COMPUTED_VALUE"""),"(Diff)")</f>
        <v>(Diff)</v>
      </c>
      <c r="N1945" s="25"/>
      <c r="O1945" s="25"/>
      <c r="P1945" s="25"/>
      <c r="Q1945" s="29" t="s">
        <v>400</v>
      </c>
      <c r="R1945" s="8" t="str">
        <f aca="false">B1945&amp;" "&amp;C1945&amp;" "&amp;D1945&amp;" "&amp;E1945&amp;" "&amp;G1945&amp;" "&amp;H1945&amp;" "&amp;J1945&amp;" "&amp;N1945</f>
        <v>Differentials Precursor     CIF Spain (Diff) </v>
      </c>
      <c r="S1945" s="25"/>
      <c r="T1945" s="8"/>
      <c r="U1945" s="8"/>
      <c r="V1945" s="25"/>
      <c r="W1945" s="25"/>
      <c r="X1945" s="25"/>
      <c r="Y1945" s="25"/>
      <c r="Z1945" s="25"/>
      <c r="AA1945" s="25"/>
      <c r="AB1945" s="25"/>
      <c r="AC1945" s="25"/>
      <c r="AD1945" s="25"/>
    </row>
    <row r="1946" customFormat="false" ht="15.75" hidden="false" customHeight="false" outlineLevel="0" collapsed="false">
      <c r="A1946" s="28" t="s">
        <v>2353</v>
      </c>
      <c r="B1946" s="27" t="s">
        <v>438</v>
      </c>
      <c r="C1946" s="27" t="s">
        <v>383</v>
      </c>
      <c r="D1946" s="25"/>
      <c r="E1946" s="25"/>
      <c r="F1946" s="25"/>
      <c r="G1946" s="25"/>
      <c r="H1946" s="25"/>
      <c r="I1946" s="25"/>
      <c r="J1946" s="27" t="s">
        <v>2288</v>
      </c>
      <c r="K1946" s="25" t="str">
        <f aca="false">IFERROR(__xludf.dummyfunction("SPLIT(J1946,"" "")"),"CIF")</f>
        <v>CIF</v>
      </c>
      <c r="L1946" s="28" t="str">
        <f aca="false">IFERROR(__xludf.dummyfunction("""COMPUTED_VALUE"""),"Spain")</f>
        <v>Spain</v>
      </c>
      <c r="M1946" s="27" t="str">
        <f aca="false">IFERROR(__xludf.dummyfunction("""COMPUTED_VALUE"""),"(Diff)")</f>
        <v>(Diff)</v>
      </c>
      <c r="N1946" s="25"/>
      <c r="O1946" s="25"/>
      <c r="P1946" s="25"/>
      <c r="Q1946" s="29" t="s">
        <v>398</v>
      </c>
      <c r="R1946" s="8" t="str">
        <f aca="false">B1946&amp;" "&amp;C1946&amp;" "&amp;D1946&amp;" "&amp;E1946&amp;" "&amp;G1946&amp;" "&amp;H1946&amp;" "&amp;J1946&amp;" "&amp;N1946</f>
        <v>Differentials Precursor     CIF Spain (Diff) </v>
      </c>
      <c r="S1946" s="25"/>
      <c r="T1946" s="8"/>
      <c r="U1946" s="8"/>
      <c r="V1946" s="25"/>
      <c r="W1946" s="25"/>
      <c r="X1946" s="25"/>
      <c r="Y1946" s="25"/>
      <c r="Z1946" s="25"/>
      <c r="AA1946" s="25"/>
      <c r="AB1946" s="25"/>
      <c r="AC1946" s="25"/>
      <c r="AD1946" s="25"/>
    </row>
    <row r="1947" customFormat="false" ht="15.75" hidden="false" customHeight="false" outlineLevel="0" collapsed="false">
      <c r="A1947" s="28" t="s">
        <v>2354</v>
      </c>
      <c r="B1947" s="27" t="s">
        <v>438</v>
      </c>
      <c r="C1947" s="27" t="s">
        <v>383</v>
      </c>
      <c r="D1947" s="25"/>
      <c r="E1947" s="25"/>
      <c r="F1947" s="25"/>
      <c r="G1947" s="25"/>
      <c r="H1947" s="25"/>
      <c r="I1947" s="25"/>
      <c r="J1947" s="27" t="s">
        <v>2288</v>
      </c>
      <c r="K1947" s="25" t="str">
        <f aca="false">IFERROR(__xludf.dummyfunction("SPLIT(J1947,"" "")"),"CIF")</f>
        <v>CIF</v>
      </c>
      <c r="L1947" s="28" t="str">
        <f aca="false">IFERROR(__xludf.dummyfunction("""COMPUTED_VALUE"""),"Spain")</f>
        <v>Spain</v>
      </c>
      <c r="M1947" s="27" t="str">
        <f aca="false">IFERROR(__xludf.dummyfunction("""COMPUTED_VALUE"""),"(Diff)")</f>
        <v>(Diff)</v>
      </c>
      <c r="N1947" s="25"/>
      <c r="O1947" s="25"/>
      <c r="P1947" s="25"/>
      <c r="Q1947" s="29" t="s">
        <v>259</v>
      </c>
      <c r="R1947" s="8" t="str">
        <f aca="false">B1947&amp;" "&amp;C1947&amp;" "&amp;D1947&amp;" "&amp;E1947&amp;" "&amp;G1947&amp;" "&amp;H1947&amp;" "&amp;J1947&amp;" "&amp;N1947</f>
        <v>Differentials Precursor     CIF Spain (Diff) </v>
      </c>
      <c r="S1947" s="25"/>
      <c r="T1947" s="8"/>
      <c r="U1947" s="8"/>
      <c r="V1947" s="25"/>
      <c r="W1947" s="25"/>
      <c r="X1947" s="25"/>
      <c r="Y1947" s="25"/>
      <c r="Z1947" s="25"/>
      <c r="AA1947" s="25"/>
      <c r="AB1947" s="25"/>
      <c r="AC1947" s="25"/>
      <c r="AD1947" s="25"/>
    </row>
    <row r="1948" customFormat="false" ht="15.75" hidden="false" customHeight="false" outlineLevel="0" collapsed="false">
      <c r="A1948" s="28" t="s">
        <v>2355</v>
      </c>
      <c r="B1948" s="27" t="s">
        <v>438</v>
      </c>
      <c r="C1948" s="27" t="s">
        <v>383</v>
      </c>
      <c r="D1948" s="25"/>
      <c r="E1948" s="25"/>
      <c r="F1948" s="25"/>
      <c r="G1948" s="25"/>
      <c r="H1948" s="25"/>
      <c r="I1948" s="25"/>
      <c r="J1948" s="27" t="s">
        <v>2288</v>
      </c>
      <c r="K1948" s="25" t="str">
        <f aca="false">IFERROR(__xludf.dummyfunction("SPLIT(J1948,"" "")"),"CIF")</f>
        <v>CIF</v>
      </c>
      <c r="L1948" s="28" t="str">
        <f aca="false">IFERROR(__xludf.dummyfunction("""COMPUTED_VALUE"""),"Spain")</f>
        <v>Spain</v>
      </c>
      <c r="M1948" s="27" t="str">
        <f aca="false">IFERROR(__xludf.dummyfunction("""COMPUTED_VALUE"""),"(Diff)")</f>
        <v>(Diff)</v>
      </c>
      <c r="N1948" s="25"/>
      <c r="O1948" s="25"/>
      <c r="P1948" s="25"/>
      <c r="Q1948" s="29" t="s">
        <v>395</v>
      </c>
      <c r="R1948" s="8" t="str">
        <f aca="false">B1948&amp;" "&amp;C1948&amp;" "&amp;D1948&amp;" "&amp;E1948&amp;" "&amp;G1948&amp;" "&amp;H1948&amp;" "&amp;J1948&amp;" "&amp;N1948</f>
        <v>Differentials Precursor     CIF Spain (Diff) </v>
      </c>
      <c r="S1948" s="25"/>
      <c r="T1948" s="8"/>
      <c r="U1948" s="8"/>
      <c r="V1948" s="25"/>
      <c r="W1948" s="25"/>
      <c r="X1948" s="25"/>
      <c r="Y1948" s="25"/>
      <c r="Z1948" s="25"/>
      <c r="AA1948" s="25"/>
      <c r="AB1948" s="25"/>
      <c r="AC1948" s="25"/>
      <c r="AD1948" s="25"/>
    </row>
    <row r="1949" customFormat="false" ht="15.75" hidden="false" customHeight="false" outlineLevel="0" collapsed="false">
      <c r="A1949" s="28" t="s">
        <v>2356</v>
      </c>
      <c r="B1949" s="27" t="s">
        <v>438</v>
      </c>
      <c r="C1949" s="27" t="s">
        <v>383</v>
      </c>
      <c r="D1949" s="25"/>
      <c r="E1949" s="25"/>
      <c r="F1949" s="25"/>
      <c r="G1949" s="25"/>
      <c r="H1949" s="25"/>
      <c r="I1949" s="25"/>
      <c r="J1949" s="27" t="s">
        <v>2288</v>
      </c>
      <c r="K1949" s="25" t="str">
        <f aca="false">IFERROR(__xludf.dummyfunction("SPLIT(J1949,"" "")"),"CIF")</f>
        <v>CIF</v>
      </c>
      <c r="L1949" s="28" t="str">
        <f aca="false">IFERROR(__xludf.dummyfunction("""COMPUTED_VALUE"""),"Spain")</f>
        <v>Spain</v>
      </c>
      <c r="M1949" s="27" t="str">
        <f aca="false">IFERROR(__xludf.dummyfunction("""COMPUTED_VALUE"""),"(Diff)")</f>
        <v>(Diff)</v>
      </c>
      <c r="N1949" s="25"/>
      <c r="O1949" s="25"/>
      <c r="P1949" s="25"/>
      <c r="Q1949" s="29" t="s">
        <v>393</v>
      </c>
      <c r="R1949" s="8" t="str">
        <f aca="false">B1949&amp;" "&amp;C1949&amp;" "&amp;D1949&amp;" "&amp;E1949&amp;" "&amp;G1949&amp;" "&amp;H1949&amp;" "&amp;J1949&amp;" "&amp;N1949</f>
        <v>Differentials Precursor     CIF Spain (Diff) </v>
      </c>
      <c r="S1949" s="25"/>
      <c r="T1949" s="8"/>
      <c r="U1949" s="8"/>
      <c r="V1949" s="25"/>
      <c r="W1949" s="25"/>
      <c r="X1949" s="25"/>
      <c r="Y1949" s="25"/>
      <c r="Z1949" s="25"/>
      <c r="AA1949" s="25"/>
      <c r="AB1949" s="25"/>
      <c r="AC1949" s="25"/>
      <c r="AD1949" s="25"/>
    </row>
    <row r="1950" customFormat="false" ht="15.75" hidden="false" customHeight="false" outlineLevel="0" collapsed="false">
      <c r="A1950" s="28" t="s">
        <v>2357</v>
      </c>
      <c r="B1950" s="27" t="s">
        <v>438</v>
      </c>
      <c r="C1950" s="27" t="s">
        <v>383</v>
      </c>
      <c r="D1950" s="25"/>
      <c r="E1950" s="25"/>
      <c r="F1950" s="25"/>
      <c r="G1950" s="25"/>
      <c r="H1950" s="25"/>
      <c r="I1950" s="25"/>
      <c r="J1950" s="27" t="s">
        <v>2288</v>
      </c>
      <c r="K1950" s="25" t="str">
        <f aca="false">IFERROR(__xludf.dummyfunction("SPLIT(J1950,"" "")"),"CIF")</f>
        <v>CIF</v>
      </c>
      <c r="L1950" s="28" t="str">
        <f aca="false">IFERROR(__xludf.dummyfunction("""COMPUTED_VALUE"""),"Spain")</f>
        <v>Spain</v>
      </c>
      <c r="M1950" s="27" t="str">
        <f aca="false">IFERROR(__xludf.dummyfunction("""COMPUTED_VALUE"""),"(Diff)")</f>
        <v>(Diff)</v>
      </c>
      <c r="N1950" s="25"/>
      <c r="O1950" s="25"/>
      <c r="P1950" s="25"/>
      <c r="Q1950" s="29" t="s">
        <v>391</v>
      </c>
      <c r="R1950" s="8" t="str">
        <f aca="false">B1950&amp;" "&amp;C1950&amp;" "&amp;D1950&amp;" "&amp;E1950&amp;" "&amp;G1950&amp;" "&amp;H1950&amp;" "&amp;J1950&amp;" "&amp;N1950</f>
        <v>Differentials Precursor     CIF Spain (Diff) </v>
      </c>
      <c r="S1950" s="25"/>
      <c r="T1950" s="8"/>
      <c r="U1950" s="8"/>
      <c r="V1950" s="25"/>
      <c r="W1950" s="25"/>
      <c r="X1950" s="25"/>
      <c r="Y1950" s="25"/>
      <c r="Z1950" s="25"/>
      <c r="AA1950" s="25"/>
      <c r="AB1950" s="25"/>
      <c r="AC1950" s="25"/>
      <c r="AD1950" s="25"/>
    </row>
    <row r="1951" customFormat="false" ht="15.75" hidden="false" customHeight="false" outlineLevel="0" collapsed="false">
      <c r="A1951" s="28" t="s">
        <v>2358</v>
      </c>
      <c r="B1951" s="27" t="s">
        <v>438</v>
      </c>
      <c r="C1951" s="27" t="s">
        <v>383</v>
      </c>
      <c r="D1951" s="25"/>
      <c r="E1951" s="25"/>
      <c r="F1951" s="25"/>
      <c r="G1951" s="25"/>
      <c r="H1951" s="25"/>
      <c r="I1951" s="25"/>
      <c r="J1951" s="27" t="s">
        <v>2288</v>
      </c>
      <c r="K1951" s="25" t="str">
        <f aca="false">IFERROR(__xludf.dummyfunction("SPLIT(J1951,"" "")"),"CIF")</f>
        <v>CIF</v>
      </c>
      <c r="L1951" s="28" t="str">
        <f aca="false">IFERROR(__xludf.dummyfunction("""COMPUTED_VALUE"""),"Spain")</f>
        <v>Spain</v>
      </c>
      <c r="M1951" s="27" t="str">
        <f aca="false">IFERROR(__xludf.dummyfunction("""COMPUTED_VALUE"""),"(Diff)")</f>
        <v>(Diff)</v>
      </c>
      <c r="N1951" s="25"/>
      <c r="O1951" s="25"/>
      <c r="P1951" s="25"/>
      <c r="Q1951" s="29" t="s">
        <v>389</v>
      </c>
      <c r="R1951" s="8" t="str">
        <f aca="false">B1951&amp;" "&amp;C1951&amp;" "&amp;D1951&amp;" "&amp;E1951&amp;" "&amp;G1951&amp;" "&amp;H1951&amp;" "&amp;J1951&amp;" "&amp;N1951</f>
        <v>Differentials Precursor     CIF Spain (Diff) </v>
      </c>
      <c r="S1951" s="25"/>
      <c r="T1951" s="8"/>
      <c r="U1951" s="8"/>
      <c r="V1951" s="25"/>
      <c r="W1951" s="25"/>
      <c r="X1951" s="25"/>
      <c r="Y1951" s="25"/>
      <c r="Z1951" s="25"/>
      <c r="AA1951" s="25"/>
      <c r="AB1951" s="25"/>
      <c r="AC1951" s="25"/>
      <c r="AD1951" s="25"/>
    </row>
    <row r="1952" customFormat="false" ht="15.75" hidden="false" customHeight="false" outlineLevel="0" collapsed="false">
      <c r="A1952" s="28" t="s">
        <v>2359</v>
      </c>
      <c r="B1952" s="27" t="s">
        <v>438</v>
      </c>
      <c r="C1952" s="27" t="s">
        <v>383</v>
      </c>
      <c r="D1952" s="25"/>
      <c r="E1952" s="25"/>
      <c r="F1952" s="25"/>
      <c r="G1952" s="25"/>
      <c r="H1952" s="25"/>
      <c r="I1952" s="25"/>
      <c r="J1952" s="27" t="s">
        <v>2288</v>
      </c>
      <c r="K1952" s="25" t="str">
        <f aca="false">IFERROR(__xludf.dummyfunction("SPLIT(J1952,"" "")"),"CIF")</f>
        <v>CIF</v>
      </c>
      <c r="L1952" s="28" t="str">
        <f aca="false">IFERROR(__xludf.dummyfunction("""COMPUTED_VALUE"""),"Spain")</f>
        <v>Spain</v>
      </c>
      <c r="M1952" s="27" t="str">
        <f aca="false">IFERROR(__xludf.dummyfunction("""COMPUTED_VALUE"""),"(Diff)")</f>
        <v>(Diff)</v>
      </c>
      <c r="N1952" s="25"/>
      <c r="O1952" s="25"/>
      <c r="P1952" s="25"/>
      <c r="Q1952" s="29" t="s">
        <v>387</v>
      </c>
      <c r="R1952" s="8" t="str">
        <f aca="false">B1952&amp;" "&amp;C1952&amp;" "&amp;D1952&amp;" "&amp;E1952&amp;" "&amp;G1952&amp;" "&amp;H1952&amp;" "&amp;J1952&amp;" "&amp;N1952</f>
        <v>Differentials Precursor     CIF Spain (Diff) </v>
      </c>
      <c r="S1952" s="25"/>
      <c r="T1952" s="8"/>
      <c r="U1952" s="8"/>
      <c r="V1952" s="25"/>
      <c r="W1952" s="25"/>
      <c r="X1952" s="25"/>
      <c r="Y1952" s="25"/>
      <c r="Z1952" s="25"/>
      <c r="AA1952" s="25"/>
      <c r="AB1952" s="25"/>
      <c r="AC1952" s="25"/>
      <c r="AD1952" s="25"/>
    </row>
    <row r="1953" customFormat="false" ht="15.75" hidden="false" customHeight="false" outlineLevel="0" collapsed="false">
      <c r="A1953" s="28" t="s">
        <v>2360</v>
      </c>
      <c r="B1953" s="27" t="s">
        <v>438</v>
      </c>
      <c r="C1953" s="27" t="s">
        <v>383</v>
      </c>
      <c r="D1953" s="25"/>
      <c r="E1953" s="25"/>
      <c r="F1953" s="25"/>
      <c r="G1953" s="25"/>
      <c r="H1953" s="25"/>
      <c r="I1953" s="25"/>
      <c r="J1953" s="27" t="s">
        <v>2288</v>
      </c>
      <c r="K1953" s="25" t="str">
        <f aca="false">IFERROR(__xludf.dummyfunction("SPLIT(J1953,"" "")"),"CIF")</f>
        <v>CIF</v>
      </c>
      <c r="L1953" s="28" t="str">
        <f aca="false">IFERROR(__xludf.dummyfunction("""COMPUTED_VALUE"""),"Spain")</f>
        <v>Spain</v>
      </c>
      <c r="M1953" s="27" t="str">
        <f aca="false">IFERROR(__xludf.dummyfunction("""COMPUTED_VALUE"""),"(Diff)")</f>
        <v>(Diff)</v>
      </c>
      <c r="N1953" s="25"/>
      <c r="O1953" s="25"/>
      <c r="P1953" s="25"/>
      <c r="Q1953" s="29" t="s">
        <v>385</v>
      </c>
      <c r="R1953" s="8" t="str">
        <f aca="false">B1953&amp;" "&amp;C1953&amp;" "&amp;D1953&amp;" "&amp;E1953&amp;" "&amp;G1953&amp;" "&amp;H1953&amp;" "&amp;J1953&amp;" "&amp;N1953</f>
        <v>Differentials Precursor     CIF Spain (Diff) </v>
      </c>
      <c r="S1953" s="25"/>
      <c r="T1953" s="8"/>
      <c r="U1953" s="8"/>
      <c r="V1953" s="25"/>
      <c r="W1953" s="25"/>
      <c r="X1953" s="25"/>
      <c r="Y1953" s="25"/>
      <c r="Z1953" s="25"/>
      <c r="AA1953" s="25"/>
      <c r="AB1953" s="25"/>
      <c r="AC1953" s="25"/>
      <c r="AD1953" s="25"/>
    </row>
    <row r="1954" customFormat="false" ht="15.75" hidden="false" customHeight="false" outlineLevel="0" collapsed="false">
      <c r="A1954" s="28" t="s">
        <v>2361</v>
      </c>
      <c r="B1954" s="27" t="s">
        <v>438</v>
      </c>
      <c r="C1954" s="27" t="s">
        <v>417</v>
      </c>
      <c r="D1954" s="25"/>
      <c r="E1954" s="25"/>
      <c r="F1954" s="25"/>
      <c r="G1954" s="25"/>
      <c r="H1954" s="25"/>
      <c r="I1954" s="25"/>
      <c r="J1954" s="27" t="s">
        <v>2288</v>
      </c>
      <c r="K1954" s="25" t="str">
        <f aca="false">IFERROR(__xludf.dummyfunction("SPLIT(J1954,"" "")"),"CIF")</f>
        <v>CIF</v>
      </c>
      <c r="L1954" s="28" t="str">
        <f aca="false">IFERROR(__xludf.dummyfunction("""COMPUTED_VALUE"""),"Spain")</f>
        <v>Spain</v>
      </c>
      <c r="M1954" s="27" t="str">
        <f aca="false">IFERROR(__xludf.dummyfunction("""COMPUTED_VALUE"""),"(Diff)")</f>
        <v>(Diff)</v>
      </c>
      <c r="N1954" s="25"/>
      <c r="O1954" s="25"/>
      <c r="P1954" s="25"/>
      <c r="Q1954" s="29" t="s">
        <v>436</v>
      </c>
      <c r="R1954" s="8" t="str">
        <f aca="false">B1954&amp;" "&amp;C1954&amp;" "&amp;D1954&amp;" "&amp;E1954&amp;" "&amp;G1954&amp;" "&amp;H1954&amp;" "&amp;J1954&amp;" "&amp;N1954</f>
        <v>Differentials Solvent     CIF Spain (Diff) </v>
      </c>
      <c r="S1954" s="25"/>
      <c r="T1954" s="8"/>
      <c r="U1954" s="8"/>
      <c r="V1954" s="25"/>
      <c r="W1954" s="25"/>
      <c r="X1954" s="25"/>
      <c r="Y1954" s="25"/>
      <c r="Z1954" s="25"/>
      <c r="AA1954" s="25"/>
      <c r="AB1954" s="25"/>
      <c r="AC1954" s="25"/>
      <c r="AD1954" s="25"/>
    </row>
    <row r="1955" customFormat="false" ht="15.75" hidden="false" customHeight="false" outlineLevel="0" collapsed="false">
      <c r="A1955" s="28" t="s">
        <v>2362</v>
      </c>
      <c r="B1955" s="27" t="s">
        <v>438</v>
      </c>
      <c r="C1955" s="27" t="s">
        <v>417</v>
      </c>
      <c r="D1955" s="25"/>
      <c r="E1955" s="25"/>
      <c r="F1955" s="25"/>
      <c r="G1955" s="25"/>
      <c r="H1955" s="25"/>
      <c r="I1955" s="25"/>
      <c r="J1955" s="27" t="s">
        <v>2288</v>
      </c>
      <c r="K1955" s="25" t="str">
        <f aca="false">IFERROR(__xludf.dummyfunction("SPLIT(J1955,"" "")"),"CIF")</f>
        <v>CIF</v>
      </c>
      <c r="L1955" s="28" t="str">
        <f aca="false">IFERROR(__xludf.dummyfunction("""COMPUTED_VALUE"""),"Spain")</f>
        <v>Spain</v>
      </c>
      <c r="M1955" s="27" t="str">
        <f aca="false">IFERROR(__xludf.dummyfunction("""COMPUTED_VALUE"""),"(Diff)")</f>
        <v>(Diff)</v>
      </c>
      <c r="N1955" s="25"/>
      <c r="O1955" s="25"/>
      <c r="P1955" s="25"/>
      <c r="Q1955" s="29" t="s">
        <v>434</v>
      </c>
      <c r="R1955" s="8" t="str">
        <f aca="false">B1955&amp;" "&amp;C1955&amp;" "&amp;D1955&amp;" "&amp;E1955&amp;" "&amp;G1955&amp;" "&amp;H1955&amp;" "&amp;J1955&amp;" "&amp;N1955</f>
        <v>Differentials Solvent     CIF Spain (Diff) </v>
      </c>
      <c r="S1955" s="25"/>
      <c r="T1955" s="8"/>
      <c r="U1955" s="8"/>
      <c r="V1955" s="25"/>
      <c r="W1955" s="25"/>
      <c r="X1955" s="25"/>
      <c r="Y1955" s="25"/>
      <c r="Z1955" s="25"/>
      <c r="AA1955" s="25"/>
      <c r="AB1955" s="25"/>
      <c r="AC1955" s="25"/>
      <c r="AD1955" s="25"/>
    </row>
    <row r="1956" customFormat="false" ht="15.75" hidden="false" customHeight="false" outlineLevel="0" collapsed="false">
      <c r="A1956" s="28" t="s">
        <v>2363</v>
      </c>
      <c r="B1956" s="27" t="s">
        <v>438</v>
      </c>
      <c r="C1956" s="27" t="s">
        <v>417</v>
      </c>
      <c r="D1956" s="25"/>
      <c r="E1956" s="25"/>
      <c r="F1956" s="25"/>
      <c r="G1956" s="25"/>
      <c r="H1956" s="25"/>
      <c r="I1956" s="25"/>
      <c r="J1956" s="27" t="s">
        <v>2288</v>
      </c>
      <c r="K1956" s="25" t="str">
        <f aca="false">IFERROR(__xludf.dummyfunction("SPLIT(J1956,"" "")"),"CIF")</f>
        <v>CIF</v>
      </c>
      <c r="L1956" s="28" t="str">
        <f aca="false">IFERROR(__xludf.dummyfunction("""COMPUTED_VALUE"""),"Spain")</f>
        <v>Spain</v>
      </c>
      <c r="M1956" s="27" t="str">
        <f aca="false">IFERROR(__xludf.dummyfunction("""COMPUTED_VALUE"""),"(Diff)")</f>
        <v>(Diff)</v>
      </c>
      <c r="N1956" s="25"/>
      <c r="O1956" s="25"/>
      <c r="P1956" s="25"/>
      <c r="Q1956" s="29" t="s">
        <v>432</v>
      </c>
      <c r="R1956" s="8" t="str">
        <f aca="false">B1956&amp;" "&amp;C1956&amp;" "&amp;D1956&amp;" "&amp;E1956&amp;" "&amp;G1956&amp;" "&amp;H1956&amp;" "&amp;J1956&amp;" "&amp;N1956</f>
        <v>Differentials Solvent     CIF Spain (Diff) </v>
      </c>
      <c r="S1956" s="25"/>
      <c r="T1956" s="8"/>
      <c r="U1956" s="8"/>
      <c r="V1956" s="25"/>
      <c r="W1956" s="25"/>
      <c r="X1956" s="25"/>
      <c r="Y1956" s="25"/>
      <c r="Z1956" s="25"/>
      <c r="AA1956" s="25"/>
      <c r="AB1956" s="25"/>
      <c r="AC1956" s="25"/>
      <c r="AD1956" s="25"/>
    </row>
    <row r="1957" customFormat="false" ht="15.75" hidden="false" customHeight="false" outlineLevel="0" collapsed="false">
      <c r="A1957" s="28" t="s">
        <v>2364</v>
      </c>
      <c r="B1957" s="27" t="s">
        <v>438</v>
      </c>
      <c r="C1957" s="27" t="s">
        <v>417</v>
      </c>
      <c r="D1957" s="25"/>
      <c r="E1957" s="25"/>
      <c r="F1957" s="25"/>
      <c r="G1957" s="25"/>
      <c r="H1957" s="25"/>
      <c r="I1957" s="25"/>
      <c r="J1957" s="27" t="s">
        <v>2288</v>
      </c>
      <c r="K1957" s="25" t="str">
        <f aca="false">IFERROR(__xludf.dummyfunction("SPLIT(J1957,"" "")"),"CIF")</f>
        <v>CIF</v>
      </c>
      <c r="L1957" s="28" t="str">
        <f aca="false">IFERROR(__xludf.dummyfunction("""COMPUTED_VALUE"""),"Spain")</f>
        <v>Spain</v>
      </c>
      <c r="M1957" s="27" t="str">
        <f aca="false">IFERROR(__xludf.dummyfunction("""COMPUTED_VALUE"""),"(Diff)")</f>
        <v>(Diff)</v>
      </c>
      <c r="N1957" s="25"/>
      <c r="O1957" s="25"/>
      <c r="P1957" s="25"/>
      <c r="Q1957" s="29" t="s">
        <v>430</v>
      </c>
      <c r="R1957" s="8" t="str">
        <f aca="false">B1957&amp;" "&amp;C1957&amp;" "&amp;D1957&amp;" "&amp;E1957&amp;" "&amp;G1957&amp;" "&amp;H1957&amp;" "&amp;J1957&amp;" "&amp;N1957</f>
        <v>Differentials Solvent     CIF Spain (Diff) </v>
      </c>
      <c r="S1957" s="25"/>
      <c r="T1957" s="8"/>
      <c r="U1957" s="8"/>
      <c r="V1957" s="25"/>
      <c r="W1957" s="25"/>
      <c r="X1957" s="25"/>
      <c r="Y1957" s="25"/>
      <c r="Z1957" s="25"/>
      <c r="AA1957" s="25"/>
      <c r="AB1957" s="25"/>
      <c r="AC1957" s="25"/>
      <c r="AD1957" s="25"/>
    </row>
    <row r="1958" customFormat="false" ht="15.75" hidden="false" customHeight="false" outlineLevel="0" collapsed="false">
      <c r="A1958" s="28" t="s">
        <v>2365</v>
      </c>
      <c r="B1958" s="27" t="s">
        <v>438</v>
      </c>
      <c r="C1958" s="27" t="s">
        <v>417</v>
      </c>
      <c r="D1958" s="25"/>
      <c r="E1958" s="25"/>
      <c r="F1958" s="25"/>
      <c r="G1958" s="25"/>
      <c r="H1958" s="25"/>
      <c r="I1958" s="25"/>
      <c r="J1958" s="27" t="s">
        <v>2288</v>
      </c>
      <c r="K1958" s="25" t="str">
        <f aca="false">IFERROR(__xludf.dummyfunction("SPLIT(J1958,"" "")"),"CIF")</f>
        <v>CIF</v>
      </c>
      <c r="L1958" s="28" t="str">
        <f aca="false">IFERROR(__xludf.dummyfunction("""COMPUTED_VALUE"""),"Spain")</f>
        <v>Spain</v>
      </c>
      <c r="M1958" s="27" t="str">
        <f aca="false">IFERROR(__xludf.dummyfunction("""COMPUTED_VALUE"""),"(Diff)")</f>
        <v>(Diff)</v>
      </c>
      <c r="N1958" s="25"/>
      <c r="O1958" s="25"/>
      <c r="P1958" s="25"/>
      <c r="Q1958" s="29" t="s">
        <v>428</v>
      </c>
      <c r="R1958" s="8" t="str">
        <f aca="false">B1958&amp;" "&amp;C1958&amp;" "&amp;D1958&amp;" "&amp;E1958&amp;" "&amp;G1958&amp;" "&amp;H1958&amp;" "&amp;J1958&amp;" "&amp;N1958</f>
        <v>Differentials Solvent     CIF Spain (Diff) </v>
      </c>
      <c r="S1958" s="25"/>
      <c r="T1958" s="8"/>
      <c r="U1958" s="8"/>
      <c r="V1958" s="25"/>
      <c r="W1958" s="25"/>
      <c r="X1958" s="25"/>
      <c r="Y1958" s="25"/>
      <c r="Z1958" s="25"/>
      <c r="AA1958" s="25"/>
      <c r="AB1958" s="25"/>
      <c r="AC1958" s="25"/>
      <c r="AD1958" s="25"/>
    </row>
    <row r="1959" customFormat="false" ht="15.75" hidden="false" customHeight="false" outlineLevel="0" collapsed="false">
      <c r="A1959" s="28" t="s">
        <v>2366</v>
      </c>
      <c r="B1959" s="27" t="s">
        <v>438</v>
      </c>
      <c r="C1959" s="27" t="s">
        <v>417</v>
      </c>
      <c r="D1959" s="25"/>
      <c r="E1959" s="25"/>
      <c r="F1959" s="25"/>
      <c r="G1959" s="25"/>
      <c r="H1959" s="25"/>
      <c r="I1959" s="25"/>
      <c r="J1959" s="27" t="s">
        <v>2288</v>
      </c>
      <c r="K1959" s="25" t="str">
        <f aca="false">IFERROR(__xludf.dummyfunction("SPLIT(J1959,"" "")"),"CIF")</f>
        <v>CIF</v>
      </c>
      <c r="L1959" s="28" t="str">
        <f aca="false">IFERROR(__xludf.dummyfunction("""COMPUTED_VALUE"""),"Spain")</f>
        <v>Spain</v>
      </c>
      <c r="M1959" s="27" t="str">
        <f aca="false">IFERROR(__xludf.dummyfunction("""COMPUTED_VALUE"""),"(Diff)")</f>
        <v>(Diff)</v>
      </c>
      <c r="N1959" s="25"/>
      <c r="O1959" s="25"/>
      <c r="P1959" s="25"/>
      <c r="Q1959" s="29" t="s">
        <v>426</v>
      </c>
      <c r="R1959" s="8" t="str">
        <f aca="false">B1959&amp;" "&amp;C1959&amp;" "&amp;D1959&amp;" "&amp;E1959&amp;" "&amp;G1959&amp;" "&amp;H1959&amp;" "&amp;J1959&amp;" "&amp;N1959</f>
        <v>Differentials Solvent     CIF Spain (Diff) </v>
      </c>
      <c r="S1959" s="25"/>
      <c r="T1959" s="8"/>
      <c r="U1959" s="8"/>
      <c r="V1959" s="25"/>
      <c r="W1959" s="25"/>
      <c r="X1959" s="25"/>
      <c r="Y1959" s="25"/>
      <c r="Z1959" s="25"/>
      <c r="AA1959" s="25"/>
      <c r="AB1959" s="25"/>
      <c r="AC1959" s="25"/>
      <c r="AD1959" s="25"/>
    </row>
    <row r="1960" customFormat="false" ht="15.75" hidden="false" customHeight="false" outlineLevel="0" collapsed="false">
      <c r="A1960" s="28" t="s">
        <v>2367</v>
      </c>
      <c r="B1960" s="27" t="s">
        <v>438</v>
      </c>
      <c r="C1960" s="27" t="s">
        <v>417</v>
      </c>
      <c r="D1960" s="25"/>
      <c r="E1960" s="25"/>
      <c r="F1960" s="25"/>
      <c r="G1960" s="25"/>
      <c r="H1960" s="25"/>
      <c r="I1960" s="25"/>
      <c r="J1960" s="27" t="s">
        <v>2288</v>
      </c>
      <c r="K1960" s="25" t="str">
        <f aca="false">IFERROR(__xludf.dummyfunction("SPLIT(J1960,"" "")"),"CIF")</f>
        <v>CIF</v>
      </c>
      <c r="L1960" s="28" t="str">
        <f aca="false">IFERROR(__xludf.dummyfunction("""COMPUTED_VALUE"""),"Spain")</f>
        <v>Spain</v>
      </c>
      <c r="M1960" s="27" t="str">
        <f aca="false">IFERROR(__xludf.dummyfunction("""COMPUTED_VALUE"""),"(Diff)")</f>
        <v>(Diff)</v>
      </c>
      <c r="N1960" s="25"/>
      <c r="O1960" s="25"/>
      <c r="P1960" s="25"/>
      <c r="Q1960" s="29" t="s">
        <v>424</v>
      </c>
      <c r="R1960" s="8" t="str">
        <f aca="false">B1960&amp;" "&amp;C1960&amp;" "&amp;D1960&amp;" "&amp;E1960&amp;" "&amp;G1960&amp;" "&amp;H1960&amp;" "&amp;J1960&amp;" "&amp;N1960</f>
        <v>Differentials Solvent     CIF Spain (Diff) </v>
      </c>
      <c r="S1960" s="25"/>
      <c r="T1960" s="8"/>
      <c r="U1960" s="8"/>
      <c r="V1960" s="25"/>
      <c r="W1960" s="25"/>
      <c r="X1960" s="25"/>
      <c r="Y1960" s="25"/>
      <c r="Z1960" s="25"/>
      <c r="AA1960" s="25"/>
      <c r="AB1960" s="25"/>
      <c r="AC1960" s="25"/>
      <c r="AD1960" s="25"/>
    </row>
    <row r="1961" customFormat="false" ht="15.75" hidden="false" customHeight="false" outlineLevel="0" collapsed="false">
      <c r="A1961" s="28" t="s">
        <v>2368</v>
      </c>
      <c r="B1961" s="27" t="s">
        <v>438</v>
      </c>
      <c r="C1961" s="27" t="s">
        <v>417</v>
      </c>
      <c r="D1961" s="25"/>
      <c r="E1961" s="25"/>
      <c r="F1961" s="25"/>
      <c r="G1961" s="25"/>
      <c r="H1961" s="25"/>
      <c r="I1961" s="25"/>
      <c r="J1961" s="27" t="s">
        <v>2288</v>
      </c>
      <c r="K1961" s="25" t="str">
        <f aca="false">IFERROR(__xludf.dummyfunction("SPLIT(J1961,"" "")"),"CIF")</f>
        <v>CIF</v>
      </c>
      <c r="L1961" s="28" t="str">
        <f aca="false">IFERROR(__xludf.dummyfunction("""COMPUTED_VALUE"""),"Spain")</f>
        <v>Spain</v>
      </c>
      <c r="M1961" s="27" t="str">
        <f aca="false">IFERROR(__xludf.dummyfunction("""COMPUTED_VALUE"""),"(Diff)")</f>
        <v>(Diff)</v>
      </c>
      <c r="N1961" s="25"/>
      <c r="O1961" s="25"/>
      <c r="P1961" s="25"/>
      <c r="Q1961" s="29" t="s">
        <v>422</v>
      </c>
      <c r="R1961" s="8" t="str">
        <f aca="false">B1961&amp;" "&amp;C1961&amp;" "&amp;D1961&amp;" "&amp;E1961&amp;" "&amp;G1961&amp;" "&amp;H1961&amp;" "&amp;J1961&amp;" "&amp;N1961</f>
        <v>Differentials Solvent     CIF Spain (Diff) </v>
      </c>
      <c r="S1961" s="25"/>
      <c r="T1961" s="8"/>
      <c r="U1961" s="8"/>
      <c r="V1961" s="25"/>
      <c r="W1961" s="25"/>
      <c r="X1961" s="25"/>
      <c r="Y1961" s="25"/>
      <c r="Z1961" s="25"/>
      <c r="AA1961" s="25"/>
      <c r="AB1961" s="25"/>
      <c r="AC1961" s="25"/>
      <c r="AD1961" s="25"/>
    </row>
    <row r="1962" customFormat="false" ht="15.75" hidden="false" customHeight="false" outlineLevel="0" collapsed="false">
      <c r="A1962" s="28" t="s">
        <v>2369</v>
      </c>
      <c r="B1962" s="27" t="s">
        <v>438</v>
      </c>
      <c r="C1962" s="27" t="s">
        <v>417</v>
      </c>
      <c r="D1962" s="25"/>
      <c r="E1962" s="25"/>
      <c r="F1962" s="25"/>
      <c r="G1962" s="25"/>
      <c r="H1962" s="25"/>
      <c r="I1962" s="25"/>
      <c r="J1962" s="27" t="s">
        <v>2288</v>
      </c>
      <c r="K1962" s="25" t="str">
        <f aca="false">IFERROR(__xludf.dummyfunction("SPLIT(J1962,"" "")"),"CIF")</f>
        <v>CIF</v>
      </c>
      <c r="L1962" s="28" t="str">
        <f aca="false">IFERROR(__xludf.dummyfunction("""COMPUTED_VALUE"""),"Spain")</f>
        <v>Spain</v>
      </c>
      <c r="M1962" s="27" t="str">
        <f aca="false">IFERROR(__xludf.dummyfunction("""COMPUTED_VALUE"""),"(Diff)")</f>
        <v>(Diff)</v>
      </c>
      <c r="N1962" s="25"/>
      <c r="O1962" s="25"/>
      <c r="P1962" s="25"/>
      <c r="Q1962" s="29" t="s">
        <v>420</v>
      </c>
      <c r="R1962" s="8" t="str">
        <f aca="false">B1962&amp;" "&amp;C1962&amp;" "&amp;D1962&amp;" "&amp;E1962&amp;" "&amp;G1962&amp;" "&amp;H1962&amp;" "&amp;J1962&amp;" "&amp;N1962</f>
        <v>Differentials Solvent     CIF Spain (Diff) </v>
      </c>
      <c r="S1962" s="25"/>
      <c r="T1962" s="8"/>
      <c r="U1962" s="8"/>
      <c r="V1962" s="25"/>
      <c r="W1962" s="25"/>
      <c r="X1962" s="25"/>
      <c r="Y1962" s="25"/>
      <c r="Z1962" s="25"/>
      <c r="AA1962" s="25"/>
      <c r="AB1962" s="25"/>
      <c r="AC1962" s="25"/>
      <c r="AD1962" s="25"/>
    </row>
    <row r="1963" customFormat="false" ht="15.75" hidden="false" customHeight="false" outlineLevel="0" collapsed="false">
      <c r="A1963" s="28" t="s">
        <v>2370</v>
      </c>
      <c r="B1963" s="27" t="s">
        <v>438</v>
      </c>
      <c r="C1963" s="27" t="s">
        <v>417</v>
      </c>
      <c r="D1963" s="25"/>
      <c r="E1963" s="25"/>
      <c r="F1963" s="25"/>
      <c r="G1963" s="25"/>
      <c r="H1963" s="25"/>
      <c r="I1963" s="25"/>
      <c r="J1963" s="27" t="s">
        <v>2288</v>
      </c>
      <c r="K1963" s="25" t="str">
        <f aca="false">IFERROR(__xludf.dummyfunction("SPLIT(J1963,"" "")"),"CIF")</f>
        <v>CIF</v>
      </c>
      <c r="L1963" s="28" t="str">
        <f aca="false">IFERROR(__xludf.dummyfunction("""COMPUTED_VALUE"""),"Spain")</f>
        <v>Spain</v>
      </c>
      <c r="M1963" s="27" t="str">
        <f aca="false">IFERROR(__xludf.dummyfunction("""COMPUTED_VALUE"""),"(Diff)")</f>
        <v>(Diff)</v>
      </c>
      <c r="N1963" s="25"/>
      <c r="O1963" s="25"/>
      <c r="P1963" s="25"/>
      <c r="Q1963" s="29" t="s">
        <v>418</v>
      </c>
      <c r="R1963" s="8" t="str">
        <f aca="false">B1963&amp;" "&amp;C1963&amp;" "&amp;D1963&amp;" "&amp;E1963&amp;" "&amp;G1963&amp;" "&amp;H1963&amp;" "&amp;J1963&amp;" "&amp;N1963</f>
        <v>Differentials Solvent     CIF Spain (Diff) </v>
      </c>
      <c r="S1963" s="25"/>
      <c r="T1963" s="8"/>
      <c r="U1963" s="8"/>
      <c r="V1963" s="25"/>
      <c r="W1963" s="25"/>
      <c r="X1963" s="25"/>
      <c r="Y1963" s="25"/>
      <c r="Z1963" s="25"/>
      <c r="AA1963" s="25"/>
      <c r="AB1963" s="25"/>
      <c r="AC1963" s="25"/>
      <c r="AD1963" s="25"/>
    </row>
    <row r="1964" customFormat="false" ht="15.75" hidden="false" customHeight="false" outlineLevel="0" collapsed="false">
      <c r="A1964" s="28" t="s">
        <v>2371</v>
      </c>
      <c r="B1964" s="27" t="s">
        <v>438</v>
      </c>
      <c r="C1964" s="27" t="s">
        <v>168</v>
      </c>
      <c r="D1964" s="25"/>
      <c r="E1964" s="25"/>
      <c r="F1964" s="25"/>
      <c r="G1964" s="25"/>
      <c r="H1964" s="25"/>
      <c r="I1964" s="25"/>
      <c r="J1964" s="27" t="s">
        <v>2372</v>
      </c>
      <c r="K1964" s="25" t="str">
        <f aca="false">IFERROR(__xludf.dummyfunction("SPLIT(J1964,"" "")"),"CIF")</f>
        <v>CIF</v>
      </c>
      <c r="L1964" s="28" t="str">
        <f aca="false">IFERROR(__xludf.dummyfunction("""COMPUTED_VALUE"""),"Sweden")</f>
        <v>Sweden</v>
      </c>
      <c r="M1964" s="27" t="str">
        <f aca="false">IFERROR(__xludf.dummyfunction("""COMPUTED_VALUE"""),"(Diff)")</f>
        <v>(Diff)</v>
      </c>
      <c r="N1964" s="25"/>
      <c r="O1964" s="25"/>
      <c r="P1964" s="25"/>
      <c r="Q1964" s="29" t="s">
        <v>175</v>
      </c>
      <c r="R1964" s="8" t="str">
        <f aca="false">B1964&amp;" "&amp;C1964&amp;" "&amp;D1964&amp;" "&amp;E1964&amp;" "&amp;G1964&amp;" "&amp;H1964&amp;" "&amp;J1964&amp;" "&amp;N1964</f>
        <v>Differentials Aluminium (Battery Grade)     CIF Sweden (Diff) </v>
      </c>
      <c r="S1964" s="25"/>
      <c r="T1964" s="8"/>
      <c r="U1964" s="8"/>
      <c r="V1964" s="25"/>
      <c r="W1964" s="25"/>
      <c r="X1964" s="25"/>
      <c r="Y1964" s="25"/>
      <c r="Z1964" s="25"/>
      <c r="AA1964" s="25"/>
      <c r="AB1964" s="25"/>
      <c r="AC1964" s="25"/>
      <c r="AD1964" s="25"/>
    </row>
    <row r="1965" customFormat="false" ht="15.75" hidden="false" customHeight="false" outlineLevel="0" collapsed="false">
      <c r="A1965" s="28" t="s">
        <v>2373</v>
      </c>
      <c r="B1965" s="27" t="s">
        <v>438</v>
      </c>
      <c r="C1965" s="27" t="s">
        <v>168</v>
      </c>
      <c r="D1965" s="25"/>
      <c r="E1965" s="25"/>
      <c r="F1965" s="25"/>
      <c r="G1965" s="25"/>
      <c r="H1965" s="25"/>
      <c r="I1965" s="25"/>
      <c r="J1965" s="27" t="s">
        <v>2372</v>
      </c>
      <c r="K1965" s="25" t="str">
        <f aca="false">IFERROR(__xludf.dummyfunction("SPLIT(J1965,"" "")"),"CIF")</f>
        <v>CIF</v>
      </c>
      <c r="L1965" s="28" t="str">
        <f aca="false">IFERROR(__xludf.dummyfunction("""COMPUTED_VALUE"""),"Sweden")</f>
        <v>Sweden</v>
      </c>
      <c r="M1965" s="27" t="str">
        <f aca="false">IFERROR(__xludf.dummyfunction("""COMPUTED_VALUE"""),"(Diff)")</f>
        <v>(Diff)</v>
      </c>
      <c r="N1965" s="25"/>
      <c r="O1965" s="25"/>
      <c r="P1965" s="25"/>
      <c r="Q1965" s="29" t="s">
        <v>173</v>
      </c>
      <c r="R1965" s="8" t="str">
        <f aca="false">B1965&amp;" "&amp;C1965&amp;" "&amp;D1965&amp;" "&amp;E1965&amp;" "&amp;G1965&amp;" "&amp;H1965&amp;" "&amp;J1965&amp;" "&amp;N1965</f>
        <v>Differentials Aluminium (Battery Grade)     CIF Sweden (Diff) </v>
      </c>
      <c r="S1965" s="25"/>
      <c r="T1965" s="8"/>
      <c r="U1965" s="8"/>
      <c r="V1965" s="25"/>
      <c r="W1965" s="25"/>
      <c r="X1965" s="25"/>
      <c r="Y1965" s="25"/>
      <c r="Z1965" s="25"/>
      <c r="AA1965" s="25"/>
      <c r="AB1965" s="25"/>
      <c r="AC1965" s="25"/>
      <c r="AD1965" s="25"/>
    </row>
    <row r="1966" customFormat="false" ht="15.75" hidden="false" customHeight="false" outlineLevel="0" collapsed="false">
      <c r="A1966" s="28" t="s">
        <v>2374</v>
      </c>
      <c r="B1966" s="27" t="s">
        <v>438</v>
      </c>
      <c r="C1966" s="27" t="s">
        <v>168</v>
      </c>
      <c r="D1966" s="25"/>
      <c r="E1966" s="25"/>
      <c r="F1966" s="25"/>
      <c r="G1966" s="25"/>
      <c r="H1966" s="25"/>
      <c r="I1966" s="25"/>
      <c r="J1966" s="27" t="s">
        <v>2372</v>
      </c>
      <c r="K1966" s="25" t="str">
        <f aca="false">IFERROR(__xludf.dummyfunction("SPLIT(J1966,"" "")"),"CIF")</f>
        <v>CIF</v>
      </c>
      <c r="L1966" s="28" t="str">
        <f aca="false">IFERROR(__xludf.dummyfunction("""COMPUTED_VALUE"""),"Sweden")</f>
        <v>Sweden</v>
      </c>
      <c r="M1966" s="27" t="str">
        <f aca="false">IFERROR(__xludf.dummyfunction("""COMPUTED_VALUE"""),"(Diff)")</f>
        <v>(Diff)</v>
      </c>
      <c r="N1966" s="25"/>
      <c r="O1966" s="25"/>
      <c r="P1966" s="25"/>
      <c r="Q1966" s="29" t="s">
        <v>169</v>
      </c>
      <c r="R1966" s="8" t="str">
        <f aca="false">B1966&amp;" "&amp;C1966&amp;" "&amp;D1966&amp;" "&amp;E1966&amp;" "&amp;G1966&amp;" "&amp;H1966&amp;" "&amp;J1966&amp;" "&amp;N1966</f>
        <v>Differentials Aluminium (Battery Grade)     CIF Sweden (Diff) </v>
      </c>
      <c r="S1966" s="25"/>
      <c r="T1966" s="8"/>
      <c r="U1966" s="8"/>
      <c r="V1966" s="25"/>
      <c r="W1966" s="25"/>
      <c r="X1966" s="25"/>
      <c r="Y1966" s="25"/>
      <c r="Z1966" s="25"/>
      <c r="AA1966" s="25"/>
      <c r="AB1966" s="25"/>
      <c r="AC1966" s="25"/>
      <c r="AD1966" s="25"/>
    </row>
    <row r="1967" customFormat="false" ht="15.75" hidden="false" customHeight="false" outlineLevel="0" collapsed="false">
      <c r="A1967" s="28" t="s">
        <v>2375</v>
      </c>
      <c r="B1967" s="27" t="s">
        <v>438</v>
      </c>
      <c r="C1967" s="27" t="s">
        <v>177</v>
      </c>
      <c r="D1967" s="25"/>
      <c r="E1967" s="25"/>
      <c r="F1967" s="25"/>
      <c r="G1967" s="25"/>
      <c r="H1967" s="25"/>
      <c r="I1967" s="25"/>
      <c r="J1967" s="27" t="s">
        <v>2372</v>
      </c>
      <c r="K1967" s="25" t="str">
        <f aca="false">IFERROR(__xludf.dummyfunction("SPLIT(J1967,"" "")"),"CIF")</f>
        <v>CIF</v>
      </c>
      <c r="L1967" s="28" t="str">
        <f aca="false">IFERROR(__xludf.dummyfunction("""COMPUTED_VALUE"""),"Sweden")</f>
        <v>Sweden</v>
      </c>
      <c r="M1967" s="27" t="str">
        <f aca="false">IFERROR(__xludf.dummyfunction("""COMPUTED_VALUE"""),"(Diff)")</f>
        <v>(Diff)</v>
      </c>
      <c r="N1967" s="25"/>
      <c r="O1967" s="25"/>
      <c r="P1967" s="25"/>
      <c r="Q1967" s="29" t="s">
        <v>209</v>
      </c>
      <c r="R1967" s="8" t="str">
        <f aca="false">B1967&amp;" "&amp;C1967&amp;" "&amp;D1967&amp;" "&amp;E1967&amp;" "&amp;G1967&amp;" "&amp;H1967&amp;" "&amp;J1967&amp;" "&amp;N1967</f>
        <v>Differentials Anode     CIF Sweden (Diff) </v>
      </c>
      <c r="S1967" s="25"/>
      <c r="T1967" s="8"/>
      <c r="U1967" s="8"/>
      <c r="V1967" s="25"/>
      <c r="W1967" s="25"/>
      <c r="X1967" s="25"/>
      <c r="Y1967" s="25"/>
      <c r="Z1967" s="25"/>
      <c r="AA1967" s="25"/>
      <c r="AB1967" s="25"/>
      <c r="AC1967" s="25"/>
      <c r="AD1967" s="25"/>
    </row>
    <row r="1968" customFormat="false" ht="15.75" hidden="false" customHeight="false" outlineLevel="0" collapsed="false">
      <c r="A1968" s="28" t="s">
        <v>2376</v>
      </c>
      <c r="B1968" s="27" t="s">
        <v>438</v>
      </c>
      <c r="C1968" s="27" t="s">
        <v>177</v>
      </c>
      <c r="D1968" s="25"/>
      <c r="E1968" s="25"/>
      <c r="F1968" s="25"/>
      <c r="G1968" s="25"/>
      <c r="H1968" s="25"/>
      <c r="I1968" s="25"/>
      <c r="J1968" s="27" t="s">
        <v>2372</v>
      </c>
      <c r="K1968" s="25" t="str">
        <f aca="false">IFERROR(__xludf.dummyfunction("SPLIT(J1968,"" "")"),"CIF")</f>
        <v>CIF</v>
      </c>
      <c r="L1968" s="28" t="str">
        <f aca="false">IFERROR(__xludf.dummyfunction("""COMPUTED_VALUE"""),"Sweden")</f>
        <v>Sweden</v>
      </c>
      <c r="M1968" s="27" t="str">
        <f aca="false">IFERROR(__xludf.dummyfunction("""COMPUTED_VALUE"""),"(Diff)")</f>
        <v>(Diff)</v>
      </c>
      <c r="N1968" s="25"/>
      <c r="O1968" s="25"/>
      <c r="P1968" s="25"/>
      <c r="Q1968" s="29" t="s">
        <v>205</v>
      </c>
      <c r="R1968" s="8" t="str">
        <f aca="false">B1968&amp;" "&amp;C1968&amp;" "&amp;D1968&amp;" "&amp;E1968&amp;" "&amp;G1968&amp;" "&amp;H1968&amp;" "&amp;J1968&amp;" "&amp;N1968</f>
        <v>Differentials Anode     CIF Sweden (Diff) </v>
      </c>
      <c r="S1968" s="25"/>
      <c r="T1968" s="8"/>
      <c r="U1968" s="8"/>
      <c r="V1968" s="25"/>
      <c r="W1968" s="25"/>
      <c r="X1968" s="25"/>
      <c r="Y1968" s="25"/>
      <c r="Z1968" s="25"/>
      <c r="AA1968" s="25"/>
      <c r="AB1968" s="25"/>
      <c r="AC1968" s="25"/>
      <c r="AD1968" s="25"/>
    </row>
    <row r="1969" customFormat="false" ht="15.75" hidden="false" customHeight="false" outlineLevel="0" collapsed="false">
      <c r="A1969" s="28" t="s">
        <v>2377</v>
      </c>
      <c r="B1969" s="27" t="s">
        <v>438</v>
      </c>
      <c r="C1969" s="27" t="s">
        <v>177</v>
      </c>
      <c r="D1969" s="25"/>
      <c r="E1969" s="25"/>
      <c r="F1969" s="25"/>
      <c r="G1969" s="25"/>
      <c r="H1969" s="25"/>
      <c r="I1969" s="25"/>
      <c r="J1969" s="27" t="s">
        <v>2372</v>
      </c>
      <c r="K1969" s="25" t="str">
        <f aca="false">IFERROR(__xludf.dummyfunction("SPLIT(J1969,"" "")"),"CIF")</f>
        <v>CIF</v>
      </c>
      <c r="L1969" s="28" t="str">
        <f aca="false">IFERROR(__xludf.dummyfunction("""COMPUTED_VALUE"""),"Sweden")</f>
        <v>Sweden</v>
      </c>
      <c r="M1969" s="27" t="str">
        <f aca="false">IFERROR(__xludf.dummyfunction("""COMPUTED_VALUE"""),"(Diff)")</f>
        <v>(Diff)</v>
      </c>
      <c r="N1969" s="25"/>
      <c r="O1969" s="25"/>
      <c r="P1969" s="25"/>
      <c r="Q1969" s="29" t="s">
        <v>202</v>
      </c>
      <c r="R1969" s="8" t="str">
        <f aca="false">B1969&amp;" "&amp;C1969&amp;" "&amp;D1969&amp;" "&amp;E1969&amp;" "&amp;G1969&amp;" "&amp;H1969&amp;" "&amp;J1969&amp;" "&amp;N1969</f>
        <v>Differentials Anode     CIF Sweden (Diff) </v>
      </c>
      <c r="S1969" s="25"/>
      <c r="T1969" s="8"/>
      <c r="U1969" s="8"/>
      <c r="V1969" s="25"/>
      <c r="W1969" s="25"/>
      <c r="X1969" s="25"/>
      <c r="Y1969" s="25"/>
      <c r="Z1969" s="25"/>
      <c r="AA1969" s="25"/>
      <c r="AB1969" s="25"/>
      <c r="AC1969" s="25"/>
      <c r="AD1969" s="25"/>
    </row>
    <row r="1970" customFormat="false" ht="15.75" hidden="false" customHeight="false" outlineLevel="0" collapsed="false">
      <c r="A1970" s="28" t="s">
        <v>2378</v>
      </c>
      <c r="B1970" s="27" t="s">
        <v>438</v>
      </c>
      <c r="C1970" s="27" t="s">
        <v>177</v>
      </c>
      <c r="D1970" s="25"/>
      <c r="E1970" s="25"/>
      <c r="F1970" s="25"/>
      <c r="G1970" s="25"/>
      <c r="H1970" s="25"/>
      <c r="I1970" s="25"/>
      <c r="J1970" s="27" t="s">
        <v>2372</v>
      </c>
      <c r="K1970" s="25" t="str">
        <f aca="false">IFERROR(__xludf.dummyfunction("SPLIT(J1970,"" "")"),"CIF")</f>
        <v>CIF</v>
      </c>
      <c r="L1970" s="28" t="str">
        <f aca="false">IFERROR(__xludf.dummyfunction("""COMPUTED_VALUE"""),"Sweden")</f>
        <v>Sweden</v>
      </c>
      <c r="M1970" s="27" t="str">
        <f aca="false">IFERROR(__xludf.dummyfunction("""COMPUTED_VALUE"""),"(Diff)")</f>
        <v>(Diff)</v>
      </c>
      <c r="N1970" s="25"/>
      <c r="O1970" s="25"/>
      <c r="P1970" s="25"/>
      <c r="Q1970" s="29" t="s">
        <v>197</v>
      </c>
      <c r="R1970" s="8" t="str">
        <f aca="false">B1970&amp;" "&amp;C1970&amp;" "&amp;D1970&amp;" "&amp;E1970&amp;" "&amp;G1970&amp;" "&amp;H1970&amp;" "&amp;J1970&amp;" "&amp;N1970</f>
        <v>Differentials Anode     CIF Sweden (Diff) </v>
      </c>
      <c r="S1970" s="25"/>
      <c r="T1970" s="8"/>
      <c r="U1970" s="8"/>
      <c r="V1970" s="25"/>
      <c r="W1970" s="25"/>
      <c r="X1970" s="25"/>
      <c r="Y1970" s="25"/>
      <c r="Z1970" s="25"/>
      <c r="AA1970" s="25"/>
      <c r="AB1970" s="25"/>
      <c r="AC1970" s="25"/>
      <c r="AD1970" s="25"/>
    </row>
    <row r="1971" customFormat="false" ht="15.75" hidden="false" customHeight="false" outlineLevel="0" collapsed="false">
      <c r="A1971" s="28" t="s">
        <v>2379</v>
      </c>
      <c r="B1971" s="27" t="s">
        <v>438</v>
      </c>
      <c r="C1971" s="27" t="s">
        <v>177</v>
      </c>
      <c r="D1971" s="25"/>
      <c r="E1971" s="25"/>
      <c r="F1971" s="25"/>
      <c r="G1971" s="25"/>
      <c r="H1971" s="25"/>
      <c r="I1971" s="25"/>
      <c r="J1971" s="27" t="s">
        <v>2372</v>
      </c>
      <c r="K1971" s="25" t="str">
        <f aca="false">IFERROR(__xludf.dummyfunction("SPLIT(J1971,"" "")"),"CIF")</f>
        <v>CIF</v>
      </c>
      <c r="L1971" s="28" t="str">
        <f aca="false">IFERROR(__xludf.dummyfunction("""COMPUTED_VALUE"""),"Sweden")</f>
        <v>Sweden</v>
      </c>
      <c r="M1971" s="27" t="str">
        <f aca="false">IFERROR(__xludf.dummyfunction("""COMPUTED_VALUE"""),"(Diff)")</f>
        <v>(Diff)</v>
      </c>
      <c r="N1971" s="25"/>
      <c r="O1971" s="25"/>
      <c r="P1971" s="25"/>
      <c r="Q1971" s="29" t="s">
        <v>193</v>
      </c>
      <c r="R1971" s="8" t="str">
        <f aca="false">B1971&amp;" "&amp;C1971&amp;" "&amp;D1971&amp;" "&amp;E1971&amp;" "&amp;G1971&amp;" "&amp;H1971&amp;" "&amp;J1971&amp;" "&amp;N1971</f>
        <v>Differentials Anode     CIF Sweden (Diff) </v>
      </c>
      <c r="S1971" s="25"/>
      <c r="T1971" s="8"/>
      <c r="U1971" s="8"/>
      <c r="V1971" s="25"/>
      <c r="W1971" s="25"/>
      <c r="X1971" s="25"/>
      <c r="Y1971" s="25"/>
      <c r="Z1971" s="25"/>
      <c r="AA1971" s="25"/>
      <c r="AB1971" s="25"/>
      <c r="AC1971" s="25"/>
      <c r="AD1971" s="25"/>
    </row>
    <row r="1972" customFormat="false" ht="15.75" hidden="false" customHeight="false" outlineLevel="0" collapsed="false">
      <c r="A1972" s="28" t="s">
        <v>2380</v>
      </c>
      <c r="B1972" s="27" t="s">
        <v>438</v>
      </c>
      <c r="C1972" s="27" t="s">
        <v>177</v>
      </c>
      <c r="D1972" s="25"/>
      <c r="E1972" s="25"/>
      <c r="F1972" s="25"/>
      <c r="G1972" s="25"/>
      <c r="H1972" s="25"/>
      <c r="I1972" s="25"/>
      <c r="J1972" s="27" t="s">
        <v>2372</v>
      </c>
      <c r="K1972" s="25" t="str">
        <f aca="false">IFERROR(__xludf.dummyfunction("SPLIT(J1972,"" "")"),"CIF")</f>
        <v>CIF</v>
      </c>
      <c r="L1972" s="28" t="str">
        <f aca="false">IFERROR(__xludf.dummyfunction("""COMPUTED_VALUE"""),"Sweden")</f>
        <v>Sweden</v>
      </c>
      <c r="M1972" s="27" t="str">
        <f aca="false">IFERROR(__xludf.dummyfunction("""COMPUTED_VALUE"""),"(Diff)")</f>
        <v>(Diff)</v>
      </c>
      <c r="N1972" s="25"/>
      <c r="O1972" s="25"/>
      <c r="P1972" s="25"/>
      <c r="Q1972" s="29" t="s">
        <v>188</v>
      </c>
      <c r="R1972" s="8" t="str">
        <f aca="false">B1972&amp;" "&amp;C1972&amp;" "&amp;D1972&amp;" "&amp;E1972&amp;" "&amp;G1972&amp;" "&amp;H1972&amp;" "&amp;J1972&amp;" "&amp;N1972</f>
        <v>Differentials Anode     CIF Sweden (Diff) </v>
      </c>
      <c r="S1972" s="25"/>
      <c r="T1972" s="8"/>
      <c r="U1972" s="8"/>
      <c r="V1972" s="25"/>
      <c r="W1972" s="25"/>
      <c r="X1972" s="25"/>
      <c r="Y1972" s="25"/>
      <c r="Z1972" s="25"/>
      <c r="AA1972" s="25"/>
      <c r="AB1972" s="25"/>
      <c r="AC1972" s="25"/>
      <c r="AD1972" s="25"/>
    </row>
    <row r="1973" customFormat="false" ht="15.75" hidden="false" customHeight="false" outlineLevel="0" collapsed="false">
      <c r="A1973" s="28" t="s">
        <v>2381</v>
      </c>
      <c r="B1973" s="27" t="s">
        <v>438</v>
      </c>
      <c r="C1973" s="27" t="s">
        <v>177</v>
      </c>
      <c r="D1973" s="25"/>
      <c r="E1973" s="25"/>
      <c r="F1973" s="25"/>
      <c r="G1973" s="25"/>
      <c r="H1973" s="25"/>
      <c r="I1973" s="25"/>
      <c r="J1973" s="27" t="s">
        <v>2372</v>
      </c>
      <c r="K1973" s="25" t="str">
        <f aca="false">IFERROR(__xludf.dummyfunction("SPLIT(J1973,"" "")"),"CIF")</f>
        <v>CIF</v>
      </c>
      <c r="L1973" s="28" t="str">
        <f aca="false">IFERROR(__xludf.dummyfunction("""COMPUTED_VALUE"""),"Sweden")</f>
        <v>Sweden</v>
      </c>
      <c r="M1973" s="27" t="str">
        <f aca="false">IFERROR(__xludf.dummyfunction("""COMPUTED_VALUE"""),"(Diff)")</f>
        <v>(Diff)</v>
      </c>
      <c r="N1973" s="25"/>
      <c r="O1973" s="25"/>
      <c r="P1973" s="25"/>
      <c r="Q1973" s="29" t="s">
        <v>180</v>
      </c>
      <c r="R1973" s="8" t="str">
        <f aca="false">B1973&amp;" "&amp;C1973&amp;" "&amp;D1973&amp;" "&amp;E1973&amp;" "&amp;G1973&amp;" "&amp;H1973&amp;" "&amp;J1973&amp;" "&amp;N1973</f>
        <v>Differentials Anode     CIF Sweden (Diff) </v>
      </c>
      <c r="S1973" s="25"/>
      <c r="T1973" s="8"/>
      <c r="U1973" s="8"/>
      <c r="V1973" s="25"/>
      <c r="W1973" s="25"/>
      <c r="X1973" s="25"/>
      <c r="Y1973" s="25"/>
      <c r="Z1973" s="25"/>
      <c r="AA1973" s="25"/>
      <c r="AB1973" s="25"/>
      <c r="AC1973" s="25"/>
      <c r="AD1973" s="25"/>
    </row>
    <row r="1974" customFormat="false" ht="15.75" hidden="false" customHeight="false" outlineLevel="0" collapsed="false">
      <c r="A1974" s="28" t="s">
        <v>2382</v>
      </c>
      <c r="B1974" s="27" t="s">
        <v>438</v>
      </c>
      <c r="C1974" s="27" t="s">
        <v>211</v>
      </c>
      <c r="D1974" s="25"/>
      <c r="E1974" s="25"/>
      <c r="F1974" s="25"/>
      <c r="G1974" s="25"/>
      <c r="H1974" s="25"/>
      <c r="I1974" s="25"/>
      <c r="J1974" s="27" t="s">
        <v>2372</v>
      </c>
      <c r="K1974" s="25" t="str">
        <f aca="false">IFERROR(__xludf.dummyfunction("SPLIT(J1974,"" "")"),"CIF")</f>
        <v>CIF</v>
      </c>
      <c r="L1974" s="28" t="str">
        <f aca="false">IFERROR(__xludf.dummyfunction("""COMPUTED_VALUE"""),"Sweden")</f>
        <v>Sweden</v>
      </c>
      <c r="M1974" s="27" t="str">
        <f aca="false">IFERROR(__xludf.dummyfunction("""COMPUTED_VALUE"""),"(Diff)")</f>
        <v>(Diff)</v>
      </c>
      <c r="N1974" s="25"/>
      <c r="O1974" s="25"/>
      <c r="P1974" s="25"/>
      <c r="Q1974" s="29" t="s">
        <v>234</v>
      </c>
      <c r="R1974" s="8" t="str">
        <f aca="false">B1974&amp;" "&amp;C1974&amp;" "&amp;D1974&amp;" "&amp;E1974&amp;" "&amp;G1974&amp;" "&amp;H1974&amp;" "&amp;J1974&amp;" "&amp;N1974</f>
        <v>Differentials Binders &amp; Additives     CIF Sweden (Diff) </v>
      </c>
      <c r="S1974" s="25"/>
      <c r="T1974" s="8"/>
      <c r="U1974" s="8"/>
      <c r="V1974" s="25"/>
      <c r="W1974" s="25"/>
      <c r="X1974" s="25"/>
      <c r="Y1974" s="25"/>
      <c r="Z1974" s="25"/>
      <c r="AA1974" s="25"/>
      <c r="AB1974" s="25"/>
      <c r="AC1974" s="25"/>
      <c r="AD1974" s="25"/>
    </row>
    <row r="1975" customFormat="false" ht="15.75" hidden="false" customHeight="false" outlineLevel="0" collapsed="false">
      <c r="A1975" s="28" t="s">
        <v>2383</v>
      </c>
      <c r="B1975" s="27" t="s">
        <v>438</v>
      </c>
      <c r="C1975" s="27" t="s">
        <v>211</v>
      </c>
      <c r="D1975" s="25"/>
      <c r="E1975" s="25"/>
      <c r="F1975" s="25"/>
      <c r="G1975" s="25"/>
      <c r="H1975" s="25"/>
      <c r="I1975" s="25"/>
      <c r="J1975" s="27" t="s">
        <v>2372</v>
      </c>
      <c r="K1975" s="25" t="str">
        <f aca="false">IFERROR(__xludf.dummyfunction("SPLIT(J1975,"" "")"),"CIF")</f>
        <v>CIF</v>
      </c>
      <c r="L1975" s="28" t="str">
        <f aca="false">IFERROR(__xludf.dummyfunction("""COMPUTED_VALUE"""),"Sweden")</f>
        <v>Sweden</v>
      </c>
      <c r="M1975" s="27" t="str">
        <f aca="false">IFERROR(__xludf.dummyfunction("""COMPUTED_VALUE"""),"(Diff)")</f>
        <v>(Diff)</v>
      </c>
      <c r="N1975" s="25"/>
      <c r="O1975" s="25"/>
      <c r="P1975" s="25"/>
      <c r="Q1975" s="29" t="s">
        <v>232</v>
      </c>
      <c r="R1975" s="8" t="str">
        <f aca="false">B1975&amp;" "&amp;C1975&amp;" "&amp;D1975&amp;" "&amp;E1975&amp;" "&amp;G1975&amp;" "&amp;H1975&amp;" "&amp;J1975&amp;" "&amp;N1975</f>
        <v>Differentials Binders &amp; Additives     CIF Sweden (Diff) </v>
      </c>
      <c r="S1975" s="25"/>
      <c r="T1975" s="8"/>
      <c r="U1975" s="8"/>
      <c r="V1975" s="25"/>
      <c r="W1975" s="25"/>
      <c r="X1975" s="25"/>
      <c r="Y1975" s="25"/>
      <c r="Z1975" s="25"/>
      <c r="AA1975" s="25"/>
      <c r="AB1975" s="25"/>
      <c r="AC1975" s="25"/>
      <c r="AD1975" s="25"/>
    </row>
    <row r="1976" customFormat="false" ht="15.75" hidden="false" customHeight="false" outlineLevel="0" collapsed="false">
      <c r="A1976" s="28" t="s">
        <v>2384</v>
      </c>
      <c r="B1976" s="27" t="s">
        <v>438</v>
      </c>
      <c r="C1976" s="27" t="s">
        <v>211</v>
      </c>
      <c r="D1976" s="25"/>
      <c r="E1976" s="25"/>
      <c r="F1976" s="25"/>
      <c r="G1976" s="25"/>
      <c r="H1976" s="25"/>
      <c r="I1976" s="25"/>
      <c r="J1976" s="27" t="s">
        <v>2372</v>
      </c>
      <c r="K1976" s="25" t="str">
        <f aca="false">IFERROR(__xludf.dummyfunction("SPLIT(J1976,"" "")"),"CIF")</f>
        <v>CIF</v>
      </c>
      <c r="L1976" s="28" t="str">
        <f aca="false">IFERROR(__xludf.dummyfunction("""COMPUTED_VALUE"""),"Sweden")</f>
        <v>Sweden</v>
      </c>
      <c r="M1976" s="27" t="str">
        <f aca="false">IFERROR(__xludf.dummyfunction("""COMPUTED_VALUE"""),"(Diff)")</f>
        <v>(Diff)</v>
      </c>
      <c r="N1976" s="25"/>
      <c r="O1976" s="25"/>
      <c r="P1976" s="25"/>
      <c r="Q1976" s="29" t="s">
        <v>230</v>
      </c>
      <c r="R1976" s="8" t="str">
        <f aca="false">B1976&amp;" "&amp;C1976&amp;" "&amp;D1976&amp;" "&amp;E1976&amp;" "&amp;G1976&amp;" "&amp;H1976&amp;" "&amp;J1976&amp;" "&amp;N1976</f>
        <v>Differentials Binders &amp; Additives     CIF Sweden (Diff) </v>
      </c>
      <c r="S1976" s="25"/>
      <c r="T1976" s="8"/>
      <c r="U1976" s="8"/>
      <c r="V1976" s="25"/>
      <c r="W1976" s="25"/>
      <c r="X1976" s="25"/>
      <c r="Y1976" s="25"/>
      <c r="Z1976" s="25"/>
      <c r="AA1976" s="25"/>
      <c r="AB1976" s="25"/>
      <c r="AC1976" s="25"/>
      <c r="AD1976" s="25"/>
    </row>
    <row r="1977" customFormat="false" ht="15.75" hidden="false" customHeight="false" outlineLevel="0" collapsed="false">
      <c r="A1977" s="28" t="s">
        <v>2385</v>
      </c>
      <c r="B1977" s="27" t="s">
        <v>438</v>
      </c>
      <c r="C1977" s="27" t="s">
        <v>211</v>
      </c>
      <c r="D1977" s="25"/>
      <c r="E1977" s="25"/>
      <c r="F1977" s="25"/>
      <c r="G1977" s="25"/>
      <c r="H1977" s="25"/>
      <c r="I1977" s="25"/>
      <c r="J1977" s="27" t="s">
        <v>2372</v>
      </c>
      <c r="K1977" s="25" t="str">
        <f aca="false">IFERROR(__xludf.dummyfunction("SPLIT(J1977,"" "")"),"CIF")</f>
        <v>CIF</v>
      </c>
      <c r="L1977" s="28" t="str">
        <f aca="false">IFERROR(__xludf.dummyfunction("""COMPUTED_VALUE"""),"Sweden")</f>
        <v>Sweden</v>
      </c>
      <c r="M1977" s="27" t="str">
        <f aca="false">IFERROR(__xludf.dummyfunction("""COMPUTED_VALUE"""),"(Diff)")</f>
        <v>(Diff)</v>
      </c>
      <c r="N1977" s="25"/>
      <c r="O1977" s="25"/>
      <c r="P1977" s="25"/>
      <c r="Q1977" s="29" t="s">
        <v>228</v>
      </c>
      <c r="R1977" s="8" t="str">
        <f aca="false">B1977&amp;" "&amp;C1977&amp;" "&amp;D1977&amp;" "&amp;E1977&amp;" "&amp;G1977&amp;" "&amp;H1977&amp;" "&amp;J1977&amp;" "&amp;N1977</f>
        <v>Differentials Binders &amp; Additives     CIF Sweden (Diff) </v>
      </c>
      <c r="S1977" s="25"/>
      <c r="T1977" s="8"/>
      <c r="U1977" s="8"/>
      <c r="V1977" s="25"/>
      <c r="W1977" s="25"/>
      <c r="X1977" s="25"/>
      <c r="Y1977" s="25"/>
      <c r="Z1977" s="25"/>
      <c r="AA1977" s="25"/>
      <c r="AB1977" s="25"/>
      <c r="AC1977" s="25"/>
      <c r="AD1977" s="25"/>
    </row>
    <row r="1978" customFormat="false" ht="15.75" hidden="false" customHeight="false" outlineLevel="0" collapsed="false">
      <c r="A1978" s="28" t="s">
        <v>2386</v>
      </c>
      <c r="B1978" s="27" t="s">
        <v>438</v>
      </c>
      <c r="C1978" s="27" t="s">
        <v>211</v>
      </c>
      <c r="D1978" s="25"/>
      <c r="E1978" s="25"/>
      <c r="F1978" s="25"/>
      <c r="G1978" s="25"/>
      <c r="H1978" s="25"/>
      <c r="I1978" s="25"/>
      <c r="J1978" s="27" t="s">
        <v>2372</v>
      </c>
      <c r="K1978" s="25" t="str">
        <f aca="false">IFERROR(__xludf.dummyfunction("SPLIT(J1978,"" "")"),"CIF")</f>
        <v>CIF</v>
      </c>
      <c r="L1978" s="28" t="str">
        <f aca="false">IFERROR(__xludf.dummyfunction("""COMPUTED_VALUE"""),"Sweden")</f>
        <v>Sweden</v>
      </c>
      <c r="M1978" s="27" t="str">
        <f aca="false">IFERROR(__xludf.dummyfunction("""COMPUTED_VALUE"""),"(Diff)")</f>
        <v>(Diff)</v>
      </c>
      <c r="N1978" s="25"/>
      <c r="O1978" s="25"/>
      <c r="P1978" s="25"/>
      <c r="Q1978" s="29" t="s">
        <v>226</v>
      </c>
      <c r="R1978" s="8" t="str">
        <f aca="false">B1978&amp;" "&amp;C1978&amp;" "&amp;D1978&amp;" "&amp;E1978&amp;" "&amp;G1978&amp;" "&amp;H1978&amp;" "&amp;J1978&amp;" "&amp;N1978</f>
        <v>Differentials Binders &amp; Additives     CIF Sweden (Diff) </v>
      </c>
      <c r="S1978" s="25"/>
      <c r="T1978" s="8"/>
      <c r="U1978" s="8"/>
      <c r="V1978" s="25"/>
      <c r="W1978" s="25"/>
      <c r="X1978" s="25"/>
      <c r="Y1978" s="25"/>
      <c r="Z1978" s="25"/>
      <c r="AA1978" s="25"/>
      <c r="AB1978" s="25"/>
      <c r="AC1978" s="25"/>
      <c r="AD1978" s="25"/>
    </row>
    <row r="1979" customFormat="false" ht="15.75" hidden="false" customHeight="false" outlineLevel="0" collapsed="false">
      <c r="A1979" s="28" t="s">
        <v>2387</v>
      </c>
      <c r="B1979" s="27" t="s">
        <v>438</v>
      </c>
      <c r="C1979" s="27" t="s">
        <v>211</v>
      </c>
      <c r="D1979" s="25"/>
      <c r="E1979" s="25"/>
      <c r="F1979" s="25"/>
      <c r="G1979" s="25"/>
      <c r="H1979" s="25"/>
      <c r="I1979" s="25"/>
      <c r="J1979" s="27" t="s">
        <v>2372</v>
      </c>
      <c r="K1979" s="25" t="str">
        <f aca="false">IFERROR(__xludf.dummyfunction("SPLIT(J1979,"" "")"),"CIF")</f>
        <v>CIF</v>
      </c>
      <c r="L1979" s="28" t="str">
        <f aca="false">IFERROR(__xludf.dummyfunction("""COMPUTED_VALUE"""),"Sweden")</f>
        <v>Sweden</v>
      </c>
      <c r="M1979" s="27" t="str">
        <f aca="false">IFERROR(__xludf.dummyfunction("""COMPUTED_VALUE"""),"(Diff)")</f>
        <v>(Diff)</v>
      </c>
      <c r="N1979" s="25"/>
      <c r="O1979" s="25"/>
      <c r="P1979" s="25"/>
      <c r="Q1979" s="29" t="s">
        <v>224</v>
      </c>
      <c r="R1979" s="8" t="str">
        <f aca="false">B1979&amp;" "&amp;C1979&amp;" "&amp;D1979&amp;" "&amp;E1979&amp;" "&amp;G1979&amp;" "&amp;H1979&amp;" "&amp;J1979&amp;" "&amp;N1979</f>
        <v>Differentials Binders &amp; Additives     CIF Sweden (Diff) </v>
      </c>
      <c r="S1979" s="25"/>
      <c r="T1979" s="8"/>
      <c r="U1979" s="8"/>
      <c r="V1979" s="25"/>
      <c r="W1979" s="25"/>
      <c r="X1979" s="25"/>
      <c r="Y1979" s="25"/>
      <c r="Z1979" s="25"/>
      <c r="AA1979" s="25"/>
      <c r="AB1979" s="25"/>
      <c r="AC1979" s="25"/>
      <c r="AD1979" s="25"/>
    </row>
    <row r="1980" customFormat="false" ht="15.75" hidden="false" customHeight="false" outlineLevel="0" collapsed="false">
      <c r="A1980" s="28" t="s">
        <v>2388</v>
      </c>
      <c r="B1980" s="27" t="s">
        <v>438</v>
      </c>
      <c r="C1980" s="27" t="s">
        <v>211</v>
      </c>
      <c r="D1980" s="25"/>
      <c r="E1980" s="25"/>
      <c r="F1980" s="25"/>
      <c r="G1980" s="25"/>
      <c r="H1980" s="25"/>
      <c r="I1980" s="25"/>
      <c r="J1980" s="27" t="s">
        <v>2372</v>
      </c>
      <c r="K1980" s="25" t="str">
        <f aca="false">IFERROR(__xludf.dummyfunction("SPLIT(J1980,"" "")"),"CIF")</f>
        <v>CIF</v>
      </c>
      <c r="L1980" s="28" t="str">
        <f aca="false">IFERROR(__xludf.dummyfunction("""COMPUTED_VALUE"""),"Sweden")</f>
        <v>Sweden</v>
      </c>
      <c r="M1980" s="27" t="str">
        <f aca="false">IFERROR(__xludf.dummyfunction("""COMPUTED_VALUE"""),"(Diff)")</f>
        <v>(Diff)</v>
      </c>
      <c r="N1980" s="25"/>
      <c r="O1980" s="25"/>
      <c r="P1980" s="25"/>
      <c r="Q1980" s="29" t="s">
        <v>222</v>
      </c>
      <c r="R1980" s="8" t="str">
        <f aca="false">B1980&amp;" "&amp;C1980&amp;" "&amp;D1980&amp;" "&amp;E1980&amp;" "&amp;G1980&amp;" "&amp;H1980&amp;" "&amp;J1980&amp;" "&amp;N1980</f>
        <v>Differentials Binders &amp; Additives     CIF Sweden (Diff) </v>
      </c>
      <c r="S1980" s="25"/>
      <c r="T1980" s="8"/>
      <c r="U1980" s="8"/>
      <c r="V1980" s="25"/>
      <c r="W1980" s="25"/>
      <c r="X1980" s="25"/>
      <c r="Y1980" s="25"/>
      <c r="Z1980" s="25"/>
      <c r="AA1980" s="25"/>
      <c r="AB1980" s="25"/>
      <c r="AC1980" s="25"/>
      <c r="AD1980" s="25"/>
    </row>
    <row r="1981" customFormat="false" ht="15.75" hidden="false" customHeight="false" outlineLevel="0" collapsed="false">
      <c r="A1981" s="28" t="s">
        <v>2389</v>
      </c>
      <c r="B1981" s="27" t="s">
        <v>438</v>
      </c>
      <c r="C1981" s="27" t="s">
        <v>211</v>
      </c>
      <c r="D1981" s="25"/>
      <c r="E1981" s="25"/>
      <c r="F1981" s="25"/>
      <c r="G1981" s="25"/>
      <c r="H1981" s="25"/>
      <c r="I1981" s="25"/>
      <c r="J1981" s="27" t="s">
        <v>2372</v>
      </c>
      <c r="K1981" s="25" t="str">
        <f aca="false">IFERROR(__xludf.dummyfunction("SPLIT(J1981,"" "")"),"CIF")</f>
        <v>CIF</v>
      </c>
      <c r="L1981" s="28" t="str">
        <f aca="false">IFERROR(__xludf.dummyfunction("""COMPUTED_VALUE"""),"Sweden")</f>
        <v>Sweden</v>
      </c>
      <c r="M1981" s="27" t="str">
        <f aca="false">IFERROR(__xludf.dummyfunction("""COMPUTED_VALUE"""),"(Diff)")</f>
        <v>(Diff)</v>
      </c>
      <c r="N1981" s="25"/>
      <c r="O1981" s="25"/>
      <c r="P1981" s="25"/>
      <c r="Q1981" s="29" t="s">
        <v>220</v>
      </c>
      <c r="R1981" s="8" t="str">
        <f aca="false">B1981&amp;" "&amp;C1981&amp;" "&amp;D1981&amp;" "&amp;E1981&amp;" "&amp;G1981&amp;" "&amp;H1981&amp;" "&amp;J1981&amp;" "&amp;N1981</f>
        <v>Differentials Binders &amp; Additives     CIF Sweden (Diff) </v>
      </c>
      <c r="S1981" s="25"/>
      <c r="T1981" s="8"/>
      <c r="U1981" s="8"/>
      <c r="V1981" s="25"/>
      <c r="W1981" s="25"/>
      <c r="X1981" s="25"/>
      <c r="Y1981" s="25"/>
      <c r="Z1981" s="25"/>
      <c r="AA1981" s="25"/>
      <c r="AB1981" s="25"/>
      <c r="AC1981" s="25"/>
      <c r="AD1981" s="25"/>
    </row>
    <row r="1982" customFormat="false" ht="15.75" hidden="false" customHeight="false" outlineLevel="0" collapsed="false">
      <c r="A1982" s="28" t="s">
        <v>2390</v>
      </c>
      <c r="B1982" s="27" t="s">
        <v>438</v>
      </c>
      <c r="C1982" s="27" t="s">
        <v>211</v>
      </c>
      <c r="D1982" s="25"/>
      <c r="E1982" s="25"/>
      <c r="F1982" s="25"/>
      <c r="G1982" s="25"/>
      <c r="H1982" s="25"/>
      <c r="I1982" s="25"/>
      <c r="J1982" s="27" t="s">
        <v>2372</v>
      </c>
      <c r="K1982" s="25" t="str">
        <f aca="false">IFERROR(__xludf.dummyfunction("SPLIT(J1982,"" "")"),"CIF")</f>
        <v>CIF</v>
      </c>
      <c r="L1982" s="28" t="str">
        <f aca="false">IFERROR(__xludf.dummyfunction("""COMPUTED_VALUE"""),"Sweden")</f>
        <v>Sweden</v>
      </c>
      <c r="M1982" s="27" t="str">
        <f aca="false">IFERROR(__xludf.dummyfunction("""COMPUTED_VALUE"""),"(Diff)")</f>
        <v>(Diff)</v>
      </c>
      <c r="N1982" s="25"/>
      <c r="O1982" s="25"/>
      <c r="P1982" s="25"/>
      <c r="Q1982" s="29" t="s">
        <v>218</v>
      </c>
      <c r="R1982" s="8" t="str">
        <f aca="false">B1982&amp;" "&amp;C1982&amp;" "&amp;D1982&amp;" "&amp;E1982&amp;" "&amp;G1982&amp;" "&amp;H1982&amp;" "&amp;J1982&amp;" "&amp;N1982</f>
        <v>Differentials Binders &amp; Additives     CIF Sweden (Diff) </v>
      </c>
      <c r="S1982" s="25"/>
      <c r="T1982" s="8"/>
      <c r="U1982" s="8"/>
      <c r="V1982" s="25"/>
      <c r="W1982" s="25"/>
      <c r="X1982" s="25"/>
      <c r="Y1982" s="25"/>
      <c r="Z1982" s="25"/>
      <c r="AA1982" s="25"/>
      <c r="AB1982" s="25"/>
      <c r="AC1982" s="25"/>
      <c r="AD1982" s="25"/>
    </row>
    <row r="1983" customFormat="false" ht="15.75" hidden="false" customHeight="false" outlineLevel="0" collapsed="false">
      <c r="A1983" s="28" t="s">
        <v>2391</v>
      </c>
      <c r="B1983" s="27" t="s">
        <v>438</v>
      </c>
      <c r="C1983" s="27" t="s">
        <v>211</v>
      </c>
      <c r="D1983" s="25"/>
      <c r="E1983" s="25"/>
      <c r="F1983" s="25"/>
      <c r="G1983" s="25"/>
      <c r="H1983" s="25"/>
      <c r="I1983" s="25"/>
      <c r="J1983" s="27" t="s">
        <v>2372</v>
      </c>
      <c r="K1983" s="25" t="str">
        <f aca="false">IFERROR(__xludf.dummyfunction("SPLIT(J1983,"" "")"),"CIF")</f>
        <v>CIF</v>
      </c>
      <c r="L1983" s="28" t="str">
        <f aca="false">IFERROR(__xludf.dummyfunction("""COMPUTED_VALUE"""),"Sweden")</f>
        <v>Sweden</v>
      </c>
      <c r="M1983" s="27" t="str">
        <f aca="false">IFERROR(__xludf.dummyfunction("""COMPUTED_VALUE"""),"(Diff)")</f>
        <v>(Diff)</v>
      </c>
      <c r="N1983" s="25"/>
      <c r="O1983" s="25"/>
      <c r="P1983" s="25"/>
      <c r="Q1983" s="29" t="s">
        <v>215</v>
      </c>
      <c r="R1983" s="8" t="str">
        <f aca="false">B1983&amp;" "&amp;C1983&amp;" "&amp;D1983&amp;" "&amp;E1983&amp;" "&amp;G1983&amp;" "&amp;H1983&amp;" "&amp;J1983&amp;" "&amp;N1983</f>
        <v>Differentials Binders &amp; Additives     CIF Sweden (Diff) </v>
      </c>
      <c r="S1983" s="25"/>
      <c r="T1983" s="8"/>
      <c r="U1983" s="8"/>
      <c r="V1983" s="25"/>
      <c r="W1983" s="25"/>
      <c r="X1983" s="25"/>
      <c r="Y1983" s="25"/>
      <c r="Z1983" s="25"/>
      <c r="AA1983" s="25"/>
      <c r="AB1983" s="25"/>
      <c r="AC1983" s="25"/>
      <c r="AD1983" s="25"/>
    </row>
    <row r="1984" customFormat="false" ht="15.75" hidden="false" customHeight="false" outlineLevel="0" collapsed="false">
      <c r="A1984" s="28" t="s">
        <v>2392</v>
      </c>
      <c r="B1984" s="27" t="s">
        <v>438</v>
      </c>
      <c r="C1984" s="27" t="s">
        <v>211</v>
      </c>
      <c r="D1984" s="25"/>
      <c r="E1984" s="25"/>
      <c r="F1984" s="25"/>
      <c r="G1984" s="25"/>
      <c r="H1984" s="25"/>
      <c r="I1984" s="25"/>
      <c r="J1984" s="27" t="s">
        <v>2372</v>
      </c>
      <c r="K1984" s="25" t="str">
        <f aca="false">IFERROR(__xludf.dummyfunction("SPLIT(J1984,"" "")"),"CIF")</f>
        <v>CIF</v>
      </c>
      <c r="L1984" s="28" t="str">
        <f aca="false">IFERROR(__xludf.dummyfunction("""COMPUTED_VALUE"""),"Sweden")</f>
        <v>Sweden</v>
      </c>
      <c r="M1984" s="27" t="str">
        <f aca="false">IFERROR(__xludf.dummyfunction("""COMPUTED_VALUE"""),"(Diff)")</f>
        <v>(Diff)</v>
      </c>
      <c r="N1984" s="25"/>
      <c r="O1984" s="25"/>
      <c r="P1984" s="25"/>
      <c r="Q1984" s="29" t="s">
        <v>213</v>
      </c>
      <c r="R1984" s="8" t="str">
        <f aca="false">B1984&amp;" "&amp;C1984&amp;" "&amp;D1984&amp;" "&amp;E1984&amp;" "&amp;G1984&amp;" "&amp;H1984&amp;" "&amp;J1984&amp;" "&amp;N1984</f>
        <v>Differentials Binders &amp; Additives     CIF Sweden (Diff) </v>
      </c>
      <c r="S1984" s="25"/>
      <c r="T1984" s="8"/>
      <c r="U1984" s="8"/>
      <c r="V1984" s="25"/>
      <c r="W1984" s="25"/>
      <c r="X1984" s="25"/>
      <c r="Y1984" s="25"/>
      <c r="Z1984" s="25"/>
      <c r="AA1984" s="25"/>
      <c r="AB1984" s="25"/>
      <c r="AC1984" s="25"/>
      <c r="AD1984" s="25"/>
    </row>
    <row r="1985" customFormat="false" ht="15.75" hidden="false" customHeight="false" outlineLevel="0" collapsed="false">
      <c r="A1985" s="28" t="s">
        <v>2393</v>
      </c>
      <c r="B1985" s="27" t="s">
        <v>438</v>
      </c>
      <c r="C1985" s="27" t="s">
        <v>236</v>
      </c>
      <c r="D1985" s="25"/>
      <c r="E1985" s="25"/>
      <c r="F1985" s="25"/>
      <c r="G1985" s="25"/>
      <c r="H1985" s="25"/>
      <c r="I1985" s="25"/>
      <c r="J1985" s="27" t="s">
        <v>2372</v>
      </c>
      <c r="K1985" s="25" t="str">
        <f aca="false">IFERROR(__xludf.dummyfunction("SPLIT(J1985,"" "")"),"CIF")</f>
        <v>CIF</v>
      </c>
      <c r="L1985" s="28" t="str">
        <f aca="false">IFERROR(__xludf.dummyfunction("""COMPUTED_VALUE"""),"Sweden")</f>
        <v>Sweden</v>
      </c>
      <c r="M1985" s="27" t="str">
        <f aca="false">IFERROR(__xludf.dummyfunction("""COMPUTED_VALUE"""),"(Diff)")</f>
        <v>(Diff)</v>
      </c>
      <c r="N1985" s="25"/>
      <c r="O1985" s="25"/>
      <c r="P1985" s="25"/>
      <c r="Q1985" s="29" t="s">
        <v>271</v>
      </c>
      <c r="R1985" s="8" t="str">
        <f aca="false">B1985&amp;" "&amp;C1985&amp;" "&amp;D1985&amp;" "&amp;E1985&amp;" "&amp;G1985&amp;" "&amp;H1985&amp;" "&amp;J1985&amp;" "&amp;N1985</f>
        <v>Differentials Cathode     CIF Sweden (Diff) </v>
      </c>
      <c r="S1985" s="25"/>
      <c r="T1985" s="8"/>
      <c r="U1985" s="8"/>
      <c r="V1985" s="25"/>
      <c r="W1985" s="25"/>
      <c r="X1985" s="25"/>
      <c r="Y1985" s="25"/>
      <c r="Z1985" s="25"/>
      <c r="AA1985" s="25"/>
      <c r="AB1985" s="25"/>
      <c r="AC1985" s="25"/>
      <c r="AD1985" s="25"/>
    </row>
    <row r="1986" customFormat="false" ht="15.75" hidden="false" customHeight="false" outlineLevel="0" collapsed="false">
      <c r="A1986" s="28" t="s">
        <v>2394</v>
      </c>
      <c r="B1986" s="27" t="s">
        <v>438</v>
      </c>
      <c r="C1986" s="27" t="s">
        <v>236</v>
      </c>
      <c r="D1986" s="25"/>
      <c r="E1986" s="25"/>
      <c r="F1986" s="25"/>
      <c r="G1986" s="25"/>
      <c r="H1986" s="25"/>
      <c r="I1986" s="25"/>
      <c r="J1986" s="27" t="s">
        <v>2372</v>
      </c>
      <c r="K1986" s="25" t="str">
        <f aca="false">IFERROR(__xludf.dummyfunction("SPLIT(J1986,"" "")"),"CIF")</f>
        <v>CIF</v>
      </c>
      <c r="L1986" s="28" t="str">
        <f aca="false">IFERROR(__xludf.dummyfunction("""COMPUTED_VALUE"""),"Sweden")</f>
        <v>Sweden</v>
      </c>
      <c r="M1986" s="27" t="str">
        <f aca="false">IFERROR(__xludf.dummyfunction("""COMPUTED_VALUE"""),"(Diff)")</f>
        <v>(Diff)</v>
      </c>
      <c r="N1986" s="25"/>
      <c r="O1986" s="25"/>
      <c r="P1986" s="25"/>
      <c r="Q1986" s="29" t="s">
        <v>266</v>
      </c>
      <c r="R1986" s="8" t="str">
        <f aca="false">B1986&amp;" "&amp;C1986&amp;" "&amp;D1986&amp;" "&amp;E1986&amp;" "&amp;G1986&amp;" "&amp;H1986&amp;" "&amp;J1986&amp;" "&amp;N1986</f>
        <v>Differentials Cathode     CIF Sweden (Diff) </v>
      </c>
      <c r="S1986" s="25"/>
      <c r="T1986" s="8"/>
      <c r="U1986" s="8"/>
      <c r="V1986" s="25"/>
      <c r="W1986" s="25"/>
      <c r="X1986" s="25"/>
      <c r="Y1986" s="25"/>
      <c r="Z1986" s="25"/>
      <c r="AA1986" s="25"/>
      <c r="AB1986" s="25"/>
      <c r="AC1986" s="25"/>
      <c r="AD1986" s="25"/>
    </row>
    <row r="1987" customFormat="false" ht="15.75" hidden="false" customHeight="false" outlineLevel="0" collapsed="false">
      <c r="A1987" s="28" t="s">
        <v>2395</v>
      </c>
      <c r="B1987" s="27" t="s">
        <v>438</v>
      </c>
      <c r="C1987" s="27" t="s">
        <v>236</v>
      </c>
      <c r="D1987" s="25"/>
      <c r="E1987" s="25"/>
      <c r="F1987" s="25"/>
      <c r="G1987" s="25"/>
      <c r="H1987" s="25"/>
      <c r="I1987" s="25"/>
      <c r="J1987" s="27" t="s">
        <v>2372</v>
      </c>
      <c r="K1987" s="25" t="str">
        <f aca="false">IFERROR(__xludf.dummyfunction("SPLIT(J1987,"" "")"),"CIF")</f>
        <v>CIF</v>
      </c>
      <c r="L1987" s="28" t="str">
        <f aca="false">IFERROR(__xludf.dummyfunction("""COMPUTED_VALUE"""),"Sweden")</f>
        <v>Sweden</v>
      </c>
      <c r="M1987" s="27" t="str">
        <f aca="false">IFERROR(__xludf.dummyfunction("""COMPUTED_VALUE"""),"(Diff)")</f>
        <v>(Diff)</v>
      </c>
      <c r="N1987" s="25"/>
      <c r="O1987" s="25"/>
      <c r="P1987" s="25"/>
      <c r="Q1987" s="29" t="s">
        <v>261</v>
      </c>
      <c r="R1987" s="8" t="str">
        <f aca="false">B1987&amp;" "&amp;C1987&amp;" "&amp;D1987&amp;" "&amp;E1987&amp;" "&amp;G1987&amp;" "&amp;H1987&amp;" "&amp;J1987&amp;" "&amp;N1987</f>
        <v>Differentials Cathode     CIF Sweden (Diff) </v>
      </c>
      <c r="S1987" s="25"/>
      <c r="T1987" s="8"/>
      <c r="U1987" s="8"/>
      <c r="V1987" s="25"/>
      <c r="W1987" s="25"/>
      <c r="X1987" s="25"/>
      <c r="Y1987" s="25"/>
      <c r="Z1987" s="25"/>
      <c r="AA1987" s="25"/>
      <c r="AB1987" s="25"/>
      <c r="AC1987" s="25"/>
      <c r="AD1987" s="25"/>
    </row>
    <row r="1988" customFormat="false" ht="15.75" hidden="false" customHeight="false" outlineLevel="0" collapsed="false">
      <c r="A1988" s="28" t="s">
        <v>2396</v>
      </c>
      <c r="B1988" s="27" t="s">
        <v>438</v>
      </c>
      <c r="C1988" s="27" t="s">
        <v>236</v>
      </c>
      <c r="D1988" s="25"/>
      <c r="E1988" s="25"/>
      <c r="F1988" s="25"/>
      <c r="G1988" s="25"/>
      <c r="H1988" s="25"/>
      <c r="I1988" s="25"/>
      <c r="J1988" s="27" t="s">
        <v>2372</v>
      </c>
      <c r="K1988" s="25" t="str">
        <f aca="false">IFERROR(__xludf.dummyfunction("SPLIT(J1988,"" "")"),"CIF")</f>
        <v>CIF</v>
      </c>
      <c r="L1988" s="28" t="str">
        <f aca="false">IFERROR(__xludf.dummyfunction("""COMPUTED_VALUE"""),"Sweden")</f>
        <v>Sweden</v>
      </c>
      <c r="M1988" s="27" t="str">
        <f aca="false">IFERROR(__xludf.dummyfunction("""COMPUTED_VALUE"""),"(Diff)")</f>
        <v>(Diff)</v>
      </c>
      <c r="N1988" s="25"/>
      <c r="O1988" s="25"/>
      <c r="P1988" s="25"/>
      <c r="Q1988" s="29" t="s">
        <v>256</v>
      </c>
      <c r="R1988" s="8" t="str">
        <f aca="false">B1988&amp;" "&amp;C1988&amp;" "&amp;D1988&amp;" "&amp;E1988&amp;" "&amp;G1988&amp;" "&amp;H1988&amp;" "&amp;J1988&amp;" "&amp;N1988</f>
        <v>Differentials Cathode     CIF Sweden (Diff) </v>
      </c>
      <c r="S1988" s="25"/>
      <c r="T1988" s="8"/>
      <c r="U1988" s="8"/>
      <c r="V1988" s="25"/>
      <c r="W1988" s="25"/>
      <c r="X1988" s="25"/>
      <c r="Y1988" s="25"/>
      <c r="Z1988" s="25"/>
      <c r="AA1988" s="25"/>
      <c r="AB1988" s="25"/>
      <c r="AC1988" s="25"/>
      <c r="AD1988" s="25"/>
    </row>
    <row r="1989" customFormat="false" ht="15.75" hidden="false" customHeight="false" outlineLevel="0" collapsed="false">
      <c r="A1989" s="28" t="s">
        <v>2397</v>
      </c>
      <c r="B1989" s="27" t="s">
        <v>438</v>
      </c>
      <c r="C1989" s="27" t="s">
        <v>236</v>
      </c>
      <c r="D1989" s="25"/>
      <c r="E1989" s="25"/>
      <c r="F1989" s="25"/>
      <c r="G1989" s="25"/>
      <c r="H1989" s="25"/>
      <c r="I1989" s="25"/>
      <c r="J1989" s="27" t="s">
        <v>2372</v>
      </c>
      <c r="K1989" s="25" t="str">
        <f aca="false">IFERROR(__xludf.dummyfunction("SPLIT(J1989,"" "")"),"CIF")</f>
        <v>CIF</v>
      </c>
      <c r="L1989" s="28" t="str">
        <f aca="false">IFERROR(__xludf.dummyfunction("""COMPUTED_VALUE"""),"Sweden")</f>
        <v>Sweden</v>
      </c>
      <c r="M1989" s="27" t="str">
        <f aca="false">IFERROR(__xludf.dummyfunction("""COMPUTED_VALUE"""),"(Diff)")</f>
        <v>(Diff)</v>
      </c>
      <c r="N1989" s="25"/>
      <c r="O1989" s="25"/>
      <c r="P1989" s="25"/>
      <c r="Q1989" s="29" t="s">
        <v>251</v>
      </c>
      <c r="R1989" s="8" t="str">
        <f aca="false">B1989&amp;" "&amp;C1989&amp;" "&amp;D1989&amp;" "&amp;E1989&amp;" "&amp;G1989&amp;" "&amp;H1989&amp;" "&amp;J1989&amp;" "&amp;N1989</f>
        <v>Differentials Cathode     CIF Sweden (Diff) </v>
      </c>
      <c r="S1989" s="25"/>
      <c r="T1989" s="8"/>
      <c r="U1989" s="8"/>
      <c r="V1989" s="25"/>
      <c r="W1989" s="25"/>
      <c r="X1989" s="25"/>
      <c r="Y1989" s="25"/>
      <c r="Z1989" s="25"/>
      <c r="AA1989" s="25"/>
      <c r="AB1989" s="25"/>
      <c r="AC1989" s="25"/>
      <c r="AD1989" s="25"/>
    </row>
    <row r="1990" customFormat="false" ht="15.75" hidden="false" customHeight="false" outlineLevel="0" collapsed="false">
      <c r="A1990" s="28" t="s">
        <v>2398</v>
      </c>
      <c r="B1990" s="27" t="s">
        <v>438</v>
      </c>
      <c r="C1990" s="27" t="s">
        <v>236</v>
      </c>
      <c r="D1990" s="25"/>
      <c r="E1990" s="25"/>
      <c r="F1990" s="25"/>
      <c r="G1990" s="25"/>
      <c r="H1990" s="25"/>
      <c r="I1990" s="25"/>
      <c r="J1990" s="27" t="s">
        <v>2372</v>
      </c>
      <c r="K1990" s="25" t="str">
        <f aca="false">IFERROR(__xludf.dummyfunction("SPLIT(J1990,"" "")"),"CIF")</f>
        <v>CIF</v>
      </c>
      <c r="L1990" s="28" t="str">
        <f aca="false">IFERROR(__xludf.dummyfunction("""COMPUTED_VALUE"""),"Sweden")</f>
        <v>Sweden</v>
      </c>
      <c r="M1990" s="27" t="str">
        <f aca="false">IFERROR(__xludf.dummyfunction("""COMPUTED_VALUE"""),"(Diff)")</f>
        <v>(Diff)</v>
      </c>
      <c r="N1990" s="25"/>
      <c r="O1990" s="25"/>
      <c r="P1990" s="25"/>
      <c r="Q1990" s="29" t="s">
        <v>247</v>
      </c>
      <c r="R1990" s="8" t="str">
        <f aca="false">B1990&amp;" "&amp;C1990&amp;" "&amp;D1990&amp;" "&amp;E1990&amp;" "&amp;G1990&amp;" "&amp;H1990&amp;" "&amp;J1990&amp;" "&amp;N1990</f>
        <v>Differentials Cathode     CIF Sweden (Diff) </v>
      </c>
      <c r="S1990" s="25"/>
      <c r="T1990" s="8"/>
      <c r="U1990" s="8"/>
      <c r="V1990" s="25"/>
      <c r="W1990" s="25"/>
      <c r="X1990" s="25"/>
      <c r="Y1990" s="25"/>
      <c r="Z1990" s="25"/>
      <c r="AA1990" s="25"/>
      <c r="AB1990" s="25"/>
      <c r="AC1990" s="25"/>
      <c r="AD1990" s="25"/>
    </row>
    <row r="1991" customFormat="false" ht="15.75" hidden="false" customHeight="false" outlineLevel="0" collapsed="false">
      <c r="A1991" s="28" t="s">
        <v>2399</v>
      </c>
      <c r="B1991" s="27" t="s">
        <v>438</v>
      </c>
      <c r="C1991" s="27" t="s">
        <v>236</v>
      </c>
      <c r="D1991" s="25"/>
      <c r="E1991" s="25"/>
      <c r="F1991" s="25"/>
      <c r="G1991" s="25"/>
      <c r="H1991" s="25"/>
      <c r="I1991" s="25"/>
      <c r="J1991" s="27" t="s">
        <v>2372</v>
      </c>
      <c r="K1991" s="25" t="str">
        <f aca="false">IFERROR(__xludf.dummyfunction("SPLIT(J1991,"" "")"),"CIF")</f>
        <v>CIF</v>
      </c>
      <c r="L1991" s="28" t="str">
        <f aca="false">IFERROR(__xludf.dummyfunction("""COMPUTED_VALUE"""),"Sweden")</f>
        <v>Sweden</v>
      </c>
      <c r="M1991" s="27" t="str">
        <f aca="false">IFERROR(__xludf.dummyfunction("""COMPUTED_VALUE"""),"(Diff)")</f>
        <v>(Diff)</v>
      </c>
      <c r="N1991" s="25"/>
      <c r="O1991" s="25"/>
      <c r="P1991" s="25"/>
      <c r="Q1991" s="29" t="s">
        <v>243</v>
      </c>
      <c r="R1991" s="8" t="str">
        <f aca="false">B1991&amp;" "&amp;C1991&amp;" "&amp;D1991&amp;" "&amp;E1991&amp;" "&amp;G1991&amp;" "&amp;H1991&amp;" "&amp;J1991&amp;" "&amp;N1991</f>
        <v>Differentials Cathode     CIF Sweden (Diff) </v>
      </c>
      <c r="S1991" s="25"/>
      <c r="T1991" s="8"/>
      <c r="U1991" s="8"/>
      <c r="V1991" s="25"/>
      <c r="W1991" s="25"/>
      <c r="X1991" s="25"/>
      <c r="Y1991" s="25"/>
      <c r="Z1991" s="25"/>
      <c r="AA1991" s="25"/>
      <c r="AB1991" s="25"/>
      <c r="AC1991" s="25"/>
      <c r="AD1991" s="25"/>
    </row>
    <row r="1992" customFormat="false" ht="15.75" hidden="false" customHeight="false" outlineLevel="0" collapsed="false">
      <c r="A1992" s="28" t="s">
        <v>2400</v>
      </c>
      <c r="B1992" s="27" t="s">
        <v>438</v>
      </c>
      <c r="C1992" s="27" t="s">
        <v>236</v>
      </c>
      <c r="D1992" s="25"/>
      <c r="E1992" s="25"/>
      <c r="F1992" s="25"/>
      <c r="G1992" s="25"/>
      <c r="H1992" s="25"/>
      <c r="I1992" s="25"/>
      <c r="J1992" s="27" t="s">
        <v>2372</v>
      </c>
      <c r="K1992" s="25" t="str">
        <f aca="false">IFERROR(__xludf.dummyfunction("SPLIT(J1992,"" "")"),"CIF")</f>
        <v>CIF</v>
      </c>
      <c r="L1992" s="28" t="str">
        <f aca="false">IFERROR(__xludf.dummyfunction("""COMPUTED_VALUE"""),"Sweden")</f>
        <v>Sweden</v>
      </c>
      <c r="M1992" s="27" t="str">
        <f aca="false">IFERROR(__xludf.dummyfunction("""COMPUTED_VALUE"""),"(Diff)")</f>
        <v>(Diff)</v>
      </c>
      <c r="N1992" s="25"/>
      <c r="O1992" s="25"/>
      <c r="P1992" s="25"/>
      <c r="Q1992" s="29" t="s">
        <v>239</v>
      </c>
      <c r="R1992" s="8" t="str">
        <f aca="false">B1992&amp;" "&amp;C1992&amp;" "&amp;D1992&amp;" "&amp;E1992&amp;" "&amp;G1992&amp;" "&amp;H1992&amp;" "&amp;J1992&amp;" "&amp;N1992</f>
        <v>Differentials Cathode     CIF Sweden (Diff) </v>
      </c>
      <c r="S1992" s="25"/>
      <c r="T1992" s="8"/>
      <c r="U1992" s="8"/>
      <c r="V1992" s="25"/>
      <c r="W1992" s="25"/>
      <c r="X1992" s="25"/>
      <c r="Y1992" s="25"/>
      <c r="Z1992" s="25"/>
      <c r="AA1992" s="25"/>
      <c r="AB1992" s="25"/>
      <c r="AC1992" s="25"/>
      <c r="AD1992" s="25"/>
    </row>
    <row r="1993" customFormat="false" ht="15.75" hidden="false" customHeight="false" outlineLevel="0" collapsed="false">
      <c r="A1993" s="28" t="s">
        <v>2401</v>
      </c>
      <c r="B1993" s="27" t="s">
        <v>438</v>
      </c>
      <c r="C1993" s="27" t="s">
        <v>284</v>
      </c>
      <c r="D1993" s="25"/>
      <c r="E1993" s="25"/>
      <c r="F1993" s="25"/>
      <c r="G1993" s="25"/>
      <c r="H1993" s="25"/>
      <c r="I1993" s="25"/>
      <c r="J1993" s="27" t="s">
        <v>2372</v>
      </c>
      <c r="K1993" s="25" t="str">
        <f aca="false">IFERROR(__xludf.dummyfunction("SPLIT(J1993,"" "")"),"CIF")</f>
        <v>CIF</v>
      </c>
      <c r="L1993" s="28" t="str">
        <f aca="false">IFERROR(__xludf.dummyfunction("""COMPUTED_VALUE"""),"Sweden")</f>
        <v>Sweden</v>
      </c>
      <c r="M1993" s="27" t="str">
        <f aca="false">IFERROR(__xludf.dummyfunction("""COMPUTED_VALUE"""),"(Diff)")</f>
        <v>(Diff)</v>
      </c>
      <c r="N1993" s="25"/>
      <c r="O1993" s="25"/>
      <c r="P1993" s="25"/>
      <c r="Q1993" s="29" t="s">
        <v>287</v>
      </c>
      <c r="R1993" s="8" t="str">
        <f aca="false">B1993&amp;" "&amp;C1993&amp;" "&amp;D1993&amp;" "&amp;E1993&amp;" "&amp;G1993&amp;" "&amp;H1993&amp;" "&amp;J1993&amp;" "&amp;N1993</f>
        <v>Differentials Copper (Battery Grade)     CIF Sweden (Diff) </v>
      </c>
      <c r="S1993" s="25"/>
      <c r="T1993" s="8"/>
      <c r="U1993" s="8"/>
      <c r="V1993" s="25"/>
      <c r="W1993" s="25"/>
      <c r="X1993" s="25"/>
      <c r="Y1993" s="25"/>
      <c r="Z1993" s="25"/>
      <c r="AA1993" s="25"/>
      <c r="AB1993" s="25"/>
      <c r="AC1993" s="25"/>
      <c r="AD1993" s="25"/>
    </row>
    <row r="1994" customFormat="false" ht="15.75" hidden="false" customHeight="false" outlineLevel="0" collapsed="false">
      <c r="A1994" s="28" t="s">
        <v>2402</v>
      </c>
      <c r="B1994" s="27" t="s">
        <v>438</v>
      </c>
      <c r="C1994" s="27" t="s">
        <v>284</v>
      </c>
      <c r="D1994" s="25"/>
      <c r="E1994" s="25"/>
      <c r="F1994" s="25"/>
      <c r="G1994" s="25"/>
      <c r="H1994" s="25"/>
      <c r="I1994" s="25"/>
      <c r="J1994" s="27" t="s">
        <v>2372</v>
      </c>
      <c r="K1994" s="25" t="str">
        <f aca="false">IFERROR(__xludf.dummyfunction("SPLIT(J1994,"" "")"),"CIF")</f>
        <v>CIF</v>
      </c>
      <c r="L1994" s="28" t="str">
        <f aca="false">IFERROR(__xludf.dummyfunction("""COMPUTED_VALUE"""),"Sweden")</f>
        <v>Sweden</v>
      </c>
      <c r="M1994" s="27" t="str">
        <f aca="false">IFERROR(__xludf.dummyfunction("""COMPUTED_VALUE"""),"(Diff)")</f>
        <v>(Diff)</v>
      </c>
      <c r="N1994" s="25"/>
      <c r="O1994" s="25"/>
      <c r="P1994" s="25"/>
      <c r="Q1994" s="29" t="s">
        <v>285</v>
      </c>
      <c r="R1994" s="8" t="str">
        <f aca="false">B1994&amp;" "&amp;C1994&amp;" "&amp;D1994&amp;" "&amp;E1994&amp;" "&amp;G1994&amp;" "&amp;H1994&amp;" "&amp;J1994&amp;" "&amp;N1994</f>
        <v>Differentials Copper (Battery Grade)     CIF Sweden (Diff) </v>
      </c>
      <c r="S1994" s="25"/>
      <c r="T1994" s="8"/>
      <c r="U1994" s="8"/>
      <c r="V1994" s="25"/>
      <c r="W1994" s="25"/>
      <c r="X1994" s="25"/>
      <c r="Y1994" s="25"/>
      <c r="Z1994" s="25"/>
      <c r="AA1994" s="25"/>
      <c r="AB1994" s="25"/>
      <c r="AC1994" s="25"/>
      <c r="AD1994" s="25"/>
    </row>
    <row r="1995" customFormat="false" ht="15.75" hidden="false" customHeight="false" outlineLevel="0" collapsed="false">
      <c r="A1995" s="28" t="s">
        <v>2403</v>
      </c>
      <c r="B1995" s="27" t="s">
        <v>438</v>
      </c>
      <c r="C1995" s="27" t="s">
        <v>289</v>
      </c>
      <c r="D1995" s="25"/>
      <c r="E1995" s="25"/>
      <c r="F1995" s="25"/>
      <c r="G1995" s="25"/>
      <c r="H1995" s="25"/>
      <c r="I1995" s="25"/>
      <c r="J1995" s="27" t="s">
        <v>2372</v>
      </c>
      <c r="K1995" s="25" t="str">
        <f aca="false">IFERROR(__xludf.dummyfunction("SPLIT(J1995,"" "")"),"CIF")</f>
        <v>CIF</v>
      </c>
      <c r="L1995" s="28" t="str">
        <f aca="false">IFERROR(__xludf.dummyfunction("""COMPUTED_VALUE"""),"Sweden")</f>
        <v>Sweden</v>
      </c>
      <c r="M1995" s="27" t="str">
        <f aca="false">IFERROR(__xludf.dummyfunction("""COMPUTED_VALUE"""),"(Diff)")</f>
        <v>(Diff)</v>
      </c>
      <c r="N1995" s="25"/>
      <c r="O1995" s="25"/>
      <c r="P1995" s="25"/>
      <c r="Q1995" s="29" t="s">
        <v>306</v>
      </c>
      <c r="R1995" s="8" t="str">
        <f aca="false">B1995&amp;" "&amp;C1995&amp;" "&amp;D1995&amp;" "&amp;E1995&amp;" "&amp;G1995&amp;" "&amp;H1995&amp;" "&amp;J1995&amp;" "&amp;N1995</f>
        <v>Differentials Electrolyte     CIF Sweden (Diff) </v>
      </c>
      <c r="S1995" s="25"/>
      <c r="T1995" s="8"/>
      <c r="U1995" s="8"/>
      <c r="V1995" s="25"/>
      <c r="W1995" s="25"/>
      <c r="X1995" s="25"/>
      <c r="Y1995" s="25"/>
      <c r="Z1995" s="25"/>
      <c r="AA1995" s="25"/>
      <c r="AB1995" s="25"/>
      <c r="AC1995" s="25"/>
      <c r="AD1995" s="25"/>
    </row>
    <row r="1996" customFormat="false" ht="15.75" hidden="false" customHeight="false" outlineLevel="0" collapsed="false">
      <c r="A1996" s="28" t="s">
        <v>2404</v>
      </c>
      <c r="B1996" s="27" t="s">
        <v>438</v>
      </c>
      <c r="C1996" s="27" t="s">
        <v>289</v>
      </c>
      <c r="D1996" s="25"/>
      <c r="E1996" s="25"/>
      <c r="F1996" s="25"/>
      <c r="G1996" s="25"/>
      <c r="H1996" s="25"/>
      <c r="I1996" s="25"/>
      <c r="J1996" s="27" t="s">
        <v>2372</v>
      </c>
      <c r="K1996" s="25" t="str">
        <f aca="false">IFERROR(__xludf.dummyfunction("SPLIT(J1996,"" "")"),"CIF")</f>
        <v>CIF</v>
      </c>
      <c r="L1996" s="28" t="str">
        <f aca="false">IFERROR(__xludf.dummyfunction("""COMPUTED_VALUE"""),"Sweden")</f>
        <v>Sweden</v>
      </c>
      <c r="M1996" s="27" t="str">
        <f aca="false">IFERROR(__xludf.dummyfunction("""COMPUTED_VALUE"""),"(Diff)")</f>
        <v>(Diff)</v>
      </c>
      <c r="N1996" s="25"/>
      <c r="O1996" s="25"/>
      <c r="P1996" s="25"/>
      <c r="Q1996" s="29" t="s">
        <v>304</v>
      </c>
      <c r="R1996" s="8" t="str">
        <f aca="false">B1996&amp;" "&amp;C1996&amp;" "&amp;D1996&amp;" "&amp;E1996&amp;" "&amp;G1996&amp;" "&amp;H1996&amp;" "&amp;J1996&amp;" "&amp;N1996</f>
        <v>Differentials Electrolyte     CIF Sweden (Diff) </v>
      </c>
      <c r="S1996" s="25"/>
      <c r="T1996" s="8"/>
      <c r="U1996" s="8"/>
      <c r="V1996" s="25"/>
      <c r="W1996" s="25"/>
      <c r="X1996" s="25"/>
      <c r="Y1996" s="25"/>
      <c r="Z1996" s="25"/>
      <c r="AA1996" s="25"/>
      <c r="AB1996" s="25"/>
      <c r="AC1996" s="25"/>
      <c r="AD1996" s="25"/>
    </row>
    <row r="1997" customFormat="false" ht="15.75" hidden="false" customHeight="false" outlineLevel="0" collapsed="false">
      <c r="A1997" s="28" t="s">
        <v>2405</v>
      </c>
      <c r="B1997" s="27" t="s">
        <v>438</v>
      </c>
      <c r="C1997" s="27" t="s">
        <v>289</v>
      </c>
      <c r="D1997" s="25"/>
      <c r="E1997" s="25"/>
      <c r="F1997" s="25"/>
      <c r="G1997" s="25"/>
      <c r="H1997" s="25"/>
      <c r="I1997" s="25"/>
      <c r="J1997" s="27" t="s">
        <v>2372</v>
      </c>
      <c r="K1997" s="25" t="str">
        <f aca="false">IFERROR(__xludf.dummyfunction("SPLIT(J1997,"" "")"),"CIF")</f>
        <v>CIF</v>
      </c>
      <c r="L1997" s="28" t="str">
        <f aca="false">IFERROR(__xludf.dummyfunction("""COMPUTED_VALUE"""),"Sweden")</f>
        <v>Sweden</v>
      </c>
      <c r="M1997" s="27" t="str">
        <f aca="false">IFERROR(__xludf.dummyfunction("""COMPUTED_VALUE"""),"(Diff)")</f>
        <v>(Diff)</v>
      </c>
      <c r="N1997" s="25"/>
      <c r="O1997" s="25"/>
      <c r="P1997" s="25"/>
      <c r="Q1997" s="29" t="s">
        <v>302</v>
      </c>
      <c r="R1997" s="8" t="str">
        <f aca="false">B1997&amp;" "&amp;C1997&amp;" "&amp;D1997&amp;" "&amp;E1997&amp;" "&amp;G1997&amp;" "&amp;H1997&amp;" "&amp;J1997&amp;" "&amp;N1997</f>
        <v>Differentials Electrolyte     CIF Sweden (Diff) </v>
      </c>
      <c r="S1997" s="25"/>
      <c r="T1997" s="8"/>
      <c r="U1997" s="8"/>
      <c r="V1997" s="25"/>
      <c r="W1997" s="25"/>
      <c r="X1997" s="25"/>
      <c r="Y1997" s="25"/>
      <c r="Z1997" s="25"/>
      <c r="AA1997" s="25"/>
      <c r="AB1997" s="25"/>
      <c r="AC1997" s="25"/>
      <c r="AD1997" s="25"/>
    </row>
    <row r="1998" customFormat="false" ht="15.75" hidden="false" customHeight="false" outlineLevel="0" collapsed="false">
      <c r="A1998" s="28" t="s">
        <v>2406</v>
      </c>
      <c r="B1998" s="27" t="s">
        <v>438</v>
      </c>
      <c r="C1998" s="27" t="s">
        <v>289</v>
      </c>
      <c r="D1998" s="25"/>
      <c r="E1998" s="25"/>
      <c r="F1998" s="25"/>
      <c r="G1998" s="25"/>
      <c r="H1998" s="25"/>
      <c r="I1998" s="25"/>
      <c r="J1998" s="27" t="s">
        <v>2372</v>
      </c>
      <c r="K1998" s="25" t="str">
        <f aca="false">IFERROR(__xludf.dummyfunction("SPLIT(J1998,"" "")"),"CIF")</f>
        <v>CIF</v>
      </c>
      <c r="L1998" s="28" t="str">
        <f aca="false">IFERROR(__xludf.dummyfunction("""COMPUTED_VALUE"""),"Sweden")</f>
        <v>Sweden</v>
      </c>
      <c r="M1998" s="27" t="str">
        <f aca="false">IFERROR(__xludf.dummyfunction("""COMPUTED_VALUE"""),"(Diff)")</f>
        <v>(Diff)</v>
      </c>
      <c r="N1998" s="25"/>
      <c r="O1998" s="25"/>
      <c r="P1998" s="25"/>
      <c r="Q1998" s="29" t="s">
        <v>300</v>
      </c>
      <c r="R1998" s="8" t="str">
        <f aca="false">B1998&amp;" "&amp;C1998&amp;" "&amp;D1998&amp;" "&amp;E1998&amp;" "&amp;G1998&amp;" "&amp;H1998&amp;" "&amp;J1998&amp;" "&amp;N1998</f>
        <v>Differentials Electrolyte     CIF Sweden (Diff) </v>
      </c>
      <c r="S1998" s="25"/>
      <c r="T1998" s="8"/>
      <c r="U1998" s="8"/>
      <c r="V1998" s="25"/>
      <c r="W1998" s="25"/>
      <c r="X1998" s="25"/>
      <c r="Y1998" s="25"/>
      <c r="Z1998" s="25"/>
      <c r="AA1998" s="25"/>
      <c r="AB1998" s="25"/>
      <c r="AC1998" s="25"/>
      <c r="AD1998" s="25"/>
    </row>
    <row r="1999" customFormat="false" ht="15.75" hidden="false" customHeight="false" outlineLevel="0" collapsed="false">
      <c r="A1999" s="28" t="s">
        <v>2407</v>
      </c>
      <c r="B1999" s="27" t="s">
        <v>438</v>
      </c>
      <c r="C1999" s="27" t="s">
        <v>289</v>
      </c>
      <c r="D1999" s="25"/>
      <c r="E1999" s="25"/>
      <c r="F1999" s="25"/>
      <c r="G1999" s="25"/>
      <c r="H1999" s="25"/>
      <c r="I1999" s="25"/>
      <c r="J1999" s="27" t="s">
        <v>2372</v>
      </c>
      <c r="K1999" s="25" t="str">
        <f aca="false">IFERROR(__xludf.dummyfunction("SPLIT(J1999,"" "")"),"CIF")</f>
        <v>CIF</v>
      </c>
      <c r="L1999" s="28" t="str">
        <f aca="false">IFERROR(__xludf.dummyfunction("""COMPUTED_VALUE"""),"Sweden")</f>
        <v>Sweden</v>
      </c>
      <c r="M1999" s="27" t="str">
        <f aca="false">IFERROR(__xludf.dummyfunction("""COMPUTED_VALUE"""),"(Diff)")</f>
        <v>(Diff)</v>
      </c>
      <c r="N1999" s="25"/>
      <c r="O1999" s="25"/>
      <c r="P1999" s="25"/>
      <c r="Q1999" s="29" t="s">
        <v>298</v>
      </c>
      <c r="R1999" s="8" t="str">
        <f aca="false">B1999&amp;" "&amp;C1999&amp;" "&amp;D1999&amp;" "&amp;E1999&amp;" "&amp;G1999&amp;" "&amp;H1999&amp;" "&amp;J1999&amp;" "&amp;N1999</f>
        <v>Differentials Electrolyte     CIF Sweden (Diff) </v>
      </c>
      <c r="S1999" s="25"/>
      <c r="T1999" s="8"/>
      <c r="U1999" s="8"/>
      <c r="V1999" s="25"/>
      <c r="W1999" s="25"/>
      <c r="X1999" s="25"/>
      <c r="Y1999" s="25"/>
      <c r="Z1999" s="25"/>
      <c r="AA1999" s="25"/>
      <c r="AB1999" s="25"/>
      <c r="AC1999" s="25"/>
      <c r="AD1999" s="25"/>
    </row>
    <row r="2000" customFormat="false" ht="15.75" hidden="false" customHeight="false" outlineLevel="0" collapsed="false">
      <c r="A2000" s="28" t="s">
        <v>2408</v>
      </c>
      <c r="B2000" s="27" t="s">
        <v>438</v>
      </c>
      <c r="C2000" s="27" t="s">
        <v>289</v>
      </c>
      <c r="D2000" s="25"/>
      <c r="E2000" s="25"/>
      <c r="F2000" s="25"/>
      <c r="G2000" s="25"/>
      <c r="H2000" s="25"/>
      <c r="I2000" s="25"/>
      <c r="J2000" s="27" t="s">
        <v>2372</v>
      </c>
      <c r="K2000" s="25" t="str">
        <f aca="false">IFERROR(__xludf.dummyfunction("SPLIT(J2000,"" "")"),"CIF")</f>
        <v>CIF</v>
      </c>
      <c r="L2000" s="28" t="str">
        <f aca="false">IFERROR(__xludf.dummyfunction("""COMPUTED_VALUE"""),"Sweden")</f>
        <v>Sweden</v>
      </c>
      <c r="M2000" s="27" t="str">
        <f aca="false">IFERROR(__xludf.dummyfunction("""COMPUTED_VALUE"""),"(Diff)")</f>
        <v>(Diff)</v>
      </c>
      <c r="N2000" s="25"/>
      <c r="O2000" s="25"/>
      <c r="P2000" s="25"/>
      <c r="Q2000" s="29" t="s">
        <v>296</v>
      </c>
      <c r="R2000" s="8" t="str">
        <f aca="false">B2000&amp;" "&amp;C2000&amp;" "&amp;D2000&amp;" "&amp;E2000&amp;" "&amp;G2000&amp;" "&amp;H2000&amp;" "&amp;J2000&amp;" "&amp;N2000</f>
        <v>Differentials Electrolyte     CIF Sweden (Diff) </v>
      </c>
      <c r="S2000" s="25"/>
      <c r="T2000" s="8"/>
      <c r="U2000" s="8"/>
      <c r="V2000" s="25"/>
      <c r="W2000" s="25"/>
      <c r="X2000" s="25"/>
      <c r="Y2000" s="25"/>
      <c r="Z2000" s="25"/>
      <c r="AA2000" s="25"/>
      <c r="AB2000" s="25"/>
      <c r="AC2000" s="25"/>
      <c r="AD2000" s="25"/>
    </row>
    <row r="2001" customFormat="false" ht="15.75" hidden="false" customHeight="false" outlineLevel="0" collapsed="false">
      <c r="A2001" s="28" t="s">
        <v>2409</v>
      </c>
      <c r="B2001" s="27" t="s">
        <v>438</v>
      </c>
      <c r="C2001" s="27" t="s">
        <v>289</v>
      </c>
      <c r="D2001" s="25"/>
      <c r="E2001" s="25"/>
      <c r="F2001" s="25"/>
      <c r="G2001" s="25"/>
      <c r="H2001" s="25"/>
      <c r="I2001" s="25"/>
      <c r="J2001" s="27" t="s">
        <v>2372</v>
      </c>
      <c r="K2001" s="25" t="str">
        <f aca="false">IFERROR(__xludf.dummyfunction("SPLIT(J2001,"" "")"),"CIF")</f>
        <v>CIF</v>
      </c>
      <c r="L2001" s="28" t="str">
        <f aca="false">IFERROR(__xludf.dummyfunction("""COMPUTED_VALUE"""),"Sweden")</f>
        <v>Sweden</v>
      </c>
      <c r="M2001" s="27" t="str">
        <f aca="false">IFERROR(__xludf.dummyfunction("""COMPUTED_VALUE"""),"(Diff)")</f>
        <v>(Diff)</v>
      </c>
      <c r="N2001" s="25"/>
      <c r="O2001" s="25"/>
      <c r="P2001" s="25"/>
      <c r="Q2001" s="29" t="s">
        <v>294</v>
      </c>
      <c r="R2001" s="8" t="str">
        <f aca="false">B2001&amp;" "&amp;C2001&amp;" "&amp;D2001&amp;" "&amp;E2001&amp;" "&amp;G2001&amp;" "&amp;H2001&amp;" "&amp;J2001&amp;" "&amp;N2001</f>
        <v>Differentials Electrolyte     CIF Sweden (Diff) </v>
      </c>
      <c r="S2001" s="25"/>
      <c r="T2001" s="8"/>
      <c r="U2001" s="8"/>
      <c r="V2001" s="25"/>
      <c r="W2001" s="25"/>
      <c r="X2001" s="25"/>
      <c r="Y2001" s="25"/>
      <c r="Z2001" s="25"/>
      <c r="AA2001" s="25"/>
      <c r="AB2001" s="25"/>
      <c r="AC2001" s="25"/>
      <c r="AD2001" s="25"/>
    </row>
    <row r="2002" customFormat="false" ht="15.75" hidden="false" customHeight="false" outlineLevel="0" collapsed="false">
      <c r="A2002" s="28" t="s">
        <v>2410</v>
      </c>
      <c r="B2002" s="27" t="s">
        <v>438</v>
      </c>
      <c r="C2002" s="27" t="s">
        <v>289</v>
      </c>
      <c r="D2002" s="25"/>
      <c r="E2002" s="25"/>
      <c r="F2002" s="25"/>
      <c r="G2002" s="25"/>
      <c r="H2002" s="25"/>
      <c r="I2002" s="25"/>
      <c r="J2002" s="27" t="s">
        <v>2372</v>
      </c>
      <c r="K2002" s="25" t="str">
        <f aca="false">IFERROR(__xludf.dummyfunction("SPLIT(J2002,"" "")"),"CIF")</f>
        <v>CIF</v>
      </c>
      <c r="L2002" s="28" t="str">
        <f aca="false">IFERROR(__xludf.dummyfunction("""COMPUTED_VALUE"""),"Sweden")</f>
        <v>Sweden</v>
      </c>
      <c r="M2002" s="27" t="str">
        <f aca="false">IFERROR(__xludf.dummyfunction("""COMPUTED_VALUE"""),"(Diff)")</f>
        <v>(Diff)</v>
      </c>
      <c r="N2002" s="25"/>
      <c r="O2002" s="25"/>
      <c r="P2002" s="25"/>
      <c r="Q2002" s="29" t="s">
        <v>291</v>
      </c>
      <c r="R2002" s="8" t="str">
        <f aca="false">B2002&amp;" "&amp;C2002&amp;" "&amp;D2002&amp;" "&amp;E2002&amp;" "&amp;G2002&amp;" "&amp;H2002&amp;" "&amp;J2002&amp;" "&amp;N2002</f>
        <v>Differentials Electrolyte     CIF Sweden (Diff) </v>
      </c>
      <c r="S2002" s="25"/>
      <c r="T2002" s="8"/>
      <c r="U2002" s="8"/>
      <c r="V2002" s="25"/>
      <c r="W2002" s="25"/>
      <c r="X2002" s="25"/>
      <c r="Y2002" s="25"/>
      <c r="Z2002" s="25"/>
      <c r="AA2002" s="25"/>
      <c r="AB2002" s="25"/>
      <c r="AC2002" s="25"/>
      <c r="AD2002" s="25"/>
    </row>
    <row r="2003" customFormat="false" ht="15.75" hidden="false" customHeight="false" outlineLevel="0" collapsed="false">
      <c r="A2003" s="28" t="s">
        <v>2411</v>
      </c>
      <c r="B2003" s="27" t="s">
        <v>438</v>
      </c>
      <c r="C2003" s="27" t="s">
        <v>308</v>
      </c>
      <c r="D2003" s="25"/>
      <c r="E2003" s="25"/>
      <c r="F2003" s="25"/>
      <c r="G2003" s="25"/>
      <c r="H2003" s="25"/>
      <c r="I2003" s="25"/>
      <c r="J2003" s="27" t="s">
        <v>2372</v>
      </c>
      <c r="K2003" s="25" t="str">
        <f aca="false">IFERROR(__xludf.dummyfunction("SPLIT(J2003,"" "")"),"CIF")</f>
        <v>CIF</v>
      </c>
      <c r="L2003" s="28" t="str">
        <f aca="false">IFERROR(__xludf.dummyfunction("""COMPUTED_VALUE"""),"Sweden")</f>
        <v>Sweden</v>
      </c>
      <c r="M2003" s="27" t="str">
        <f aca="false">IFERROR(__xludf.dummyfunction("""COMPUTED_VALUE"""),"(Diff)")</f>
        <v>(Diff)</v>
      </c>
      <c r="N2003" s="25"/>
      <c r="O2003" s="25"/>
      <c r="P2003" s="25"/>
      <c r="Q2003" s="29" t="s">
        <v>358</v>
      </c>
      <c r="R2003" s="8" t="str">
        <f aca="false">B2003&amp;" "&amp;C2003&amp;" "&amp;D2003&amp;" "&amp;E2003&amp;" "&amp;G2003&amp;" "&amp;H2003&amp;" "&amp;J2003&amp;" "&amp;N2003</f>
        <v>Differentials Graphite     CIF Sweden (Diff) </v>
      </c>
      <c r="S2003" s="25"/>
      <c r="T2003" s="8"/>
      <c r="U2003" s="8"/>
      <c r="V2003" s="25"/>
      <c r="W2003" s="25"/>
      <c r="X2003" s="25"/>
      <c r="Y2003" s="25"/>
      <c r="Z2003" s="25"/>
      <c r="AA2003" s="25"/>
      <c r="AB2003" s="25"/>
      <c r="AC2003" s="25"/>
      <c r="AD2003" s="25"/>
    </row>
    <row r="2004" customFormat="false" ht="15.75" hidden="false" customHeight="false" outlineLevel="0" collapsed="false">
      <c r="A2004" s="28" t="s">
        <v>2412</v>
      </c>
      <c r="B2004" s="27" t="s">
        <v>438</v>
      </c>
      <c r="C2004" s="27" t="s">
        <v>308</v>
      </c>
      <c r="D2004" s="25"/>
      <c r="E2004" s="25"/>
      <c r="F2004" s="25"/>
      <c r="G2004" s="25"/>
      <c r="H2004" s="25"/>
      <c r="I2004" s="25"/>
      <c r="J2004" s="27" t="s">
        <v>2372</v>
      </c>
      <c r="K2004" s="25" t="str">
        <f aca="false">IFERROR(__xludf.dummyfunction("SPLIT(J2004,"" "")"),"CIF")</f>
        <v>CIF</v>
      </c>
      <c r="L2004" s="28" t="str">
        <f aca="false">IFERROR(__xludf.dummyfunction("""COMPUTED_VALUE"""),"Sweden")</f>
        <v>Sweden</v>
      </c>
      <c r="M2004" s="27" t="str">
        <f aca="false">IFERROR(__xludf.dummyfunction("""COMPUTED_VALUE"""),"(Diff)")</f>
        <v>(Diff)</v>
      </c>
      <c r="N2004" s="25"/>
      <c r="O2004" s="25"/>
      <c r="P2004" s="25"/>
      <c r="Q2004" s="29" t="s">
        <v>356</v>
      </c>
      <c r="R2004" s="8" t="str">
        <f aca="false">B2004&amp;" "&amp;C2004&amp;" "&amp;D2004&amp;" "&amp;E2004&amp;" "&amp;G2004&amp;" "&amp;H2004&amp;" "&amp;J2004&amp;" "&amp;N2004</f>
        <v>Differentials Graphite     CIF Sweden (Diff) </v>
      </c>
      <c r="S2004" s="25"/>
      <c r="T2004" s="8"/>
      <c r="U2004" s="8"/>
      <c r="V2004" s="25"/>
      <c r="W2004" s="25"/>
      <c r="X2004" s="25"/>
      <c r="Y2004" s="25"/>
      <c r="Z2004" s="25"/>
      <c r="AA2004" s="25"/>
      <c r="AB2004" s="25"/>
      <c r="AC2004" s="25"/>
      <c r="AD2004" s="25"/>
    </row>
    <row r="2005" customFormat="false" ht="15.75" hidden="false" customHeight="false" outlineLevel="0" collapsed="false">
      <c r="A2005" s="28" t="s">
        <v>2413</v>
      </c>
      <c r="B2005" s="27" t="s">
        <v>438</v>
      </c>
      <c r="C2005" s="27" t="s">
        <v>308</v>
      </c>
      <c r="D2005" s="25"/>
      <c r="E2005" s="25"/>
      <c r="F2005" s="25"/>
      <c r="G2005" s="25"/>
      <c r="H2005" s="25"/>
      <c r="I2005" s="25"/>
      <c r="J2005" s="27" t="s">
        <v>2372</v>
      </c>
      <c r="K2005" s="25" t="str">
        <f aca="false">IFERROR(__xludf.dummyfunction("SPLIT(J2005,"" "")"),"CIF")</f>
        <v>CIF</v>
      </c>
      <c r="L2005" s="28" t="str">
        <f aca="false">IFERROR(__xludf.dummyfunction("""COMPUTED_VALUE"""),"Sweden")</f>
        <v>Sweden</v>
      </c>
      <c r="M2005" s="27" t="str">
        <f aca="false">IFERROR(__xludf.dummyfunction("""COMPUTED_VALUE"""),"(Diff)")</f>
        <v>(Diff)</v>
      </c>
      <c r="N2005" s="25"/>
      <c r="O2005" s="25"/>
      <c r="P2005" s="25"/>
      <c r="Q2005" s="29" t="s">
        <v>354</v>
      </c>
      <c r="R2005" s="8" t="str">
        <f aca="false">B2005&amp;" "&amp;C2005&amp;" "&amp;D2005&amp;" "&amp;E2005&amp;" "&amp;G2005&amp;" "&amp;H2005&amp;" "&amp;J2005&amp;" "&amp;N2005</f>
        <v>Differentials Graphite     CIF Sweden (Diff) </v>
      </c>
      <c r="S2005" s="25"/>
      <c r="T2005" s="8"/>
      <c r="U2005" s="8"/>
      <c r="V2005" s="25"/>
      <c r="W2005" s="25"/>
      <c r="X2005" s="25"/>
      <c r="Y2005" s="25"/>
      <c r="Z2005" s="25"/>
      <c r="AA2005" s="25"/>
      <c r="AB2005" s="25"/>
      <c r="AC2005" s="25"/>
      <c r="AD2005" s="25"/>
    </row>
    <row r="2006" customFormat="false" ht="15.75" hidden="false" customHeight="false" outlineLevel="0" collapsed="false">
      <c r="A2006" s="28" t="s">
        <v>2414</v>
      </c>
      <c r="B2006" s="27" t="s">
        <v>438</v>
      </c>
      <c r="C2006" s="27" t="s">
        <v>308</v>
      </c>
      <c r="D2006" s="25"/>
      <c r="E2006" s="25"/>
      <c r="F2006" s="25"/>
      <c r="G2006" s="25"/>
      <c r="H2006" s="25"/>
      <c r="I2006" s="25"/>
      <c r="J2006" s="27" t="s">
        <v>2372</v>
      </c>
      <c r="K2006" s="25" t="str">
        <f aca="false">IFERROR(__xludf.dummyfunction("SPLIT(J2006,"" "")"),"CIF")</f>
        <v>CIF</v>
      </c>
      <c r="L2006" s="28" t="str">
        <f aca="false">IFERROR(__xludf.dummyfunction("""COMPUTED_VALUE"""),"Sweden")</f>
        <v>Sweden</v>
      </c>
      <c r="M2006" s="27" t="str">
        <f aca="false">IFERROR(__xludf.dummyfunction("""COMPUTED_VALUE"""),"(Diff)")</f>
        <v>(Diff)</v>
      </c>
      <c r="N2006" s="25"/>
      <c r="O2006" s="25"/>
      <c r="P2006" s="25"/>
      <c r="Q2006" s="29" t="s">
        <v>352</v>
      </c>
      <c r="R2006" s="8" t="str">
        <f aca="false">B2006&amp;" "&amp;C2006&amp;" "&amp;D2006&amp;" "&amp;E2006&amp;" "&amp;G2006&amp;" "&amp;H2006&amp;" "&amp;J2006&amp;" "&amp;N2006</f>
        <v>Differentials Graphite     CIF Sweden (Diff) </v>
      </c>
      <c r="S2006" s="25"/>
      <c r="T2006" s="8"/>
      <c r="U2006" s="8"/>
      <c r="V2006" s="25"/>
      <c r="W2006" s="25"/>
      <c r="X2006" s="25"/>
      <c r="Y2006" s="25"/>
      <c r="Z2006" s="25"/>
      <c r="AA2006" s="25"/>
      <c r="AB2006" s="25"/>
      <c r="AC2006" s="25"/>
      <c r="AD2006" s="25"/>
    </row>
    <row r="2007" customFormat="false" ht="15.75" hidden="false" customHeight="false" outlineLevel="0" collapsed="false">
      <c r="A2007" s="28" t="s">
        <v>2415</v>
      </c>
      <c r="B2007" s="27" t="s">
        <v>438</v>
      </c>
      <c r="C2007" s="27" t="s">
        <v>308</v>
      </c>
      <c r="D2007" s="25"/>
      <c r="E2007" s="25"/>
      <c r="F2007" s="25"/>
      <c r="G2007" s="25"/>
      <c r="H2007" s="25"/>
      <c r="I2007" s="25"/>
      <c r="J2007" s="27" t="s">
        <v>2372</v>
      </c>
      <c r="K2007" s="25" t="str">
        <f aca="false">IFERROR(__xludf.dummyfunction("SPLIT(J2007,"" "")"),"CIF")</f>
        <v>CIF</v>
      </c>
      <c r="L2007" s="28" t="str">
        <f aca="false">IFERROR(__xludf.dummyfunction("""COMPUTED_VALUE"""),"Sweden")</f>
        <v>Sweden</v>
      </c>
      <c r="M2007" s="27" t="str">
        <f aca="false">IFERROR(__xludf.dummyfunction("""COMPUTED_VALUE"""),"(Diff)")</f>
        <v>(Diff)</v>
      </c>
      <c r="N2007" s="25"/>
      <c r="O2007" s="25"/>
      <c r="P2007" s="25"/>
      <c r="Q2007" s="29" t="s">
        <v>350</v>
      </c>
      <c r="R2007" s="8" t="str">
        <f aca="false">B2007&amp;" "&amp;C2007&amp;" "&amp;D2007&amp;" "&amp;E2007&amp;" "&amp;G2007&amp;" "&amp;H2007&amp;" "&amp;J2007&amp;" "&amp;N2007</f>
        <v>Differentials Graphite     CIF Sweden (Diff) </v>
      </c>
      <c r="S2007" s="25"/>
      <c r="T2007" s="8"/>
      <c r="U2007" s="8"/>
      <c r="V2007" s="25"/>
      <c r="W2007" s="25"/>
      <c r="X2007" s="25"/>
      <c r="Y2007" s="25"/>
      <c r="Z2007" s="25"/>
      <c r="AA2007" s="25"/>
      <c r="AB2007" s="25"/>
      <c r="AC2007" s="25"/>
      <c r="AD2007" s="25"/>
    </row>
    <row r="2008" customFormat="false" ht="15.75" hidden="false" customHeight="false" outlineLevel="0" collapsed="false">
      <c r="A2008" s="28" t="s">
        <v>2416</v>
      </c>
      <c r="B2008" s="27" t="s">
        <v>438</v>
      </c>
      <c r="C2008" s="27" t="s">
        <v>308</v>
      </c>
      <c r="D2008" s="25"/>
      <c r="E2008" s="25"/>
      <c r="F2008" s="25"/>
      <c r="G2008" s="25"/>
      <c r="H2008" s="25"/>
      <c r="I2008" s="25"/>
      <c r="J2008" s="27" t="s">
        <v>2372</v>
      </c>
      <c r="K2008" s="25" t="str">
        <f aca="false">IFERROR(__xludf.dummyfunction("SPLIT(J2008,"" "")"),"CIF")</f>
        <v>CIF</v>
      </c>
      <c r="L2008" s="28" t="str">
        <f aca="false">IFERROR(__xludf.dummyfunction("""COMPUTED_VALUE"""),"Sweden")</f>
        <v>Sweden</v>
      </c>
      <c r="M2008" s="27" t="str">
        <f aca="false">IFERROR(__xludf.dummyfunction("""COMPUTED_VALUE"""),"(Diff)")</f>
        <v>(Diff)</v>
      </c>
      <c r="N2008" s="25"/>
      <c r="O2008" s="25"/>
      <c r="P2008" s="25"/>
      <c r="Q2008" s="29" t="s">
        <v>347</v>
      </c>
      <c r="R2008" s="8" t="str">
        <f aca="false">B2008&amp;" "&amp;C2008&amp;" "&amp;D2008&amp;" "&amp;E2008&amp;" "&amp;G2008&amp;" "&amp;H2008&amp;" "&amp;J2008&amp;" "&amp;N2008</f>
        <v>Differentials Graphite     CIF Sweden (Diff) </v>
      </c>
      <c r="S2008" s="25"/>
      <c r="T2008" s="8"/>
      <c r="U2008" s="8"/>
      <c r="V2008" s="25"/>
      <c r="W2008" s="25"/>
      <c r="X2008" s="25"/>
      <c r="Y2008" s="25"/>
      <c r="Z2008" s="25"/>
      <c r="AA2008" s="25"/>
      <c r="AB2008" s="25"/>
      <c r="AC2008" s="25"/>
      <c r="AD2008" s="25"/>
    </row>
    <row r="2009" customFormat="false" ht="15.75" hidden="false" customHeight="false" outlineLevel="0" collapsed="false">
      <c r="A2009" s="28" t="s">
        <v>2417</v>
      </c>
      <c r="B2009" s="27" t="s">
        <v>438</v>
      </c>
      <c r="C2009" s="27" t="s">
        <v>308</v>
      </c>
      <c r="D2009" s="25"/>
      <c r="E2009" s="25"/>
      <c r="F2009" s="25"/>
      <c r="G2009" s="25"/>
      <c r="H2009" s="25"/>
      <c r="I2009" s="25"/>
      <c r="J2009" s="27" t="s">
        <v>2372</v>
      </c>
      <c r="K2009" s="25" t="str">
        <f aca="false">IFERROR(__xludf.dummyfunction("SPLIT(J2009,"" "")"),"CIF")</f>
        <v>CIF</v>
      </c>
      <c r="L2009" s="28" t="str">
        <f aca="false">IFERROR(__xludf.dummyfunction("""COMPUTED_VALUE"""),"Sweden")</f>
        <v>Sweden</v>
      </c>
      <c r="M2009" s="27" t="str">
        <f aca="false">IFERROR(__xludf.dummyfunction("""COMPUTED_VALUE"""),"(Diff)")</f>
        <v>(Diff)</v>
      </c>
      <c r="N2009" s="25"/>
      <c r="O2009" s="25"/>
      <c r="P2009" s="25"/>
      <c r="Q2009" s="29" t="s">
        <v>344</v>
      </c>
      <c r="R2009" s="8" t="str">
        <f aca="false">B2009&amp;" "&amp;C2009&amp;" "&amp;D2009&amp;" "&amp;E2009&amp;" "&amp;G2009&amp;" "&amp;H2009&amp;" "&amp;J2009&amp;" "&amp;N2009</f>
        <v>Differentials Graphite     CIF Sweden (Diff) </v>
      </c>
      <c r="S2009" s="25"/>
      <c r="T2009" s="8"/>
      <c r="U2009" s="8"/>
      <c r="V2009" s="25"/>
      <c r="W2009" s="25"/>
      <c r="X2009" s="25"/>
      <c r="Y2009" s="25"/>
      <c r="Z2009" s="25"/>
      <c r="AA2009" s="25"/>
      <c r="AB2009" s="25"/>
      <c r="AC2009" s="25"/>
      <c r="AD2009" s="25"/>
    </row>
    <row r="2010" customFormat="false" ht="15.75" hidden="false" customHeight="false" outlineLevel="0" collapsed="false">
      <c r="A2010" s="28" t="s">
        <v>2418</v>
      </c>
      <c r="B2010" s="27" t="s">
        <v>438</v>
      </c>
      <c r="C2010" s="27" t="s">
        <v>308</v>
      </c>
      <c r="D2010" s="25"/>
      <c r="E2010" s="25"/>
      <c r="F2010" s="25"/>
      <c r="G2010" s="25"/>
      <c r="H2010" s="25"/>
      <c r="I2010" s="25"/>
      <c r="J2010" s="27" t="s">
        <v>2372</v>
      </c>
      <c r="K2010" s="25" t="str">
        <f aca="false">IFERROR(__xludf.dummyfunction("SPLIT(J2010,"" "")"),"CIF")</f>
        <v>CIF</v>
      </c>
      <c r="L2010" s="28" t="str">
        <f aca="false">IFERROR(__xludf.dummyfunction("""COMPUTED_VALUE"""),"Sweden")</f>
        <v>Sweden</v>
      </c>
      <c r="M2010" s="27" t="str">
        <f aca="false">IFERROR(__xludf.dummyfunction("""COMPUTED_VALUE"""),"(Diff)")</f>
        <v>(Diff)</v>
      </c>
      <c r="N2010" s="25"/>
      <c r="O2010" s="25"/>
      <c r="P2010" s="25"/>
      <c r="Q2010" s="29" t="s">
        <v>340</v>
      </c>
      <c r="R2010" s="8" t="str">
        <f aca="false">B2010&amp;" "&amp;C2010&amp;" "&amp;D2010&amp;" "&amp;E2010&amp;" "&amp;G2010&amp;" "&amp;H2010&amp;" "&amp;J2010&amp;" "&amp;N2010</f>
        <v>Differentials Graphite     CIF Sweden (Diff) </v>
      </c>
      <c r="S2010" s="25"/>
      <c r="T2010" s="8"/>
      <c r="U2010" s="8"/>
      <c r="V2010" s="25"/>
      <c r="W2010" s="25"/>
      <c r="X2010" s="25"/>
      <c r="Y2010" s="25"/>
      <c r="Z2010" s="25"/>
      <c r="AA2010" s="25"/>
      <c r="AB2010" s="25"/>
      <c r="AC2010" s="25"/>
      <c r="AD2010" s="25"/>
    </row>
    <row r="2011" customFormat="false" ht="15.75" hidden="false" customHeight="false" outlineLevel="0" collapsed="false">
      <c r="A2011" s="28" t="s">
        <v>2419</v>
      </c>
      <c r="B2011" s="27" t="s">
        <v>438</v>
      </c>
      <c r="C2011" s="27" t="s">
        <v>308</v>
      </c>
      <c r="D2011" s="25"/>
      <c r="E2011" s="25"/>
      <c r="F2011" s="25"/>
      <c r="G2011" s="25"/>
      <c r="H2011" s="25"/>
      <c r="I2011" s="25"/>
      <c r="J2011" s="27" t="s">
        <v>2372</v>
      </c>
      <c r="K2011" s="25" t="str">
        <f aca="false">IFERROR(__xludf.dummyfunction("SPLIT(J2011,"" "")"),"CIF")</f>
        <v>CIF</v>
      </c>
      <c r="L2011" s="28" t="str">
        <f aca="false">IFERROR(__xludf.dummyfunction("""COMPUTED_VALUE"""),"Sweden")</f>
        <v>Sweden</v>
      </c>
      <c r="M2011" s="27" t="str">
        <f aca="false">IFERROR(__xludf.dummyfunction("""COMPUTED_VALUE"""),"(Diff)")</f>
        <v>(Diff)</v>
      </c>
      <c r="N2011" s="25"/>
      <c r="O2011" s="25"/>
      <c r="P2011" s="25"/>
      <c r="Q2011" s="29" t="s">
        <v>338</v>
      </c>
      <c r="R2011" s="8" t="str">
        <f aca="false">B2011&amp;" "&amp;C2011&amp;" "&amp;D2011&amp;" "&amp;E2011&amp;" "&amp;G2011&amp;" "&amp;H2011&amp;" "&amp;J2011&amp;" "&amp;N2011</f>
        <v>Differentials Graphite     CIF Sweden (Diff) </v>
      </c>
      <c r="S2011" s="25"/>
      <c r="T2011" s="8"/>
      <c r="U2011" s="8"/>
      <c r="V2011" s="25"/>
      <c r="W2011" s="25"/>
      <c r="X2011" s="25"/>
      <c r="Y2011" s="25"/>
      <c r="Z2011" s="25"/>
      <c r="AA2011" s="25"/>
      <c r="AB2011" s="25"/>
      <c r="AC2011" s="25"/>
      <c r="AD2011" s="25"/>
    </row>
    <row r="2012" customFormat="false" ht="15.75" hidden="false" customHeight="false" outlineLevel="0" collapsed="false">
      <c r="A2012" s="28" t="s">
        <v>2420</v>
      </c>
      <c r="B2012" s="27" t="s">
        <v>438</v>
      </c>
      <c r="C2012" s="27" t="s">
        <v>308</v>
      </c>
      <c r="D2012" s="25"/>
      <c r="E2012" s="25"/>
      <c r="F2012" s="25"/>
      <c r="G2012" s="25"/>
      <c r="H2012" s="25"/>
      <c r="I2012" s="25"/>
      <c r="J2012" s="27" t="s">
        <v>2372</v>
      </c>
      <c r="K2012" s="25" t="str">
        <f aca="false">IFERROR(__xludf.dummyfunction("SPLIT(J2012,"" "")"),"CIF")</f>
        <v>CIF</v>
      </c>
      <c r="L2012" s="28" t="str">
        <f aca="false">IFERROR(__xludf.dummyfunction("""COMPUTED_VALUE"""),"Sweden")</f>
        <v>Sweden</v>
      </c>
      <c r="M2012" s="27" t="str">
        <f aca="false">IFERROR(__xludf.dummyfunction("""COMPUTED_VALUE"""),"(Diff)")</f>
        <v>(Diff)</v>
      </c>
      <c r="N2012" s="25"/>
      <c r="O2012" s="25"/>
      <c r="P2012" s="25"/>
      <c r="Q2012" s="29" t="s">
        <v>335</v>
      </c>
      <c r="R2012" s="8" t="str">
        <f aca="false">B2012&amp;" "&amp;C2012&amp;" "&amp;D2012&amp;" "&amp;E2012&amp;" "&amp;G2012&amp;" "&amp;H2012&amp;" "&amp;J2012&amp;" "&amp;N2012</f>
        <v>Differentials Graphite     CIF Sweden (Diff) </v>
      </c>
      <c r="S2012" s="25"/>
      <c r="T2012" s="8"/>
      <c r="U2012" s="8"/>
      <c r="V2012" s="25"/>
      <c r="W2012" s="25"/>
      <c r="X2012" s="25"/>
      <c r="Y2012" s="25"/>
      <c r="Z2012" s="25"/>
      <c r="AA2012" s="25"/>
      <c r="AB2012" s="25"/>
      <c r="AC2012" s="25"/>
      <c r="AD2012" s="25"/>
    </row>
    <row r="2013" customFormat="false" ht="15.75" hidden="false" customHeight="false" outlineLevel="0" collapsed="false">
      <c r="A2013" s="28" t="s">
        <v>2421</v>
      </c>
      <c r="B2013" s="27" t="s">
        <v>438</v>
      </c>
      <c r="C2013" s="27" t="s">
        <v>308</v>
      </c>
      <c r="D2013" s="25"/>
      <c r="E2013" s="25"/>
      <c r="F2013" s="25"/>
      <c r="G2013" s="25"/>
      <c r="H2013" s="25"/>
      <c r="I2013" s="25"/>
      <c r="J2013" s="27" t="s">
        <v>2372</v>
      </c>
      <c r="K2013" s="25" t="str">
        <f aca="false">IFERROR(__xludf.dummyfunction("SPLIT(J2013,"" "")"),"CIF")</f>
        <v>CIF</v>
      </c>
      <c r="L2013" s="28" t="str">
        <f aca="false">IFERROR(__xludf.dummyfunction("""COMPUTED_VALUE"""),"Sweden")</f>
        <v>Sweden</v>
      </c>
      <c r="M2013" s="27" t="str">
        <f aca="false">IFERROR(__xludf.dummyfunction("""COMPUTED_VALUE"""),"(Diff)")</f>
        <v>(Diff)</v>
      </c>
      <c r="N2013" s="25"/>
      <c r="O2013" s="25"/>
      <c r="P2013" s="25"/>
      <c r="Q2013" s="29" t="s">
        <v>332</v>
      </c>
      <c r="R2013" s="8" t="str">
        <f aca="false">B2013&amp;" "&amp;C2013&amp;" "&amp;D2013&amp;" "&amp;E2013&amp;" "&amp;G2013&amp;" "&amp;H2013&amp;" "&amp;J2013&amp;" "&amp;N2013</f>
        <v>Differentials Graphite     CIF Sweden (Diff) </v>
      </c>
      <c r="S2013" s="25"/>
      <c r="T2013" s="8"/>
      <c r="U2013" s="8"/>
      <c r="V2013" s="25"/>
      <c r="W2013" s="25"/>
      <c r="X2013" s="25"/>
      <c r="Y2013" s="25"/>
      <c r="Z2013" s="25"/>
      <c r="AA2013" s="25"/>
      <c r="AB2013" s="25"/>
      <c r="AC2013" s="25"/>
      <c r="AD2013" s="25"/>
    </row>
    <row r="2014" customFormat="false" ht="15.75" hidden="false" customHeight="false" outlineLevel="0" collapsed="false">
      <c r="A2014" s="28" t="s">
        <v>2422</v>
      </c>
      <c r="B2014" s="27" t="s">
        <v>438</v>
      </c>
      <c r="C2014" s="27" t="s">
        <v>308</v>
      </c>
      <c r="D2014" s="25"/>
      <c r="E2014" s="25"/>
      <c r="F2014" s="25"/>
      <c r="G2014" s="25"/>
      <c r="H2014" s="25"/>
      <c r="I2014" s="25"/>
      <c r="J2014" s="27" t="s">
        <v>2372</v>
      </c>
      <c r="K2014" s="25" t="str">
        <f aca="false">IFERROR(__xludf.dummyfunction("SPLIT(J2014,"" "")"),"CIF")</f>
        <v>CIF</v>
      </c>
      <c r="L2014" s="28" t="str">
        <f aca="false">IFERROR(__xludf.dummyfunction("""COMPUTED_VALUE"""),"Sweden")</f>
        <v>Sweden</v>
      </c>
      <c r="M2014" s="27" t="str">
        <f aca="false">IFERROR(__xludf.dummyfunction("""COMPUTED_VALUE"""),"(Diff)")</f>
        <v>(Diff)</v>
      </c>
      <c r="N2014" s="25"/>
      <c r="O2014" s="25"/>
      <c r="P2014" s="25"/>
      <c r="Q2014" s="29" t="s">
        <v>329</v>
      </c>
      <c r="R2014" s="8" t="str">
        <f aca="false">B2014&amp;" "&amp;C2014&amp;" "&amp;D2014&amp;" "&amp;E2014&amp;" "&amp;G2014&amp;" "&amp;H2014&amp;" "&amp;J2014&amp;" "&amp;N2014</f>
        <v>Differentials Graphite     CIF Sweden (Diff) </v>
      </c>
      <c r="S2014" s="25"/>
      <c r="T2014" s="8"/>
      <c r="U2014" s="8"/>
      <c r="V2014" s="25"/>
      <c r="W2014" s="25"/>
      <c r="X2014" s="25"/>
      <c r="Y2014" s="25"/>
      <c r="Z2014" s="25"/>
      <c r="AA2014" s="25"/>
      <c r="AB2014" s="25"/>
      <c r="AC2014" s="25"/>
      <c r="AD2014" s="25"/>
    </row>
    <row r="2015" customFormat="false" ht="15.75" hidden="false" customHeight="false" outlineLevel="0" collapsed="false">
      <c r="A2015" s="28" t="s">
        <v>2423</v>
      </c>
      <c r="B2015" s="27" t="s">
        <v>438</v>
      </c>
      <c r="C2015" s="27" t="s">
        <v>308</v>
      </c>
      <c r="D2015" s="25"/>
      <c r="E2015" s="25"/>
      <c r="F2015" s="25"/>
      <c r="G2015" s="25"/>
      <c r="H2015" s="25"/>
      <c r="I2015" s="25"/>
      <c r="J2015" s="27" t="s">
        <v>2372</v>
      </c>
      <c r="K2015" s="25" t="str">
        <f aca="false">IFERROR(__xludf.dummyfunction("SPLIT(J2015,"" "")"),"CIF")</f>
        <v>CIF</v>
      </c>
      <c r="L2015" s="28" t="str">
        <f aca="false">IFERROR(__xludf.dummyfunction("""COMPUTED_VALUE"""),"Sweden")</f>
        <v>Sweden</v>
      </c>
      <c r="M2015" s="27" t="str">
        <f aca="false">IFERROR(__xludf.dummyfunction("""COMPUTED_VALUE"""),"(Diff)")</f>
        <v>(Diff)</v>
      </c>
      <c r="N2015" s="25"/>
      <c r="O2015" s="25"/>
      <c r="P2015" s="25"/>
      <c r="Q2015" s="29" t="s">
        <v>326</v>
      </c>
      <c r="R2015" s="8" t="str">
        <f aca="false">B2015&amp;" "&amp;C2015&amp;" "&amp;D2015&amp;" "&amp;E2015&amp;" "&amp;G2015&amp;" "&amp;H2015&amp;" "&amp;J2015&amp;" "&amp;N2015</f>
        <v>Differentials Graphite     CIF Sweden (Diff) </v>
      </c>
      <c r="S2015" s="25"/>
      <c r="T2015" s="8"/>
      <c r="U2015" s="8"/>
      <c r="V2015" s="25"/>
      <c r="W2015" s="25"/>
      <c r="X2015" s="25"/>
      <c r="Y2015" s="25"/>
      <c r="Z2015" s="25"/>
      <c r="AA2015" s="25"/>
      <c r="AB2015" s="25"/>
      <c r="AC2015" s="25"/>
      <c r="AD2015" s="25"/>
    </row>
    <row r="2016" customFormat="false" ht="15.75" hidden="false" customHeight="false" outlineLevel="0" collapsed="false">
      <c r="A2016" s="28" t="s">
        <v>2424</v>
      </c>
      <c r="B2016" s="27" t="s">
        <v>438</v>
      </c>
      <c r="C2016" s="27" t="s">
        <v>308</v>
      </c>
      <c r="D2016" s="25"/>
      <c r="E2016" s="25"/>
      <c r="F2016" s="25"/>
      <c r="G2016" s="25"/>
      <c r="H2016" s="25"/>
      <c r="I2016" s="25"/>
      <c r="J2016" s="27" t="s">
        <v>2372</v>
      </c>
      <c r="K2016" s="25" t="str">
        <f aca="false">IFERROR(__xludf.dummyfunction("SPLIT(J2016,"" "")"),"CIF")</f>
        <v>CIF</v>
      </c>
      <c r="L2016" s="28" t="str">
        <f aca="false">IFERROR(__xludf.dummyfunction("""COMPUTED_VALUE"""),"Sweden")</f>
        <v>Sweden</v>
      </c>
      <c r="M2016" s="27" t="str">
        <f aca="false">IFERROR(__xludf.dummyfunction("""COMPUTED_VALUE"""),"(Diff)")</f>
        <v>(Diff)</v>
      </c>
      <c r="N2016" s="25"/>
      <c r="O2016" s="25"/>
      <c r="P2016" s="25"/>
      <c r="Q2016" s="29" t="s">
        <v>323</v>
      </c>
      <c r="R2016" s="8" t="str">
        <f aca="false">B2016&amp;" "&amp;C2016&amp;" "&amp;D2016&amp;" "&amp;E2016&amp;" "&amp;G2016&amp;" "&amp;H2016&amp;" "&amp;J2016&amp;" "&amp;N2016</f>
        <v>Differentials Graphite     CIF Sweden (Diff) </v>
      </c>
      <c r="S2016" s="25"/>
      <c r="T2016" s="8"/>
      <c r="U2016" s="8"/>
      <c r="V2016" s="25"/>
      <c r="W2016" s="25"/>
      <c r="X2016" s="25"/>
      <c r="Y2016" s="25"/>
      <c r="Z2016" s="25"/>
      <c r="AA2016" s="25"/>
      <c r="AB2016" s="25"/>
      <c r="AC2016" s="25"/>
      <c r="AD2016" s="25"/>
    </row>
    <row r="2017" customFormat="false" ht="15.75" hidden="false" customHeight="false" outlineLevel="0" collapsed="false">
      <c r="A2017" s="28" t="s">
        <v>2425</v>
      </c>
      <c r="B2017" s="27" t="s">
        <v>438</v>
      </c>
      <c r="C2017" s="27" t="s">
        <v>308</v>
      </c>
      <c r="D2017" s="25"/>
      <c r="E2017" s="25"/>
      <c r="F2017" s="25"/>
      <c r="G2017" s="25"/>
      <c r="H2017" s="25"/>
      <c r="I2017" s="25"/>
      <c r="J2017" s="27" t="s">
        <v>2372</v>
      </c>
      <c r="K2017" s="25" t="str">
        <f aca="false">IFERROR(__xludf.dummyfunction("SPLIT(J2017,"" "")"),"CIF")</f>
        <v>CIF</v>
      </c>
      <c r="L2017" s="28" t="str">
        <f aca="false">IFERROR(__xludf.dummyfunction("""COMPUTED_VALUE"""),"Sweden")</f>
        <v>Sweden</v>
      </c>
      <c r="M2017" s="27" t="str">
        <f aca="false">IFERROR(__xludf.dummyfunction("""COMPUTED_VALUE"""),"(Diff)")</f>
        <v>(Diff)</v>
      </c>
      <c r="N2017" s="25"/>
      <c r="O2017" s="25"/>
      <c r="P2017" s="25"/>
      <c r="Q2017" s="29" t="s">
        <v>319</v>
      </c>
      <c r="R2017" s="8" t="str">
        <f aca="false">B2017&amp;" "&amp;C2017&amp;" "&amp;D2017&amp;" "&amp;E2017&amp;" "&amp;G2017&amp;" "&amp;H2017&amp;" "&amp;J2017&amp;" "&amp;N2017</f>
        <v>Differentials Graphite     CIF Sweden (Diff) </v>
      </c>
      <c r="S2017" s="25"/>
      <c r="T2017" s="8"/>
      <c r="U2017" s="8"/>
      <c r="V2017" s="25"/>
      <c r="W2017" s="25"/>
      <c r="X2017" s="25"/>
      <c r="Y2017" s="25"/>
      <c r="Z2017" s="25"/>
      <c r="AA2017" s="25"/>
      <c r="AB2017" s="25"/>
      <c r="AC2017" s="25"/>
      <c r="AD2017" s="25"/>
    </row>
    <row r="2018" customFormat="false" ht="15.75" hidden="false" customHeight="false" outlineLevel="0" collapsed="false">
      <c r="A2018" s="28" t="s">
        <v>2426</v>
      </c>
      <c r="B2018" s="27" t="s">
        <v>438</v>
      </c>
      <c r="C2018" s="27" t="s">
        <v>308</v>
      </c>
      <c r="D2018" s="25"/>
      <c r="E2018" s="25"/>
      <c r="F2018" s="25"/>
      <c r="G2018" s="25"/>
      <c r="H2018" s="25"/>
      <c r="I2018" s="25"/>
      <c r="J2018" s="27" t="s">
        <v>2372</v>
      </c>
      <c r="K2018" s="25" t="str">
        <f aca="false">IFERROR(__xludf.dummyfunction("SPLIT(J2018,"" "")"),"CIF")</f>
        <v>CIF</v>
      </c>
      <c r="L2018" s="28" t="str">
        <f aca="false">IFERROR(__xludf.dummyfunction("""COMPUTED_VALUE"""),"Sweden")</f>
        <v>Sweden</v>
      </c>
      <c r="M2018" s="27" t="str">
        <f aca="false">IFERROR(__xludf.dummyfunction("""COMPUTED_VALUE"""),"(Diff)")</f>
        <v>(Diff)</v>
      </c>
      <c r="N2018" s="25"/>
      <c r="O2018" s="25"/>
      <c r="P2018" s="25"/>
      <c r="Q2018" s="29" t="s">
        <v>315</v>
      </c>
      <c r="R2018" s="8" t="str">
        <f aca="false">B2018&amp;" "&amp;C2018&amp;" "&amp;D2018&amp;" "&amp;E2018&amp;" "&amp;G2018&amp;" "&amp;H2018&amp;" "&amp;J2018&amp;" "&amp;N2018</f>
        <v>Differentials Graphite     CIF Sweden (Diff) </v>
      </c>
      <c r="S2018" s="25"/>
      <c r="T2018" s="8"/>
      <c r="U2018" s="8"/>
      <c r="V2018" s="25"/>
      <c r="W2018" s="25"/>
      <c r="X2018" s="25"/>
      <c r="Y2018" s="25"/>
      <c r="Z2018" s="25"/>
      <c r="AA2018" s="25"/>
      <c r="AB2018" s="25"/>
      <c r="AC2018" s="25"/>
      <c r="AD2018" s="25"/>
    </row>
    <row r="2019" customFormat="false" ht="15.75" hidden="false" customHeight="false" outlineLevel="0" collapsed="false">
      <c r="A2019" s="28" t="s">
        <v>2427</v>
      </c>
      <c r="B2019" s="27" t="s">
        <v>438</v>
      </c>
      <c r="C2019" s="27" t="s">
        <v>308</v>
      </c>
      <c r="D2019" s="25"/>
      <c r="E2019" s="25"/>
      <c r="F2019" s="25"/>
      <c r="G2019" s="25"/>
      <c r="H2019" s="25"/>
      <c r="I2019" s="25"/>
      <c r="J2019" s="27" t="s">
        <v>2372</v>
      </c>
      <c r="K2019" s="25" t="str">
        <f aca="false">IFERROR(__xludf.dummyfunction("SPLIT(J2019,"" "")"),"CIF")</f>
        <v>CIF</v>
      </c>
      <c r="L2019" s="28" t="str">
        <f aca="false">IFERROR(__xludf.dummyfunction("""COMPUTED_VALUE"""),"Sweden")</f>
        <v>Sweden</v>
      </c>
      <c r="M2019" s="27" t="str">
        <f aca="false">IFERROR(__xludf.dummyfunction("""COMPUTED_VALUE"""),"(Diff)")</f>
        <v>(Diff)</v>
      </c>
      <c r="N2019" s="25"/>
      <c r="O2019" s="25"/>
      <c r="P2019" s="25"/>
      <c r="Q2019" s="29" t="s">
        <v>311</v>
      </c>
      <c r="R2019" s="8" t="str">
        <f aca="false">B2019&amp;" "&amp;C2019&amp;" "&amp;D2019&amp;" "&amp;E2019&amp;" "&amp;G2019&amp;" "&amp;H2019&amp;" "&amp;J2019&amp;" "&amp;N2019</f>
        <v>Differentials Graphite     CIF Sweden (Diff) </v>
      </c>
      <c r="S2019" s="25"/>
      <c r="T2019" s="8"/>
      <c r="U2019" s="8"/>
      <c r="V2019" s="25"/>
      <c r="W2019" s="25"/>
      <c r="X2019" s="25"/>
      <c r="Y2019" s="25"/>
      <c r="Z2019" s="25"/>
      <c r="AA2019" s="25"/>
      <c r="AB2019" s="25"/>
      <c r="AC2019" s="25"/>
      <c r="AD2019" s="25"/>
    </row>
    <row r="2020" customFormat="false" ht="15.75" hidden="false" customHeight="false" outlineLevel="0" collapsed="false">
      <c r="A2020" s="28" t="s">
        <v>2428</v>
      </c>
      <c r="B2020" s="27" t="s">
        <v>438</v>
      </c>
      <c r="C2020" s="27" t="s">
        <v>360</v>
      </c>
      <c r="D2020" s="25"/>
      <c r="E2020" s="25"/>
      <c r="F2020" s="25"/>
      <c r="G2020" s="25"/>
      <c r="H2020" s="25"/>
      <c r="I2020" s="25"/>
      <c r="J2020" s="27" t="s">
        <v>2372</v>
      </c>
      <c r="K2020" s="25" t="str">
        <f aca="false">IFERROR(__xludf.dummyfunction("SPLIT(J2020,"" "")"),"CIF")</f>
        <v>CIF</v>
      </c>
      <c r="L2020" s="28" t="str">
        <f aca="false">IFERROR(__xludf.dummyfunction("""COMPUTED_VALUE"""),"Sweden")</f>
        <v>Sweden</v>
      </c>
      <c r="M2020" s="27" t="str">
        <f aca="false">IFERROR(__xludf.dummyfunction("""COMPUTED_VALUE"""),"(Diff)")</f>
        <v>(Diff)</v>
      </c>
      <c r="N2020" s="25"/>
      <c r="O2020" s="25"/>
      <c r="P2020" s="25"/>
      <c r="Q2020" s="29" t="s">
        <v>368</v>
      </c>
      <c r="R2020" s="8" t="str">
        <f aca="false">B2020&amp;" "&amp;C2020&amp;" "&amp;D2020&amp;" "&amp;E2020&amp;" "&amp;G2020&amp;" "&amp;H2020&amp;" "&amp;J2020&amp;" "&amp;N2020</f>
        <v>Differentials Lithium     CIF Sweden (Diff) </v>
      </c>
      <c r="S2020" s="25"/>
      <c r="T2020" s="8"/>
      <c r="U2020" s="8"/>
      <c r="V2020" s="25"/>
      <c r="W2020" s="25"/>
      <c r="X2020" s="25"/>
      <c r="Y2020" s="25"/>
      <c r="Z2020" s="25"/>
      <c r="AA2020" s="25"/>
      <c r="AB2020" s="25"/>
      <c r="AC2020" s="25"/>
      <c r="AD2020" s="25"/>
    </row>
    <row r="2021" customFormat="false" ht="15.75" hidden="false" customHeight="false" outlineLevel="0" collapsed="false">
      <c r="A2021" s="28" t="s">
        <v>2429</v>
      </c>
      <c r="B2021" s="27" t="s">
        <v>438</v>
      </c>
      <c r="C2021" s="27" t="s">
        <v>360</v>
      </c>
      <c r="D2021" s="25"/>
      <c r="E2021" s="25"/>
      <c r="F2021" s="25"/>
      <c r="G2021" s="25"/>
      <c r="H2021" s="25"/>
      <c r="I2021" s="25"/>
      <c r="J2021" s="27" t="s">
        <v>2372</v>
      </c>
      <c r="K2021" s="25" t="str">
        <f aca="false">IFERROR(__xludf.dummyfunction("SPLIT(J2021,"" "")"),"CIF")</f>
        <v>CIF</v>
      </c>
      <c r="L2021" s="28" t="str">
        <f aca="false">IFERROR(__xludf.dummyfunction("""COMPUTED_VALUE"""),"Sweden")</f>
        <v>Sweden</v>
      </c>
      <c r="M2021" s="27" t="str">
        <f aca="false">IFERROR(__xludf.dummyfunction("""COMPUTED_VALUE"""),"(Diff)")</f>
        <v>(Diff)</v>
      </c>
      <c r="N2021" s="25"/>
      <c r="O2021" s="25"/>
      <c r="P2021" s="25"/>
      <c r="Q2021" s="29" t="s">
        <v>366</v>
      </c>
      <c r="R2021" s="8" t="str">
        <f aca="false">B2021&amp;" "&amp;C2021&amp;" "&amp;D2021&amp;" "&amp;E2021&amp;" "&amp;G2021&amp;" "&amp;H2021&amp;" "&amp;J2021&amp;" "&amp;N2021</f>
        <v>Differentials Lithium     CIF Sweden (Diff) </v>
      </c>
      <c r="S2021" s="25"/>
      <c r="T2021" s="8"/>
      <c r="U2021" s="8"/>
      <c r="V2021" s="25"/>
      <c r="W2021" s="25"/>
      <c r="X2021" s="25"/>
      <c r="Y2021" s="25"/>
      <c r="Z2021" s="25"/>
      <c r="AA2021" s="25"/>
      <c r="AB2021" s="25"/>
      <c r="AC2021" s="25"/>
      <c r="AD2021" s="25"/>
    </row>
    <row r="2022" customFormat="false" ht="15.75" hidden="false" customHeight="false" outlineLevel="0" collapsed="false">
      <c r="A2022" s="28" t="s">
        <v>2430</v>
      </c>
      <c r="B2022" s="27" t="s">
        <v>438</v>
      </c>
      <c r="C2022" s="27" t="s">
        <v>360</v>
      </c>
      <c r="D2022" s="25"/>
      <c r="E2022" s="25"/>
      <c r="F2022" s="25"/>
      <c r="G2022" s="25"/>
      <c r="H2022" s="25"/>
      <c r="I2022" s="25"/>
      <c r="J2022" s="27" t="s">
        <v>2372</v>
      </c>
      <c r="K2022" s="25" t="str">
        <f aca="false">IFERROR(__xludf.dummyfunction("SPLIT(J2022,"" "")"),"CIF")</f>
        <v>CIF</v>
      </c>
      <c r="L2022" s="28" t="str">
        <f aca="false">IFERROR(__xludf.dummyfunction("""COMPUTED_VALUE"""),"Sweden")</f>
        <v>Sweden</v>
      </c>
      <c r="M2022" s="27" t="str">
        <f aca="false">IFERROR(__xludf.dummyfunction("""COMPUTED_VALUE"""),"(Diff)")</f>
        <v>(Diff)</v>
      </c>
      <c r="N2022" s="25"/>
      <c r="O2022" s="25"/>
      <c r="P2022" s="25"/>
      <c r="Q2022" s="29" t="s">
        <v>361</v>
      </c>
      <c r="R2022" s="8" t="str">
        <f aca="false">B2022&amp;" "&amp;C2022&amp;" "&amp;D2022&amp;" "&amp;E2022&amp;" "&amp;G2022&amp;" "&amp;H2022&amp;" "&amp;J2022&amp;" "&amp;N2022</f>
        <v>Differentials Lithium     CIF Sweden (Diff) </v>
      </c>
      <c r="S2022" s="25"/>
      <c r="T2022" s="8"/>
      <c r="U2022" s="8"/>
      <c r="V2022" s="25"/>
      <c r="W2022" s="25"/>
      <c r="X2022" s="25"/>
      <c r="Y2022" s="25"/>
      <c r="Z2022" s="25"/>
      <c r="AA2022" s="25"/>
      <c r="AB2022" s="25"/>
      <c r="AC2022" s="25"/>
      <c r="AD2022" s="25"/>
    </row>
    <row r="2023" customFormat="false" ht="15.75" hidden="false" customHeight="false" outlineLevel="0" collapsed="false">
      <c r="A2023" s="28" t="s">
        <v>2431</v>
      </c>
      <c r="B2023" s="27" t="s">
        <v>438</v>
      </c>
      <c r="C2023" s="27" t="s">
        <v>360</v>
      </c>
      <c r="D2023" s="25"/>
      <c r="E2023" s="25"/>
      <c r="F2023" s="25"/>
      <c r="G2023" s="25"/>
      <c r="H2023" s="25"/>
      <c r="I2023" s="25"/>
      <c r="J2023" s="27" t="s">
        <v>2372</v>
      </c>
      <c r="K2023" s="25" t="str">
        <f aca="false">IFERROR(__xludf.dummyfunction("SPLIT(J2023,"" "")"),"CIF")</f>
        <v>CIF</v>
      </c>
      <c r="L2023" s="28" t="str">
        <f aca="false">IFERROR(__xludf.dummyfunction("""COMPUTED_VALUE"""),"Sweden")</f>
        <v>Sweden</v>
      </c>
      <c r="M2023" s="27" t="str">
        <f aca="false">IFERROR(__xludf.dummyfunction("""COMPUTED_VALUE"""),"(Diff)")</f>
        <v>(Diff)</v>
      </c>
      <c r="N2023" s="25"/>
      <c r="O2023" s="25"/>
      <c r="P2023" s="25"/>
      <c r="Q2023" s="29" t="s">
        <v>363</v>
      </c>
      <c r="R2023" s="8" t="str">
        <f aca="false">B2023&amp;" "&amp;C2023&amp;" "&amp;D2023&amp;" "&amp;E2023&amp;" "&amp;G2023&amp;" "&amp;H2023&amp;" "&amp;J2023&amp;" "&amp;N2023</f>
        <v>Differentials Lithium     CIF Sweden (Diff) </v>
      </c>
      <c r="S2023" s="25"/>
      <c r="T2023" s="8"/>
      <c r="U2023" s="8"/>
      <c r="V2023" s="25"/>
      <c r="W2023" s="25"/>
      <c r="X2023" s="25"/>
      <c r="Y2023" s="25"/>
      <c r="Z2023" s="25"/>
      <c r="AA2023" s="25"/>
      <c r="AB2023" s="25"/>
      <c r="AC2023" s="25"/>
      <c r="AD2023" s="25"/>
    </row>
    <row r="2024" customFormat="false" ht="15.75" hidden="false" customHeight="false" outlineLevel="0" collapsed="false">
      <c r="A2024" s="28" t="s">
        <v>2432</v>
      </c>
      <c r="B2024" s="27" t="s">
        <v>438</v>
      </c>
      <c r="C2024" s="27" t="s">
        <v>360</v>
      </c>
      <c r="D2024" s="25"/>
      <c r="E2024" s="25"/>
      <c r="F2024" s="25"/>
      <c r="G2024" s="25"/>
      <c r="H2024" s="25"/>
      <c r="I2024" s="25"/>
      <c r="J2024" s="27" t="s">
        <v>2372</v>
      </c>
      <c r="K2024" s="25" t="str">
        <f aca="false">IFERROR(__xludf.dummyfunction("SPLIT(J2024,"" "")"),"CIF")</f>
        <v>CIF</v>
      </c>
      <c r="L2024" s="28" t="str">
        <f aca="false">IFERROR(__xludf.dummyfunction("""COMPUTED_VALUE"""),"Sweden")</f>
        <v>Sweden</v>
      </c>
      <c r="M2024" s="27" t="str">
        <f aca="false">IFERROR(__xludf.dummyfunction("""COMPUTED_VALUE"""),"(Diff)")</f>
        <v>(Diff)</v>
      </c>
      <c r="N2024" s="25"/>
      <c r="O2024" s="25"/>
      <c r="P2024" s="25"/>
      <c r="Q2024" s="29" t="s">
        <v>361</v>
      </c>
      <c r="R2024" s="8" t="str">
        <f aca="false">B2024&amp;" "&amp;C2024&amp;" "&amp;D2024&amp;" "&amp;E2024&amp;" "&amp;G2024&amp;" "&amp;H2024&amp;" "&amp;J2024&amp;" "&amp;N2024</f>
        <v>Differentials Lithium     CIF Sweden (Diff) </v>
      </c>
      <c r="S2024" s="25"/>
      <c r="T2024" s="8"/>
      <c r="U2024" s="8"/>
      <c r="V2024" s="25"/>
      <c r="W2024" s="25"/>
      <c r="X2024" s="25"/>
      <c r="Y2024" s="25"/>
      <c r="Z2024" s="25"/>
      <c r="AA2024" s="25"/>
      <c r="AB2024" s="25"/>
      <c r="AC2024" s="25"/>
      <c r="AD2024" s="25"/>
    </row>
    <row r="2025" customFormat="false" ht="15.75" hidden="false" customHeight="false" outlineLevel="0" collapsed="false">
      <c r="A2025" s="28" t="s">
        <v>2433</v>
      </c>
      <c r="B2025" s="27" t="s">
        <v>438</v>
      </c>
      <c r="C2025" s="27" t="s">
        <v>383</v>
      </c>
      <c r="D2025" s="25"/>
      <c r="E2025" s="25"/>
      <c r="F2025" s="25"/>
      <c r="G2025" s="25"/>
      <c r="H2025" s="25"/>
      <c r="I2025" s="25"/>
      <c r="J2025" s="27" t="s">
        <v>2372</v>
      </c>
      <c r="K2025" s="25" t="str">
        <f aca="false">IFERROR(__xludf.dummyfunction("SPLIT(J2025,"" "")"),"CIF")</f>
        <v>CIF</v>
      </c>
      <c r="L2025" s="28" t="str">
        <f aca="false">IFERROR(__xludf.dummyfunction("""COMPUTED_VALUE"""),"Sweden")</f>
        <v>Sweden</v>
      </c>
      <c r="M2025" s="27" t="str">
        <f aca="false">IFERROR(__xludf.dummyfunction("""COMPUTED_VALUE"""),"(Diff)")</f>
        <v>(Diff)</v>
      </c>
      <c r="N2025" s="25"/>
      <c r="O2025" s="25"/>
      <c r="P2025" s="25"/>
      <c r="Q2025" s="29" t="s">
        <v>406</v>
      </c>
      <c r="R2025" s="8" t="str">
        <f aca="false">B2025&amp;" "&amp;C2025&amp;" "&amp;D2025&amp;" "&amp;E2025&amp;" "&amp;G2025&amp;" "&amp;H2025&amp;" "&amp;J2025&amp;" "&amp;N2025</f>
        <v>Differentials Precursor     CIF Sweden (Diff) </v>
      </c>
      <c r="S2025" s="25"/>
      <c r="T2025" s="8"/>
      <c r="U2025" s="8"/>
      <c r="V2025" s="25"/>
      <c r="W2025" s="25"/>
      <c r="X2025" s="25"/>
      <c r="Y2025" s="25"/>
      <c r="Z2025" s="25"/>
      <c r="AA2025" s="25"/>
      <c r="AB2025" s="25"/>
      <c r="AC2025" s="25"/>
      <c r="AD2025" s="25"/>
    </row>
    <row r="2026" customFormat="false" ht="15.75" hidden="false" customHeight="false" outlineLevel="0" collapsed="false">
      <c r="A2026" s="28" t="s">
        <v>2434</v>
      </c>
      <c r="B2026" s="27" t="s">
        <v>438</v>
      </c>
      <c r="C2026" s="27" t="s">
        <v>383</v>
      </c>
      <c r="D2026" s="25"/>
      <c r="E2026" s="25"/>
      <c r="F2026" s="25"/>
      <c r="G2026" s="25"/>
      <c r="H2026" s="25"/>
      <c r="I2026" s="25"/>
      <c r="J2026" s="27" t="s">
        <v>2372</v>
      </c>
      <c r="K2026" s="25" t="str">
        <f aca="false">IFERROR(__xludf.dummyfunction("SPLIT(J2026,"" "")"),"CIF")</f>
        <v>CIF</v>
      </c>
      <c r="L2026" s="28" t="str">
        <f aca="false">IFERROR(__xludf.dummyfunction("""COMPUTED_VALUE"""),"Sweden")</f>
        <v>Sweden</v>
      </c>
      <c r="M2026" s="27" t="str">
        <f aca="false">IFERROR(__xludf.dummyfunction("""COMPUTED_VALUE"""),"(Diff)")</f>
        <v>(Diff)</v>
      </c>
      <c r="N2026" s="25"/>
      <c r="O2026" s="25"/>
      <c r="P2026" s="25"/>
      <c r="Q2026" s="29" t="s">
        <v>404</v>
      </c>
      <c r="R2026" s="8" t="str">
        <f aca="false">B2026&amp;" "&amp;C2026&amp;" "&amp;D2026&amp;" "&amp;E2026&amp;" "&amp;G2026&amp;" "&amp;H2026&amp;" "&amp;J2026&amp;" "&amp;N2026</f>
        <v>Differentials Precursor     CIF Sweden (Diff) </v>
      </c>
      <c r="S2026" s="25"/>
      <c r="T2026" s="8"/>
      <c r="U2026" s="8"/>
      <c r="V2026" s="25"/>
      <c r="W2026" s="25"/>
      <c r="X2026" s="25"/>
      <c r="Y2026" s="25"/>
      <c r="Z2026" s="25"/>
      <c r="AA2026" s="25"/>
      <c r="AB2026" s="25"/>
      <c r="AC2026" s="25"/>
      <c r="AD2026" s="25"/>
    </row>
    <row r="2027" customFormat="false" ht="15.75" hidden="false" customHeight="false" outlineLevel="0" collapsed="false">
      <c r="A2027" s="28" t="s">
        <v>2435</v>
      </c>
      <c r="B2027" s="27" t="s">
        <v>438</v>
      </c>
      <c r="C2027" s="27" t="s">
        <v>383</v>
      </c>
      <c r="D2027" s="25"/>
      <c r="E2027" s="25"/>
      <c r="F2027" s="25"/>
      <c r="G2027" s="25"/>
      <c r="H2027" s="25"/>
      <c r="I2027" s="25"/>
      <c r="J2027" s="27" t="s">
        <v>2372</v>
      </c>
      <c r="K2027" s="25" t="str">
        <f aca="false">IFERROR(__xludf.dummyfunction("SPLIT(J2027,"" "")"),"CIF")</f>
        <v>CIF</v>
      </c>
      <c r="L2027" s="28" t="str">
        <f aca="false">IFERROR(__xludf.dummyfunction("""COMPUTED_VALUE"""),"Sweden")</f>
        <v>Sweden</v>
      </c>
      <c r="M2027" s="27" t="str">
        <f aca="false">IFERROR(__xludf.dummyfunction("""COMPUTED_VALUE"""),"(Diff)")</f>
        <v>(Diff)</v>
      </c>
      <c r="N2027" s="25"/>
      <c r="O2027" s="25"/>
      <c r="P2027" s="25"/>
      <c r="Q2027" s="29" t="s">
        <v>402</v>
      </c>
      <c r="R2027" s="8" t="str">
        <f aca="false">B2027&amp;" "&amp;C2027&amp;" "&amp;D2027&amp;" "&amp;E2027&amp;" "&amp;G2027&amp;" "&amp;H2027&amp;" "&amp;J2027&amp;" "&amp;N2027</f>
        <v>Differentials Precursor     CIF Sweden (Diff) </v>
      </c>
      <c r="S2027" s="25"/>
      <c r="T2027" s="8"/>
      <c r="U2027" s="8"/>
      <c r="V2027" s="25"/>
      <c r="W2027" s="25"/>
      <c r="X2027" s="25"/>
      <c r="Y2027" s="25"/>
      <c r="Z2027" s="25"/>
      <c r="AA2027" s="25"/>
      <c r="AB2027" s="25"/>
      <c r="AC2027" s="25"/>
      <c r="AD2027" s="25"/>
    </row>
    <row r="2028" customFormat="false" ht="15.75" hidden="false" customHeight="false" outlineLevel="0" collapsed="false">
      <c r="A2028" s="28" t="s">
        <v>2436</v>
      </c>
      <c r="B2028" s="27" t="s">
        <v>438</v>
      </c>
      <c r="C2028" s="27" t="s">
        <v>383</v>
      </c>
      <c r="D2028" s="25"/>
      <c r="E2028" s="25"/>
      <c r="F2028" s="25"/>
      <c r="G2028" s="25"/>
      <c r="H2028" s="25"/>
      <c r="I2028" s="25"/>
      <c r="J2028" s="27" t="s">
        <v>2372</v>
      </c>
      <c r="K2028" s="25" t="str">
        <f aca="false">IFERROR(__xludf.dummyfunction("SPLIT(J2028,"" "")"),"CIF")</f>
        <v>CIF</v>
      </c>
      <c r="L2028" s="28" t="str">
        <f aca="false">IFERROR(__xludf.dummyfunction("""COMPUTED_VALUE"""),"Sweden")</f>
        <v>Sweden</v>
      </c>
      <c r="M2028" s="27" t="str">
        <f aca="false">IFERROR(__xludf.dummyfunction("""COMPUTED_VALUE"""),"(Diff)")</f>
        <v>(Diff)</v>
      </c>
      <c r="N2028" s="25"/>
      <c r="O2028" s="25"/>
      <c r="P2028" s="25"/>
      <c r="Q2028" s="29" t="s">
        <v>400</v>
      </c>
      <c r="R2028" s="8" t="str">
        <f aca="false">B2028&amp;" "&amp;C2028&amp;" "&amp;D2028&amp;" "&amp;E2028&amp;" "&amp;G2028&amp;" "&amp;H2028&amp;" "&amp;J2028&amp;" "&amp;N2028</f>
        <v>Differentials Precursor     CIF Sweden (Diff) </v>
      </c>
      <c r="S2028" s="25"/>
      <c r="T2028" s="8"/>
      <c r="U2028" s="8"/>
      <c r="V2028" s="25"/>
      <c r="W2028" s="25"/>
      <c r="X2028" s="25"/>
      <c r="Y2028" s="25"/>
      <c r="Z2028" s="25"/>
      <c r="AA2028" s="25"/>
      <c r="AB2028" s="25"/>
      <c r="AC2028" s="25"/>
      <c r="AD2028" s="25"/>
    </row>
    <row r="2029" customFormat="false" ht="15.75" hidden="false" customHeight="false" outlineLevel="0" collapsed="false">
      <c r="A2029" s="28" t="s">
        <v>2437</v>
      </c>
      <c r="B2029" s="27" t="s">
        <v>438</v>
      </c>
      <c r="C2029" s="27" t="s">
        <v>383</v>
      </c>
      <c r="D2029" s="25"/>
      <c r="E2029" s="25"/>
      <c r="F2029" s="25"/>
      <c r="G2029" s="25"/>
      <c r="H2029" s="25"/>
      <c r="I2029" s="25"/>
      <c r="J2029" s="27" t="s">
        <v>2372</v>
      </c>
      <c r="K2029" s="25" t="str">
        <f aca="false">IFERROR(__xludf.dummyfunction("SPLIT(J2029,"" "")"),"CIF")</f>
        <v>CIF</v>
      </c>
      <c r="L2029" s="28" t="str">
        <f aca="false">IFERROR(__xludf.dummyfunction("""COMPUTED_VALUE"""),"Sweden")</f>
        <v>Sweden</v>
      </c>
      <c r="M2029" s="27" t="str">
        <f aca="false">IFERROR(__xludf.dummyfunction("""COMPUTED_VALUE"""),"(Diff)")</f>
        <v>(Diff)</v>
      </c>
      <c r="N2029" s="25"/>
      <c r="O2029" s="25"/>
      <c r="P2029" s="25"/>
      <c r="Q2029" s="29" t="s">
        <v>398</v>
      </c>
      <c r="R2029" s="8" t="str">
        <f aca="false">B2029&amp;" "&amp;C2029&amp;" "&amp;D2029&amp;" "&amp;E2029&amp;" "&amp;G2029&amp;" "&amp;H2029&amp;" "&amp;J2029&amp;" "&amp;N2029</f>
        <v>Differentials Precursor     CIF Sweden (Diff) </v>
      </c>
      <c r="S2029" s="25"/>
      <c r="T2029" s="8"/>
      <c r="U2029" s="8"/>
      <c r="V2029" s="25"/>
      <c r="W2029" s="25"/>
      <c r="X2029" s="25"/>
      <c r="Y2029" s="25"/>
      <c r="Z2029" s="25"/>
      <c r="AA2029" s="25"/>
      <c r="AB2029" s="25"/>
      <c r="AC2029" s="25"/>
      <c r="AD2029" s="25"/>
    </row>
    <row r="2030" customFormat="false" ht="15.75" hidden="false" customHeight="false" outlineLevel="0" collapsed="false">
      <c r="A2030" s="28" t="s">
        <v>2438</v>
      </c>
      <c r="B2030" s="27" t="s">
        <v>438</v>
      </c>
      <c r="C2030" s="27" t="s">
        <v>383</v>
      </c>
      <c r="D2030" s="25"/>
      <c r="E2030" s="25"/>
      <c r="F2030" s="25"/>
      <c r="G2030" s="25"/>
      <c r="H2030" s="25"/>
      <c r="I2030" s="25"/>
      <c r="J2030" s="27" t="s">
        <v>2372</v>
      </c>
      <c r="K2030" s="25" t="str">
        <f aca="false">IFERROR(__xludf.dummyfunction("SPLIT(J2030,"" "")"),"CIF")</f>
        <v>CIF</v>
      </c>
      <c r="L2030" s="28" t="str">
        <f aca="false">IFERROR(__xludf.dummyfunction("""COMPUTED_VALUE"""),"Sweden")</f>
        <v>Sweden</v>
      </c>
      <c r="M2030" s="27" t="str">
        <f aca="false">IFERROR(__xludf.dummyfunction("""COMPUTED_VALUE"""),"(Diff)")</f>
        <v>(Diff)</v>
      </c>
      <c r="N2030" s="25"/>
      <c r="O2030" s="25"/>
      <c r="P2030" s="25"/>
      <c r="Q2030" s="29" t="s">
        <v>259</v>
      </c>
      <c r="R2030" s="8" t="str">
        <f aca="false">B2030&amp;" "&amp;C2030&amp;" "&amp;D2030&amp;" "&amp;E2030&amp;" "&amp;G2030&amp;" "&amp;H2030&amp;" "&amp;J2030&amp;" "&amp;N2030</f>
        <v>Differentials Precursor     CIF Sweden (Diff) </v>
      </c>
      <c r="S2030" s="25"/>
      <c r="T2030" s="8"/>
      <c r="U2030" s="8"/>
      <c r="V2030" s="25"/>
      <c r="W2030" s="25"/>
      <c r="X2030" s="25"/>
      <c r="Y2030" s="25"/>
      <c r="Z2030" s="25"/>
      <c r="AA2030" s="25"/>
      <c r="AB2030" s="25"/>
      <c r="AC2030" s="25"/>
      <c r="AD2030" s="25"/>
    </row>
    <row r="2031" customFormat="false" ht="15.75" hidden="false" customHeight="false" outlineLevel="0" collapsed="false">
      <c r="A2031" s="28" t="s">
        <v>2439</v>
      </c>
      <c r="B2031" s="27" t="s">
        <v>438</v>
      </c>
      <c r="C2031" s="27" t="s">
        <v>383</v>
      </c>
      <c r="D2031" s="25"/>
      <c r="E2031" s="25"/>
      <c r="F2031" s="25"/>
      <c r="G2031" s="25"/>
      <c r="H2031" s="25"/>
      <c r="I2031" s="25"/>
      <c r="J2031" s="27" t="s">
        <v>2372</v>
      </c>
      <c r="K2031" s="25" t="str">
        <f aca="false">IFERROR(__xludf.dummyfunction("SPLIT(J2031,"" "")"),"CIF")</f>
        <v>CIF</v>
      </c>
      <c r="L2031" s="28" t="str">
        <f aca="false">IFERROR(__xludf.dummyfunction("""COMPUTED_VALUE"""),"Sweden")</f>
        <v>Sweden</v>
      </c>
      <c r="M2031" s="27" t="str">
        <f aca="false">IFERROR(__xludf.dummyfunction("""COMPUTED_VALUE"""),"(Diff)")</f>
        <v>(Diff)</v>
      </c>
      <c r="N2031" s="25"/>
      <c r="O2031" s="25"/>
      <c r="P2031" s="25"/>
      <c r="Q2031" s="29" t="s">
        <v>395</v>
      </c>
      <c r="R2031" s="8" t="str">
        <f aca="false">B2031&amp;" "&amp;C2031&amp;" "&amp;D2031&amp;" "&amp;E2031&amp;" "&amp;G2031&amp;" "&amp;H2031&amp;" "&amp;J2031&amp;" "&amp;N2031</f>
        <v>Differentials Precursor     CIF Sweden (Diff) </v>
      </c>
      <c r="S2031" s="25"/>
      <c r="T2031" s="8"/>
      <c r="U2031" s="8"/>
      <c r="V2031" s="25"/>
      <c r="W2031" s="25"/>
      <c r="X2031" s="25"/>
      <c r="Y2031" s="25"/>
      <c r="Z2031" s="25"/>
      <c r="AA2031" s="25"/>
      <c r="AB2031" s="25"/>
      <c r="AC2031" s="25"/>
      <c r="AD2031" s="25"/>
    </row>
    <row r="2032" customFormat="false" ht="15.75" hidden="false" customHeight="false" outlineLevel="0" collapsed="false">
      <c r="A2032" s="28" t="s">
        <v>2440</v>
      </c>
      <c r="B2032" s="27" t="s">
        <v>438</v>
      </c>
      <c r="C2032" s="27" t="s">
        <v>383</v>
      </c>
      <c r="D2032" s="25"/>
      <c r="E2032" s="25"/>
      <c r="F2032" s="25"/>
      <c r="G2032" s="25"/>
      <c r="H2032" s="25"/>
      <c r="I2032" s="25"/>
      <c r="J2032" s="27" t="s">
        <v>2372</v>
      </c>
      <c r="K2032" s="25" t="str">
        <f aca="false">IFERROR(__xludf.dummyfunction("SPLIT(J2032,"" "")"),"CIF")</f>
        <v>CIF</v>
      </c>
      <c r="L2032" s="28" t="str">
        <f aca="false">IFERROR(__xludf.dummyfunction("""COMPUTED_VALUE"""),"Sweden")</f>
        <v>Sweden</v>
      </c>
      <c r="M2032" s="27" t="str">
        <f aca="false">IFERROR(__xludf.dummyfunction("""COMPUTED_VALUE"""),"(Diff)")</f>
        <v>(Diff)</v>
      </c>
      <c r="N2032" s="25"/>
      <c r="O2032" s="25"/>
      <c r="P2032" s="25"/>
      <c r="Q2032" s="29" t="s">
        <v>393</v>
      </c>
      <c r="R2032" s="8" t="str">
        <f aca="false">B2032&amp;" "&amp;C2032&amp;" "&amp;D2032&amp;" "&amp;E2032&amp;" "&amp;G2032&amp;" "&amp;H2032&amp;" "&amp;J2032&amp;" "&amp;N2032</f>
        <v>Differentials Precursor     CIF Sweden (Diff) </v>
      </c>
      <c r="S2032" s="25"/>
      <c r="T2032" s="8"/>
      <c r="U2032" s="8"/>
      <c r="V2032" s="25"/>
      <c r="W2032" s="25"/>
      <c r="X2032" s="25"/>
      <c r="Y2032" s="25"/>
      <c r="Z2032" s="25"/>
      <c r="AA2032" s="25"/>
      <c r="AB2032" s="25"/>
      <c r="AC2032" s="25"/>
      <c r="AD2032" s="25"/>
    </row>
    <row r="2033" customFormat="false" ht="15.75" hidden="false" customHeight="false" outlineLevel="0" collapsed="false">
      <c r="A2033" s="28" t="s">
        <v>2441</v>
      </c>
      <c r="B2033" s="27" t="s">
        <v>438</v>
      </c>
      <c r="C2033" s="27" t="s">
        <v>383</v>
      </c>
      <c r="D2033" s="25"/>
      <c r="E2033" s="25"/>
      <c r="F2033" s="25"/>
      <c r="G2033" s="25"/>
      <c r="H2033" s="25"/>
      <c r="I2033" s="25"/>
      <c r="J2033" s="27" t="s">
        <v>2372</v>
      </c>
      <c r="K2033" s="25" t="str">
        <f aca="false">IFERROR(__xludf.dummyfunction("SPLIT(J2033,"" "")"),"CIF")</f>
        <v>CIF</v>
      </c>
      <c r="L2033" s="28" t="str">
        <f aca="false">IFERROR(__xludf.dummyfunction("""COMPUTED_VALUE"""),"Sweden")</f>
        <v>Sweden</v>
      </c>
      <c r="M2033" s="27" t="str">
        <f aca="false">IFERROR(__xludf.dummyfunction("""COMPUTED_VALUE"""),"(Diff)")</f>
        <v>(Diff)</v>
      </c>
      <c r="N2033" s="25"/>
      <c r="O2033" s="25"/>
      <c r="P2033" s="25"/>
      <c r="Q2033" s="29" t="s">
        <v>391</v>
      </c>
      <c r="R2033" s="8" t="str">
        <f aca="false">B2033&amp;" "&amp;C2033&amp;" "&amp;D2033&amp;" "&amp;E2033&amp;" "&amp;G2033&amp;" "&amp;H2033&amp;" "&amp;J2033&amp;" "&amp;N2033</f>
        <v>Differentials Precursor     CIF Sweden (Diff) </v>
      </c>
      <c r="S2033" s="25"/>
      <c r="T2033" s="8"/>
      <c r="U2033" s="8"/>
      <c r="V2033" s="25"/>
      <c r="W2033" s="25"/>
      <c r="X2033" s="25"/>
      <c r="Y2033" s="25"/>
      <c r="Z2033" s="25"/>
      <c r="AA2033" s="25"/>
      <c r="AB2033" s="25"/>
      <c r="AC2033" s="25"/>
      <c r="AD2033" s="25"/>
    </row>
    <row r="2034" customFormat="false" ht="15.75" hidden="false" customHeight="false" outlineLevel="0" collapsed="false">
      <c r="A2034" s="28" t="s">
        <v>2442</v>
      </c>
      <c r="B2034" s="27" t="s">
        <v>438</v>
      </c>
      <c r="C2034" s="27" t="s">
        <v>383</v>
      </c>
      <c r="D2034" s="25"/>
      <c r="E2034" s="25"/>
      <c r="F2034" s="25"/>
      <c r="G2034" s="25"/>
      <c r="H2034" s="25"/>
      <c r="I2034" s="25"/>
      <c r="J2034" s="27" t="s">
        <v>2372</v>
      </c>
      <c r="K2034" s="25" t="str">
        <f aca="false">IFERROR(__xludf.dummyfunction("SPLIT(J2034,"" "")"),"CIF")</f>
        <v>CIF</v>
      </c>
      <c r="L2034" s="28" t="str">
        <f aca="false">IFERROR(__xludf.dummyfunction("""COMPUTED_VALUE"""),"Sweden")</f>
        <v>Sweden</v>
      </c>
      <c r="M2034" s="27" t="str">
        <f aca="false">IFERROR(__xludf.dummyfunction("""COMPUTED_VALUE"""),"(Diff)")</f>
        <v>(Diff)</v>
      </c>
      <c r="N2034" s="25"/>
      <c r="O2034" s="25"/>
      <c r="P2034" s="25"/>
      <c r="Q2034" s="29" t="s">
        <v>389</v>
      </c>
      <c r="R2034" s="8" t="str">
        <f aca="false">B2034&amp;" "&amp;C2034&amp;" "&amp;D2034&amp;" "&amp;E2034&amp;" "&amp;G2034&amp;" "&amp;H2034&amp;" "&amp;J2034&amp;" "&amp;N2034</f>
        <v>Differentials Precursor     CIF Sweden (Diff) </v>
      </c>
      <c r="S2034" s="25"/>
      <c r="T2034" s="8"/>
      <c r="U2034" s="8"/>
      <c r="V2034" s="25"/>
      <c r="W2034" s="25"/>
      <c r="X2034" s="25"/>
      <c r="Y2034" s="25"/>
      <c r="Z2034" s="25"/>
      <c r="AA2034" s="25"/>
      <c r="AB2034" s="25"/>
      <c r="AC2034" s="25"/>
      <c r="AD2034" s="25"/>
    </row>
    <row r="2035" customFormat="false" ht="15.75" hidden="false" customHeight="false" outlineLevel="0" collapsed="false">
      <c r="A2035" s="28" t="s">
        <v>2443</v>
      </c>
      <c r="B2035" s="27" t="s">
        <v>438</v>
      </c>
      <c r="C2035" s="27" t="s">
        <v>383</v>
      </c>
      <c r="D2035" s="25"/>
      <c r="E2035" s="25"/>
      <c r="F2035" s="25"/>
      <c r="G2035" s="25"/>
      <c r="H2035" s="25"/>
      <c r="I2035" s="25"/>
      <c r="J2035" s="27" t="s">
        <v>2372</v>
      </c>
      <c r="K2035" s="25" t="str">
        <f aca="false">IFERROR(__xludf.dummyfunction("SPLIT(J2035,"" "")"),"CIF")</f>
        <v>CIF</v>
      </c>
      <c r="L2035" s="28" t="str">
        <f aca="false">IFERROR(__xludf.dummyfunction("""COMPUTED_VALUE"""),"Sweden")</f>
        <v>Sweden</v>
      </c>
      <c r="M2035" s="27" t="str">
        <f aca="false">IFERROR(__xludf.dummyfunction("""COMPUTED_VALUE"""),"(Diff)")</f>
        <v>(Diff)</v>
      </c>
      <c r="N2035" s="25"/>
      <c r="O2035" s="25"/>
      <c r="P2035" s="25"/>
      <c r="Q2035" s="29" t="s">
        <v>387</v>
      </c>
      <c r="R2035" s="8" t="str">
        <f aca="false">B2035&amp;" "&amp;C2035&amp;" "&amp;D2035&amp;" "&amp;E2035&amp;" "&amp;G2035&amp;" "&amp;H2035&amp;" "&amp;J2035&amp;" "&amp;N2035</f>
        <v>Differentials Precursor     CIF Sweden (Diff) </v>
      </c>
      <c r="S2035" s="25"/>
      <c r="T2035" s="8"/>
      <c r="U2035" s="8"/>
      <c r="V2035" s="25"/>
      <c r="W2035" s="25"/>
      <c r="X2035" s="25"/>
      <c r="Y2035" s="25"/>
      <c r="Z2035" s="25"/>
      <c r="AA2035" s="25"/>
      <c r="AB2035" s="25"/>
      <c r="AC2035" s="25"/>
      <c r="AD2035" s="25"/>
    </row>
    <row r="2036" customFormat="false" ht="15.75" hidden="false" customHeight="false" outlineLevel="0" collapsed="false">
      <c r="A2036" s="28" t="s">
        <v>2444</v>
      </c>
      <c r="B2036" s="27" t="s">
        <v>438</v>
      </c>
      <c r="C2036" s="27" t="s">
        <v>383</v>
      </c>
      <c r="D2036" s="25"/>
      <c r="E2036" s="25"/>
      <c r="F2036" s="25"/>
      <c r="G2036" s="25"/>
      <c r="H2036" s="25"/>
      <c r="I2036" s="25"/>
      <c r="J2036" s="27" t="s">
        <v>2372</v>
      </c>
      <c r="K2036" s="25" t="str">
        <f aca="false">IFERROR(__xludf.dummyfunction("SPLIT(J2036,"" "")"),"CIF")</f>
        <v>CIF</v>
      </c>
      <c r="L2036" s="28" t="str">
        <f aca="false">IFERROR(__xludf.dummyfunction("""COMPUTED_VALUE"""),"Sweden")</f>
        <v>Sweden</v>
      </c>
      <c r="M2036" s="27" t="str">
        <f aca="false">IFERROR(__xludf.dummyfunction("""COMPUTED_VALUE"""),"(Diff)")</f>
        <v>(Diff)</v>
      </c>
      <c r="N2036" s="25"/>
      <c r="O2036" s="25"/>
      <c r="P2036" s="25"/>
      <c r="Q2036" s="29" t="s">
        <v>385</v>
      </c>
      <c r="R2036" s="8" t="str">
        <f aca="false">B2036&amp;" "&amp;C2036&amp;" "&amp;D2036&amp;" "&amp;E2036&amp;" "&amp;G2036&amp;" "&amp;H2036&amp;" "&amp;J2036&amp;" "&amp;N2036</f>
        <v>Differentials Precursor     CIF Sweden (Diff) </v>
      </c>
      <c r="S2036" s="25"/>
      <c r="T2036" s="8"/>
      <c r="U2036" s="8"/>
      <c r="V2036" s="25"/>
      <c r="W2036" s="25"/>
      <c r="X2036" s="25"/>
      <c r="Y2036" s="25"/>
      <c r="Z2036" s="25"/>
      <c r="AA2036" s="25"/>
      <c r="AB2036" s="25"/>
      <c r="AC2036" s="25"/>
      <c r="AD2036" s="25"/>
    </row>
    <row r="2037" customFormat="false" ht="15.75" hidden="false" customHeight="false" outlineLevel="0" collapsed="false">
      <c r="A2037" s="28" t="s">
        <v>2445</v>
      </c>
      <c r="B2037" s="27" t="s">
        <v>438</v>
      </c>
      <c r="C2037" s="27" t="s">
        <v>417</v>
      </c>
      <c r="D2037" s="25"/>
      <c r="E2037" s="25"/>
      <c r="F2037" s="25"/>
      <c r="G2037" s="25"/>
      <c r="H2037" s="25"/>
      <c r="I2037" s="25"/>
      <c r="J2037" s="27" t="s">
        <v>2372</v>
      </c>
      <c r="K2037" s="25" t="str">
        <f aca="false">IFERROR(__xludf.dummyfunction("SPLIT(J2037,"" "")"),"CIF")</f>
        <v>CIF</v>
      </c>
      <c r="L2037" s="28" t="str">
        <f aca="false">IFERROR(__xludf.dummyfunction("""COMPUTED_VALUE"""),"Sweden")</f>
        <v>Sweden</v>
      </c>
      <c r="M2037" s="27" t="str">
        <f aca="false">IFERROR(__xludf.dummyfunction("""COMPUTED_VALUE"""),"(Diff)")</f>
        <v>(Diff)</v>
      </c>
      <c r="N2037" s="25"/>
      <c r="O2037" s="25"/>
      <c r="P2037" s="25"/>
      <c r="Q2037" s="29" t="s">
        <v>436</v>
      </c>
      <c r="R2037" s="8" t="str">
        <f aca="false">B2037&amp;" "&amp;C2037&amp;" "&amp;D2037&amp;" "&amp;E2037&amp;" "&amp;G2037&amp;" "&amp;H2037&amp;" "&amp;J2037&amp;" "&amp;N2037</f>
        <v>Differentials Solvent     CIF Sweden (Diff) </v>
      </c>
      <c r="S2037" s="25"/>
      <c r="T2037" s="8"/>
      <c r="U2037" s="8"/>
      <c r="V2037" s="25"/>
      <c r="W2037" s="25"/>
      <c r="X2037" s="25"/>
      <c r="Y2037" s="25"/>
      <c r="Z2037" s="25"/>
      <c r="AA2037" s="25"/>
      <c r="AB2037" s="25"/>
      <c r="AC2037" s="25"/>
      <c r="AD2037" s="25"/>
    </row>
    <row r="2038" customFormat="false" ht="15.75" hidden="false" customHeight="false" outlineLevel="0" collapsed="false">
      <c r="A2038" s="28" t="s">
        <v>2446</v>
      </c>
      <c r="B2038" s="27" t="s">
        <v>438</v>
      </c>
      <c r="C2038" s="27" t="s">
        <v>417</v>
      </c>
      <c r="D2038" s="25"/>
      <c r="E2038" s="25"/>
      <c r="F2038" s="25"/>
      <c r="G2038" s="25"/>
      <c r="H2038" s="25"/>
      <c r="I2038" s="25"/>
      <c r="J2038" s="27" t="s">
        <v>2372</v>
      </c>
      <c r="K2038" s="25" t="str">
        <f aca="false">IFERROR(__xludf.dummyfunction("SPLIT(J2038,"" "")"),"CIF")</f>
        <v>CIF</v>
      </c>
      <c r="L2038" s="28" t="str">
        <f aca="false">IFERROR(__xludf.dummyfunction("""COMPUTED_VALUE"""),"Sweden")</f>
        <v>Sweden</v>
      </c>
      <c r="M2038" s="27" t="str">
        <f aca="false">IFERROR(__xludf.dummyfunction("""COMPUTED_VALUE"""),"(Diff)")</f>
        <v>(Diff)</v>
      </c>
      <c r="N2038" s="25"/>
      <c r="O2038" s="25"/>
      <c r="P2038" s="25"/>
      <c r="Q2038" s="29" t="s">
        <v>434</v>
      </c>
      <c r="R2038" s="8" t="str">
        <f aca="false">B2038&amp;" "&amp;C2038&amp;" "&amp;D2038&amp;" "&amp;E2038&amp;" "&amp;G2038&amp;" "&amp;H2038&amp;" "&amp;J2038&amp;" "&amp;N2038</f>
        <v>Differentials Solvent     CIF Sweden (Diff) </v>
      </c>
      <c r="S2038" s="25"/>
      <c r="T2038" s="8"/>
      <c r="U2038" s="8"/>
      <c r="V2038" s="25"/>
      <c r="W2038" s="25"/>
      <c r="X2038" s="25"/>
      <c r="Y2038" s="25"/>
      <c r="Z2038" s="25"/>
      <c r="AA2038" s="25"/>
      <c r="AB2038" s="25"/>
      <c r="AC2038" s="25"/>
      <c r="AD2038" s="25"/>
    </row>
    <row r="2039" customFormat="false" ht="15.75" hidden="false" customHeight="false" outlineLevel="0" collapsed="false">
      <c r="A2039" s="28" t="s">
        <v>2447</v>
      </c>
      <c r="B2039" s="27" t="s">
        <v>438</v>
      </c>
      <c r="C2039" s="27" t="s">
        <v>417</v>
      </c>
      <c r="D2039" s="25"/>
      <c r="E2039" s="25"/>
      <c r="F2039" s="25"/>
      <c r="G2039" s="25"/>
      <c r="H2039" s="25"/>
      <c r="I2039" s="25"/>
      <c r="J2039" s="27" t="s">
        <v>2372</v>
      </c>
      <c r="K2039" s="25" t="str">
        <f aca="false">IFERROR(__xludf.dummyfunction("SPLIT(J2039,"" "")"),"CIF")</f>
        <v>CIF</v>
      </c>
      <c r="L2039" s="28" t="str">
        <f aca="false">IFERROR(__xludf.dummyfunction("""COMPUTED_VALUE"""),"Sweden")</f>
        <v>Sweden</v>
      </c>
      <c r="M2039" s="27" t="str">
        <f aca="false">IFERROR(__xludf.dummyfunction("""COMPUTED_VALUE"""),"(Diff)")</f>
        <v>(Diff)</v>
      </c>
      <c r="N2039" s="25"/>
      <c r="O2039" s="25"/>
      <c r="P2039" s="25"/>
      <c r="Q2039" s="29" t="s">
        <v>432</v>
      </c>
      <c r="R2039" s="8" t="str">
        <f aca="false">B2039&amp;" "&amp;C2039&amp;" "&amp;D2039&amp;" "&amp;E2039&amp;" "&amp;G2039&amp;" "&amp;H2039&amp;" "&amp;J2039&amp;" "&amp;N2039</f>
        <v>Differentials Solvent     CIF Sweden (Diff) </v>
      </c>
      <c r="S2039" s="25"/>
      <c r="T2039" s="8"/>
      <c r="U2039" s="8"/>
      <c r="V2039" s="25"/>
      <c r="W2039" s="25"/>
      <c r="X2039" s="25"/>
      <c r="Y2039" s="25"/>
      <c r="Z2039" s="25"/>
      <c r="AA2039" s="25"/>
      <c r="AB2039" s="25"/>
      <c r="AC2039" s="25"/>
      <c r="AD2039" s="25"/>
    </row>
    <row r="2040" customFormat="false" ht="15.75" hidden="false" customHeight="false" outlineLevel="0" collapsed="false">
      <c r="A2040" s="28" t="s">
        <v>2448</v>
      </c>
      <c r="B2040" s="27" t="s">
        <v>438</v>
      </c>
      <c r="C2040" s="27" t="s">
        <v>417</v>
      </c>
      <c r="D2040" s="25"/>
      <c r="E2040" s="25"/>
      <c r="F2040" s="25"/>
      <c r="G2040" s="25"/>
      <c r="H2040" s="25"/>
      <c r="I2040" s="25"/>
      <c r="J2040" s="27" t="s">
        <v>2372</v>
      </c>
      <c r="K2040" s="25" t="str">
        <f aca="false">IFERROR(__xludf.dummyfunction("SPLIT(J2040,"" "")"),"CIF")</f>
        <v>CIF</v>
      </c>
      <c r="L2040" s="28" t="str">
        <f aca="false">IFERROR(__xludf.dummyfunction("""COMPUTED_VALUE"""),"Sweden")</f>
        <v>Sweden</v>
      </c>
      <c r="M2040" s="27" t="str">
        <f aca="false">IFERROR(__xludf.dummyfunction("""COMPUTED_VALUE"""),"(Diff)")</f>
        <v>(Diff)</v>
      </c>
      <c r="N2040" s="25"/>
      <c r="O2040" s="25"/>
      <c r="P2040" s="25"/>
      <c r="Q2040" s="29" t="s">
        <v>430</v>
      </c>
      <c r="R2040" s="8" t="str">
        <f aca="false">B2040&amp;" "&amp;C2040&amp;" "&amp;D2040&amp;" "&amp;E2040&amp;" "&amp;G2040&amp;" "&amp;H2040&amp;" "&amp;J2040&amp;" "&amp;N2040</f>
        <v>Differentials Solvent     CIF Sweden (Diff) </v>
      </c>
      <c r="S2040" s="25"/>
      <c r="T2040" s="8"/>
      <c r="U2040" s="8"/>
      <c r="V2040" s="25"/>
      <c r="W2040" s="25"/>
      <c r="X2040" s="25"/>
      <c r="Y2040" s="25"/>
      <c r="Z2040" s="25"/>
      <c r="AA2040" s="25"/>
      <c r="AB2040" s="25"/>
      <c r="AC2040" s="25"/>
      <c r="AD2040" s="25"/>
    </row>
    <row r="2041" customFormat="false" ht="15.75" hidden="false" customHeight="false" outlineLevel="0" collapsed="false">
      <c r="A2041" s="28" t="s">
        <v>2449</v>
      </c>
      <c r="B2041" s="27" t="s">
        <v>438</v>
      </c>
      <c r="C2041" s="27" t="s">
        <v>417</v>
      </c>
      <c r="D2041" s="25"/>
      <c r="E2041" s="25"/>
      <c r="F2041" s="25"/>
      <c r="G2041" s="25"/>
      <c r="H2041" s="25"/>
      <c r="I2041" s="25"/>
      <c r="J2041" s="27" t="s">
        <v>2372</v>
      </c>
      <c r="K2041" s="25" t="str">
        <f aca="false">IFERROR(__xludf.dummyfunction("SPLIT(J2041,"" "")"),"CIF")</f>
        <v>CIF</v>
      </c>
      <c r="L2041" s="28" t="str">
        <f aca="false">IFERROR(__xludf.dummyfunction("""COMPUTED_VALUE"""),"Sweden")</f>
        <v>Sweden</v>
      </c>
      <c r="M2041" s="27" t="str">
        <f aca="false">IFERROR(__xludf.dummyfunction("""COMPUTED_VALUE"""),"(Diff)")</f>
        <v>(Diff)</v>
      </c>
      <c r="N2041" s="25"/>
      <c r="O2041" s="25"/>
      <c r="P2041" s="25"/>
      <c r="Q2041" s="29" t="s">
        <v>428</v>
      </c>
      <c r="R2041" s="8" t="str">
        <f aca="false">B2041&amp;" "&amp;C2041&amp;" "&amp;D2041&amp;" "&amp;E2041&amp;" "&amp;G2041&amp;" "&amp;H2041&amp;" "&amp;J2041&amp;" "&amp;N2041</f>
        <v>Differentials Solvent     CIF Sweden (Diff) </v>
      </c>
      <c r="S2041" s="25"/>
      <c r="T2041" s="8"/>
      <c r="U2041" s="8"/>
      <c r="V2041" s="25"/>
      <c r="W2041" s="25"/>
      <c r="X2041" s="25"/>
      <c r="Y2041" s="25"/>
      <c r="Z2041" s="25"/>
      <c r="AA2041" s="25"/>
      <c r="AB2041" s="25"/>
      <c r="AC2041" s="25"/>
      <c r="AD2041" s="25"/>
    </row>
    <row r="2042" customFormat="false" ht="15.75" hidden="false" customHeight="false" outlineLevel="0" collapsed="false">
      <c r="A2042" s="28" t="s">
        <v>2450</v>
      </c>
      <c r="B2042" s="27" t="s">
        <v>438</v>
      </c>
      <c r="C2042" s="27" t="s">
        <v>417</v>
      </c>
      <c r="D2042" s="25"/>
      <c r="E2042" s="25"/>
      <c r="F2042" s="25"/>
      <c r="G2042" s="25"/>
      <c r="H2042" s="25"/>
      <c r="I2042" s="25"/>
      <c r="J2042" s="27" t="s">
        <v>2372</v>
      </c>
      <c r="K2042" s="25" t="str">
        <f aca="false">IFERROR(__xludf.dummyfunction("SPLIT(J2042,"" "")"),"CIF")</f>
        <v>CIF</v>
      </c>
      <c r="L2042" s="28" t="str">
        <f aca="false">IFERROR(__xludf.dummyfunction("""COMPUTED_VALUE"""),"Sweden")</f>
        <v>Sweden</v>
      </c>
      <c r="M2042" s="27" t="str">
        <f aca="false">IFERROR(__xludf.dummyfunction("""COMPUTED_VALUE"""),"(Diff)")</f>
        <v>(Diff)</v>
      </c>
      <c r="N2042" s="25"/>
      <c r="O2042" s="25"/>
      <c r="P2042" s="25"/>
      <c r="Q2042" s="29" t="s">
        <v>426</v>
      </c>
      <c r="R2042" s="8" t="str">
        <f aca="false">B2042&amp;" "&amp;C2042&amp;" "&amp;D2042&amp;" "&amp;E2042&amp;" "&amp;G2042&amp;" "&amp;H2042&amp;" "&amp;J2042&amp;" "&amp;N2042</f>
        <v>Differentials Solvent     CIF Sweden (Diff) </v>
      </c>
      <c r="S2042" s="25"/>
      <c r="T2042" s="8"/>
      <c r="U2042" s="8"/>
      <c r="V2042" s="25"/>
      <c r="W2042" s="25"/>
      <c r="X2042" s="25"/>
      <c r="Y2042" s="25"/>
      <c r="Z2042" s="25"/>
      <c r="AA2042" s="25"/>
      <c r="AB2042" s="25"/>
      <c r="AC2042" s="25"/>
      <c r="AD2042" s="25"/>
    </row>
    <row r="2043" customFormat="false" ht="15.75" hidden="false" customHeight="false" outlineLevel="0" collapsed="false">
      <c r="A2043" s="28" t="s">
        <v>2451</v>
      </c>
      <c r="B2043" s="27" t="s">
        <v>438</v>
      </c>
      <c r="C2043" s="27" t="s">
        <v>417</v>
      </c>
      <c r="D2043" s="25"/>
      <c r="E2043" s="25"/>
      <c r="F2043" s="25"/>
      <c r="G2043" s="25"/>
      <c r="H2043" s="25"/>
      <c r="I2043" s="25"/>
      <c r="J2043" s="27" t="s">
        <v>2372</v>
      </c>
      <c r="K2043" s="25" t="str">
        <f aca="false">IFERROR(__xludf.dummyfunction("SPLIT(J2043,"" "")"),"CIF")</f>
        <v>CIF</v>
      </c>
      <c r="L2043" s="28" t="str">
        <f aca="false">IFERROR(__xludf.dummyfunction("""COMPUTED_VALUE"""),"Sweden")</f>
        <v>Sweden</v>
      </c>
      <c r="M2043" s="27" t="str">
        <f aca="false">IFERROR(__xludf.dummyfunction("""COMPUTED_VALUE"""),"(Diff)")</f>
        <v>(Diff)</v>
      </c>
      <c r="N2043" s="25"/>
      <c r="O2043" s="25"/>
      <c r="P2043" s="25"/>
      <c r="Q2043" s="29" t="s">
        <v>424</v>
      </c>
      <c r="R2043" s="8" t="str">
        <f aca="false">B2043&amp;" "&amp;C2043&amp;" "&amp;D2043&amp;" "&amp;E2043&amp;" "&amp;G2043&amp;" "&amp;H2043&amp;" "&amp;J2043&amp;" "&amp;N2043</f>
        <v>Differentials Solvent     CIF Sweden (Diff) </v>
      </c>
      <c r="S2043" s="25"/>
      <c r="T2043" s="8"/>
      <c r="U2043" s="8"/>
      <c r="V2043" s="25"/>
      <c r="W2043" s="25"/>
      <c r="X2043" s="25"/>
      <c r="Y2043" s="25"/>
      <c r="Z2043" s="25"/>
      <c r="AA2043" s="25"/>
      <c r="AB2043" s="25"/>
      <c r="AC2043" s="25"/>
      <c r="AD2043" s="25"/>
    </row>
    <row r="2044" customFormat="false" ht="15.75" hidden="false" customHeight="false" outlineLevel="0" collapsed="false">
      <c r="A2044" s="28" t="s">
        <v>2452</v>
      </c>
      <c r="B2044" s="27" t="s">
        <v>438</v>
      </c>
      <c r="C2044" s="27" t="s">
        <v>417</v>
      </c>
      <c r="D2044" s="25"/>
      <c r="E2044" s="25"/>
      <c r="F2044" s="25"/>
      <c r="G2044" s="25"/>
      <c r="H2044" s="25"/>
      <c r="I2044" s="25"/>
      <c r="J2044" s="27" t="s">
        <v>2372</v>
      </c>
      <c r="K2044" s="25" t="str">
        <f aca="false">IFERROR(__xludf.dummyfunction("SPLIT(J2044,"" "")"),"CIF")</f>
        <v>CIF</v>
      </c>
      <c r="L2044" s="28" t="str">
        <f aca="false">IFERROR(__xludf.dummyfunction("""COMPUTED_VALUE"""),"Sweden")</f>
        <v>Sweden</v>
      </c>
      <c r="M2044" s="27" t="str">
        <f aca="false">IFERROR(__xludf.dummyfunction("""COMPUTED_VALUE"""),"(Diff)")</f>
        <v>(Diff)</v>
      </c>
      <c r="N2044" s="25"/>
      <c r="O2044" s="25"/>
      <c r="P2044" s="25"/>
      <c r="Q2044" s="29" t="s">
        <v>422</v>
      </c>
      <c r="R2044" s="8" t="str">
        <f aca="false">B2044&amp;" "&amp;C2044&amp;" "&amp;D2044&amp;" "&amp;E2044&amp;" "&amp;G2044&amp;" "&amp;H2044&amp;" "&amp;J2044&amp;" "&amp;N2044</f>
        <v>Differentials Solvent     CIF Sweden (Diff) </v>
      </c>
      <c r="S2044" s="25"/>
      <c r="T2044" s="8"/>
      <c r="U2044" s="8"/>
      <c r="V2044" s="25"/>
      <c r="W2044" s="25"/>
      <c r="X2044" s="25"/>
      <c r="Y2044" s="25"/>
      <c r="Z2044" s="25"/>
      <c r="AA2044" s="25"/>
      <c r="AB2044" s="25"/>
      <c r="AC2044" s="25"/>
      <c r="AD2044" s="25"/>
    </row>
    <row r="2045" customFormat="false" ht="15.75" hidden="false" customHeight="false" outlineLevel="0" collapsed="false">
      <c r="A2045" s="28" t="s">
        <v>2453</v>
      </c>
      <c r="B2045" s="27" t="s">
        <v>438</v>
      </c>
      <c r="C2045" s="27" t="s">
        <v>417</v>
      </c>
      <c r="D2045" s="25"/>
      <c r="E2045" s="25"/>
      <c r="F2045" s="25"/>
      <c r="G2045" s="25"/>
      <c r="H2045" s="25"/>
      <c r="I2045" s="25"/>
      <c r="J2045" s="27" t="s">
        <v>2372</v>
      </c>
      <c r="K2045" s="25" t="str">
        <f aca="false">IFERROR(__xludf.dummyfunction("SPLIT(J2045,"" "")"),"CIF")</f>
        <v>CIF</v>
      </c>
      <c r="L2045" s="28" t="str">
        <f aca="false">IFERROR(__xludf.dummyfunction("""COMPUTED_VALUE"""),"Sweden")</f>
        <v>Sweden</v>
      </c>
      <c r="M2045" s="27" t="str">
        <f aca="false">IFERROR(__xludf.dummyfunction("""COMPUTED_VALUE"""),"(Diff)")</f>
        <v>(Diff)</v>
      </c>
      <c r="N2045" s="25"/>
      <c r="O2045" s="25"/>
      <c r="P2045" s="25"/>
      <c r="Q2045" s="29" t="s">
        <v>420</v>
      </c>
      <c r="R2045" s="8" t="str">
        <f aca="false">B2045&amp;" "&amp;C2045&amp;" "&amp;D2045&amp;" "&amp;E2045&amp;" "&amp;G2045&amp;" "&amp;H2045&amp;" "&amp;J2045&amp;" "&amp;N2045</f>
        <v>Differentials Solvent     CIF Sweden (Diff) </v>
      </c>
      <c r="S2045" s="25"/>
      <c r="T2045" s="8"/>
      <c r="U2045" s="8"/>
      <c r="V2045" s="25"/>
      <c r="W2045" s="25"/>
      <c r="X2045" s="25"/>
      <c r="Y2045" s="25"/>
      <c r="Z2045" s="25"/>
      <c r="AA2045" s="25"/>
      <c r="AB2045" s="25"/>
      <c r="AC2045" s="25"/>
      <c r="AD2045" s="25"/>
    </row>
    <row r="2046" customFormat="false" ht="15.75" hidden="false" customHeight="false" outlineLevel="0" collapsed="false">
      <c r="A2046" s="28" t="s">
        <v>2454</v>
      </c>
      <c r="B2046" s="27" t="s">
        <v>438</v>
      </c>
      <c r="C2046" s="27" t="s">
        <v>417</v>
      </c>
      <c r="D2046" s="25"/>
      <c r="E2046" s="25"/>
      <c r="F2046" s="25"/>
      <c r="G2046" s="25"/>
      <c r="H2046" s="25"/>
      <c r="I2046" s="25"/>
      <c r="J2046" s="27" t="s">
        <v>2372</v>
      </c>
      <c r="K2046" s="25" t="str">
        <f aca="false">IFERROR(__xludf.dummyfunction("SPLIT(J2046,"" "")"),"CIF")</f>
        <v>CIF</v>
      </c>
      <c r="L2046" s="28" t="str">
        <f aca="false">IFERROR(__xludf.dummyfunction("""COMPUTED_VALUE"""),"Sweden")</f>
        <v>Sweden</v>
      </c>
      <c r="M2046" s="27" t="str">
        <f aca="false">IFERROR(__xludf.dummyfunction("""COMPUTED_VALUE"""),"(Diff)")</f>
        <v>(Diff)</v>
      </c>
      <c r="N2046" s="25"/>
      <c r="O2046" s="25"/>
      <c r="P2046" s="25"/>
      <c r="Q2046" s="29" t="s">
        <v>418</v>
      </c>
      <c r="R2046" s="8" t="str">
        <f aca="false">B2046&amp;" "&amp;C2046&amp;" "&amp;D2046&amp;" "&amp;E2046&amp;" "&amp;G2046&amp;" "&amp;H2046&amp;" "&amp;J2046&amp;" "&amp;N2046</f>
        <v>Differentials Solvent     CIF Sweden (Diff) </v>
      </c>
      <c r="S2046" s="25"/>
      <c r="T2046" s="8"/>
      <c r="U2046" s="8"/>
      <c r="V2046" s="25"/>
      <c r="W2046" s="25"/>
      <c r="X2046" s="25"/>
      <c r="Y2046" s="25"/>
      <c r="Z2046" s="25"/>
      <c r="AA2046" s="25"/>
      <c r="AB2046" s="25"/>
      <c r="AC2046" s="25"/>
      <c r="AD2046" s="25"/>
    </row>
    <row r="2047" customFormat="false" ht="15.75" hidden="false" customHeight="false" outlineLevel="0" collapsed="false">
      <c r="A2047" s="28" t="s">
        <v>2455</v>
      </c>
      <c r="B2047" s="27" t="s">
        <v>438</v>
      </c>
      <c r="C2047" s="27" t="s">
        <v>168</v>
      </c>
      <c r="D2047" s="25"/>
      <c r="E2047" s="25"/>
      <c r="F2047" s="25"/>
      <c r="G2047" s="25"/>
      <c r="H2047" s="25"/>
      <c r="I2047" s="25"/>
      <c r="J2047" s="27" t="s">
        <v>2456</v>
      </c>
      <c r="K2047" s="25" t="str">
        <f aca="false">IFERROR(__xludf.dummyfunction("SPLIT(J2047,"" "")"),"CIF")</f>
        <v>CIF</v>
      </c>
      <c r="L2047" s="28" t="str">
        <f aca="false">IFERROR(__xludf.dummyfunction("""COMPUTED_VALUE"""),"Switzerland")</f>
        <v>Switzerland</v>
      </c>
      <c r="M2047" s="27" t="str">
        <f aca="false">IFERROR(__xludf.dummyfunction("""COMPUTED_VALUE"""),"(Diff)")</f>
        <v>(Diff)</v>
      </c>
      <c r="N2047" s="25"/>
      <c r="O2047" s="25"/>
      <c r="P2047" s="25"/>
      <c r="Q2047" s="29" t="s">
        <v>175</v>
      </c>
      <c r="R2047" s="8" t="str">
        <f aca="false">B2047&amp;" "&amp;C2047&amp;" "&amp;D2047&amp;" "&amp;E2047&amp;" "&amp;G2047&amp;" "&amp;H2047&amp;" "&amp;J2047&amp;" "&amp;N2047</f>
        <v>Differentials Aluminium (Battery Grade)     CIF Switzerland (Diff) </v>
      </c>
      <c r="S2047" s="25"/>
      <c r="T2047" s="8"/>
      <c r="U2047" s="8"/>
      <c r="V2047" s="25"/>
      <c r="W2047" s="25"/>
      <c r="X2047" s="25"/>
      <c r="Y2047" s="25"/>
      <c r="Z2047" s="25"/>
      <c r="AA2047" s="25"/>
      <c r="AB2047" s="25"/>
      <c r="AC2047" s="25"/>
      <c r="AD2047" s="25"/>
    </row>
    <row r="2048" customFormat="false" ht="15.75" hidden="false" customHeight="false" outlineLevel="0" collapsed="false">
      <c r="A2048" s="28" t="s">
        <v>2457</v>
      </c>
      <c r="B2048" s="27" t="s">
        <v>438</v>
      </c>
      <c r="C2048" s="27" t="s">
        <v>168</v>
      </c>
      <c r="D2048" s="25"/>
      <c r="E2048" s="25"/>
      <c r="F2048" s="25"/>
      <c r="G2048" s="25"/>
      <c r="H2048" s="25"/>
      <c r="I2048" s="25"/>
      <c r="J2048" s="27" t="s">
        <v>2456</v>
      </c>
      <c r="K2048" s="25" t="str">
        <f aca="false">IFERROR(__xludf.dummyfunction("SPLIT(J2048,"" "")"),"CIF")</f>
        <v>CIF</v>
      </c>
      <c r="L2048" s="28" t="str">
        <f aca="false">IFERROR(__xludf.dummyfunction("""COMPUTED_VALUE"""),"Switzerland")</f>
        <v>Switzerland</v>
      </c>
      <c r="M2048" s="27" t="str">
        <f aca="false">IFERROR(__xludf.dummyfunction("""COMPUTED_VALUE"""),"(Diff)")</f>
        <v>(Diff)</v>
      </c>
      <c r="N2048" s="25"/>
      <c r="O2048" s="25"/>
      <c r="P2048" s="25"/>
      <c r="Q2048" s="29" t="s">
        <v>173</v>
      </c>
      <c r="R2048" s="8" t="str">
        <f aca="false">B2048&amp;" "&amp;C2048&amp;" "&amp;D2048&amp;" "&amp;E2048&amp;" "&amp;G2048&amp;" "&amp;H2048&amp;" "&amp;J2048&amp;" "&amp;N2048</f>
        <v>Differentials Aluminium (Battery Grade)     CIF Switzerland (Diff) </v>
      </c>
      <c r="S2048" s="25"/>
      <c r="T2048" s="8"/>
      <c r="U2048" s="8"/>
      <c r="V2048" s="25"/>
      <c r="W2048" s="25"/>
      <c r="X2048" s="25"/>
      <c r="Y2048" s="25"/>
      <c r="Z2048" s="25"/>
      <c r="AA2048" s="25"/>
      <c r="AB2048" s="25"/>
      <c r="AC2048" s="25"/>
      <c r="AD2048" s="25"/>
    </row>
    <row r="2049" customFormat="false" ht="15.75" hidden="false" customHeight="false" outlineLevel="0" collapsed="false">
      <c r="A2049" s="28" t="s">
        <v>2458</v>
      </c>
      <c r="B2049" s="27" t="s">
        <v>438</v>
      </c>
      <c r="C2049" s="27" t="s">
        <v>168</v>
      </c>
      <c r="D2049" s="25"/>
      <c r="E2049" s="25"/>
      <c r="F2049" s="25"/>
      <c r="G2049" s="25"/>
      <c r="H2049" s="25"/>
      <c r="I2049" s="25"/>
      <c r="J2049" s="27" t="s">
        <v>2456</v>
      </c>
      <c r="K2049" s="25" t="str">
        <f aca="false">IFERROR(__xludf.dummyfunction("SPLIT(J2049,"" "")"),"CIF")</f>
        <v>CIF</v>
      </c>
      <c r="L2049" s="28" t="str">
        <f aca="false">IFERROR(__xludf.dummyfunction("""COMPUTED_VALUE"""),"Switzerland")</f>
        <v>Switzerland</v>
      </c>
      <c r="M2049" s="27" t="str">
        <f aca="false">IFERROR(__xludf.dummyfunction("""COMPUTED_VALUE"""),"(Diff)")</f>
        <v>(Diff)</v>
      </c>
      <c r="N2049" s="25"/>
      <c r="O2049" s="25"/>
      <c r="P2049" s="25"/>
      <c r="Q2049" s="29" t="s">
        <v>169</v>
      </c>
      <c r="R2049" s="8" t="str">
        <f aca="false">B2049&amp;" "&amp;C2049&amp;" "&amp;D2049&amp;" "&amp;E2049&amp;" "&amp;G2049&amp;" "&amp;H2049&amp;" "&amp;J2049&amp;" "&amp;N2049</f>
        <v>Differentials Aluminium (Battery Grade)     CIF Switzerland (Diff) </v>
      </c>
      <c r="S2049" s="25"/>
      <c r="T2049" s="8"/>
      <c r="U2049" s="8"/>
      <c r="V2049" s="25"/>
      <c r="W2049" s="25"/>
      <c r="X2049" s="25"/>
      <c r="Y2049" s="25"/>
      <c r="Z2049" s="25"/>
      <c r="AA2049" s="25"/>
      <c r="AB2049" s="25"/>
      <c r="AC2049" s="25"/>
      <c r="AD2049" s="25"/>
    </row>
    <row r="2050" customFormat="false" ht="15.75" hidden="false" customHeight="false" outlineLevel="0" collapsed="false">
      <c r="A2050" s="28" t="s">
        <v>2459</v>
      </c>
      <c r="B2050" s="27" t="s">
        <v>438</v>
      </c>
      <c r="C2050" s="27" t="s">
        <v>177</v>
      </c>
      <c r="D2050" s="25"/>
      <c r="E2050" s="25"/>
      <c r="F2050" s="25"/>
      <c r="G2050" s="25"/>
      <c r="H2050" s="25"/>
      <c r="I2050" s="25"/>
      <c r="J2050" s="27" t="s">
        <v>2456</v>
      </c>
      <c r="K2050" s="25" t="str">
        <f aca="false">IFERROR(__xludf.dummyfunction("SPLIT(J2050,"" "")"),"CIF")</f>
        <v>CIF</v>
      </c>
      <c r="L2050" s="28" t="str">
        <f aca="false">IFERROR(__xludf.dummyfunction("""COMPUTED_VALUE"""),"Switzerland")</f>
        <v>Switzerland</v>
      </c>
      <c r="M2050" s="27" t="str">
        <f aca="false">IFERROR(__xludf.dummyfunction("""COMPUTED_VALUE"""),"(Diff)")</f>
        <v>(Diff)</v>
      </c>
      <c r="N2050" s="25"/>
      <c r="O2050" s="25"/>
      <c r="P2050" s="25"/>
      <c r="Q2050" s="29" t="s">
        <v>209</v>
      </c>
      <c r="R2050" s="8" t="str">
        <f aca="false">B2050&amp;" "&amp;C2050&amp;" "&amp;D2050&amp;" "&amp;E2050&amp;" "&amp;G2050&amp;" "&amp;H2050&amp;" "&amp;J2050&amp;" "&amp;N2050</f>
        <v>Differentials Anode     CIF Switzerland (Diff) </v>
      </c>
      <c r="S2050" s="25"/>
      <c r="T2050" s="8"/>
      <c r="U2050" s="8"/>
      <c r="V2050" s="25"/>
      <c r="W2050" s="25"/>
      <c r="X2050" s="25"/>
      <c r="Y2050" s="25"/>
      <c r="Z2050" s="25"/>
      <c r="AA2050" s="25"/>
      <c r="AB2050" s="25"/>
      <c r="AC2050" s="25"/>
      <c r="AD2050" s="25"/>
    </row>
    <row r="2051" customFormat="false" ht="15.75" hidden="false" customHeight="false" outlineLevel="0" collapsed="false">
      <c r="A2051" s="28" t="s">
        <v>2460</v>
      </c>
      <c r="B2051" s="27" t="s">
        <v>438</v>
      </c>
      <c r="C2051" s="27" t="s">
        <v>177</v>
      </c>
      <c r="D2051" s="25"/>
      <c r="E2051" s="25"/>
      <c r="F2051" s="25"/>
      <c r="G2051" s="25"/>
      <c r="H2051" s="25"/>
      <c r="I2051" s="25"/>
      <c r="J2051" s="27" t="s">
        <v>2456</v>
      </c>
      <c r="K2051" s="25" t="str">
        <f aca="false">IFERROR(__xludf.dummyfunction("SPLIT(J2051,"" "")"),"CIF")</f>
        <v>CIF</v>
      </c>
      <c r="L2051" s="28" t="str">
        <f aca="false">IFERROR(__xludf.dummyfunction("""COMPUTED_VALUE"""),"Switzerland")</f>
        <v>Switzerland</v>
      </c>
      <c r="M2051" s="27" t="str">
        <f aca="false">IFERROR(__xludf.dummyfunction("""COMPUTED_VALUE"""),"(Diff)")</f>
        <v>(Diff)</v>
      </c>
      <c r="N2051" s="25"/>
      <c r="O2051" s="25"/>
      <c r="P2051" s="25"/>
      <c r="Q2051" s="29" t="s">
        <v>205</v>
      </c>
      <c r="R2051" s="8" t="str">
        <f aca="false">B2051&amp;" "&amp;C2051&amp;" "&amp;D2051&amp;" "&amp;E2051&amp;" "&amp;G2051&amp;" "&amp;H2051&amp;" "&amp;J2051&amp;" "&amp;N2051</f>
        <v>Differentials Anode     CIF Switzerland (Diff) </v>
      </c>
      <c r="S2051" s="25"/>
      <c r="T2051" s="8"/>
      <c r="U2051" s="8"/>
      <c r="V2051" s="25"/>
      <c r="W2051" s="25"/>
      <c r="X2051" s="25"/>
      <c r="Y2051" s="25"/>
      <c r="Z2051" s="25"/>
      <c r="AA2051" s="25"/>
      <c r="AB2051" s="25"/>
      <c r="AC2051" s="25"/>
      <c r="AD2051" s="25"/>
    </row>
    <row r="2052" customFormat="false" ht="15.75" hidden="false" customHeight="false" outlineLevel="0" collapsed="false">
      <c r="A2052" s="28" t="s">
        <v>2461</v>
      </c>
      <c r="B2052" s="27" t="s">
        <v>438</v>
      </c>
      <c r="C2052" s="27" t="s">
        <v>177</v>
      </c>
      <c r="D2052" s="25"/>
      <c r="E2052" s="25"/>
      <c r="F2052" s="25"/>
      <c r="G2052" s="25"/>
      <c r="H2052" s="25"/>
      <c r="I2052" s="25"/>
      <c r="J2052" s="27" t="s">
        <v>2456</v>
      </c>
      <c r="K2052" s="25" t="str">
        <f aca="false">IFERROR(__xludf.dummyfunction("SPLIT(J2052,"" "")"),"CIF")</f>
        <v>CIF</v>
      </c>
      <c r="L2052" s="28" t="str">
        <f aca="false">IFERROR(__xludf.dummyfunction("""COMPUTED_VALUE"""),"Switzerland")</f>
        <v>Switzerland</v>
      </c>
      <c r="M2052" s="27" t="str">
        <f aca="false">IFERROR(__xludf.dummyfunction("""COMPUTED_VALUE"""),"(Diff)")</f>
        <v>(Diff)</v>
      </c>
      <c r="N2052" s="25"/>
      <c r="O2052" s="25"/>
      <c r="P2052" s="25"/>
      <c r="Q2052" s="29" t="s">
        <v>202</v>
      </c>
      <c r="R2052" s="8" t="str">
        <f aca="false">B2052&amp;" "&amp;C2052&amp;" "&amp;D2052&amp;" "&amp;E2052&amp;" "&amp;G2052&amp;" "&amp;H2052&amp;" "&amp;J2052&amp;" "&amp;N2052</f>
        <v>Differentials Anode     CIF Switzerland (Diff) </v>
      </c>
      <c r="S2052" s="25"/>
      <c r="T2052" s="8"/>
      <c r="U2052" s="8"/>
      <c r="V2052" s="25"/>
      <c r="W2052" s="25"/>
      <c r="X2052" s="25"/>
      <c r="Y2052" s="25"/>
      <c r="Z2052" s="25"/>
      <c r="AA2052" s="25"/>
      <c r="AB2052" s="25"/>
      <c r="AC2052" s="25"/>
      <c r="AD2052" s="25"/>
    </row>
    <row r="2053" customFormat="false" ht="15.75" hidden="false" customHeight="false" outlineLevel="0" collapsed="false">
      <c r="A2053" s="28" t="s">
        <v>2462</v>
      </c>
      <c r="B2053" s="27" t="s">
        <v>438</v>
      </c>
      <c r="C2053" s="27" t="s">
        <v>177</v>
      </c>
      <c r="D2053" s="25"/>
      <c r="E2053" s="25"/>
      <c r="F2053" s="25"/>
      <c r="G2053" s="25"/>
      <c r="H2053" s="25"/>
      <c r="I2053" s="25"/>
      <c r="J2053" s="27" t="s">
        <v>2456</v>
      </c>
      <c r="K2053" s="25" t="str">
        <f aca="false">IFERROR(__xludf.dummyfunction("SPLIT(J2053,"" "")"),"CIF")</f>
        <v>CIF</v>
      </c>
      <c r="L2053" s="28" t="str">
        <f aca="false">IFERROR(__xludf.dummyfunction("""COMPUTED_VALUE"""),"Switzerland")</f>
        <v>Switzerland</v>
      </c>
      <c r="M2053" s="27" t="str">
        <f aca="false">IFERROR(__xludf.dummyfunction("""COMPUTED_VALUE"""),"(Diff)")</f>
        <v>(Diff)</v>
      </c>
      <c r="N2053" s="25"/>
      <c r="O2053" s="25"/>
      <c r="P2053" s="25"/>
      <c r="Q2053" s="29" t="s">
        <v>197</v>
      </c>
      <c r="R2053" s="8" t="str">
        <f aca="false">B2053&amp;" "&amp;C2053&amp;" "&amp;D2053&amp;" "&amp;E2053&amp;" "&amp;G2053&amp;" "&amp;H2053&amp;" "&amp;J2053&amp;" "&amp;N2053</f>
        <v>Differentials Anode     CIF Switzerland (Diff) </v>
      </c>
      <c r="S2053" s="25"/>
      <c r="T2053" s="8"/>
      <c r="U2053" s="8"/>
      <c r="V2053" s="25"/>
      <c r="W2053" s="25"/>
      <c r="X2053" s="25"/>
      <c r="Y2053" s="25"/>
      <c r="Z2053" s="25"/>
      <c r="AA2053" s="25"/>
      <c r="AB2053" s="25"/>
      <c r="AC2053" s="25"/>
      <c r="AD2053" s="25"/>
    </row>
    <row r="2054" customFormat="false" ht="15.75" hidden="false" customHeight="false" outlineLevel="0" collapsed="false">
      <c r="A2054" s="28" t="s">
        <v>2463</v>
      </c>
      <c r="B2054" s="27" t="s">
        <v>438</v>
      </c>
      <c r="C2054" s="27" t="s">
        <v>177</v>
      </c>
      <c r="D2054" s="25"/>
      <c r="E2054" s="25"/>
      <c r="F2054" s="25"/>
      <c r="G2054" s="25"/>
      <c r="H2054" s="25"/>
      <c r="I2054" s="25"/>
      <c r="J2054" s="27" t="s">
        <v>2456</v>
      </c>
      <c r="K2054" s="25" t="str">
        <f aca="false">IFERROR(__xludf.dummyfunction("SPLIT(J2054,"" "")"),"CIF")</f>
        <v>CIF</v>
      </c>
      <c r="L2054" s="28" t="str">
        <f aca="false">IFERROR(__xludf.dummyfunction("""COMPUTED_VALUE"""),"Switzerland")</f>
        <v>Switzerland</v>
      </c>
      <c r="M2054" s="27" t="str">
        <f aca="false">IFERROR(__xludf.dummyfunction("""COMPUTED_VALUE"""),"(Diff)")</f>
        <v>(Diff)</v>
      </c>
      <c r="N2054" s="25"/>
      <c r="O2054" s="25"/>
      <c r="P2054" s="25"/>
      <c r="Q2054" s="29" t="s">
        <v>193</v>
      </c>
      <c r="R2054" s="8" t="str">
        <f aca="false">B2054&amp;" "&amp;C2054&amp;" "&amp;D2054&amp;" "&amp;E2054&amp;" "&amp;G2054&amp;" "&amp;H2054&amp;" "&amp;J2054&amp;" "&amp;N2054</f>
        <v>Differentials Anode     CIF Switzerland (Diff) </v>
      </c>
      <c r="S2054" s="25"/>
      <c r="T2054" s="8"/>
      <c r="U2054" s="8"/>
      <c r="V2054" s="25"/>
      <c r="W2054" s="25"/>
      <c r="X2054" s="25"/>
      <c r="Y2054" s="25"/>
      <c r="Z2054" s="25"/>
      <c r="AA2054" s="25"/>
      <c r="AB2054" s="25"/>
      <c r="AC2054" s="25"/>
      <c r="AD2054" s="25"/>
    </row>
    <row r="2055" customFormat="false" ht="15.75" hidden="false" customHeight="false" outlineLevel="0" collapsed="false">
      <c r="A2055" s="28" t="s">
        <v>2464</v>
      </c>
      <c r="B2055" s="27" t="s">
        <v>438</v>
      </c>
      <c r="C2055" s="27" t="s">
        <v>177</v>
      </c>
      <c r="D2055" s="25"/>
      <c r="E2055" s="25"/>
      <c r="F2055" s="25"/>
      <c r="G2055" s="25"/>
      <c r="H2055" s="25"/>
      <c r="I2055" s="25"/>
      <c r="J2055" s="27" t="s">
        <v>2456</v>
      </c>
      <c r="K2055" s="25" t="str">
        <f aca="false">IFERROR(__xludf.dummyfunction("SPLIT(J2055,"" "")"),"CIF")</f>
        <v>CIF</v>
      </c>
      <c r="L2055" s="28" t="str">
        <f aca="false">IFERROR(__xludf.dummyfunction("""COMPUTED_VALUE"""),"Switzerland")</f>
        <v>Switzerland</v>
      </c>
      <c r="M2055" s="27" t="str">
        <f aca="false">IFERROR(__xludf.dummyfunction("""COMPUTED_VALUE"""),"(Diff)")</f>
        <v>(Diff)</v>
      </c>
      <c r="N2055" s="25"/>
      <c r="O2055" s="25"/>
      <c r="P2055" s="25"/>
      <c r="Q2055" s="29" t="s">
        <v>188</v>
      </c>
      <c r="R2055" s="8" t="str">
        <f aca="false">B2055&amp;" "&amp;C2055&amp;" "&amp;D2055&amp;" "&amp;E2055&amp;" "&amp;G2055&amp;" "&amp;H2055&amp;" "&amp;J2055&amp;" "&amp;N2055</f>
        <v>Differentials Anode     CIF Switzerland (Diff) </v>
      </c>
      <c r="S2055" s="25"/>
      <c r="T2055" s="8"/>
      <c r="U2055" s="8"/>
      <c r="V2055" s="25"/>
      <c r="W2055" s="25"/>
      <c r="X2055" s="25"/>
      <c r="Y2055" s="25"/>
      <c r="Z2055" s="25"/>
      <c r="AA2055" s="25"/>
      <c r="AB2055" s="25"/>
      <c r="AC2055" s="25"/>
      <c r="AD2055" s="25"/>
    </row>
    <row r="2056" customFormat="false" ht="15.75" hidden="false" customHeight="false" outlineLevel="0" collapsed="false">
      <c r="A2056" s="28" t="s">
        <v>2465</v>
      </c>
      <c r="B2056" s="27" t="s">
        <v>438</v>
      </c>
      <c r="C2056" s="27" t="s">
        <v>177</v>
      </c>
      <c r="D2056" s="25"/>
      <c r="E2056" s="25"/>
      <c r="F2056" s="25"/>
      <c r="G2056" s="25"/>
      <c r="H2056" s="25"/>
      <c r="I2056" s="25"/>
      <c r="J2056" s="27" t="s">
        <v>2456</v>
      </c>
      <c r="K2056" s="25" t="str">
        <f aca="false">IFERROR(__xludf.dummyfunction("SPLIT(J2056,"" "")"),"CIF")</f>
        <v>CIF</v>
      </c>
      <c r="L2056" s="28" t="str">
        <f aca="false">IFERROR(__xludf.dummyfunction("""COMPUTED_VALUE"""),"Switzerland")</f>
        <v>Switzerland</v>
      </c>
      <c r="M2056" s="27" t="str">
        <f aca="false">IFERROR(__xludf.dummyfunction("""COMPUTED_VALUE"""),"(Diff)")</f>
        <v>(Diff)</v>
      </c>
      <c r="N2056" s="25"/>
      <c r="O2056" s="25"/>
      <c r="P2056" s="25"/>
      <c r="Q2056" s="29" t="s">
        <v>180</v>
      </c>
      <c r="R2056" s="8" t="str">
        <f aca="false">B2056&amp;" "&amp;C2056&amp;" "&amp;D2056&amp;" "&amp;E2056&amp;" "&amp;G2056&amp;" "&amp;H2056&amp;" "&amp;J2056&amp;" "&amp;N2056</f>
        <v>Differentials Anode     CIF Switzerland (Diff) </v>
      </c>
      <c r="S2056" s="25"/>
      <c r="T2056" s="8"/>
      <c r="U2056" s="8"/>
      <c r="V2056" s="25"/>
      <c r="W2056" s="25"/>
      <c r="X2056" s="25"/>
      <c r="Y2056" s="25"/>
      <c r="Z2056" s="25"/>
      <c r="AA2056" s="25"/>
      <c r="AB2056" s="25"/>
      <c r="AC2056" s="25"/>
      <c r="AD2056" s="25"/>
    </row>
    <row r="2057" customFormat="false" ht="15.75" hidden="false" customHeight="false" outlineLevel="0" collapsed="false">
      <c r="A2057" s="28" t="s">
        <v>2466</v>
      </c>
      <c r="B2057" s="27" t="s">
        <v>438</v>
      </c>
      <c r="C2057" s="27" t="s">
        <v>211</v>
      </c>
      <c r="D2057" s="25"/>
      <c r="E2057" s="25"/>
      <c r="F2057" s="25"/>
      <c r="G2057" s="25"/>
      <c r="H2057" s="25"/>
      <c r="I2057" s="25"/>
      <c r="J2057" s="27" t="s">
        <v>2456</v>
      </c>
      <c r="K2057" s="25" t="str">
        <f aca="false">IFERROR(__xludf.dummyfunction("SPLIT(J2057,"" "")"),"CIF")</f>
        <v>CIF</v>
      </c>
      <c r="L2057" s="28" t="str">
        <f aca="false">IFERROR(__xludf.dummyfunction("""COMPUTED_VALUE"""),"Switzerland")</f>
        <v>Switzerland</v>
      </c>
      <c r="M2057" s="27" t="str">
        <f aca="false">IFERROR(__xludf.dummyfunction("""COMPUTED_VALUE"""),"(Diff)")</f>
        <v>(Diff)</v>
      </c>
      <c r="N2057" s="25"/>
      <c r="O2057" s="25"/>
      <c r="P2057" s="25"/>
      <c r="Q2057" s="29" t="s">
        <v>234</v>
      </c>
      <c r="R2057" s="8" t="str">
        <f aca="false">B2057&amp;" "&amp;C2057&amp;" "&amp;D2057&amp;" "&amp;E2057&amp;" "&amp;G2057&amp;" "&amp;H2057&amp;" "&amp;J2057&amp;" "&amp;N2057</f>
        <v>Differentials Binders &amp; Additives     CIF Switzerland (Diff) </v>
      </c>
      <c r="S2057" s="25"/>
      <c r="T2057" s="8"/>
      <c r="U2057" s="8"/>
      <c r="V2057" s="25"/>
      <c r="W2057" s="25"/>
      <c r="X2057" s="25"/>
      <c r="Y2057" s="25"/>
      <c r="Z2057" s="25"/>
      <c r="AA2057" s="25"/>
      <c r="AB2057" s="25"/>
      <c r="AC2057" s="25"/>
      <c r="AD2057" s="25"/>
    </row>
    <row r="2058" customFormat="false" ht="15.75" hidden="false" customHeight="false" outlineLevel="0" collapsed="false">
      <c r="A2058" s="28" t="s">
        <v>2467</v>
      </c>
      <c r="B2058" s="27" t="s">
        <v>438</v>
      </c>
      <c r="C2058" s="27" t="s">
        <v>211</v>
      </c>
      <c r="D2058" s="25"/>
      <c r="E2058" s="25"/>
      <c r="F2058" s="25"/>
      <c r="G2058" s="25"/>
      <c r="H2058" s="25"/>
      <c r="I2058" s="25"/>
      <c r="J2058" s="27" t="s">
        <v>2456</v>
      </c>
      <c r="K2058" s="25" t="str">
        <f aca="false">IFERROR(__xludf.dummyfunction("SPLIT(J2058,"" "")"),"CIF")</f>
        <v>CIF</v>
      </c>
      <c r="L2058" s="28" t="str">
        <f aca="false">IFERROR(__xludf.dummyfunction("""COMPUTED_VALUE"""),"Switzerland")</f>
        <v>Switzerland</v>
      </c>
      <c r="M2058" s="27" t="str">
        <f aca="false">IFERROR(__xludf.dummyfunction("""COMPUTED_VALUE"""),"(Diff)")</f>
        <v>(Diff)</v>
      </c>
      <c r="N2058" s="25"/>
      <c r="O2058" s="25"/>
      <c r="P2058" s="25"/>
      <c r="Q2058" s="29" t="s">
        <v>232</v>
      </c>
      <c r="R2058" s="8" t="str">
        <f aca="false">B2058&amp;" "&amp;C2058&amp;" "&amp;D2058&amp;" "&amp;E2058&amp;" "&amp;G2058&amp;" "&amp;H2058&amp;" "&amp;J2058&amp;" "&amp;N2058</f>
        <v>Differentials Binders &amp; Additives     CIF Switzerland (Diff) </v>
      </c>
      <c r="S2058" s="25"/>
      <c r="T2058" s="8"/>
      <c r="U2058" s="8"/>
      <c r="V2058" s="25"/>
      <c r="W2058" s="25"/>
      <c r="X2058" s="25"/>
      <c r="Y2058" s="25"/>
      <c r="Z2058" s="25"/>
      <c r="AA2058" s="25"/>
      <c r="AB2058" s="25"/>
      <c r="AC2058" s="25"/>
      <c r="AD2058" s="25"/>
    </row>
    <row r="2059" customFormat="false" ht="15.75" hidden="false" customHeight="false" outlineLevel="0" collapsed="false">
      <c r="A2059" s="28" t="s">
        <v>2468</v>
      </c>
      <c r="B2059" s="27" t="s">
        <v>438</v>
      </c>
      <c r="C2059" s="27" t="s">
        <v>211</v>
      </c>
      <c r="D2059" s="25"/>
      <c r="E2059" s="25"/>
      <c r="F2059" s="25"/>
      <c r="G2059" s="25"/>
      <c r="H2059" s="25"/>
      <c r="I2059" s="25"/>
      <c r="J2059" s="27" t="s">
        <v>2456</v>
      </c>
      <c r="K2059" s="25" t="str">
        <f aca="false">IFERROR(__xludf.dummyfunction("SPLIT(J2059,"" "")"),"CIF")</f>
        <v>CIF</v>
      </c>
      <c r="L2059" s="28" t="str">
        <f aca="false">IFERROR(__xludf.dummyfunction("""COMPUTED_VALUE"""),"Switzerland")</f>
        <v>Switzerland</v>
      </c>
      <c r="M2059" s="27" t="str">
        <f aca="false">IFERROR(__xludf.dummyfunction("""COMPUTED_VALUE"""),"(Diff)")</f>
        <v>(Diff)</v>
      </c>
      <c r="N2059" s="25"/>
      <c r="O2059" s="25"/>
      <c r="P2059" s="25"/>
      <c r="Q2059" s="29" t="s">
        <v>230</v>
      </c>
      <c r="R2059" s="8" t="str">
        <f aca="false">B2059&amp;" "&amp;C2059&amp;" "&amp;D2059&amp;" "&amp;E2059&amp;" "&amp;G2059&amp;" "&amp;H2059&amp;" "&amp;J2059&amp;" "&amp;N2059</f>
        <v>Differentials Binders &amp; Additives     CIF Switzerland (Diff) </v>
      </c>
      <c r="S2059" s="25"/>
      <c r="T2059" s="8"/>
      <c r="U2059" s="8"/>
      <c r="V2059" s="25"/>
      <c r="W2059" s="25"/>
      <c r="X2059" s="25"/>
      <c r="Y2059" s="25"/>
      <c r="Z2059" s="25"/>
      <c r="AA2059" s="25"/>
      <c r="AB2059" s="25"/>
      <c r="AC2059" s="25"/>
      <c r="AD2059" s="25"/>
    </row>
    <row r="2060" customFormat="false" ht="15.75" hidden="false" customHeight="false" outlineLevel="0" collapsed="false">
      <c r="A2060" s="28" t="s">
        <v>2469</v>
      </c>
      <c r="B2060" s="27" t="s">
        <v>438</v>
      </c>
      <c r="C2060" s="27" t="s">
        <v>211</v>
      </c>
      <c r="D2060" s="25"/>
      <c r="E2060" s="25"/>
      <c r="F2060" s="25"/>
      <c r="G2060" s="25"/>
      <c r="H2060" s="25"/>
      <c r="I2060" s="25"/>
      <c r="J2060" s="27" t="s">
        <v>2456</v>
      </c>
      <c r="K2060" s="25" t="str">
        <f aca="false">IFERROR(__xludf.dummyfunction("SPLIT(J2060,"" "")"),"CIF")</f>
        <v>CIF</v>
      </c>
      <c r="L2060" s="28" t="str">
        <f aca="false">IFERROR(__xludf.dummyfunction("""COMPUTED_VALUE"""),"Switzerland")</f>
        <v>Switzerland</v>
      </c>
      <c r="M2060" s="27" t="str">
        <f aca="false">IFERROR(__xludf.dummyfunction("""COMPUTED_VALUE"""),"(Diff)")</f>
        <v>(Diff)</v>
      </c>
      <c r="N2060" s="25"/>
      <c r="O2060" s="25"/>
      <c r="P2060" s="25"/>
      <c r="Q2060" s="29" t="s">
        <v>228</v>
      </c>
      <c r="R2060" s="8" t="str">
        <f aca="false">B2060&amp;" "&amp;C2060&amp;" "&amp;D2060&amp;" "&amp;E2060&amp;" "&amp;G2060&amp;" "&amp;H2060&amp;" "&amp;J2060&amp;" "&amp;N2060</f>
        <v>Differentials Binders &amp; Additives     CIF Switzerland (Diff) </v>
      </c>
      <c r="S2060" s="25"/>
      <c r="T2060" s="8"/>
      <c r="U2060" s="8"/>
      <c r="V2060" s="25"/>
      <c r="W2060" s="25"/>
      <c r="X2060" s="25"/>
      <c r="Y2060" s="25"/>
      <c r="Z2060" s="25"/>
      <c r="AA2060" s="25"/>
      <c r="AB2060" s="25"/>
      <c r="AC2060" s="25"/>
      <c r="AD2060" s="25"/>
    </row>
    <row r="2061" customFormat="false" ht="15.75" hidden="false" customHeight="false" outlineLevel="0" collapsed="false">
      <c r="A2061" s="28" t="s">
        <v>2470</v>
      </c>
      <c r="B2061" s="27" t="s">
        <v>438</v>
      </c>
      <c r="C2061" s="27" t="s">
        <v>211</v>
      </c>
      <c r="D2061" s="25"/>
      <c r="E2061" s="25"/>
      <c r="F2061" s="25"/>
      <c r="G2061" s="25"/>
      <c r="H2061" s="25"/>
      <c r="I2061" s="25"/>
      <c r="J2061" s="27" t="s">
        <v>2456</v>
      </c>
      <c r="K2061" s="25" t="str">
        <f aca="false">IFERROR(__xludf.dummyfunction("SPLIT(J2061,"" "")"),"CIF")</f>
        <v>CIF</v>
      </c>
      <c r="L2061" s="28" t="str">
        <f aca="false">IFERROR(__xludf.dummyfunction("""COMPUTED_VALUE"""),"Switzerland")</f>
        <v>Switzerland</v>
      </c>
      <c r="M2061" s="27" t="str">
        <f aca="false">IFERROR(__xludf.dummyfunction("""COMPUTED_VALUE"""),"(Diff)")</f>
        <v>(Diff)</v>
      </c>
      <c r="N2061" s="25"/>
      <c r="O2061" s="25"/>
      <c r="P2061" s="25"/>
      <c r="Q2061" s="29" t="s">
        <v>226</v>
      </c>
      <c r="R2061" s="8" t="str">
        <f aca="false">B2061&amp;" "&amp;C2061&amp;" "&amp;D2061&amp;" "&amp;E2061&amp;" "&amp;G2061&amp;" "&amp;H2061&amp;" "&amp;J2061&amp;" "&amp;N2061</f>
        <v>Differentials Binders &amp; Additives     CIF Switzerland (Diff) </v>
      </c>
      <c r="S2061" s="25"/>
      <c r="T2061" s="8"/>
      <c r="U2061" s="8"/>
      <c r="V2061" s="25"/>
      <c r="W2061" s="25"/>
      <c r="X2061" s="25"/>
      <c r="Y2061" s="25"/>
      <c r="Z2061" s="25"/>
      <c r="AA2061" s="25"/>
      <c r="AB2061" s="25"/>
      <c r="AC2061" s="25"/>
      <c r="AD2061" s="25"/>
    </row>
    <row r="2062" customFormat="false" ht="15.75" hidden="false" customHeight="false" outlineLevel="0" collapsed="false">
      <c r="A2062" s="28" t="s">
        <v>2471</v>
      </c>
      <c r="B2062" s="27" t="s">
        <v>438</v>
      </c>
      <c r="C2062" s="27" t="s">
        <v>211</v>
      </c>
      <c r="D2062" s="25"/>
      <c r="E2062" s="25"/>
      <c r="F2062" s="25"/>
      <c r="G2062" s="25"/>
      <c r="H2062" s="25"/>
      <c r="I2062" s="25"/>
      <c r="J2062" s="27" t="s">
        <v>2456</v>
      </c>
      <c r="K2062" s="25" t="str">
        <f aca="false">IFERROR(__xludf.dummyfunction("SPLIT(J2062,"" "")"),"CIF")</f>
        <v>CIF</v>
      </c>
      <c r="L2062" s="28" t="str">
        <f aca="false">IFERROR(__xludf.dummyfunction("""COMPUTED_VALUE"""),"Switzerland")</f>
        <v>Switzerland</v>
      </c>
      <c r="M2062" s="27" t="str">
        <f aca="false">IFERROR(__xludf.dummyfunction("""COMPUTED_VALUE"""),"(Diff)")</f>
        <v>(Diff)</v>
      </c>
      <c r="N2062" s="25"/>
      <c r="O2062" s="25"/>
      <c r="P2062" s="25"/>
      <c r="Q2062" s="29" t="s">
        <v>224</v>
      </c>
      <c r="R2062" s="8" t="str">
        <f aca="false">B2062&amp;" "&amp;C2062&amp;" "&amp;D2062&amp;" "&amp;E2062&amp;" "&amp;G2062&amp;" "&amp;H2062&amp;" "&amp;J2062&amp;" "&amp;N2062</f>
        <v>Differentials Binders &amp; Additives     CIF Switzerland (Diff) </v>
      </c>
      <c r="S2062" s="25"/>
      <c r="T2062" s="8"/>
      <c r="U2062" s="8"/>
      <c r="V2062" s="25"/>
      <c r="W2062" s="25"/>
      <c r="X2062" s="25"/>
      <c r="Y2062" s="25"/>
      <c r="Z2062" s="25"/>
      <c r="AA2062" s="25"/>
      <c r="AB2062" s="25"/>
      <c r="AC2062" s="25"/>
      <c r="AD2062" s="25"/>
    </row>
    <row r="2063" customFormat="false" ht="15.75" hidden="false" customHeight="false" outlineLevel="0" collapsed="false">
      <c r="A2063" s="28" t="s">
        <v>2472</v>
      </c>
      <c r="B2063" s="27" t="s">
        <v>438</v>
      </c>
      <c r="C2063" s="27" t="s">
        <v>211</v>
      </c>
      <c r="D2063" s="25"/>
      <c r="E2063" s="25"/>
      <c r="F2063" s="25"/>
      <c r="G2063" s="25"/>
      <c r="H2063" s="25"/>
      <c r="I2063" s="25"/>
      <c r="J2063" s="27" t="s">
        <v>2456</v>
      </c>
      <c r="K2063" s="25" t="str">
        <f aca="false">IFERROR(__xludf.dummyfunction("SPLIT(J2063,"" "")"),"CIF")</f>
        <v>CIF</v>
      </c>
      <c r="L2063" s="28" t="str">
        <f aca="false">IFERROR(__xludf.dummyfunction("""COMPUTED_VALUE"""),"Switzerland")</f>
        <v>Switzerland</v>
      </c>
      <c r="M2063" s="27" t="str">
        <f aca="false">IFERROR(__xludf.dummyfunction("""COMPUTED_VALUE"""),"(Diff)")</f>
        <v>(Diff)</v>
      </c>
      <c r="N2063" s="25"/>
      <c r="O2063" s="25"/>
      <c r="P2063" s="25"/>
      <c r="Q2063" s="29" t="s">
        <v>222</v>
      </c>
      <c r="R2063" s="8" t="str">
        <f aca="false">B2063&amp;" "&amp;C2063&amp;" "&amp;D2063&amp;" "&amp;E2063&amp;" "&amp;G2063&amp;" "&amp;H2063&amp;" "&amp;J2063&amp;" "&amp;N2063</f>
        <v>Differentials Binders &amp; Additives     CIF Switzerland (Diff) </v>
      </c>
      <c r="S2063" s="25"/>
      <c r="T2063" s="8"/>
      <c r="U2063" s="8"/>
      <c r="V2063" s="25"/>
      <c r="W2063" s="25"/>
      <c r="X2063" s="25"/>
      <c r="Y2063" s="25"/>
      <c r="Z2063" s="25"/>
      <c r="AA2063" s="25"/>
      <c r="AB2063" s="25"/>
      <c r="AC2063" s="25"/>
      <c r="AD2063" s="25"/>
    </row>
    <row r="2064" customFormat="false" ht="15.75" hidden="false" customHeight="false" outlineLevel="0" collapsed="false">
      <c r="A2064" s="28" t="s">
        <v>2473</v>
      </c>
      <c r="B2064" s="27" t="s">
        <v>438</v>
      </c>
      <c r="C2064" s="27" t="s">
        <v>211</v>
      </c>
      <c r="D2064" s="25"/>
      <c r="E2064" s="25"/>
      <c r="F2064" s="25"/>
      <c r="G2064" s="25"/>
      <c r="H2064" s="25"/>
      <c r="I2064" s="25"/>
      <c r="J2064" s="27" t="s">
        <v>2456</v>
      </c>
      <c r="K2064" s="25" t="str">
        <f aca="false">IFERROR(__xludf.dummyfunction("SPLIT(J2064,"" "")"),"CIF")</f>
        <v>CIF</v>
      </c>
      <c r="L2064" s="28" t="str">
        <f aca="false">IFERROR(__xludf.dummyfunction("""COMPUTED_VALUE"""),"Switzerland")</f>
        <v>Switzerland</v>
      </c>
      <c r="M2064" s="27" t="str">
        <f aca="false">IFERROR(__xludf.dummyfunction("""COMPUTED_VALUE"""),"(Diff)")</f>
        <v>(Diff)</v>
      </c>
      <c r="N2064" s="25"/>
      <c r="O2064" s="25"/>
      <c r="P2064" s="25"/>
      <c r="Q2064" s="29" t="s">
        <v>220</v>
      </c>
      <c r="R2064" s="8" t="str">
        <f aca="false">B2064&amp;" "&amp;C2064&amp;" "&amp;D2064&amp;" "&amp;E2064&amp;" "&amp;G2064&amp;" "&amp;H2064&amp;" "&amp;J2064&amp;" "&amp;N2064</f>
        <v>Differentials Binders &amp; Additives     CIF Switzerland (Diff) </v>
      </c>
      <c r="S2064" s="25"/>
      <c r="T2064" s="8"/>
      <c r="U2064" s="8"/>
      <c r="V2064" s="25"/>
      <c r="W2064" s="25"/>
      <c r="X2064" s="25"/>
      <c r="Y2064" s="25"/>
      <c r="Z2064" s="25"/>
      <c r="AA2064" s="25"/>
      <c r="AB2064" s="25"/>
      <c r="AC2064" s="25"/>
      <c r="AD2064" s="25"/>
    </row>
    <row r="2065" customFormat="false" ht="15.75" hidden="false" customHeight="false" outlineLevel="0" collapsed="false">
      <c r="A2065" s="28" t="s">
        <v>2474</v>
      </c>
      <c r="B2065" s="27" t="s">
        <v>438</v>
      </c>
      <c r="C2065" s="27" t="s">
        <v>211</v>
      </c>
      <c r="D2065" s="25"/>
      <c r="E2065" s="25"/>
      <c r="F2065" s="25"/>
      <c r="G2065" s="25"/>
      <c r="H2065" s="25"/>
      <c r="I2065" s="25"/>
      <c r="J2065" s="27" t="s">
        <v>2456</v>
      </c>
      <c r="K2065" s="25" t="str">
        <f aca="false">IFERROR(__xludf.dummyfunction("SPLIT(J2065,"" "")"),"CIF")</f>
        <v>CIF</v>
      </c>
      <c r="L2065" s="28" t="str">
        <f aca="false">IFERROR(__xludf.dummyfunction("""COMPUTED_VALUE"""),"Switzerland")</f>
        <v>Switzerland</v>
      </c>
      <c r="M2065" s="27" t="str">
        <f aca="false">IFERROR(__xludf.dummyfunction("""COMPUTED_VALUE"""),"(Diff)")</f>
        <v>(Diff)</v>
      </c>
      <c r="N2065" s="25"/>
      <c r="O2065" s="25"/>
      <c r="P2065" s="25"/>
      <c r="Q2065" s="29" t="s">
        <v>218</v>
      </c>
      <c r="R2065" s="8" t="str">
        <f aca="false">B2065&amp;" "&amp;C2065&amp;" "&amp;D2065&amp;" "&amp;E2065&amp;" "&amp;G2065&amp;" "&amp;H2065&amp;" "&amp;J2065&amp;" "&amp;N2065</f>
        <v>Differentials Binders &amp; Additives     CIF Switzerland (Diff) </v>
      </c>
      <c r="S2065" s="25"/>
      <c r="T2065" s="8"/>
      <c r="U2065" s="8"/>
      <c r="V2065" s="25"/>
      <c r="W2065" s="25"/>
      <c r="X2065" s="25"/>
      <c r="Y2065" s="25"/>
      <c r="Z2065" s="25"/>
      <c r="AA2065" s="25"/>
      <c r="AB2065" s="25"/>
      <c r="AC2065" s="25"/>
      <c r="AD2065" s="25"/>
    </row>
    <row r="2066" customFormat="false" ht="15.75" hidden="false" customHeight="false" outlineLevel="0" collapsed="false">
      <c r="A2066" s="28" t="s">
        <v>2475</v>
      </c>
      <c r="B2066" s="27" t="s">
        <v>438</v>
      </c>
      <c r="C2066" s="27" t="s">
        <v>211</v>
      </c>
      <c r="D2066" s="25"/>
      <c r="E2066" s="25"/>
      <c r="F2066" s="25"/>
      <c r="G2066" s="25"/>
      <c r="H2066" s="25"/>
      <c r="I2066" s="25"/>
      <c r="J2066" s="27" t="s">
        <v>2456</v>
      </c>
      <c r="K2066" s="25" t="str">
        <f aca="false">IFERROR(__xludf.dummyfunction("SPLIT(J2066,"" "")"),"CIF")</f>
        <v>CIF</v>
      </c>
      <c r="L2066" s="28" t="str">
        <f aca="false">IFERROR(__xludf.dummyfunction("""COMPUTED_VALUE"""),"Switzerland")</f>
        <v>Switzerland</v>
      </c>
      <c r="M2066" s="27" t="str">
        <f aca="false">IFERROR(__xludf.dummyfunction("""COMPUTED_VALUE"""),"(Diff)")</f>
        <v>(Diff)</v>
      </c>
      <c r="N2066" s="25"/>
      <c r="O2066" s="25"/>
      <c r="P2066" s="25"/>
      <c r="Q2066" s="29" t="s">
        <v>215</v>
      </c>
      <c r="R2066" s="8" t="str">
        <f aca="false">B2066&amp;" "&amp;C2066&amp;" "&amp;D2066&amp;" "&amp;E2066&amp;" "&amp;G2066&amp;" "&amp;H2066&amp;" "&amp;J2066&amp;" "&amp;N2066</f>
        <v>Differentials Binders &amp; Additives     CIF Switzerland (Diff) </v>
      </c>
      <c r="S2066" s="25"/>
      <c r="T2066" s="8"/>
      <c r="U2066" s="8"/>
      <c r="V2066" s="25"/>
      <c r="W2066" s="25"/>
      <c r="X2066" s="25"/>
      <c r="Y2066" s="25"/>
      <c r="Z2066" s="25"/>
      <c r="AA2066" s="25"/>
      <c r="AB2066" s="25"/>
      <c r="AC2066" s="25"/>
      <c r="AD2066" s="25"/>
    </row>
    <row r="2067" customFormat="false" ht="15.75" hidden="false" customHeight="false" outlineLevel="0" collapsed="false">
      <c r="A2067" s="28" t="s">
        <v>2476</v>
      </c>
      <c r="B2067" s="27" t="s">
        <v>438</v>
      </c>
      <c r="C2067" s="27" t="s">
        <v>211</v>
      </c>
      <c r="D2067" s="25"/>
      <c r="E2067" s="25"/>
      <c r="F2067" s="25"/>
      <c r="G2067" s="25"/>
      <c r="H2067" s="25"/>
      <c r="I2067" s="25"/>
      <c r="J2067" s="27" t="s">
        <v>2456</v>
      </c>
      <c r="K2067" s="25" t="str">
        <f aca="false">IFERROR(__xludf.dummyfunction("SPLIT(J2067,"" "")"),"CIF")</f>
        <v>CIF</v>
      </c>
      <c r="L2067" s="28" t="str">
        <f aca="false">IFERROR(__xludf.dummyfunction("""COMPUTED_VALUE"""),"Switzerland")</f>
        <v>Switzerland</v>
      </c>
      <c r="M2067" s="27" t="str">
        <f aca="false">IFERROR(__xludf.dummyfunction("""COMPUTED_VALUE"""),"(Diff)")</f>
        <v>(Diff)</v>
      </c>
      <c r="N2067" s="25"/>
      <c r="O2067" s="25"/>
      <c r="P2067" s="25"/>
      <c r="Q2067" s="29" t="s">
        <v>213</v>
      </c>
      <c r="R2067" s="8" t="str">
        <f aca="false">B2067&amp;" "&amp;C2067&amp;" "&amp;D2067&amp;" "&amp;E2067&amp;" "&amp;G2067&amp;" "&amp;H2067&amp;" "&amp;J2067&amp;" "&amp;N2067</f>
        <v>Differentials Binders &amp; Additives     CIF Switzerland (Diff) </v>
      </c>
      <c r="S2067" s="25"/>
      <c r="T2067" s="8"/>
      <c r="U2067" s="8"/>
      <c r="V2067" s="25"/>
      <c r="W2067" s="25"/>
      <c r="X2067" s="25"/>
      <c r="Y2067" s="25"/>
      <c r="Z2067" s="25"/>
      <c r="AA2067" s="25"/>
      <c r="AB2067" s="25"/>
      <c r="AC2067" s="25"/>
      <c r="AD2067" s="25"/>
    </row>
    <row r="2068" customFormat="false" ht="15.75" hidden="false" customHeight="false" outlineLevel="0" collapsed="false">
      <c r="A2068" s="28" t="s">
        <v>2477</v>
      </c>
      <c r="B2068" s="27" t="s">
        <v>438</v>
      </c>
      <c r="C2068" s="27" t="s">
        <v>236</v>
      </c>
      <c r="D2068" s="25"/>
      <c r="E2068" s="25"/>
      <c r="F2068" s="25"/>
      <c r="G2068" s="25"/>
      <c r="H2068" s="25"/>
      <c r="I2068" s="25"/>
      <c r="J2068" s="27" t="s">
        <v>2456</v>
      </c>
      <c r="K2068" s="25" t="str">
        <f aca="false">IFERROR(__xludf.dummyfunction("SPLIT(J2068,"" "")"),"CIF")</f>
        <v>CIF</v>
      </c>
      <c r="L2068" s="28" t="str">
        <f aca="false">IFERROR(__xludf.dummyfunction("""COMPUTED_VALUE"""),"Switzerland")</f>
        <v>Switzerland</v>
      </c>
      <c r="M2068" s="27" t="str">
        <f aca="false">IFERROR(__xludf.dummyfunction("""COMPUTED_VALUE"""),"(Diff)")</f>
        <v>(Diff)</v>
      </c>
      <c r="N2068" s="25"/>
      <c r="O2068" s="25"/>
      <c r="P2068" s="25"/>
      <c r="Q2068" s="29" t="s">
        <v>271</v>
      </c>
      <c r="R2068" s="8" t="str">
        <f aca="false">B2068&amp;" "&amp;C2068&amp;" "&amp;D2068&amp;" "&amp;E2068&amp;" "&amp;G2068&amp;" "&amp;H2068&amp;" "&amp;J2068&amp;" "&amp;N2068</f>
        <v>Differentials Cathode     CIF Switzerland (Diff) </v>
      </c>
      <c r="S2068" s="25"/>
      <c r="T2068" s="8"/>
      <c r="U2068" s="8"/>
      <c r="V2068" s="25"/>
      <c r="W2068" s="25"/>
      <c r="X2068" s="25"/>
      <c r="Y2068" s="25"/>
      <c r="Z2068" s="25"/>
      <c r="AA2068" s="25"/>
      <c r="AB2068" s="25"/>
      <c r="AC2068" s="25"/>
      <c r="AD2068" s="25"/>
    </row>
    <row r="2069" customFormat="false" ht="15.75" hidden="false" customHeight="false" outlineLevel="0" collapsed="false">
      <c r="A2069" s="28" t="s">
        <v>2478</v>
      </c>
      <c r="B2069" s="27" t="s">
        <v>438</v>
      </c>
      <c r="C2069" s="27" t="s">
        <v>236</v>
      </c>
      <c r="D2069" s="25"/>
      <c r="E2069" s="25"/>
      <c r="F2069" s="25"/>
      <c r="G2069" s="25"/>
      <c r="H2069" s="25"/>
      <c r="I2069" s="25"/>
      <c r="J2069" s="27" t="s">
        <v>2456</v>
      </c>
      <c r="K2069" s="25" t="str">
        <f aca="false">IFERROR(__xludf.dummyfunction("SPLIT(J2069,"" "")"),"CIF")</f>
        <v>CIF</v>
      </c>
      <c r="L2069" s="28" t="str">
        <f aca="false">IFERROR(__xludf.dummyfunction("""COMPUTED_VALUE"""),"Switzerland")</f>
        <v>Switzerland</v>
      </c>
      <c r="M2069" s="27" t="str">
        <f aca="false">IFERROR(__xludf.dummyfunction("""COMPUTED_VALUE"""),"(Diff)")</f>
        <v>(Diff)</v>
      </c>
      <c r="N2069" s="25"/>
      <c r="O2069" s="25"/>
      <c r="P2069" s="25"/>
      <c r="Q2069" s="29" t="s">
        <v>266</v>
      </c>
      <c r="R2069" s="8" t="str">
        <f aca="false">B2069&amp;" "&amp;C2069&amp;" "&amp;D2069&amp;" "&amp;E2069&amp;" "&amp;G2069&amp;" "&amp;H2069&amp;" "&amp;J2069&amp;" "&amp;N2069</f>
        <v>Differentials Cathode     CIF Switzerland (Diff) </v>
      </c>
      <c r="S2069" s="25"/>
      <c r="T2069" s="8"/>
      <c r="U2069" s="8"/>
      <c r="V2069" s="25"/>
      <c r="W2069" s="25"/>
      <c r="X2069" s="25"/>
      <c r="Y2069" s="25"/>
      <c r="Z2069" s="25"/>
      <c r="AA2069" s="25"/>
      <c r="AB2069" s="25"/>
      <c r="AC2069" s="25"/>
      <c r="AD2069" s="25"/>
    </row>
    <row r="2070" customFormat="false" ht="15.75" hidden="false" customHeight="false" outlineLevel="0" collapsed="false">
      <c r="A2070" s="28" t="s">
        <v>2479</v>
      </c>
      <c r="B2070" s="27" t="s">
        <v>438</v>
      </c>
      <c r="C2070" s="27" t="s">
        <v>236</v>
      </c>
      <c r="D2070" s="25"/>
      <c r="E2070" s="25"/>
      <c r="F2070" s="25"/>
      <c r="G2070" s="25"/>
      <c r="H2070" s="25"/>
      <c r="I2070" s="25"/>
      <c r="J2070" s="27" t="s">
        <v>2456</v>
      </c>
      <c r="K2070" s="25" t="str">
        <f aca="false">IFERROR(__xludf.dummyfunction("SPLIT(J2070,"" "")"),"CIF")</f>
        <v>CIF</v>
      </c>
      <c r="L2070" s="28" t="str">
        <f aca="false">IFERROR(__xludf.dummyfunction("""COMPUTED_VALUE"""),"Switzerland")</f>
        <v>Switzerland</v>
      </c>
      <c r="M2070" s="27" t="str">
        <f aca="false">IFERROR(__xludf.dummyfunction("""COMPUTED_VALUE"""),"(Diff)")</f>
        <v>(Diff)</v>
      </c>
      <c r="N2070" s="25"/>
      <c r="O2070" s="25"/>
      <c r="P2070" s="25"/>
      <c r="Q2070" s="29" t="s">
        <v>261</v>
      </c>
      <c r="R2070" s="8" t="str">
        <f aca="false">B2070&amp;" "&amp;C2070&amp;" "&amp;D2070&amp;" "&amp;E2070&amp;" "&amp;G2070&amp;" "&amp;H2070&amp;" "&amp;J2070&amp;" "&amp;N2070</f>
        <v>Differentials Cathode     CIF Switzerland (Diff) </v>
      </c>
      <c r="S2070" s="25"/>
      <c r="T2070" s="8"/>
      <c r="U2070" s="8"/>
      <c r="V2070" s="25"/>
      <c r="W2070" s="25"/>
      <c r="X2070" s="25"/>
      <c r="Y2070" s="25"/>
      <c r="Z2070" s="25"/>
      <c r="AA2070" s="25"/>
      <c r="AB2070" s="25"/>
      <c r="AC2070" s="25"/>
      <c r="AD2070" s="25"/>
    </row>
    <row r="2071" customFormat="false" ht="15.75" hidden="false" customHeight="false" outlineLevel="0" collapsed="false">
      <c r="A2071" s="28" t="s">
        <v>2480</v>
      </c>
      <c r="B2071" s="27" t="s">
        <v>438</v>
      </c>
      <c r="C2071" s="27" t="s">
        <v>236</v>
      </c>
      <c r="D2071" s="25"/>
      <c r="E2071" s="25"/>
      <c r="F2071" s="25"/>
      <c r="G2071" s="25"/>
      <c r="H2071" s="25"/>
      <c r="I2071" s="25"/>
      <c r="J2071" s="27" t="s">
        <v>2456</v>
      </c>
      <c r="K2071" s="25" t="str">
        <f aca="false">IFERROR(__xludf.dummyfunction("SPLIT(J2071,"" "")"),"CIF")</f>
        <v>CIF</v>
      </c>
      <c r="L2071" s="28" t="str">
        <f aca="false">IFERROR(__xludf.dummyfunction("""COMPUTED_VALUE"""),"Switzerland")</f>
        <v>Switzerland</v>
      </c>
      <c r="M2071" s="27" t="str">
        <f aca="false">IFERROR(__xludf.dummyfunction("""COMPUTED_VALUE"""),"(Diff)")</f>
        <v>(Diff)</v>
      </c>
      <c r="N2071" s="25"/>
      <c r="O2071" s="25"/>
      <c r="P2071" s="25"/>
      <c r="Q2071" s="29" t="s">
        <v>256</v>
      </c>
      <c r="R2071" s="8" t="str">
        <f aca="false">B2071&amp;" "&amp;C2071&amp;" "&amp;D2071&amp;" "&amp;E2071&amp;" "&amp;G2071&amp;" "&amp;H2071&amp;" "&amp;J2071&amp;" "&amp;N2071</f>
        <v>Differentials Cathode     CIF Switzerland (Diff) </v>
      </c>
      <c r="S2071" s="25"/>
      <c r="T2071" s="8"/>
      <c r="U2071" s="8"/>
      <c r="V2071" s="25"/>
      <c r="W2071" s="25"/>
      <c r="X2071" s="25"/>
      <c r="Y2071" s="25"/>
      <c r="Z2071" s="25"/>
      <c r="AA2071" s="25"/>
      <c r="AB2071" s="25"/>
      <c r="AC2071" s="25"/>
      <c r="AD2071" s="25"/>
    </row>
    <row r="2072" customFormat="false" ht="15.75" hidden="false" customHeight="false" outlineLevel="0" collapsed="false">
      <c r="A2072" s="28" t="s">
        <v>2481</v>
      </c>
      <c r="B2072" s="27" t="s">
        <v>438</v>
      </c>
      <c r="C2072" s="27" t="s">
        <v>236</v>
      </c>
      <c r="D2072" s="25"/>
      <c r="E2072" s="25"/>
      <c r="F2072" s="25"/>
      <c r="G2072" s="25"/>
      <c r="H2072" s="25"/>
      <c r="I2072" s="25"/>
      <c r="J2072" s="27" t="s">
        <v>2456</v>
      </c>
      <c r="K2072" s="25" t="str">
        <f aca="false">IFERROR(__xludf.dummyfunction("SPLIT(J2072,"" "")"),"CIF")</f>
        <v>CIF</v>
      </c>
      <c r="L2072" s="28" t="str">
        <f aca="false">IFERROR(__xludf.dummyfunction("""COMPUTED_VALUE"""),"Switzerland")</f>
        <v>Switzerland</v>
      </c>
      <c r="M2072" s="27" t="str">
        <f aca="false">IFERROR(__xludf.dummyfunction("""COMPUTED_VALUE"""),"(Diff)")</f>
        <v>(Diff)</v>
      </c>
      <c r="N2072" s="25"/>
      <c r="O2072" s="25"/>
      <c r="P2072" s="25"/>
      <c r="Q2072" s="29" t="s">
        <v>251</v>
      </c>
      <c r="R2072" s="8" t="str">
        <f aca="false">B2072&amp;" "&amp;C2072&amp;" "&amp;D2072&amp;" "&amp;E2072&amp;" "&amp;G2072&amp;" "&amp;H2072&amp;" "&amp;J2072&amp;" "&amp;N2072</f>
        <v>Differentials Cathode     CIF Switzerland (Diff) </v>
      </c>
      <c r="S2072" s="25"/>
      <c r="T2072" s="8"/>
      <c r="U2072" s="8"/>
      <c r="V2072" s="25"/>
      <c r="W2072" s="25"/>
      <c r="X2072" s="25"/>
      <c r="Y2072" s="25"/>
      <c r="Z2072" s="25"/>
      <c r="AA2072" s="25"/>
      <c r="AB2072" s="25"/>
      <c r="AC2072" s="25"/>
      <c r="AD2072" s="25"/>
    </row>
    <row r="2073" customFormat="false" ht="15.75" hidden="false" customHeight="false" outlineLevel="0" collapsed="false">
      <c r="A2073" s="28" t="s">
        <v>2482</v>
      </c>
      <c r="B2073" s="27" t="s">
        <v>438</v>
      </c>
      <c r="C2073" s="27" t="s">
        <v>236</v>
      </c>
      <c r="D2073" s="25"/>
      <c r="E2073" s="25"/>
      <c r="F2073" s="25"/>
      <c r="G2073" s="25"/>
      <c r="H2073" s="25"/>
      <c r="I2073" s="25"/>
      <c r="J2073" s="27" t="s">
        <v>2456</v>
      </c>
      <c r="K2073" s="25" t="str">
        <f aca="false">IFERROR(__xludf.dummyfunction("SPLIT(J2073,"" "")"),"CIF")</f>
        <v>CIF</v>
      </c>
      <c r="L2073" s="28" t="str">
        <f aca="false">IFERROR(__xludf.dummyfunction("""COMPUTED_VALUE"""),"Switzerland")</f>
        <v>Switzerland</v>
      </c>
      <c r="M2073" s="27" t="str">
        <f aca="false">IFERROR(__xludf.dummyfunction("""COMPUTED_VALUE"""),"(Diff)")</f>
        <v>(Diff)</v>
      </c>
      <c r="N2073" s="25"/>
      <c r="O2073" s="25"/>
      <c r="P2073" s="25"/>
      <c r="Q2073" s="29" t="s">
        <v>247</v>
      </c>
      <c r="R2073" s="8" t="str">
        <f aca="false">B2073&amp;" "&amp;C2073&amp;" "&amp;D2073&amp;" "&amp;E2073&amp;" "&amp;G2073&amp;" "&amp;H2073&amp;" "&amp;J2073&amp;" "&amp;N2073</f>
        <v>Differentials Cathode     CIF Switzerland (Diff) </v>
      </c>
      <c r="S2073" s="25"/>
      <c r="T2073" s="8"/>
      <c r="U2073" s="8"/>
      <c r="V2073" s="25"/>
      <c r="W2073" s="25"/>
      <c r="X2073" s="25"/>
      <c r="Y2073" s="25"/>
      <c r="Z2073" s="25"/>
      <c r="AA2073" s="25"/>
      <c r="AB2073" s="25"/>
      <c r="AC2073" s="25"/>
      <c r="AD2073" s="25"/>
    </row>
    <row r="2074" customFormat="false" ht="15.75" hidden="false" customHeight="false" outlineLevel="0" collapsed="false">
      <c r="A2074" s="28" t="s">
        <v>2483</v>
      </c>
      <c r="B2074" s="27" t="s">
        <v>438</v>
      </c>
      <c r="C2074" s="27" t="s">
        <v>236</v>
      </c>
      <c r="D2074" s="25"/>
      <c r="E2074" s="25"/>
      <c r="F2074" s="25"/>
      <c r="G2074" s="25"/>
      <c r="H2074" s="25"/>
      <c r="I2074" s="25"/>
      <c r="J2074" s="27" t="s">
        <v>2456</v>
      </c>
      <c r="K2074" s="25" t="str">
        <f aca="false">IFERROR(__xludf.dummyfunction("SPLIT(J2074,"" "")"),"CIF")</f>
        <v>CIF</v>
      </c>
      <c r="L2074" s="28" t="str">
        <f aca="false">IFERROR(__xludf.dummyfunction("""COMPUTED_VALUE"""),"Switzerland")</f>
        <v>Switzerland</v>
      </c>
      <c r="M2074" s="27" t="str">
        <f aca="false">IFERROR(__xludf.dummyfunction("""COMPUTED_VALUE"""),"(Diff)")</f>
        <v>(Diff)</v>
      </c>
      <c r="N2074" s="25"/>
      <c r="O2074" s="25"/>
      <c r="P2074" s="25"/>
      <c r="Q2074" s="29" t="s">
        <v>243</v>
      </c>
      <c r="R2074" s="8" t="str">
        <f aca="false">B2074&amp;" "&amp;C2074&amp;" "&amp;D2074&amp;" "&amp;E2074&amp;" "&amp;G2074&amp;" "&amp;H2074&amp;" "&amp;J2074&amp;" "&amp;N2074</f>
        <v>Differentials Cathode     CIF Switzerland (Diff) </v>
      </c>
      <c r="S2074" s="25"/>
      <c r="T2074" s="8"/>
      <c r="U2074" s="8"/>
      <c r="V2074" s="25"/>
      <c r="W2074" s="25"/>
      <c r="X2074" s="25"/>
      <c r="Y2074" s="25"/>
      <c r="Z2074" s="25"/>
      <c r="AA2074" s="25"/>
      <c r="AB2074" s="25"/>
      <c r="AC2074" s="25"/>
      <c r="AD2074" s="25"/>
    </row>
    <row r="2075" customFormat="false" ht="15.75" hidden="false" customHeight="false" outlineLevel="0" collapsed="false">
      <c r="A2075" s="28" t="s">
        <v>2484</v>
      </c>
      <c r="B2075" s="27" t="s">
        <v>438</v>
      </c>
      <c r="C2075" s="27" t="s">
        <v>236</v>
      </c>
      <c r="D2075" s="25"/>
      <c r="E2075" s="25"/>
      <c r="F2075" s="25"/>
      <c r="G2075" s="25"/>
      <c r="H2075" s="25"/>
      <c r="I2075" s="25"/>
      <c r="J2075" s="27" t="s">
        <v>2456</v>
      </c>
      <c r="K2075" s="25" t="str">
        <f aca="false">IFERROR(__xludf.dummyfunction("SPLIT(J2075,"" "")"),"CIF")</f>
        <v>CIF</v>
      </c>
      <c r="L2075" s="28" t="str">
        <f aca="false">IFERROR(__xludf.dummyfunction("""COMPUTED_VALUE"""),"Switzerland")</f>
        <v>Switzerland</v>
      </c>
      <c r="M2075" s="27" t="str">
        <f aca="false">IFERROR(__xludf.dummyfunction("""COMPUTED_VALUE"""),"(Diff)")</f>
        <v>(Diff)</v>
      </c>
      <c r="N2075" s="25"/>
      <c r="O2075" s="25"/>
      <c r="P2075" s="25"/>
      <c r="Q2075" s="29" t="s">
        <v>239</v>
      </c>
      <c r="R2075" s="8" t="str">
        <f aca="false">B2075&amp;" "&amp;C2075&amp;" "&amp;D2075&amp;" "&amp;E2075&amp;" "&amp;G2075&amp;" "&amp;H2075&amp;" "&amp;J2075&amp;" "&amp;N2075</f>
        <v>Differentials Cathode     CIF Switzerland (Diff) </v>
      </c>
      <c r="S2075" s="25"/>
      <c r="T2075" s="8"/>
      <c r="U2075" s="8"/>
      <c r="V2075" s="25"/>
      <c r="W2075" s="25"/>
      <c r="X2075" s="25"/>
      <c r="Y2075" s="25"/>
      <c r="Z2075" s="25"/>
      <c r="AA2075" s="25"/>
      <c r="AB2075" s="25"/>
      <c r="AC2075" s="25"/>
      <c r="AD2075" s="25"/>
    </row>
    <row r="2076" customFormat="false" ht="15.75" hidden="false" customHeight="false" outlineLevel="0" collapsed="false">
      <c r="A2076" s="28" t="s">
        <v>2485</v>
      </c>
      <c r="B2076" s="27" t="s">
        <v>438</v>
      </c>
      <c r="C2076" s="27" t="s">
        <v>284</v>
      </c>
      <c r="D2076" s="25"/>
      <c r="E2076" s="25"/>
      <c r="F2076" s="25"/>
      <c r="G2076" s="25"/>
      <c r="H2076" s="25"/>
      <c r="I2076" s="25"/>
      <c r="J2076" s="27" t="s">
        <v>2456</v>
      </c>
      <c r="K2076" s="25" t="str">
        <f aca="false">IFERROR(__xludf.dummyfunction("SPLIT(J2076,"" "")"),"CIF")</f>
        <v>CIF</v>
      </c>
      <c r="L2076" s="28" t="str">
        <f aca="false">IFERROR(__xludf.dummyfunction("""COMPUTED_VALUE"""),"Switzerland")</f>
        <v>Switzerland</v>
      </c>
      <c r="M2076" s="27" t="str">
        <f aca="false">IFERROR(__xludf.dummyfunction("""COMPUTED_VALUE"""),"(Diff)")</f>
        <v>(Diff)</v>
      </c>
      <c r="N2076" s="25"/>
      <c r="O2076" s="25"/>
      <c r="P2076" s="25"/>
      <c r="Q2076" s="29" t="s">
        <v>287</v>
      </c>
      <c r="R2076" s="8" t="str">
        <f aca="false">B2076&amp;" "&amp;C2076&amp;" "&amp;D2076&amp;" "&amp;E2076&amp;" "&amp;G2076&amp;" "&amp;H2076&amp;" "&amp;J2076&amp;" "&amp;N2076</f>
        <v>Differentials Copper (Battery Grade)     CIF Switzerland (Diff) </v>
      </c>
      <c r="S2076" s="25"/>
      <c r="T2076" s="8"/>
      <c r="U2076" s="8"/>
      <c r="V2076" s="25"/>
      <c r="W2076" s="25"/>
      <c r="X2076" s="25"/>
      <c r="Y2076" s="25"/>
      <c r="Z2076" s="25"/>
      <c r="AA2076" s="25"/>
      <c r="AB2076" s="25"/>
      <c r="AC2076" s="25"/>
      <c r="AD2076" s="25"/>
    </row>
    <row r="2077" customFormat="false" ht="15.75" hidden="false" customHeight="false" outlineLevel="0" collapsed="false">
      <c r="A2077" s="28" t="s">
        <v>2486</v>
      </c>
      <c r="B2077" s="27" t="s">
        <v>438</v>
      </c>
      <c r="C2077" s="27" t="s">
        <v>284</v>
      </c>
      <c r="D2077" s="25"/>
      <c r="E2077" s="25"/>
      <c r="F2077" s="25"/>
      <c r="G2077" s="25"/>
      <c r="H2077" s="25"/>
      <c r="I2077" s="25"/>
      <c r="J2077" s="27" t="s">
        <v>2456</v>
      </c>
      <c r="K2077" s="25" t="str">
        <f aca="false">IFERROR(__xludf.dummyfunction("SPLIT(J2077,"" "")"),"CIF")</f>
        <v>CIF</v>
      </c>
      <c r="L2077" s="28" t="str">
        <f aca="false">IFERROR(__xludf.dummyfunction("""COMPUTED_VALUE"""),"Switzerland")</f>
        <v>Switzerland</v>
      </c>
      <c r="M2077" s="27" t="str">
        <f aca="false">IFERROR(__xludf.dummyfunction("""COMPUTED_VALUE"""),"(Diff)")</f>
        <v>(Diff)</v>
      </c>
      <c r="N2077" s="25"/>
      <c r="O2077" s="25"/>
      <c r="P2077" s="25"/>
      <c r="Q2077" s="29" t="s">
        <v>285</v>
      </c>
      <c r="R2077" s="8" t="str">
        <f aca="false">B2077&amp;" "&amp;C2077&amp;" "&amp;D2077&amp;" "&amp;E2077&amp;" "&amp;G2077&amp;" "&amp;H2077&amp;" "&amp;J2077&amp;" "&amp;N2077</f>
        <v>Differentials Copper (Battery Grade)     CIF Switzerland (Diff) </v>
      </c>
      <c r="S2077" s="25"/>
      <c r="T2077" s="8"/>
      <c r="U2077" s="8"/>
      <c r="V2077" s="25"/>
      <c r="W2077" s="25"/>
      <c r="X2077" s="25"/>
      <c r="Y2077" s="25"/>
      <c r="Z2077" s="25"/>
      <c r="AA2077" s="25"/>
      <c r="AB2077" s="25"/>
      <c r="AC2077" s="25"/>
      <c r="AD2077" s="25"/>
    </row>
    <row r="2078" customFormat="false" ht="15.75" hidden="false" customHeight="false" outlineLevel="0" collapsed="false">
      <c r="A2078" s="28" t="s">
        <v>2487</v>
      </c>
      <c r="B2078" s="27" t="s">
        <v>438</v>
      </c>
      <c r="C2078" s="27" t="s">
        <v>289</v>
      </c>
      <c r="D2078" s="25"/>
      <c r="E2078" s="25"/>
      <c r="F2078" s="25"/>
      <c r="G2078" s="25"/>
      <c r="H2078" s="25"/>
      <c r="I2078" s="25"/>
      <c r="J2078" s="27" t="s">
        <v>2456</v>
      </c>
      <c r="K2078" s="25" t="str">
        <f aca="false">IFERROR(__xludf.dummyfunction("SPLIT(J2078,"" "")"),"CIF")</f>
        <v>CIF</v>
      </c>
      <c r="L2078" s="28" t="str">
        <f aca="false">IFERROR(__xludf.dummyfunction("""COMPUTED_VALUE"""),"Switzerland")</f>
        <v>Switzerland</v>
      </c>
      <c r="M2078" s="27" t="str">
        <f aca="false">IFERROR(__xludf.dummyfunction("""COMPUTED_VALUE"""),"(Diff)")</f>
        <v>(Diff)</v>
      </c>
      <c r="N2078" s="25"/>
      <c r="O2078" s="25"/>
      <c r="P2078" s="25"/>
      <c r="Q2078" s="29" t="s">
        <v>306</v>
      </c>
      <c r="R2078" s="8" t="str">
        <f aca="false">B2078&amp;" "&amp;C2078&amp;" "&amp;D2078&amp;" "&amp;E2078&amp;" "&amp;G2078&amp;" "&amp;H2078&amp;" "&amp;J2078&amp;" "&amp;N2078</f>
        <v>Differentials Electrolyte     CIF Switzerland (Diff) </v>
      </c>
      <c r="S2078" s="25"/>
      <c r="T2078" s="8"/>
      <c r="U2078" s="8"/>
      <c r="V2078" s="25"/>
      <c r="W2078" s="25"/>
      <c r="X2078" s="25"/>
      <c r="Y2078" s="25"/>
      <c r="Z2078" s="25"/>
      <c r="AA2078" s="25"/>
      <c r="AB2078" s="25"/>
      <c r="AC2078" s="25"/>
      <c r="AD2078" s="25"/>
    </row>
    <row r="2079" customFormat="false" ht="15.75" hidden="false" customHeight="false" outlineLevel="0" collapsed="false">
      <c r="A2079" s="28" t="s">
        <v>2488</v>
      </c>
      <c r="B2079" s="27" t="s">
        <v>438</v>
      </c>
      <c r="C2079" s="27" t="s">
        <v>289</v>
      </c>
      <c r="D2079" s="25"/>
      <c r="E2079" s="25"/>
      <c r="F2079" s="25"/>
      <c r="G2079" s="25"/>
      <c r="H2079" s="25"/>
      <c r="I2079" s="25"/>
      <c r="J2079" s="27" t="s">
        <v>2456</v>
      </c>
      <c r="K2079" s="25" t="str">
        <f aca="false">IFERROR(__xludf.dummyfunction("SPLIT(J2079,"" "")"),"CIF")</f>
        <v>CIF</v>
      </c>
      <c r="L2079" s="28" t="str">
        <f aca="false">IFERROR(__xludf.dummyfunction("""COMPUTED_VALUE"""),"Switzerland")</f>
        <v>Switzerland</v>
      </c>
      <c r="M2079" s="27" t="str">
        <f aca="false">IFERROR(__xludf.dummyfunction("""COMPUTED_VALUE"""),"(Diff)")</f>
        <v>(Diff)</v>
      </c>
      <c r="N2079" s="25"/>
      <c r="O2079" s="25"/>
      <c r="P2079" s="25"/>
      <c r="Q2079" s="29" t="s">
        <v>304</v>
      </c>
      <c r="R2079" s="8" t="str">
        <f aca="false">B2079&amp;" "&amp;C2079&amp;" "&amp;D2079&amp;" "&amp;E2079&amp;" "&amp;G2079&amp;" "&amp;H2079&amp;" "&amp;J2079&amp;" "&amp;N2079</f>
        <v>Differentials Electrolyte     CIF Switzerland (Diff) </v>
      </c>
      <c r="S2079" s="25"/>
      <c r="T2079" s="8"/>
      <c r="U2079" s="8"/>
      <c r="V2079" s="25"/>
      <c r="W2079" s="25"/>
      <c r="X2079" s="25"/>
      <c r="Y2079" s="25"/>
      <c r="Z2079" s="25"/>
      <c r="AA2079" s="25"/>
      <c r="AB2079" s="25"/>
      <c r="AC2079" s="25"/>
      <c r="AD2079" s="25"/>
    </row>
    <row r="2080" customFormat="false" ht="15.75" hidden="false" customHeight="false" outlineLevel="0" collapsed="false">
      <c r="A2080" s="28" t="s">
        <v>2489</v>
      </c>
      <c r="B2080" s="27" t="s">
        <v>438</v>
      </c>
      <c r="C2080" s="27" t="s">
        <v>289</v>
      </c>
      <c r="D2080" s="25"/>
      <c r="E2080" s="25"/>
      <c r="F2080" s="25"/>
      <c r="G2080" s="25"/>
      <c r="H2080" s="25"/>
      <c r="I2080" s="25"/>
      <c r="J2080" s="27" t="s">
        <v>2456</v>
      </c>
      <c r="K2080" s="25" t="str">
        <f aca="false">IFERROR(__xludf.dummyfunction("SPLIT(J2080,"" "")"),"CIF")</f>
        <v>CIF</v>
      </c>
      <c r="L2080" s="28" t="str">
        <f aca="false">IFERROR(__xludf.dummyfunction("""COMPUTED_VALUE"""),"Switzerland")</f>
        <v>Switzerland</v>
      </c>
      <c r="M2080" s="27" t="str">
        <f aca="false">IFERROR(__xludf.dummyfunction("""COMPUTED_VALUE"""),"(Diff)")</f>
        <v>(Diff)</v>
      </c>
      <c r="N2080" s="25"/>
      <c r="O2080" s="25"/>
      <c r="P2080" s="25"/>
      <c r="Q2080" s="29" t="s">
        <v>302</v>
      </c>
      <c r="R2080" s="8" t="str">
        <f aca="false">B2080&amp;" "&amp;C2080&amp;" "&amp;D2080&amp;" "&amp;E2080&amp;" "&amp;G2080&amp;" "&amp;H2080&amp;" "&amp;J2080&amp;" "&amp;N2080</f>
        <v>Differentials Electrolyte     CIF Switzerland (Diff) </v>
      </c>
      <c r="S2080" s="25"/>
      <c r="T2080" s="8"/>
      <c r="U2080" s="8"/>
      <c r="V2080" s="25"/>
      <c r="W2080" s="25"/>
      <c r="X2080" s="25"/>
      <c r="Y2080" s="25"/>
      <c r="Z2080" s="25"/>
      <c r="AA2080" s="25"/>
      <c r="AB2080" s="25"/>
      <c r="AC2080" s="25"/>
      <c r="AD2080" s="25"/>
    </row>
    <row r="2081" customFormat="false" ht="15.75" hidden="false" customHeight="false" outlineLevel="0" collapsed="false">
      <c r="A2081" s="28" t="s">
        <v>2490</v>
      </c>
      <c r="B2081" s="27" t="s">
        <v>438</v>
      </c>
      <c r="C2081" s="27" t="s">
        <v>289</v>
      </c>
      <c r="D2081" s="25"/>
      <c r="E2081" s="25"/>
      <c r="F2081" s="25"/>
      <c r="G2081" s="25"/>
      <c r="H2081" s="25"/>
      <c r="I2081" s="25"/>
      <c r="J2081" s="27" t="s">
        <v>2456</v>
      </c>
      <c r="K2081" s="25" t="str">
        <f aca="false">IFERROR(__xludf.dummyfunction("SPLIT(J2081,"" "")"),"CIF")</f>
        <v>CIF</v>
      </c>
      <c r="L2081" s="28" t="str">
        <f aca="false">IFERROR(__xludf.dummyfunction("""COMPUTED_VALUE"""),"Switzerland")</f>
        <v>Switzerland</v>
      </c>
      <c r="M2081" s="27" t="str">
        <f aca="false">IFERROR(__xludf.dummyfunction("""COMPUTED_VALUE"""),"(Diff)")</f>
        <v>(Diff)</v>
      </c>
      <c r="N2081" s="25"/>
      <c r="O2081" s="25"/>
      <c r="P2081" s="25"/>
      <c r="Q2081" s="29" t="s">
        <v>300</v>
      </c>
      <c r="R2081" s="8" t="str">
        <f aca="false">B2081&amp;" "&amp;C2081&amp;" "&amp;D2081&amp;" "&amp;E2081&amp;" "&amp;G2081&amp;" "&amp;H2081&amp;" "&amp;J2081&amp;" "&amp;N2081</f>
        <v>Differentials Electrolyte     CIF Switzerland (Diff) </v>
      </c>
      <c r="S2081" s="25"/>
      <c r="T2081" s="8"/>
      <c r="U2081" s="8"/>
      <c r="V2081" s="25"/>
      <c r="W2081" s="25"/>
      <c r="X2081" s="25"/>
      <c r="Y2081" s="25"/>
      <c r="Z2081" s="25"/>
      <c r="AA2081" s="25"/>
      <c r="AB2081" s="25"/>
      <c r="AC2081" s="25"/>
      <c r="AD2081" s="25"/>
    </row>
    <row r="2082" customFormat="false" ht="15.75" hidden="false" customHeight="false" outlineLevel="0" collapsed="false">
      <c r="A2082" s="28" t="s">
        <v>2491</v>
      </c>
      <c r="B2082" s="27" t="s">
        <v>438</v>
      </c>
      <c r="C2082" s="27" t="s">
        <v>289</v>
      </c>
      <c r="D2082" s="25"/>
      <c r="E2082" s="25"/>
      <c r="F2082" s="25"/>
      <c r="G2082" s="25"/>
      <c r="H2082" s="25"/>
      <c r="I2082" s="25"/>
      <c r="J2082" s="27" t="s">
        <v>2456</v>
      </c>
      <c r="K2082" s="25" t="str">
        <f aca="false">IFERROR(__xludf.dummyfunction("SPLIT(J2082,"" "")"),"CIF")</f>
        <v>CIF</v>
      </c>
      <c r="L2082" s="28" t="str">
        <f aca="false">IFERROR(__xludf.dummyfunction("""COMPUTED_VALUE"""),"Switzerland")</f>
        <v>Switzerland</v>
      </c>
      <c r="M2082" s="27" t="str">
        <f aca="false">IFERROR(__xludf.dummyfunction("""COMPUTED_VALUE"""),"(Diff)")</f>
        <v>(Diff)</v>
      </c>
      <c r="N2082" s="25"/>
      <c r="O2082" s="25"/>
      <c r="P2082" s="25"/>
      <c r="Q2082" s="29" t="s">
        <v>298</v>
      </c>
      <c r="R2082" s="8" t="str">
        <f aca="false">B2082&amp;" "&amp;C2082&amp;" "&amp;D2082&amp;" "&amp;E2082&amp;" "&amp;G2082&amp;" "&amp;H2082&amp;" "&amp;J2082&amp;" "&amp;N2082</f>
        <v>Differentials Electrolyte     CIF Switzerland (Diff) </v>
      </c>
      <c r="S2082" s="25"/>
      <c r="T2082" s="8"/>
      <c r="U2082" s="8"/>
      <c r="V2082" s="25"/>
      <c r="W2082" s="25"/>
      <c r="X2082" s="25"/>
      <c r="Y2082" s="25"/>
      <c r="Z2082" s="25"/>
      <c r="AA2082" s="25"/>
      <c r="AB2082" s="25"/>
      <c r="AC2082" s="25"/>
      <c r="AD2082" s="25"/>
    </row>
    <row r="2083" customFormat="false" ht="15.75" hidden="false" customHeight="false" outlineLevel="0" collapsed="false">
      <c r="A2083" s="28" t="s">
        <v>2492</v>
      </c>
      <c r="B2083" s="27" t="s">
        <v>438</v>
      </c>
      <c r="C2083" s="27" t="s">
        <v>289</v>
      </c>
      <c r="D2083" s="25"/>
      <c r="E2083" s="25"/>
      <c r="F2083" s="25"/>
      <c r="G2083" s="25"/>
      <c r="H2083" s="25"/>
      <c r="I2083" s="25"/>
      <c r="J2083" s="27" t="s">
        <v>2456</v>
      </c>
      <c r="K2083" s="25" t="str">
        <f aca="false">IFERROR(__xludf.dummyfunction("SPLIT(J2083,"" "")"),"CIF")</f>
        <v>CIF</v>
      </c>
      <c r="L2083" s="28" t="str">
        <f aca="false">IFERROR(__xludf.dummyfunction("""COMPUTED_VALUE"""),"Switzerland")</f>
        <v>Switzerland</v>
      </c>
      <c r="M2083" s="27" t="str">
        <f aca="false">IFERROR(__xludf.dummyfunction("""COMPUTED_VALUE"""),"(Diff)")</f>
        <v>(Diff)</v>
      </c>
      <c r="N2083" s="25"/>
      <c r="O2083" s="25"/>
      <c r="P2083" s="25"/>
      <c r="Q2083" s="29" t="s">
        <v>296</v>
      </c>
      <c r="R2083" s="8" t="str">
        <f aca="false">B2083&amp;" "&amp;C2083&amp;" "&amp;D2083&amp;" "&amp;E2083&amp;" "&amp;G2083&amp;" "&amp;H2083&amp;" "&amp;J2083&amp;" "&amp;N2083</f>
        <v>Differentials Electrolyte     CIF Switzerland (Diff) </v>
      </c>
      <c r="S2083" s="25"/>
      <c r="T2083" s="8"/>
      <c r="U2083" s="8"/>
      <c r="V2083" s="25"/>
      <c r="W2083" s="25"/>
      <c r="X2083" s="25"/>
      <c r="Y2083" s="25"/>
      <c r="Z2083" s="25"/>
      <c r="AA2083" s="25"/>
      <c r="AB2083" s="25"/>
      <c r="AC2083" s="25"/>
      <c r="AD2083" s="25"/>
    </row>
    <row r="2084" customFormat="false" ht="15.75" hidden="false" customHeight="false" outlineLevel="0" collapsed="false">
      <c r="A2084" s="28" t="s">
        <v>2493</v>
      </c>
      <c r="B2084" s="27" t="s">
        <v>438</v>
      </c>
      <c r="C2084" s="27" t="s">
        <v>289</v>
      </c>
      <c r="D2084" s="25"/>
      <c r="E2084" s="25"/>
      <c r="F2084" s="25"/>
      <c r="G2084" s="25"/>
      <c r="H2084" s="25"/>
      <c r="I2084" s="25"/>
      <c r="J2084" s="27" t="s">
        <v>2456</v>
      </c>
      <c r="K2084" s="25" t="str">
        <f aca="false">IFERROR(__xludf.dummyfunction("SPLIT(J2084,"" "")"),"CIF")</f>
        <v>CIF</v>
      </c>
      <c r="L2084" s="28" t="str">
        <f aca="false">IFERROR(__xludf.dummyfunction("""COMPUTED_VALUE"""),"Switzerland")</f>
        <v>Switzerland</v>
      </c>
      <c r="M2084" s="27" t="str">
        <f aca="false">IFERROR(__xludf.dummyfunction("""COMPUTED_VALUE"""),"(Diff)")</f>
        <v>(Diff)</v>
      </c>
      <c r="N2084" s="25"/>
      <c r="O2084" s="25"/>
      <c r="P2084" s="25"/>
      <c r="Q2084" s="29" t="s">
        <v>294</v>
      </c>
      <c r="R2084" s="8" t="str">
        <f aca="false">B2084&amp;" "&amp;C2084&amp;" "&amp;D2084&amp;" "&amp;E2084&amp;" "&amp;G2084&amp;" "&amp;H2084&amp;" "&amp;J2084&amp;" "&amp;N2084</f>
        <v>Differentials Electrolyte     CIF Switzerland (Diff) </v>
      </c>
      <c r="S2084" s="25"/>
      <c r="T2084" s="8"/>
      <c r="U2084" s="8"/>
      <c r="V2084" s="25"/>
      <c r="W2084" s="25"/>
      <c r="X2084" s="25"/>
      <c r="Y2084" s="25"/>
      <c r="Z2084" s="25"/>
      <c r="AA2084" s="25"/>
      <c r="AB2084" s="25"/>
      <c r="AC2084" s="25"/>
      <c r="AD2084" s="25"/>
    </row>
    <row r="2085" customFormat="false" ht="15.75" hidden="false" customHeight="false" outlineLevel="0" collapsed="false">
      <c r="A2085" s="28" t="s">
        <v>2494</v>
      </c>
      <c r="B2085" s="27" t="s">
        <v>438</v>
      </c>
      <c r="C2085" s="27" t="s">
        <v>289</v>
      </c>
      <c r="D2085" s="25"/>
      <c r="E2085" s="25"/>
      <c r="F2085" s="25"/>
      <c r="G2085" s="25"/>
      <c r="H2085" s="25"/>
      <c r="I2085" s="25"/>
      <c r="J2085" s="27" t="s">
        <v>2456</v>
      </c>
      <c r="K2085" s="25" t="str">
        <f aca="false">IFERROR(__xludf.dummyfunction("SPLIT(J2085,"" "")"),"CIF")</f>
        <v>CIF</v>
      </c>
      <c r="L2085" s="28" t="str">
        <f aca="false">IFERROR(__xludf.dummyfunction("""COMPUTED_VALUE"""),"Switzerland")</f>
        <v>Switzerland</v>
      </c>
      <c r="M2085" s="27" t="str">
        <f aca="false">IFERROR(__xludf.dummyfunction("""COMPUTED_VALUE"""),"(Diff)")</f>
        <v>(Diff)</v>
      </c>
      <c r="N2085" s="25"/>
      <c r="O2085" s="25"/>
      <c r="P2085" s="25"/>
      <c r="Q2085" s="29" t="s">
        <v>291</v>
      </c>
      <c r="R2085" s="8" t="str">
        <f aca="false">B2085&amp;" "&amp;C2085&amp;" "&amp;D2085&amp;" "&amp;E2085&amp;" "&amp;G2085&amp;" "&amp;H2085&amp;" "&amp;J2085&amp;" "&amp;N2085</f>
        <v>Differentials Electrolyte     CIF Switzerland (Diff) </v>
      </c>
      <c r="S2085" s="25"/>
      <c r="T2085" s="8"/>
      <c r="U2085" s="8"/>
      <c r="V2085" s="25"/>
      <c r="W2085" s="25"/>
      <c r="X2085" s="25"/>
      <c r="Y2085" s="25"/>
      <c r="Z2085" s="25"/>
      <c r="AA2085" s="25"/>
      <c r="AB2085" s="25"/>
      <c r="AC2085" s="25"/>
      <c r="AD2085" s="25"/>
    </row>
    <row r="2086" customFormat="false" ht="15.75" hidden="false" customHeight="false" outlineLevel="0" collapsed="false">
      <c r="A2086" s="28" t="s">
        <v>2495</v>
      </c>
      <c r="B2086" s="27" t="s">
        <v>438</v>
      </c>
      <c r="C2086" s="27" t="s">
        <v>308</v>
      </c>
      <c r="D2086" s="25"/>
      <c r="E2086" s="25"/>
      <c r="F2086" s="25"/>
      <c r="G2086" s="25"/>
      <c r="H2086" s="25"/>
      <c r="I2086" s="25"/>
      <c r="J2086" s="27" t="s">
        <v>2456</v>
      </c>
      <c r="K2086" s="25" t="str">
        <f aca="false">IFERROR(__xludf.dummyfunction("SPLIT(J2086,"" "")"),"CIF")</f>
        <v>CIF</v>
      </c>
      <c r="L2086" s="28" t="str">
        <f aca="false">IFERROR(__xludf.dummyfunction("""COMPUTED_VALUE"""),"Switzerland")</f>
        <v>Switzerland</v>
      </c>
      <c r="M2086" s="27" t="str">
        <f aca="false">IFERROR(__xludf.dummyfunction("""COMPUTED_VALUE"""),"(Diff)")</f>
        <v>(Diff)</v>
      </c>
      <c r="N2086" s="25"/>
      <c r="O2086" s="25"/>
      <c r="P2086" s="25"/>
      <c r="Q2086" s="29" t="s">
        <v>358</v>
      </c>
      <c r="R2086" s="8" t="str">
        <f aca="false">B2086&amp;" "&amp;C2086&amp;" "&amp;D2086&amp;" "&amp;E2086&amp;" "&amp;G2086&amp;" "&amp;H2086&amp;" "&amp;J2086&amp;" "&amp;N2086</f>
        <v>Differentials Graphite     CIF Switzerland (Diff) </v>
      </c>
      <c r="S2086" s="25"/>
      <c r="T2086" s="8"/>
      <c r="U2086" s="8"/>
      <c r="V2086" s="25"/>
      <c r="W2086" s="25"/>
      <c r="X2086" s="25"/>
      <c r="Y2086" s="25"/>
      <c r="Z2086" s="25"/>
      <c r="AA2086" s="25"/>
      <c r="AB2086" s="25"/>
      <c r="AC2086" s="25"/>
      <c r="AD2086" s="25"/>
    </row>
    <row r="2087" customFormat="false" ht="15.75" hidden="false" customHeight="false" outlineLevel="0" collapsed="false">
      <c r="A2087" s="28" t="s">
        <v>2496</v>
      </c>
      <c r="B2087" s="27" t="s">
        <v>438</v>
      </c>
      <c r="C2087" s="27" t="s">
        <v>308</v>
      </c>
      <c r="D2087" s="25"/>
      <c r="E2087" s="25"/>
      <c r="F2087" s="25"/>
      <c r="G2087" s="25"/>
      <c r="H2087" s="25"/>
      <c r="I2087" s="25"/>
      <c r="J2087" s="27" t="s">
        <v>2456</v>
      </c>
      <c r="K2087" s="25" t="str">
        <f aca="false">IFERROR(__xludf.dummyfunction("SPLIT(J2087,"" "")"),"CIF")</f>
        <v>CIF</v>
      </c>
      <c r="L2087" s="28" t="str">
        <f aca="false">IFERROR(__xludf.dummyfunction("""COMPUTED_VALUE"""),"Switzerland")</f>
        <v>Switzerland</v>
      </c>
      <c r="M2087" s="27" t="str">
        <f aca="false">IFERROR(__xludf.dummyfunction("""COMPUTED_VALUE"""),"(Diff)")</f>
        <v>(Diff)</v>
      </c>
      <c r="N2087" s="25"/>
      <c r="O2087" s="25"/>
      <c r="P2087" s="25"/>
      <c r="Q2087" s="29" t="s">
        <v>356</v>
      </c>
      <c r="R2087" s="8" t="str">
        <f aca="false">B2087&amp;" "&amp;C2087&amp;" "&amp;D2087&amp;" "&amp;E2087&amp;" "&amp;G2087&amp;" "&amp;H2087&amp;" "&amp;J2087&amp;" "&amp;N2087</f>
        <v>Differentials Graphite     CIF Switzerland (Diff) </v>
      </c>
      <c r="S2087" s="25"/>
      <c r="T2087" s="8"/>
      <c r="U2087" s="8"/>
      <c r="V2087" s="25"/>
      <c r="W2087" s="25"/>
      <c r="X2087" s="25"/>
      <c r="Y2087" s="25"/>
      <c r="Z2087" s="25"/>
      <c r="AA2087" s="25"/>
      <c r="AB2087" s="25"/>
      <c r="AC2087" s="25"/>
      <c r="AD2087" s="25"/>
    </row>
    <row r="2088" customFormat="false" ht="15.75" hidden="false" customHeight="false" outlineLevel="0" collapsed="false">
      <c r="A2088" s="28" t="s">
        <v>2497</v>
      </c>
      <c r="B2088" s="27" t="s">
        <v>438</v>
      </c>
      <c r="C2088" s="27" t="s">
        <v>308</v>
      </c>
      <c r="D2088" s="25"/>
      <c r="E2088" s="25"/>
      <c r="F2088" s="25"/>
      <c r="G2088" s="25"/>
      <c r="H2088" s="25"/>
      <c r="I2088" s="25"/>
      <c r="J2088" s="27" t="s">
        <v>2456</v>
      </c>
      <c r="K2088" s="25" t="str">
        <f aca="false">IFERROR(__xludf.dummyfunction("SPLIT(J2088,"" "")"),"CIF")</f>
        <v>CIF</v>
      </c>
      <c r="L2088" s="28" t="str">
        <f aca="false">IFERROR(__xludf.dummyfunction("""COMPUTED_VALUE"""),"Switzerland")</f>
        <v>Switzerland</v>
      </c>
      <c r="M2088" s="27" t="str">
        <f aca="false">IFERROR(__xludf.dummyfunction("""COMPUTED_VALUE"""),"(Diff)")</f>
        <v>(Diff)</v>
      </c>
      <c r="N2088" s="25"/>
      <c r="O2088" s="25"/>
      <c r="P2088" s="25"/>
      <c r="Q2088" s="29" t="s">
        <v>354</v>
      </c>
      <c r="R2088" s="8" t="str">
        <f aca="false">B2088&amp;" "&amp;C2088&amp;" "&amp;D2088&amp;" "&amp;E2088&amp;" "&amp;G2088&amp;" "&amp;H2088&amp;" "&amp;J2088&amp;" "&amp;N2088</f>
        <v>Differentials Graphite     CIF Switzerland (Diff) </v>
      </c>
      <c r="S2088" s="25"/>
      <c r="T2088" s="8"/>
      <c r="U2088" s="8"/>
      <c r="V2088" s="25"/>
      <c r="W2088" s="25"/>
      <c r="X2088" s="25"/>
      <c r="Y2088" s="25"/>
      <c r="Z2088" s="25"/>
      <c r="AA2088" s="25"/>
      <c r="AB2088" s="25"/>
      <c r="AC2088" s="25"/>
      <c r="AD2088" s="25"/>
    </row>
    <row r="2089" customFormat="false" ht="15.75" hidden="false" customHeight="false" outlineLevel="0" collapsed="false">
      <c r="A2089" s="28" t="s">
        <v>2498</v>
      </c>
      <c r="B2089" s="27" t="s">
        <v>438</v>
      </c>
      <c r="C2089" s="27" t="s">
        <v>308</v>
      </c>
      <c r="D2089" s="25"/>
      <c r="E2089" s="25"/>
      <c r="F2089" s="25"/>
      <c r="G2089" s="25"/>
      <c r="H2089" s="25"/>
      <c r="I2089" s="25"/>
      <c r="J2089" s="27" t="s">
        <v>2456</v>
      </c>
      <c r="K2089" s="25" t="str">
        <f aca="false">IFERROR(__xludf.dummyfunction("SPLIT(J2089,"" "")"),"CIF")</f>
        <v>CIF</v>
      </c>
      <c r="L2089" s="28" t="str">
        <f aca="false">IFERROR(__xludf.dummyfunction("""COMPUTED_VALUE"""),"Switzerland")</f>
        <v>Switzerland</v>
      </c>
      <c r="M2089" s="27" t="str">
        <f aca="false">IFERROR(__xludf.dummyfunction("""COMPUTED_VALUE"""),"(Diff)")</f>
        <v>(Diff)</v>
      </c>
      <c r="N2089" s="25"/>
      <c r="O2089" s="25"/>
      <c r="P2089" s="25"/>
      <c r="Q2089" s="29" t="s">
        <v>352</v>
      </c>
      <c r="R2089" s="8" t="str">
        <f aca="false">B2089&amp;" "&amp;C2089&amp;" "&amp;D2089&amp;" "&amp;E2089&amp;" "&amp;G2089&amp;" "&amp;H2089&amp;" "&amp;J2089&amp;" "&amp;N2089</f>
        <v>Differentials Graphite     CIF Switzerland (Diff) </v>
      </c>
      <c r="S2089" s="25"/>
      <c r="T2089" s="8"/>
      <c r="U2089" s="8"/>
      <c r="V2089" s="25"/>
      <c r="W2089" s="25"/>
      <c r="X2089" s="25"/>
      <c r="Y2089" s="25"/>
      <c r="Z2089" s="25"/>
      <c r="AA2089" s="25"/>
      <c r="AB2089" s="25"/>
      <c r="AC2089" s="25"/>
      <c r="AD2089" s="25"/>
    </row>
    <row r="2090" customFormat="false" ht="15.75" hidden="false" customHeight="false" outlineLevel="0" collapsed="false">
      <c r="A2090" s="28" t="s">
        <v>2499</v>
      </c>
      <c r="B2090" s="27" t="s">
        <v>438</v>
      </c>
      <c r="C2090" s="27" t="s">
        <v>308</v>
      </c>
      <c r="D2090" s="25"/>
      <c r="E2090" s="25"/>
      <c r="F2090" s="25"/>
      <c r="G2090" s="25"/>
      <c r="H2090" s="25"/>
      <c r="I2090" s="25"/>
      <c r="J2090" s="27" t="s">
        <v>2456</v>
      </c>
      <c r="K2090" s="25" t="str">
        <f aca="false">IFERROR(__xludf.dummyfunction("SPLIT(J2090,"" "")"),"CIF")</f>
        <v>CIF</v>
      </c>
      <c r="L2090" s="28" t="str">
        <f aca="false">IFERROR(__xludf.dummyfunction("""COMPUTED_VALUE"""),"Switzerland")</f>
        <v>Switzerland</v>
      </c>
      <c r="M2090" s="27" t="str">
        <f aca="false">IFERROR(__xludf.dummyfunction("""COMPUTED_VALUE"""),"(Diff)")</f>
        <v>(Diff)</v>
      </c>
      <c r="N2090" s="25"/>
      <c r="O2090" s="25"/>
      <c r="P2090" s="25"/>
      <c r="Q2090" s="29" t="s">
        <v>350</v>
      </c>
      <c r="R2090" s="8" t="str">
        <f aca="false">B2090&amp;" "&amp;C2090&amp;" "&amp;D2090&amp;" "&amp;E2090&amp;" "&amp;G2090&amp;" "&amp;H2090&amp;" "&amp;J2090&amp;" "&amp;N2090</f>
        <v>Differentials Graphite     CIF Switzerland (Diff) </v>
      </c>
      <c r="S2090" s="25"/>
      <c r="T2090" s="8"/>
      <c r="U2090" s="8"/>
      <c r="V2090" s="25"/>
      <c r="W2090" s="25"/>
      <c r="X2090" s="25"/>
      <c r="Y2090" s="25"/>
      <c r="Z2090" s="25"/>
      <c r="AA2090" s="25"/>
      <c r="AB2090" s="25"/>
      <c r="AC2090" s="25"/>
      <c r="AD2090" s="25"/>
    </row>
    <row r="2091" customFormat="false" ht="15.75" hidden="false" customHeight="false" outlineLevel="0" collapsed="false">
      <c r="A2091" s="28" t="s">
        <v>2500</v>
      </c>
      <c r="B2091" s="27" t="s">
        <v>438</v>
      </c>
      <c r="C2091" s="27" t="s">
        <v>308</v>
      </c>
      <c r="D2091" s="25"/>
      <c r="E2091" s="25"/>
      <c r="F2091" s="25"/>
      <c r="G2091" s="25"/>
      <c r="H2091" s="25"/>
      <c r="I2091" s="25"/>
      <c r="J2091" s="27" t="s">
        <v>2456</v>
      </c>
      <c r="K2091" s="25" t="str">
        <f aca="false">IFERROR(__xludf.dummyfunction("SPLIT(J2091,"" "")"),"CIF")</f>
        <v>CIF</v>
      </c>
      <c r="L2091" s="28" t="str">
        <f aca="false">IFERROR(__xludf.dummyfunction("""COMPUTED_VALUE"""),"Switzerland")</f>
        <v>Switzerland</v>
      </c>
      <c r="M2091" s="27" t="str">
        <f aca="false">IFERROR(__xludf.dummyfunction("""COMPUTED_VALUE"""),"(Diff)")</f>
        <v>(Diff)</v>
      </c>
      <c r="N2091" s="25"/>
      <c r="O2091" s="25"/>
      <c r="P2091" s="25"/>
      <c r="Q2091" s="29" t="s">
        <v>347</v>
      </c>
      <c r="R2091" s="8" t="str">
        <f aca="false">B2091&amp;" "&amp;C2091&amp;" "&amp;D2091&amp;" "&amp;E2091&amp;" "&amp;G2091&amp;" "&amp;H2091&amp;" "&amp;J2091&amp;" "&amp;N2091</f>
        <v>Differentials Graphite     CIF Switzerland (Diff) </v>
      </c>
      <c r="S2091" s="25"/>
      <c r="T2091" s="8"/>
      <c r="U2091" s="8"/>
      <c r="V2091" s="25"/>
      <c r="W2091" s="25"/>
      <c r="X2091" s="25"/>
      <c r="Y2091" s="25"/>
      <c r="Z2091" s="25"/>
      <c r="AA2091" s="25"/>
      <c r="AB2091" s="25"/>
      <c r="AC2091" s="25"/>
      <c r="AD2091" s="25"/>
    </row>
    <row r="2092" customFormat="false" ht="15.75" hidden="false" customHeight="false" outlineLevel="0" collapsed="false">
      <c r="A2092" s="28" t="s">
        <v>2501</v>
      </c>
      <c r="B2092" s="27" t="s">
        <v>438</v>
      </c>
      <c r="C2092" s="27" t="s">
        <v>308</v>
      </c>
      <c r="D2092" s="25"/>
      <c r="E2092" s="25"/>
      <c r="F2092" s="25"/>
      <c r="G2092" s="25"/>
      <c r="H2092" s="25"/>
      <c r="I2092" s="25"/>
      <c r="J2092" s="27" t="s">
        <v>2456</v>
      </c>
      <c r="K2092" s="25" t="str">
        <f aca="false">IFERROR(__xludf.dummyfunction("SPLIT(J2092,"" "")"),"CIF")</f>
        <v>CIF</v>
      </c>
      <c r="L2092" s="28" t="str">
        <f aca="false">IFERROR(__xludf.dummyfunction("""COMPUTED_VALUE"""),"Switzerland")</f>
        <v>Switzerland</v>
      </c>
      <c r="M2092" s="27" t="str">
        <f aca="false">IFERROR(__xludf.dummyfunction("""COMPUTED_VALUE"""),"(Diff)")</f>
        <v>(Diff)</v>
      </c>
      <c r="N2092" s="25"/>
      <c r="O2092" s="25"/>
      <c r="P2092" s="25"/>
      <c r="Q2092" s="29" t="s">
        <v>344</v>
      </c>
      <c r="R2092" s="8" t="str">
        <f aca="false">B2092&amp;" "&amp;C2092&amp;" "&amp;D2092&amp;" "&amp;E2092&amp;" "&amp;G2092&amp;" "&amp;H2092&amp;" "&amp;J2092&amp;" "&amp;N2092</f>
        <v>Differentials Graphite     CIF Switzerland (Diff) </v>
      </c>
      <c r="S2092" s="25"/>
      <c r="T2092" s="8"/>
      <c r="U2092" s="8"/>
      <c r="V2092" s="25"/>
      <c r="W2092" s="25"/>
      <c r="X2092" s="25"/>
      <c r="Y2092" s="25"/>
      <c r="Z2092" s="25"/>
      <c r="AA2092" s="25"/>
      <c r="AB2092" s="25"/>
      <c r="AC2092" s="25"/>
      <c r="AD2092" s="25"/>
    </row>
    <row r="2093" customFormat="false" ht="15.75" hidden="false" customHeight="false" outlineLevel="0" collapsed="false">
      <c r="A2093" s="28" t="s">
        <v>2502</v>
      </c>
      <c r="B2093" s="27" t="s">
        <v>438</v>
      </c>
      <c r="C2093" s="27" t="s">
        <v>308</v>
      </c>
      <c r="D2093" s="25"/>
      <c r="E2093" s="25"/>
      <c r="F2093" s="25"/>
      <c r="G2093" s="25"/>
      <c r="H2093" s="25"/>
      <c r="I2093" s="25"/>
      <c r="J2093" s="27" t="s">
        <v>2456</v>
      </c>
      <c r="K2093" s="25" t="str">
        <f aca="false">IFERROR(__xludf.dummyfunction("SPLIT(J2093,"" "")"),"CIF")</f>
        <v>CIF</v>
      </c>
      <c r="L2093" s="28" t="str">
        <f aca="false">IFERROR(__xludf.dummyfunction("""COMPUTED_VALUE"""),"Switzerland")</f>
        <v>Switzerland</v>
      </c>
      <c r="M2093" s="27" t="str">
        <f aca="false">IFERROR(__xludf.dummyfunction("""COMPUTED_VALUE"""),"(Diff)")</f>
        <v>(Diff)</v>
      </c>
      <c r="N2093" s="25"/>
      <c r="O2093" s="25"/>
      <c r="P2093" s="25"/>
      <c r="Q2093" s="29" t="s">
        <v>340</v>
      </c>
      <c r="R2093" s="8" t="str">
        <f aca="false">B2093&amp;" "&amp;C2093&amp;" "&amp;D2093&amp;" "&amp;E2093&amp;" "&amp;G2093&amp;" "&amp;H2093&amp;" "&amp;J2093&amp;" "&amp;N2093</f>
        <v>Differentials Graphite     CIF Switzerland (Diff) </v>
      </c>
      <c r="S2093" s="25"/>
      <c r="T2093" s="8"/>
      <c r="U2093" s="8"/>
      <c r="V2093" s="25"/>
      <c r="W2093" s="25"/>
      <c r="X2093" s="25"/>
      <c r="Y2093" s="25"/>
      <c r="Z2093" s="25"/>
      <c r="AA2093" s="25"/>
      <c r="AB2093" s="25"/>
      <c r="AC2093" s="25"/>
      <c r="AD2093" s="25"/>
    </row>
    <row r="2094" customFormat="false" ht="15.75" hidden="false" customHeight="false" outlineLevel="0" collapsed="false">
      <c r="A2094" s="28" t="s">
        <v>2503</v>
      </c>
      <c r="B2094" s="27" t="s">
        <v>438</v>
      </c>
      <c r="C2094" s="27" t="s">
        <v>308</v>
      </c>
      <c r="D2094" s="25"/>
      <c r="E2094" s="25"/>
      <c r="F2094" s="25"/>
      <c r="G2094" s="25"/>
      <c r="H2094" s="25"/>
      <c r="I2094" s="25"/>
      <c r="J2094" s="27" t="s">
        <v>2456</v>
      </c>
      <c r="K2094" s="25" t="str">
        <f aca="false">IFERROR(__xludf.dummyfunction("SPLIT(J2094,"" "")"),"CIF")</f>
        <v>CIF</v>
      </c>
      <c r="L2094" s="28" t="str">
        <f aca="false">IFERROR(__xludf.dummyfunction("""COMPUTED_VALUE"""),"Switzerland")</f>
        <v>Switzerland</v>
      </c>
      <c r="M2094" s="27" t="str">
        <f aca="false">IFERROR(__xludf.dummyfunction("""COMPUTED_VALUE"""),"(Diff)")</f>
        <v>(Diff)</v>
      </c>
      <c r="N2094" s="25"/>
      <c r="O2094" s="25"/>
      <c r="P2094" s="25"/>
      <c r="Q2094" s="29" t="s">
        <v>338</v>
      </c>
      <c r="R2094" s="8" t="str">
        <f aca="false">B2094&amp;" "&amp;C2094&amp;" "&amp;D2094&amp;" "&amp;E2094&amp;" "&amp;G2094&amp;" "&amp;H2094&amp;" "&amp;J2094&amp;" "&amp;N2094</f>
        <v>Differentials Graphite     CIF Switzerland (Diff) </v>
      </c>
      <c r="S2094" s="25"/>
      <c r="T2094" s="8"/>
      <c r="U2094" s="8"/>
      <c r="V2094" s="25"/>
      <c r="W2094" s="25"/>
      <c r="X2094" s="25"/>
      <c r="Y2094" s="25"/>
      <c r="Z2094" s="25"/>
      <c r="AA2094" s="25"/>
      <c r="AB2094" s="25"/>
      <c r="AC2094" s="25"/>
      <c r="AD2094" s="25"/>
    </row>
    <row r="2095" customFormat="false" ht="15.75" hidden="false" customHeight="false" outlineLevel="0" collapsed="false">
      <c r="A2095" s="28" t="s">
        <v>2504</v>
      </c>
      <c r="B2095" s="27" t="s">
        <v>438</v>
      </c>
      <c r="C2095" s="27" t="s">
        <v>308</v>
      </c>
      <c r="D2095" s="25"/>
      <c r="E2095" s="25"/>
      <c r="F2095" s="25"/>
      <c r="G2095" s="25"/>
      <c r="H2095" s="25"/>
      <c r="I2095" s="25"/>
      <c r="J2095" s="27" t="s">
        <v>2456</v>
      </c>
      <c r="K2095" s="25" t="str">
        <f aca="false">IFERROR(__xludf.dummyfunction("SPLIT(J2095,"" "")"),"CIF")</f>
        <v>CIF</v>
      </c>
      <c r="L2095" s="28" t="str">
        <f aca="false">IFERROR(__xludf.dummyfunction("""COMPUTED_VALUE"""),"Switzerland")</f>
        <v>Switzerland</v>
      </c>
      <c r="M2095" s="27" t="str">
        <f aca="false">IFERROR(__xludf.dummyfunction("""COMPUTED_VALUE"""),"(Diff)")</f>
        <v>(Diff)</v>
      </c>
      <c r="N2095" s="25"/>
      <c r="O2095" s="25"/>
      <c r="P2095" s="25"/>
      <c r="Q2095" s="29" t="s">
        <v>335</v>
      </c>
      <c r="R2095" s="8" t="str">
        <f aca="false">B2095&amp;" "&amp;C2095&amp;" "&amp;D2095&amp;" "&amp;E2095&amp;" "&amp;G2095&amp;" "&amp;H2095&amp;" "&amp;J2095&amp;" "&amp;N2095</f>
        <v>Differentials Graphite     CIF Switzerland (Diff) </v>
      </c>
      <c r="S2095" s="25"/>
      <c r="T2095" s="8"/>
      <c r="U2095" s="8"/>
      <c r="V2095" s="25"/>
      <c r="W2095" s="25"/>
      <c r="X2095" s="25"/>
      <c r="Y2095" s="25"/>
      <c r="Z2095" s="25"/>
      <c r="AA2095" s="25"/>
      <c r="AB2095" s="25"/>
      <c r="AC2095" s="25"/>
      <c r="AD2095" s="25"/>
    </row>
    <row r="2096" customFormat="false" ht="15.75" hidden="false" customHeight="false" outlineLevel="0" collapsed="false">
      <c r="A2096" s="28" t="s">
        <v>2505</v>
      </c>
      <c r="B2096" s="27" t="s">
        <v>438</v>
      </c>
      <c r="C2096" s="27" t="s">
        <v>308</v>
      </c>
      <c r="D2096" s="25"/>
      <c r="E2096" s="25"/>
      <c r="F2096" s="25"/>
      <c r="G2096" s="25"/>
      <c r="H2096" s="25"/>
      <c r="I2096" s="25"/>
      <c r="J2096" s="27" t="s">
        <v>2456</v>
      </c>
      <c r="K2096" s="25" t="str">
        <f aca="false">IFERROR(__xludf.dummyfunction("SPLIT(J2096,"" "")"),"CIF")</f>
        <v>CIF</v>
      </c>
      <c r="L2096" s="28" t="str">
        <f aca="false">IFERROR(__xludf.dummyfunction("""COMPUTED_VALUE"""),"Switzerland")</f>
        <v>Switzerland</v>
      </c>
      <c r="M2096" s="27" t="str">
        <f aca="false">IFERROR(__xludf.dummyfunction("""COMPUTED_VALUE"""),"(Diff)")</f>
        <v>(Diff)</v>
      </c>
      <c r="N2096" s="25"/>
      <c r="O2096" s="25"/>
      <c r="P2096" s="25"/>
      <c r="Q2096" s="29" t="s">
        <v>332</v>
      </c>
      <c r="R2096" s="8" t="str">
        <f aca="false">B2096&amp;" "&amp;C2096&amp;" "&amp;D2096&amp;" "&amp;E2096&amp;" "&amp;G2096&amp;" "&amp;H2096&amp;" "&amp;J2096&amp;" "&amp;N2096</f>
        <v>Differentials Graphite     CIF Switzerland (Diff) </v>
      </c>
      <c r="S2096" s="25"/>
      <c r="T2096" s="8"/>
      <c r="U2096" s="8"/>
      <c r="V2096" s="25"/>
      <c r="W2096" s="25"/>
      <c r="X2096" s="25"/>
      <c r="Y2096" s="25"/>
      <c r="Z2096" s="25"/>
      <c r="AA2096" s="25"/>
      <c r="AB2096" s="25"/>
      <c r="AC2096" s="25"/>
      <c r="AD2096" s="25"/>
    </row>
    <row r="2097" customFormat="false" ht="15.75" hidden="false" customHeight="false" outlineLevel="0" collapsed="false">
      <c r="A2097" s="28" t="s">
        <v>2506</v>
      </c>
      <c r="B2097" s="27" t="s">
        <v>438</v>
      </c>
      <c r="C2097" s="27" t="s">
        <v>308</v>
      </c>
      <c r="D2097" s="25"/>
      <c r="E2097" s="25"/>
      <c r="F2097" s="25"/>
      <c r="G2097" s="25"/>
      <c r="H2097" s="25"/>
      <c r="I2097" s="25"/>
      <c r="J2097" s="27" t="s">
        <v>2456</v>
      </c>
      <c r="K2097" s="25" t="str">
        <f aca="false">IFERROR(__xludf.dummyfunction("SPLIT(J2097,"" "")"),"CIF")</f>
        <v>CIF</v>
      </c>
      <c r="L2097" s="28" t="str">
        <f aca="false">IFERROR(__xludf.dummyfunction("""COMPUTED_VALUE"""),"Switzerland")</f>
        <v>Switzerland</v>
      </c>
      <c r="M2097" s="27" t="str">
        <f aca="false">IFERROR(__xludf.dummyfunction("""COMPUTED_VALUE"""),"(Diff)")</f>
        <v>(Diff)</v>
      </c>
      <c r="N2097" s="25"/>
      <c r="O2097" s="25"/>
      <c r="P2097" s="25"/>
      <c r="Q2097" s="29" t="s">
        <v>329</v>
      </c>
      <c r="R2097" s="8" t="str">
        <f aca="false">B2097&amp;" "&amp;C2097&amp;" "&amp;D2097&amp;" "&amp;E2097&amp;" "&amp;G2097&amp;" "&amp;H2097&amp;" "&amp;J2097&amp;" "&amp;N2097</f>
        <v>Differentials Graphite     CIF Switzerland (Diff) </v>
      </c>
      <c r="S2097" s="25"/>
      <c r="T2097" s="8"/>
      <c r="U2097" s="8"/>
      <c r="V2097" s="25"/>
      <c r="W2097" s="25"/>
      <c r="X2097" s="25"/>
      <c r="Y2097" s="25"/>
      <c r="Z2097" s="25"/>
      <c r="AA2097" s="25"/>
      <c r="AB2097" s="25"/>
      <c r="AC2097" s="25"/>
      <c r="AD2097" s="25"/>
    </row>
    <row r="2098" customFormat="false" ht="15.75" hidden="false" customHeight="false" outlineLevel="0" collapsed="false">
      <c r="A2098" s="28" t="s">
        <v>2507</v>
      </c>
      <c r="B2098" s="27" t="s">
        <v>438</v>
      </c>
      <c r="C2098" s="27" t="s">
        <v>308</v>
      </c>
      <c r="D2098" s="25"/>
      <c r="E2098" s="25"/>
      <c r="F2098" s="25"/>
      <c r="G2098" s="25"/>
      <c r="H2098" s="25"/>
      <c r="I2098" s="25"/>
      <c r="J2098" s="27" t="s">
        <v>2456</v>
      </c>
      <c r="K2098" s="25" t="str">
        <f aca="false">IFERROR(__xludf.dummyfunction("SPLIT(J2098,"" "")"),"CIF")</f>
        <v>CIF</v>
      </c>
      <c r="L2098" s="28" t="str">
        <f aca="false">IFERROR(__xludf.dummyfunction("""COMPUTED_VALUE"""),"Switzerland")</f>
        <v>Switzerland</v>
      </c>
      <c r="M2098" s="27" t="str">
        <f aca="false">IFERROR(__xludf.dummyfunction("""COMPUTED_VALUE"""),"(Diff)")</f>
        <v>(Diff)</v>
      </c>
      <c r="N2098" s="25"/>
      <c r="O2098" s="25"/>
      <c r="P2098" s="25"/>
      <c r="Q2098" s="29" t="s">
        <v>326</v>
      </c>
      <c r="R2098" s="8" t="str">
        <f aca="false">B2098&amp;" "&amp;C2098&amp;" "&amp;D2098&amp;" "&amp;E2098&amp;" "&amp;G2098&amp;" "&amp;H2098&amp;" "&amp;J2098&amp;" "&amp;N2098</f>
        <v>Differentials Graphite     CIF Switzerland (Diff) </v>
      </c>
      <c r="S2098" s="25"/>
      <c r="T2098" s="8"/>
      <c r="U2098" s="8"/>
      <c r="V2098" s="25"/>
      <c r="W2098" s="25"/>
      <c r="X2098" s="25"/>
      <c r="Y2098" s="25"/>
      <c r="Z2098" s="25"/>
      <c r="AA2098" s="25"/>
      <c r="AB2098" s="25"/>
      <c r="AC2098" s="25"/>
      <c r="AD2098" s="25"/>
    </row>
    <row r="2099" customFormat="false" ht="15.75" hidden="false" customHeight="false" outlineLevel="0" collapsed="false">
      <c r="A2099" s="28" t="s">
        <v>2508</v>
      </c>
      <c r="B2099" s="27" t="s">
        <v>438</v>
      </c>
      <c r="C2099" s="27" t="s">
        <v>308</v>
      </c>
      <c r="D2099" s="25"/>
      <c r="E2099" s="25"/>
      <c r="F2099" s="25"/>
      <c r="G2099" s="25"/>
      <c r="H2099" s="25"/>
      <c r="I2099" s="25"/>
      <c r="J2099" s="27" t="s">
        <v>2456</v>
      </c>
      <c r="K2099" s="25" t="str">
        <f aca="false">IFERROR(__xludf.dummyfunction("SPLIT(J2099,"" "")"),"CIF")</f>
        <v>CIF</v>
      </c>
      <c r="L2099" s="28" t="str">
        <f aca="false">IFERROR(__xludf.dummyfunction("""COMPUTED_VALUE"""),"Switzerland")</f>
        <v>Switzerland</v>
      </c>
      <c r="M2099" s="27" t="str">
        <f aca="false">IFERROR(__xludf.dummyfunction("""COMPUTED_VALUE"""),"(Diff)")</f>
        <v>(Diff)</v>
      </c>
      <c r="N2099" s="25"/>
      <c r="O2099" s="25"/>
      <c r="P2099" s="25"/>
      <c r="Q2099" s="29" t="s">
        <v>323</v>
      </c>
      <c r="R2099" s="8" t="str">
        <f aca="false">B2099&amp;" "&amp;C2099&amp;" "&amp;D2099&amp;" "&amp;E2099&amp;" "&amp;G2099&amp;" "&amp;H2099&amp;" "&amp;J2099&amp;" "&amp;N2099</f>
        <v>Differentials Graphite     CIF Switzerland (Diff) </v>
      </c>
      <c r="S2099" s="25"/>
      <c r="T2099" s="8"/>
      <c r="U2099" s="8"/>
      <c r="V2099" s="25"/>
      <c r="W2099" s="25"/>
      <c r="X2099" s="25"/>
      <c r="Y2099" s="25"/>
      <c r="Z2099" s="25"/>
      <c r="AA2099" s="25"/>
      <c r="AB2099" s="25"/>
      <c r="AC2099" s="25"/>
      <c r="AD2099" s="25"/>
    </row>
    <row r="2100" customFormat="false" ht="15.75" hidden="false" customHeight="false" outlineLevel="0" collapsed="false">
      <c r="A2100" s="28" t="s">
        <v>2509</v>
      </c>
      <c r="B2100" s="27" t="s">
        <v>438</v>
      </c>
      <c r="C2100" s="27" t="s">
        <v>308</v>
      </c>
      <c r="D2100" s="25"/>
      <c r="E2100" s="25"/>
      <c r="F2100" s="25"/>
      <c r="G2100" s="25"/>
      <c r="H2100" s="25"/>
      <c r="I2100" s="25"/>
      <c r="J2100" s="27" t="s">
        <v>2456</v>
      </c>
      <c r="K2100" s="25" t="str">
        <f aca="false">IFERROR(__xludf.dummyfunction("SPLIT(J2100,"" "")"),"CIF")</f>
        <v>CIF</v>
      </c>
      <c r="L2100" s="28" t="str">
        <f aca="false">IFERROR(__xludf.dummyfunction("""COMPUTED_VALUE"""),"Switzerland")</f>
        <v>Switzerland</v>
      </c>
      <c r="M2100" s="27" t="str">
        <f aca="false">IFERROR(__xludf.dummyfunction("""COMPUTED_VALUE"""),"(Diff)")</f>
        <v>(Diff)</v>
      </c>
      <c r="N2100" s="25"/>
      <c r="O2100" s="25"/>
      <c r="P2100" s="25"/>
      <c r="Q2100" s="29" t="s">
        <v>319</v>
      </c>
      <c r="R2100" s="8" t="str">
        <f aca="false">B2100&amp;" "&amp;C2100&amp;" "&amp;D2100&amp;" "&amp;E2100&amp;" "&amp;G2100&amp;" "&amp;H2100&amp;" "&amp;J2100&amp;" "&amp;N2100</f>
        <v>Differentials Graphite     CIF Switzerland (Diff) </v>
      </c>
      <c r="S2100" s="25"/>
      <c r="T2100" s="8"/>
      <c r="U2100" s="8"/>
      <c r="V2100" s="25"/>
      <c r="W2100" s="25"/>
      <c r="X2100" s="25"/>
      <c r="Y2100" s="25"/>
      <c r="Z2100" s="25"/>
      <c r="AA2100" s="25"/>
      <c r="AB2100" s="25"/>
      <c r="AC2100" s="25"/>
      <c r="AD2100" s="25"/>
    </row>
    <row r="2101" customFormat="false" ht="15.75" hidden="false" customHeight="false" outlineLevel="0" collapsed="false">
      <c r="A2101" s="28" t="s">
        <v>2510</v>
      </c>
      <c r="B2101" s="27" t="s">
        <v>438</v>
      </c>
      <c r="C2101" s="27" t="s">
        <v>308</v>
      </c>
      <c r="D2101" s="25"/>
      <c r="E2101" s="25"/>
      <c r="F2101" s="25"/>
      <c r="G2101" s="25"/>
      <c r="H2101" s="25"/>
      <c r="I2101" s="25"/>
      <c r="J2101" s="27" t="s">
        <v>2456</v>
      </c>
      <c r="K2101" s="25" t="str">
        <f aca="false">IFERROR(__xludf.dummyfunction("SPLIT(J2101,"" "")"),"CIF")</f>
        <v>CIF</v>
      </c>
      <c r="L2101" s="28" t="str">
        <f aca="false">IFERROR(__xludf.dummyfunction("""COMPUTED_VALUE"""),"Switzerland")</f>
        <v>Switzerland</v>
      </c>
      <c r="M2101" s="27" t="str">
        <f aca="false">IFERROR(__xludf.dummyfunction("""COMPUTED_VALUE"""),"(Diff)")</f>
        <v>(Diff)</v>
      </c>
      <c r="N2101" s="25"/>
      <c r="O2101" s="25"/>
      <c r="P2101" s="25"/>
      <c r="Q2101" s="29" t="s">
        <v>315</v>
      </c>
      <c r="R2101" s="8" t="str">
        <f aca="false">B2101&amp;" "&amp;C2101&amp;" "&amp;D2101&amp;" "&amp;E2101&amp;" "&amp;G2101&amp;" "&amp;H2101&amp;" "&amp;J2101&amp;" "&amp;N2101</f>
        <v>Differentials Graphite     CIF Switzerland (Diff) </v>
      </c>
      <c r="S2101" s="25"/>
      <c r="T2101" s="8"/>
      <c r="U2101" s="8"/>
      <c r="V2101" s="25"/>
      <c r="W2101" s="25"/>
      <c r="X2101" s="25"/>
      <c r="Y2101" s="25"/>
      <c r="Z2101" s="25"/>
      <c r="AA2101" s="25"/>
      <c r="AB2101" s="25"/>
      <c r="AC2101" s="25"/>
      <c r="AD2101" s="25"/>
    </row>
    <row r="2102" customFormat="false" ht="15.75" hidden="false" customHeight="false" outlineLevel="0" collapsed="false">
      <c r="A2102" s="28" t="s">
        <v>2511</v>
      </c>
      <c r="B2102" s="27" t="s">
        <v>438</v>
      </c>
      <c r="C2102" s="27" t="s">
        <v>308</v>
      </c>
      <c r="D2102" s="25"/>
      <c r="E2102" s="25"/>
      <c r="F2102" s="25"/>
      <c r="G2102" s="25"/>
      <c r="H2102" s="25"/>
      <c r="I2102" s="25"/>
      <c r="J2102" s="27" t="s">
        <v>2456</v>
      </c>
      <c r="K2102" s="25" t="str">
        <f aca="false">IFERROR(__xludf.dummyfunction("SPLIT(J2102,"" "")"),"CIF")</f>
        <v>CIF</v>
      </c>
      <c r="L2102" s="28" t="str">
        <f aca="false">IFERROR(__xludf.dummyfunction("""COMPUTED_VALUE"""),"Switzerland")</f>
        <v>Switzerland</v>
      </c>
      <c r="M2102" s="27" t="str">
        <f aca="false">IFERROR(__xludf.dummyfunction("""COMPUTED_VALUE"""),"(Diff)")</f>
        <v>(Diff)</v>
      </c>
      <c r="N2102" s="25"/>
      <c r="O2102" s="25"/>
      <c r="P2102" s="25"/>
      <c r="Q2102" s="29" t="s">
        <v>311</v>
      </c>
      <c r="R2102" s="8" t="str">
        <f aca="false">B2102&amp;" "&amp;C2102&amp;" "&amp;D2102&amp;" "&amp;E2102&amp;" "&amp;G2102&amp;" "&amp;H2102&amp;" "&amp;J2102&amp;" "&amp;N2102</f>
        <v>Differentials Graphite     CIF Switzerland (Diff) </v>
      </c>
      <c r="S2102" s="25"/>
      <c r="T2102" s="8"/>
      <c r="U2102" s="8"/>
      <c r="V2102" s="25"/>
      <c r="W2102" s="25"/>
      <c r="X2102" s="25"/>
      <c r="Y2102" s="25"/>
      <c r="Z2102" s="25"/>
      <c r="AA2102" s="25"/>
      <c r="AB2102" s="25"/>
      <c r="AC2102" s="25"/>
      <c r="AD2102" s="25"/>
    </row>
    <row r="2103" customFormat="false" ht="15.75" hidden="false" customHeight="false" outlineLevel="0" collapsed="false">
      <c r="A2103" s="28" t="s">
        <v>2512</v>
      </c>
      <c r="B2103" s="27" t="s">
        <v>438</v>
      </c>
      <c r="C2103" s="27" t="s">
        <v>360</v>
      </c>
      <c r="D2103" s="25"/>
      <c r="E2103" s="25"/>
      <c r="F2103" s="25"/>
      <c r="G2103" s="25"/>
      <c r="H2103" s="25"/>
      <c r="I2103" s="25"/>
      <c r="J2103" s="27" t="s">
        <v>2456</v>
      </c>
      <c r="K2103" s="25" t="str">
        <f aca="false">IFERROR(__xludf.dummyfunction("SPLIT(J2103,"" "")"),"CIF")</f>
        <v>CIF</v>
      </c>
      <c r="L2103" s="28" t="str">
        <f aca="false">IFERROR(__xludf.dummyfunction("""COMPUTED_VALUE"""),"Switzerland")</f>
        <v>Switzerland</v>
      </c>
      <c r="M2103" s="27" t="str">
        <f aca="false">IFERROR(__xludf.dummyfunction("""COMPUTED_VALUE"""),"(Diff)")</f>
        <v>(Diff)</v>
      </c>
      <c r="N2103" s="25"/>
      <c r="O2103" s="25"/>
      <c r="P2103" s="25"/>
      <c r="Q2103" s="29" t="s">
        <v>368</v>
      </c>
      <c r="R2103" s="8" t="str">
        <f aca="false">B2103&amp;" "&amp;C2103&amp;" "&amp;D2103&amp;" "&amp;E2103&amp;" "&amp;G2103&amp;" "&amp;H2103&amp;" "&amp;J2103&amp;" "&amp;N2103</f>
        <v>Differentials Lithium     CIF Switzerland (Diff) </v>
      </c>
      <c r="S2103" s="25"/>
      <c r="T2103" s="8"/>
      <c r="U2103" s="8"/>
      <c r="V2103" s="25"/>
      <c r="W2103" s="25"/>
      <c r="X2103" s="25"/>
      <c r="Y2103" s="25"/>
      <c r="Z2103" s="25"/>
      <c r="AA2103" s="25"/>
      <c r="AB2103" s="25"/>
      <c r="AC2103" s="25"/>
      <c r="AD2103" s="25"/>
    </row>
    <row r="2104" customFormat="false" ht="15.75" hidden="false" customHeight="false" outlineLevel="0" collapsed="false">
      <c r="A2104" s="28" t="s">
        <v>2513</v>
      </c>
      <c r="B2104" s="27" t="s">
        <v>438</v>
      </c>
      <c r="C2104" s="27" t="s">
        <v>360</v>
      </c>
      <c r="D2104" s="25"/>
      <c r="E2104" s="25"/>
      <c r="F2104" s="25"/>
      <c r="G2104" s="25"/>
      <c r="H2104" s="25"/>
      <c r="I2104" s="25"/>
      <c r="J2104" s="27" t="s">
        <v>2456</v>
      </c>
      <c r="K2104" s="25" t="str">
        <f aca="false">IFERROR(__xludf.dummyfunction("SPLIT(J2104,"" "")"),"CIF")</f>
        <v>CIF</v>
      </c>
      <c r="L2104" s="28" t="str">
        <f aca="false">IFERROR(__xludf.dummyfunction("""COMPUTED_VALUE"""),"Switzerland")</f>
        <v>Switzerland</v>
      </c>
      <c r="M2104" s="27" t="str">
        <f aca="false">IFERROR(__xludf.dummyfunction("""COMPUTED_VALUE"""),"(Diff)")</f>
        <v>(Diff)</v>
      </c>
      <c r="N2104" s="25"/>
      <c r="O2104" s="25"/>
      <c r="P2104" s="25"/>
      <c r="Q2104" s="29" t="s">
        <v>366</v>
      </c>
      <c r="R2104" s="8" t="str">
        <f aca="false">B2104&amp;" "&amp;C2104&amp;" "&amp;D2104&amp;" "&amp;E2104&amp;" "&amp;G2104&amp;" "&amp;H2104&amp;" "&amp;J2104&amp;" "&amp;N2104</f>
        <v>Differentials Lithium     CIF Switzerland (Diff) </v>
      </c>
      <c r="S2104" s="25"/>
      <c r="T2104" s="8"/>
      <c r="U2104" s="8"/>
      <c r="V2104" s="25"/>
      <c r="W2104" s="25"/>
      <c r="X2104" s="25"/>
      <c r="Y2104" s="25"/>
      <c r="Z2104" s="25"/>
      <c r="AA2104" s="25"/>
      <c r="AB2104" s="25"/>
      <c r="AC2104" s="25"/>
      <c r="AD2104" s="25"/>
    </row>
    <row r="2105" customFormat="false" ht="15.75" hidden="false" customHeight="false" outlineLevel="0" collapsed="false">
      <c r="A2105" s="28" t="s">
        <v>2514</v>
      </c>
      <c r="B2105" s="27" t="s">
        <v>438</v>
      </c>
      <c r="C2105" s="27" t="s">
        <v>360</v>
      </c>
      <c r="D2105" s="25"/>
      <c r="E2105" s="25"/>
      <c r="F2105" s="25"/>
      <c r="G2105" s="25"/>
      <c r="H2105" s="25"/>
      <c r="I2105" s="25"/>
      <c r="J2105" s="27" t="s">
        <v>2456</v>
      </c>
      <c r="K2105" s="25" t="str">
        <f aca="false">IFERROR(__xludf.dummyfunction("SPLIT(J2105,"" "")"),"CIF")</f>
        <v>CIF</v>
      </c>
      <c r="L2105" s="28" t="str">
        <f aca="false">IFERROR(__xludf.dummyfunction("""COMPUTED_VALUE"""),"Switzerland")</f>
        <v>Switzerland</v>
      </c>
      <c r="M2105" s="27" t="str">
        <f aca="false">IFERROR(__xludf.dummyfunction("""COMPUTED_VALUE"""),"(Diff)")</f>
        <v>(Diff)</v>
      </c>
      <c r="N2105" s="25"/>
      <c r="O2105" s="25"/>
      <c r="P2105" s="25"/>
      <c r="Q2105" s="29" t="s">
        <v>361</v>
      </c>
      <c r="R2105" s="8" t="str">
        <f aca="false">B2105&amp;" "&amp;C2105&amp;" "&amp;D2105&amp;" "&amp;E2105&amp;" "&amp;G2105&amp;" "&amp;H2105&amp;" "&amp;J2105&amp;" "&amp;N2105</f>
        <v>Differentials Lithium     CIF Switzerland (Diff) </v>
      </c>
      <c r="S2105" s="25"/>
      <c r="T2105" s="8"/>
      <c r="U2105" s="8"/>
      <c r="V2105" s="25"/>
      <c r="W2105" s="25"/>
      <c r="X2105" s="25"/>
      <c r="Y2105" s="25"/>
      <c r="Z2105" s="25"/>
      <c r="AA2105" s="25"/>
      <c r="AB2105" s="25"/>
      <c r="AC2105" s="25"/>
      <c r="AD2105" s="25"/>
    </row>
    <row r="2106" customFormat="false" ht="15.75" hidden="false" customHeight="false" outlineLevel="0" collapsed="false">
      <c r="A2106" s="28" t="s">
        <v>2515</v>
      </c>
      <c r="B2106" s="27" t="s">
        <v>438</v>
      </c>
      <c r="C2106" s="27" t="s">
        <v>360</v>
      </c>
      <c r="D2106" s="25"/>
      <c r="E2106" s="25"/>
      <c r="F2106" s="25"/>
      <c r="G2106" s="25"/>
      <c r="H2106" s="25"/>
      <c r="I2106" s="25"/>
      <c r="J2106" s="27" t="s">
        <v>2456</v>
      </c>
      <c r="K2106" s="25" t="str">
        <f aca="false">IFERROR(__xludf.dummyfunction("SPLIT(J2106,"" "")"),"CIF")</f>
        <v>CIF</v>
      </c>
      <c r="L2106" s="28" t="str">
        <f aca="false">IFERROR(__xludf.dummyfunction("""COMPUTED_VALUE"""),"Switzerland")</f>
        <v>Switzerland</v>
      </c>
      <c r="M2106" s="27" t="str">
        <f aca="false">IFERROR(__xludf.dummyfunction("""COMPUTED_VALUE"""),"(Diff)")</f>
        <v>(Diff)</v>
      </c>
      <c r="N2106" s="25"/>
      <c r="O2106" s="25"/>
      <c r="P2106" s="25"/>
      <c r="Q2106" s="29" t="s">
        <v>363</v>
      </c>
      <c r="R2106" s="8" t="str">
        <f aca="false">B2106&amp;" "&amp;C2106&amp;" "&amp;D2106&amp;" "&amp;E2106&amp;" "&amp;G2106&amp;" "&amp;H2106&amp;" "&amp;J2106&amp;" "&amp;N2106</f>
        <v>Differentials Lithium     CIF Switzerland (Diff) </v>
      </c>
      <c r="S2106" s="25"/>
      <c r="T2106" s="8"/>
      <c r="U2106" s="8"/>
      <c r="V2106" s="25"/>
      <c r="W2106" s="25"/>
      <c r="X2106" s="25"/>
      <c r="Y2106" s="25"/>
      <c r="Z2106" s="25"/>
      <c r="AA2106" s="25"/>
      <c r="AB2106" s="25"/>
      <c r="AC2106" s="25"/>
      <c r="AD2106" s="25"/>
    </row>
    <row r="2107" customFormat="false" ht="15.75" hidden="false" customHeight="false" outlineLevel="0" collapsed="false">
      <c r="A2107" s="28" t="s">
        <v>2516</v>
      </c>
      <c r="B2107" s="27" t="s">
        <v>438</v>
      </c>
      <c r="C2107" s="27" t="s">
        <v>360</v>
      </c>
      <c r="D2107" s="25"/>
      <c r="E2107" s="25"/>
      <c r="F2107" s="25"/>
      <c r="G2107" s="25"/>
      <c r="H2107" s="25"/>
      <c r="I2107" s="25"/>
      <c r="J2107" s="27" t="s">
        <v>2456</v>
      </c>
      <c r="K2107" s="25" t="str">
        <f aca="false">IFERROR(__xludf.dummyfunction("SPLIT(J2107,"" "")"),"CIF")</f>
        <v>CIF</v>
      </c>
      <c r="L2107" s="28" t="str">
        <f aca="false">IFERROR(__xludf.dummyfunction("""COMPUTED_VALUE"""),"Switzerland")</f>
        <v>Switzerland</v>
      </c>
      <c r="M2107" s="27" t="str">
        <f aca="false">IFERROR(__xludf.dummyfunction("""COMPUTED_VALUE"""),"(Diff)")</f>
        <v>(Diff)</v>
      </c>
      <c r="N2107" s="25"/>
      <c r="O2107" s="25"/>
      <c r="P2107" s="25"/>
      <c r="Q2107" s="29" t="s">
        <v>361</v>
      </c>
      <c r="R2107" s="8" t="str">
        <f aca="false">B2107&amp;" "&amp;C2107&amp;" "&amp;D2107&amp;" "&amp;E2107&amp;" "&amp;G2107&amp;" "&amp;H2107&amp;" "&amp;J2107&amp;" "&amp;N2107</f>
        <v>Differentials Lithium     CIF Switzerland (Diff) </v>
      </c>
      <c r="S2107" s="25"/>
      <c r="T2107" s="8"/>
      <c r="U2107" s="8"/>
      <c r="V2107" s="25"/>
      <c r="W2107" s="25"/>
      <c r="X2107" s="25"/>
      <c r="Y2107" s="25"/>
      <c r="Z2107" s="25"/>
      <c r="AA2107" s="25"/>
      <c r="AB2107" s="25"/>
      <c r="AC2107" s="25"/>
      <c r="AD2107" s="25"/>
    </row>
    <row r="2108" customFormat="false" ht="15.75" hidden="false" customHeight="false" outlineLevel="0" collapsed="false">
      <c r="A2108" s="28" t="s">
        <v>2517</v>
      </c>
      <c r="B2108" s="27" t="s">
        <v>438</v>
      </c>
      <c r="C2108" s="27" t="s">
        <v>383</v>
      </c>
      <c r="D2108" s="25"/>
      <c r="E2108" s="25"/>
      <c r="F2108" s="25"/>
      <c r="G2108" s="25"/>
      <c r="H2108" s="25"/>
      <c r="I2108" s="25"/>
      <c r="J2108" s="27" t="s">
        <v>2456</v>
      </c>
      <c r="K2108" s="25" t="str">
        <f aca="false">IFERROR(__xludf.dummyfunction("SPLIT(J2108,"" "")"),"CIF")</f>
        <v>CIF</v>
      </c>
      <c r="L2108" s="28" t="str">
        <f aca="false">IFERROR(__xludf.dummyfunction("""COMPUTED_VALUE"""),"Switzerland")</f>
        <v>Switzerland</v>
      </c>
      <c r="M2108" s="27" t="str">
        <f aca="false">IFERROR(__xludf.dummyfunction("""COMPUTED_VALUE"""),"(Diff)")</f>
        <v>(Diff)</v>
      </c>
      <c r="N2108" s="25"/>
      <c r="O2108" s="25"/>
      <c r="P2108" s="25"/>
      <c r="Q2108" s="29" t="s">
        <v>406</v>
      </c>
      <c r="R2108" s="8" t="str">
        <f aca="false">B2108&amp;" "&amp;C2108&amp;" "&amp;D2108&amp;" "&amp;E2108&amp;" "&amp;G2108&amp;" "&amp;H2108&amp;" "&amp;J2108&amp;" "&amp;N2108</f>
        <v>Differentials Precursor     CIF Switzerland (Diff) </v>
      </c>
      <c r="S2108" s="25"/>
      <c r="T2108" s="8"/>
      <c r="U2108" s="8"/>
      <c r="V2108" s="25"/>
      <c r="W2108" s="25"/>
      <c r="X2108" s="25"/>
      <c r="Y2108" s="25"/>
      <c r="Z2108" s="25"/>
      <c r="AA2108" s="25"/>
      <c r="AB2108" s="25"/>
      <c r="AC2108" s="25"/>
      <c r="AD2108" s="25"/>
    </row>
    <row r="2109" customFormat="false" ht="15.75" hidden="false" customHeight="false" outlineLevel="0" collapsed="false">
      <c r="A2109" s="28" t="s">
        <v>2518</v>
      </c>
      <c r="B2109" s="27" t="s">
        <v>438</v>
      </c>
      <c r="C2109" s="27" t="s">
        <v>383</v>
      </c>
      <c r="D2109" s="25"/>
      <c r="E2109" s="25"/>
      <c r="F2109" s="25"/>
      <c r="G2109" s="25"/>
      <c r="H2109" s="25"/>
      <c r="I2109" s="25"/>
      <c r="J2109" s="27" t="s">
        <v>2456</v>
      </c>
      <c r="K2109" s="25" t="str">
        <f aca="false">IFERROR(__xludf.dummyfunction("SPLIT(J2109,"" "")"),"CIF")</f>
        <v>CIF</v>
      </c>
      <c r="L2109" s="28" t="str">
        <f aca="false">IFERROR(__xludf.dummyfunction("""COMPUTED_VALUE"""),"Switzerland")</f>
        <v>Switzerland</v>
      </c>
      <c r="M2109" s="27" t="str">
        <f aca="false">IFERROR(__xludf.dummyfunction("""COMPUTED_VALUE"""),"(Diff)")</f>
        <v>(Diff)</v>
      </c>
      <c r="N2109" s="25"/>
      <c r="O2109" s="25"/>
      <c r="P2109" s="25"/>
      <c r="Q2109" s="29" t="s">
        <v>404</v>
      </c>
      <c r="R2109" s="8" t="str">
        <f aca="false">B2109&amp;" "&amp;C2109&amp;" "&amp;D2109&amp;" "&amp;E2109&amp;" "&amp;G2109&amp;" "&amp;H2109&amp;" "&amp;J2109&amp;" "&amp;N2109</f>
        <v>Differentials Precursor     CIF Switzerland (Diff) </v>
      </c>
      <c r="S2109" s="25"/>
      <c r="T2109" s="8"/>
      <c r="U2109" s="8"/>
      <c r="V2109" s="25"/>
      <c r="W2109" s="25"/>
      <c r="X2109" s="25"/>
      <c r="Y2109" s="25"/>
      <c r="Z2109" s="25"/>
      <c r="AA2109" s="25"/>
      <c r="AB2109" s="25"/>
      <c r="AC2109" s="25"/>
      <c r="AD2109" s="25"/>
    </row>
    <row r="2110" customFormat="false" ht="15.75" hidden="false" customHeight="false" outlineLevel="0" collapsed="false">
      <c r="A2110" s="28" t="s">
        <v>2519</v>
      </c>
      <c r="B2110" s="27" t="s">
        <v>438</v>
      </c>
      <c r="C2110" s="27" t="s">
        <v>383</v>
      </c>
      <c r="D2110" s="25"/>
      <c r="E2110" s="25"/>
      <c r="F2110" s="25"/>
      <c r="G2110" s="25"/>
      <c r="H2110" s="25"/>
      <c r="I2110" s="25"/>
      <c r="J2110" s="27" t="s">
        <v>2456</v>
      </c>
      <c r="K2110" s="25" t="str">
        <f aca="false">IFERROR(__xludf.dummyfunction("SPLIT(J2110,"" "")"),"CIF")</f>
        <v>CIF</v>
      </c>
      <c r="L2110" s="28" t="str">
        <f aca="false">IFERROR(__xludf.dummyfunction("""COMPUTED_VALUE"""),"Switzerland")</f>
        <v>Switzerland</v>
      </c>
      <c r="M2110" s="27" t="str">
        <f aca="false">IFERROR(__xludf.dummyfunction("""COMPUTED_VALUE"""),"(Diff)")</f>
        <v>(Diff)</v>
      </c>
      <c r="N2110" s="25"/>
      <c r="O2110" s="25"/>
      <c r="P2110" s="25"/>
      <c r="Q2110" s="29" t="s">
        <v>402</v>
      </c>
      <c r="R2110" s="8" t="str">
        <f aca="false">B2110&amp;" "&amp;C2110&amp;" "&amp;D2110&amp;" "&amp;E2110&amp;" "&amp;G2110&amp;" "&amp;H2110&amp;" "&amp;J2110&amp;" "&amp;N2110</f>
        <v>Differentials Precursor     CIF Switzerland (Diff) </v>
      </c>
      <c r="S2110" s="25"/>
      <c r="T2110" s="8"/>
      <c r="U2110" s="8"/>
      <c r="V2110" s="25"/>
      <c r="W2110" s="25"/>
      <c r="X2110" s="25"/>
      <c r="Y2110" s="25"/>
      <c r="Z2110" s="25"/>
      <c r="AA2110" s="25"/>
      <c r="AB2110" s="25"/>
      <c r="AC2110" s="25"/>
      <c r="AD2110" s="25"/>
    </row>
    <row r="2111" customFormat="false" ht="15.75" hidden="false" customHeight="false" outlineLevel="0" collapsed="false">
      <c r="A2111" s="28" t="s">
        <v>2520</v>
      </c>
      <c r="B2111" s="27" t="s">
        <v>438</v>
      </c>
      <c r="C2111" s="27" t="s">
        <v>383</v>
      </c>
      <c r="D2111" s="25"/>
      <c r="E2111" s="25"/>
      <c r="F2111" s="25"/>
      <c r="G2111" s="25"/>
      <c r="H2111" s="25"/>
      <c r="I2111" s="25"/>
      <c r="J2111" s="27" t="s">
        <v>2456</v>
      </c>
      <c r="K2111" s="25" t="str">
        <f aca="false">IFERROR(__xludf.dummyfunction("SPLIT(J2111,"" "")"),"CIF")</f>
        <v>CIF</v>
      </c>
      <c r="L2111" s="28" t="str">
        <f aca="false">IFERROR(__xludf.dummyfunction("""COMPUTED_VALUE"""),"Switzerland")</f>
        <v>Switzerland</v>
      </c>
      <c r="M2111" s="27" t="str">
        <f aca="false">IFERROR(__xludf.dummyfunction("""COMPUTED_VALUE"""),"(Diff)")</f>
        <v>(Diff)</v>
      </c>
      <c r="N2111" s="25"/>
      <c r="O2111" s="25"/>
      <c r="P2111" s="25"/>
      <c r="Q2111" s="29" t="s">
        <v>400</v>
      </c>
      <c r="R2111" s="8" t="str">
        <f aca="false">B2111&amp;" "&amp;C2111&amp;" "&amp;D2111&amp;" "&amp;E2111&amp;" "&amp;G2111&amp;" "&amp;H2111&amp;" "&amp;J2111&amp;" "&amp;N2111</f>
        <v>Differentials Precursor     CIF Switzerland (Diff) </v>
      </c>
      <c r="S2111" s="25"/>
      <c r="T2111" s="8"/>
      <c r="U2111" s="8"/>
      <c r="V2111" s="25"/>
      <c r="W2111" s="25"/>
      <c r="X2111" s="25"/>
      <c r="Y2111" s="25"/>
      <c r="Z2111" s="25"/>
      <c r="AA2111" s="25"/>
      <c r="AB2111" s="25"/>
      <c r="AC2111" s="25"/>
      <c r="AD2111" s="25"/>
    </row>
    <row r="2112" customFormat="false" ht="15.75" hidden="false" customHeight="false" outlineLevel="0" collapsed="false">
      <c r="A2112" s="28" t="s">
        <v>2521</v>
      </c>
      <c r="B2112" s="27" t="s">
        <v>438</v>
      </c>
      <c r="C2112" s="27" t="s">
        <v>383</v>
      </c>
      <c r="D2112" s="25"/>
      <c r="E2112" s="25"/>
      <c r="F2112" s="25"/>
      <c r="G2112" s="25"/>
      <c r="H2112" s="25"/>
      <c r="I2112" s="25"/>
      <c r="J2112" s="27" t="s">
        <v>2456</v>
      </c>
      <c r="K2112" s="25" t="str">
        <f aca="false">IFERROR(__xludf.dummyfunction("SPLIT(J2112,"" "")"),"CIF")</f>
        <v>CIF</v>
      </c>
      <c r="L2112" s="28" t="str">
        <f aca="false">IFERROR(__xludf.dummyfunction("""COMPUTED_VALUE"""),"Switzerland")</f>
        <v>Switzerland</v>
      </c>
      <c r="M2112" s="27" t="str">
        <f aca="false">IFERROR(__xludf.dummyfunction("""COMPUTED_VALUE"""),"(Diff)")</f>
        <v>(Diff)</v>
      </c>
      <c r="N2112" s="25"/>
      <c r="O2112" s="25"/>
      <c r="P2112" s="25"/>
      <c r="Q2112" s="29" t="s">
        <v>398</v>
      </c>
      <c r="R2112" s="8" t="str">
        <f aca="false">B2112&amp;" "&amp;C2112&amp;" "&amp;D2112&amp;" "&amp;E2112&amp;" "&amp;G2112&amp;" "&amp;H2112&amp;" "&amp;J2112&amp;" "&amp;N2112</f>
        <v>Differentials Precursor     CIF Switzerland (Diff) </v>
      </c>
      <c r="S2112" s="25"/>
      <c r="T2112" s="8"/>
      <c r="U2112" s="8"/>
      <c r="V2112" s="25"/>
      <c r="W2112" s="25"/>
      <c r="X2112" s="25"/>
      <c r="Y2112" s="25"/>
      <c r="Z2112" s="25"/>
      <c r="AA2112" s="25"/>
      <c r="AB2112" s="25"/>
      <c r="AC2112" s="25"/>
      <c r="AD2112" s="25"/>
    </row>
    <row r="2113" customFormat="false" ht="15.75" hidden="false" customHeight="false" outlineLevel="0" collapsed="false">
      <c r="A2113" s="28" t="s">
        <v>2522</v>
      </c>
      <c r="B2113" s="27" t="s">
        <v>438</v>
      </c>
      <c r="C2113" s="27" t="s">
        <v>383</v>
      </c>
      <c r="D2113" s="25"/>
      <c r="E2113" s="25"/>
      <c r="F2113" s="25"/>
      <c r="G2113" s="25"/>
      <c r="H2113" s="25"/>
      <c r="I2113" s="25"/>
      <c r="J2113" s="27" t="s">
        <v>2456</v>
      </c>
      <c r="K2113" s="25" t="str">
        <f aca="false">IFERROR(__xludf.dummyfunction("SPLIT(J2113,"" "")"),"CIF")</f>
        <v>CIF</v>
      </c>
      <c r="L2113" s="28" t="str">
        <f aca="false">IFERROR(__xludf.dummyfunction("""COMPUTED_VALUE"""),"Switzerland")</f>
        <v>Switzerland</v>
      </c>
      <c r="M2113" s="27" t="str">
        <f aca="false">IFERROR(__xludf.dummyfunction("""COMPUTED_VALUE"""),"(Diff)")</f>
        <v>(Diff)</v>
      </c>
      <c r="N2113" s="25"/>
      <c r="O2113" s="25"/>
      <c r="P2113" s="25"/>
      <c r="Q2113" s="29" t="s">
        <v>259</v>
      </c>
      <c r="R2113" s="8" t="str">
        <f aca="false">B2113&amp;" "&amp;C2113&amp;" "&amp;D2113&amp;" "&amp;E2113&amp;" "&amp;G2113&amp;" "&amp;H2113&amp;" "&amp;J2113&amp;" "&amp;N2113</f>
        <v>Differentials Precursor     CIF Switzerland (Diff) </v>
      </c>
      <c r="S2113" s="25"/>
      <c r="T2113" s="8"/>
      <c r="U2113" s="8"/>
      <c r="V2113" s="25"/>
      <c r="W2113" s="25"/>
      <c r="X2113" s="25"/>
      <c r="Y2113" s="25"/>
      <c r="Z2113" s="25"/>
      <c r="AA2113" s="25"/>
      <c r="AB2113" s="25"/>
      <c r="AC2113" s="25"/>
      <c r="AD2113" s="25"/>
    </row>
    <row r="2114" customFormat="false" ht="15.75" hidden="false" customHeight="false" outlineLevel="0" collapsed="false">
      <c r="A2114" s="28" t="s">
        <v>2523</v>
      </c>
      <c r="B2114" s="27" t="s">
        <v>438</v>
      </c>
      <c r="C2114" s="27" t="s">
        <v>383</v>
      </c>
      <c r="D2114" s="25"/>
      <c r="E2114" s="25"/>
      <c r="F2114" s="25"/>
      <c r="G2114" s="25"/>
      <c r="H2114" s="25"/>
      <c r="I2114" s="25"/>
      <c r="J2114" s="27" t="s">
        <v>2456</v>
      </c>
      <c r="K2114" s="25" t="str">
        <f aca="false">IFERROR(__xludf.dummyfunction("SPLIT(J2114,"" "")"),"CIF")</f>
        <v>CIF</v>
      </c>
      <c r="L2114" s="28" t="str">
        <f aca="false">IFERROR(__xludf.dummyfunction("""COMPUTED_VALUE"""),"Switzerland")</f>
        <v>Switzerland</v>
      </c>
      <c r="M2114" s="27" t="str">
        <f aca="false">IFERROR(__xludf.dummyfunction("""COMPUTED_VALUE"""),"(Diff)")</f>
        <v>(Diff)</v>
      </c>
      <c r="N2114" s="25"/>
      <c r="O2114" s="25"/>
      <c r="P2114" s="25"/>
      <c r="Q2114" s="29" t="s">
        <v>395</v>
      </c>
      <c r="R2114" s="8" t="str">
        <f aca="false">B2114&amp;" "&amp;C2114&amp;" "&amp;D2114&amp;" "&amp;E2114&amp;" "&amp;G2114&amp;" "&amp;H2114&amp;" "&amp;J2114&amp;" "&amp;N2114</f>
        <v>Differentials Precursor     CIF Switzerland (Diff) </v>
      </c>
      <c r="S2114" s="25"/>
      <c r="T2114" s="8"/>
      <c r="U2114" s="8"/>
      <c r="V2114" s="25"/>
      <c r="W2114" s="25"/>
      <c r="X2114" s="25"/>
      <c r="Y2114" s="25"/>
      <c r="Z2114" s="25"/>
      <c r="AA2114" s="25"/>
      <c r="AB2114" s="25"/>
      <c r="AC2114" s="25"/>
      <c r="AD2114" s="25"/>
    </row>
    <row r="2115" customFormat="false" ht="15.75" hidden="false" customHeight="false" outlineLevel="0" collapsed="false">
      <c r="A2115" s="28" t="s">
        <v>2524</v>
      </c>
      <c r="B2115" s="27" t="s">
        <v>438</v>
      </c>
      <c r="C2115" s="27" t="s">
        <v>383</v>
      </c>
      <c r="D2115" s="25"/>
      <c r="E2115" s="25"/>
      <c r="F2115" s="25"/>
      <c r="G2115" s="25"/>
      <c r="H2115" s="25"/>
      <c r="I2115" s="25"/>
      <c r="J2115" s="27" t="s">
        <v>2456</v>
      </c>
      <c r="K2115" s="25" t="str">
        <f aca="false">IFERROR(__xludf.dummyfunction("SPLIT(J2115,"" "")"),"CIF")</f>
        <v>CIF</v>
      </c>
      <c r="L2115" s="28" t="str">
        <f aca="false">IFERROR(__xludf.dummyfunction("""COMPUTED_VALUE"""),"Switzerland")</f>
        <v>Switzerland</v>
      </c>
      <c r="M2115" s="27" t="str">
        <f aca="false">IFERROR(__xludf.dummyfunction("""COMPUTED_VALUE"""),"(Diff)")</f>
        <v>(Diff)</v>
      </c>
      <c r="N2115" s="25"/>
      <c r="O2115" s="25"/>
      <c r="P2115" s="25"/>
      <c r="Q2115" s="29" t="s">
        <v>393</v>
      </c>
      <c r="R2115" s="8" t="str">
        <f aca="false">B2115&amp;" "&amp;C2115&amp;" "&amp;D2115&amp;" "&amp;E2115&amp;" "&amp;G2115&amp;" "&amp;H2115&amp;" "&amp;J2115&amp;" "&amp;N2115</f>
        <v>Differentials Precursor     CIF Switzerland (Diff) </v>
      </c>
      <c r="S2115" s="25"/>
      <c r="T2115" s="8"/>
      <c r="U2115" s="8"/>
      <c r="V2115" s="25"/>
      <c r="W2115" s="25"/>
      <c r="X2115" s="25"/>
      <c r="Y2115" s="25"/>
      <c r="Z2115" s="25"/>
      <c r="AA2115" s="25"/>
      <c r="AB2115" s="25"/>
      <c r="AC2115" s="25"/>
      <c r="AD2115" s="25"/>
    </row>
    <row r="2116" customFormat="false" ht="15.75" hidden="false" customHeight="false" outlineLevel="0" collapsed="false">
      <c r="A2116" s="28" t="s">
        <v>2525</v>
      </c>
      <c r="B2116" s="27" t="s">
        <v>438</v>
      </c>
      <c r="C2116" s="27" t="s">
        <v>383</v>
      </c>
      <c r="D2116" s="25"/>
      <c r="E2116" s="25"/>
      <c r="F2116" s="25"/>
      <c r="G2116" s="25"/>
      <c r="H2116" s="25"/>
      <c r="I2116" s="25"/>
      <c r="J2116" s="27" t="s">
        <v>2456</v>
      </c>
      <c r="K2116" s="25" t="str">
        <f aca="false">IFERROR(__xludf.dummyfunction("SPLIT(J2116,"" "")"),"CIF")</f>
        <v>CIF</v>
      </c>
      <c r="L2116" s="28" t="str">
        <f aca="false">IFERROR(__xludf.dummyfunction("""COMPUTED_VALUE"""),"Switzerland")</f>
        <v>Switzerland</v>
      </c>
      <c r="M2116" s="27" t="str">
        <f aca="false">IFERROR(__xludf.dummyfunction("""COMPUTED_VALUE"""),"(Diff)")</f>
        <v>(Diff)</v>
      </c>
      <c r="N2116" s="25"/>
      <c r="O2116" s="25"/>
      <c r="P2116" s="25"/>
      <c r="Q2116" s="29" t="s">
        <v>391</v>
      </c>
      <c r="R2116" s="8" t="str">
        <f aca="false">B2116&amp;" "&amp;C2116&amp;" "&amp;D2116&amp;" "&amp;E2116&amp;" "&amp;G2116&amp;" "&amp;H2116&amp;" "&amp;J2116&amp;" "&amp;N2116</f>
        <v>Differentials Precursor     CIF Switzerland (Diff) </v>
      </c>
      <c r="S2116" s="25"/>
      <c r="T2116" s="8"/>
      <c r="U2116" s="8"/>
      <c r="V2116" s="25"/>
      <c r="W2116" s="25"/>
      <c r="X2116" s="25"/>
      <c r="Y2116" s="25"/>
      <c r="Z2116" s="25"/>
      <c r="AA2116" s="25"/>
      <c r="AB2116" s="25"/>
      <c r="AC2116" s="25"/>
      <c r="AD2116" s="25"/>
    </row>
    <row r="2117" customFormat="false" ht="15.75" hidden="false" customHeight="false" outlineLevel="0" collapsed="false">
      <c r="A2117" s="28" t="s">
        <v>2526</v>
      </c>
      <c r="B2117" s="27" t="s">
        <v>438</v>
      </c>
      <c r="C2117" s="27" t="s">
        <v>383</v>
      </c>
      <c r="D2117" s="25"/>
      <c r="E2117" s="25"/>
      <c r="F2117" s="25"/>
      <c r="G2117" s="25"/>
      <c r="H2117" s="25"/>
      <c r="I2117" s="25"/>
      <c r="J2117" s="27" t="s">
        <v>2456</v>
      </c>
      <c r="K2117" s="25" t="str">
        <f aca="false">IFERROR(__xludf.dummyfunction("SPLIT(J2117,"" "")"),"CIF")</f>
        <v>CIF</v>
      </c>
      <c r="L2117" s="28" t="str">
        <f aca="false">IFERROR(__xludf.dummyfunction("""COMPUTED_VALUE"""),"Switzerland")</f>
        <v>Switzerland</v>
      </c>
      <c r="M2117" s="27" t="str">
        <f aca="false">IFERROR(__xludf.dummyfunction("""COMPUTED_VALUE"""),"(Diff)")</f>
        <v>(Diff)</v>
      </c>
      <c r="N2117" s="25"/>
      <c r="O2117" s="25"/>
      <c r="P2117" s="25"/>
      <c r="Q2117" s="29" t="s">
        <v>389</v>
      </c>
      <c r="R2117" s="8" t="str">
        <f aca="false">B2117&amp;" "&amp;C2117&amp;" "&amp;D2117&amp;" "&amp;E2117&amp;" "&amp;G2117&amp;" "&amp;H2117&amp;" "&amp;J2117&amp;" "&amp;N2117</f>
        <v>Differentials Precursor     CIF Switzerland (Diff) </v>
      </c>
      <c r="S2117" s="25"/>
      <c r="T2117" s="8"/>
      <c r="U2117" s="8"/>
      <c r="V2117" s="25"/>
      <c r="W2117" s="25"/>
      <c r="X2117" s="25"/>
      <c r="Y2117" s="25"/>
      <c r="Z2117" s="25"/>
      <c r="AA2117" s="25"/>
      <c r="AB2117" s="25"/>
      <c r="AC2117" s="25"/>
      <c r="AD2117" s="25"/>
    </row>
    <row r="2118" customFormat="false" ht="15.75" hidden="false" customHeight="false" outlineLevel="0" collapsed="false">
      <c r="A2118" s="28" t="s">
        <v>2527</v>
      </c>
      <c r="B2118" s="27" t="s">
        <v>438</v>
      </c>
      <c r="C2118" s="27" t="s">
        <v>383</v>
      </c>
      <c r="D2118" s="25"/>
      <c r="E2118" s="25"/>
      <c r="F2118" s="25"/>
      <c r="G2118" s="25"/>
      <c r="H2118" s="25"/>
      <c r="I2118" s="25"/>
      <c r="J2118" s="27" t="s">
        <v>2456</v>
      </c>
      <c r="K2118" s="25" t="str">
        <f aca="false">IFERROR(__xludf.dummyfunction("SPLIT(J2118,"" "")"),"CIF")</f>
        <v>CIF</v>
      </c>
      <c r="L2118" s="28" t="str">
        <f aca="false">IFERROR(__xludf.dummyfunction("""COMPUTED_VALUE"""),"Switzerland")</f>
        <v>Switzerland</v>
      </c>
      <c r="M2118" s="27" t="str">
        <f aca="false">IFERROR(__xludf.dummyfunction("""COMPUTED_VALUE"""),"(Diff)")</f>
        <v>(Diff)</v>
      </c>
      <c r="N2118" s="25"/>
      <c r="O2118" s="25"/>
      <c r="P2118" s="25"/>
      <c r="Q2118" s="29" t="s">
        <v>387</v>
      </c>
      <c r="R2118" s="8" t="str">
        <f aca="false">B2118&amp;" "&amp;C2118&amp;" "&amp;D2118&amp;" "&amp;E2118&amp;" "&amp;G2118&amp;" "&amp;H2118&amp;" "&amp;J2118&amp;" "&amp;N2118</f>
        <v>Differentials Precursor     CIF Switzerland (Diff) </v>
      </c>
      <c r="S2118" s="25"/>
      <c r="T2118" s="8"/>
      <c r="U2118" s="8"/>
      <c r="V2118" s="25"/>
      <c r="W2118" s="25"/>
      <c r="X2118" s="25"/>
      <c r="Y2118" s="25"/>
      <c r="Z2118" s="25"/>
      <c r="AA2118" s="25"/>
      <c r="AB2118" s="25"/>
      <c r="AC2118" s="25"/>
      <c r="AD2118" s="25"/>
    </row>
    <row r="2119" customFormat="false" ht="15.75" hidden="false" customHeight="false" outlineLevel="0" collapsed="false">
      <c r="A2119" s="28" t="s">
        <v>2528</v>
      </c>
      <c r="B2119" s="27" t="s">
        <v>438</v>
      </c>
      <c r="C2119" s="27" t="s">
        <v>383</v>
      </c>
      <c r="D2119" s="25"/>
      <c r="E2119" s="25"/>
      <c r="F2119" s="25"/>
      <c r="G2119" s="25"/>
      <c r="H2119" s="25"/>
      <c r="I2119" s="25"/>
      <c r="J2119" s="27" t="s">
        <v>2456</v>
      </c>
      <c r="K2119" s="25" t="str">
        <f aca="false">IFERROR(__xludf.dummyfunction("SPLIT(J2119,"" "")"),"CIF")</f>
        <v>CIF</v>
      </c>
      <c r="L2119" s="28" t="str">
        <f aca="false">IFERROR(__xludf.dummyfunction("""COMPUTED_VALUE"""),"Switzerland")</f>
        <v>Switzerland</v>
      </c>
      <c r="M2119" s="27" t="str">
        <f aca="false">IFERROR(__xludf.dummyfunction("""COMPUTED_VALUE"""),"(Diff)")</f>
        <v>(Diff)</v>
      </c>
      <c r="N2119" s="25"/>
      <c r="O2119" s="25"/>
      <c r="P2119" s="25"/>
      <c r="Q2119" s="29" t="s">
        <v>385</v>
      </c>
      <c r="R2119" s="8" t="str">
        <f aca="false">B2119&amp;" "&amp;C2119&amp;" "&amp;D2119&amp;" "&amp;E2119&amp;" "&amp;G2119&amp;" "&amp;H2119&amp;" "&amp;J2119&amp;" "&amp;N2119</f>
        <v>Differentials Precursor     CIF Switzerland (Diff) </v>
      </c>
      <c r="S2119" s="25"/>
      <c r="T2119" s="8"/>
      <c r="U2119" s="8"/>
      <c r="V2119" s="25"/>
      <c r="W2119" s="25"/>
      <c r="X2119" s="25"/>
      <c r="Y2119" s="25"/>
      <c r="Z2119" s="25"/>
      <c r="AA2119" s="25"/>
      <c r="AB2119" s="25"/>
      <c r="AC2119" s="25"/>
      <c r="AD2119" s="25"/>
    </row>
    <row r="2120" customFormat="false" ht="15.75" hidden="false" customHeight="false" outlineLevel="0" collapsed="false">
      <c r="A2120" s="28" t="s">
        <v>2529</v>
      </c>
      <c r="B2120" s="27" t="s">
        <v>438</v>
      </c>
      <c r="C2120" s="27" t="s">
        <v>417</v>
      </c>
      <c r="D2120" s="25"/>
      <c r="E2120" s="25"/>
      <c r="F2120" s="25"/>
      <c r="G2120" s="25"/>
      <c r="H2120" s="25"/>
      <c r="I2120" s="25"/>
      <c r="J2120" s="27" t="s">
        <v>2456</v>
      </c>
      <c r="K2120" s="25" t="str">
        <f aca="false">IFERROR(__xludf.dummyfunction("SPLIT(J2120,"" "")"),"CIF")</f>
        <v>CIF</v>
      </c>
      <c r="L2120" s="28" t="str">
        <f aca="false">IFERROR(__xludf.dummyfunction("""COMPUTED_VALUE"""),"Switzerland")</f>
        <v>Switzerland</v>
      </c>
      <c r="M2120" s="27" t="str">
        <f aca="false">IFERROR(__xludf.dummyfunction("""COMPUTED_VALUE"""),"(Diff)")</f>
        <v>(Diff)</v>
      </c>
      <c r="N2120" s="25"/>
      <c r="O2120" s="25"/>
      <c r="P2120" s="25"/>
      <c r="Q2120" s="29" t="s">
        <v>436</v>
      </c>
      <c r="R2120" s="8" t="str">
        <f aca="false">B2120&amp;" "&amp;C2120&amp;" "&amp;D2120&amp;" "&amp;E2120&amp;" "&amp;G2120&amp;" "&amp;H2120&amp;" "&amp;J2120&amp;" "&amp;N2120</f>
        <v>Differentials Solvent     CIF Switzerland (Diff) </v>
      </c>
      <c r="S2120" s="25"/>
      <c r="T2120" s="8"/>
      <c r="U2120" s="8"/>
      <c r="V2120" s="25"/>
      <c r="W2120" s="25"/>
      <c r="X2120" s="25"/>
      <c r="Y2120" s="25"/>
      <c r="Z2120" s="25"/>
      <c r="AA2120" s="25"/>
      <c r="AB2120" s="25"/>
      <c r="AC2120" s="25"/>
      <c r="AD2120" s="25"/>
    </row>
    <row r="2121" customFormat="false" ht="15.75" hidden="false" customHeight="false" outlineLevel="0" collapsed="false">
      <c r="A2121" s="28" t="s">
        <v>2530</v>
      </c>
      <c r="B2121" s="27" t="s">
        <v>438</v>
      </c>
      <c r="C2121" s="27" t="s">
        <v>417</v>
      </c>
      <c r="D2121" s="25"/>
      <c r="E2121" s="25"/>
      <c r="F2121" s="25"/>
      <c r="G2121" s="25"/>
      <c r="H2121" s="25"/>
      <c r="I2121" s="25"/>
      <c r="J2121" s="27" t="s">
        <v>2456</v>
      </c>
      <c r="K2121" s="25" t="str">
        <f aca="false">IFERROR(__xludf.dummyfunction("SPLIT(J2121,"" "")"),"CIF")</f>
        <v>CIF</v>
      </c>
      <c r="L2121" s="28" t="str">
        <f aca="false">IFERROR(__xludf.dummyfunction("""COMPUTED_VALUE"""),"Switzerland")</f>
        <v>Switzerland</v>
      </c>
      <c r="M2121" s="27" t="str">
        <f aca="false">IFERROR(__xludf.dummyfunction("""COMPUTED_VALUE"""),"(Diff)")</f>
        <v>(Diff)</v>
      </c>
      <c r="N2121" s="25"/>
      <c r="O2121" s="25"/>
      <c r="P2121" s="25"/>
      <c r="Q2121" s="29" t="s">
        <v>434</v>
      </c>
      <c r="R2121" s="8" t="str">
        <f aca="false">B2121&amp;" "&amp;C2121&amp;" "&amp;D2121&amp;" "&amp;E2121&amp;" "&amp;G2121&amp;" "&amp;H2121&amp;" "&amp;J2121&amp;" "&amp;N2121</f>
        <v>Differentials Solvent     CIF Switzerland (Diff) </v>
      </c>
      <c r="S2121" s="25"/>
      <c r="T2121" s="8"/>
      <c r="U2121" s="8"/>
      <c r="V2121" s="25"/>
      <c r="W2121" s="25"/>
      <c r="X2121" s="25"/>
      <c r="Y2121" s="25"/>
      <c r="Z2121" s="25"/>
      <c r="AA2121" s="25"/>
      <c r="AB2121" s="25"/>
      <c r="AC2121" s="25"/>
      <c r="AD2121" s="25"/>
    </row>
    <row r="2122" customFormat="false" ht="15.75" hidden="false" customHeight="false" outlineLevel="0" collapsed="false">
      <c r="A2122" s="28" t="s">
        <v>2531</v>
      </c>
      <c r="B2122" s="27" t="s">
        <v>438</v>
      </c>
      <c r="C2122" s="27" t="s">
        <v>417</v>
      </c>
      <c r="D2122" s="25"/>
      <c r="E2122" s="25"/>
      <c r="F2122" s="25"/>
      <c r="G2122" s="25"/>
      <c r="H2122" s="25"/>
      <c r="I2122" s="25"/>
      <c r="J2122" s="27" t="s">
        <v>2456</v>
      </c>
      <c r="K2122" s="25" t="str">
        <f aca="false">IFERROR(__xludf.dummyfunction("SPLIT(J2122,"" "")"),"CIF")</f>
        <v>CIF</v>
      </c>
      <c r="L2122" s="28" t="str">
        <f aca="false">IFERROR(__xludf.dummyfunction("""COMPUTED_VALUE"""),"Switzerland")</f>
        <v>Switzerland</v>
      </c>
      <c r="M2122" s="27" t="str">
        <f aca="false">IFERROR(__xludf.dummyfunction("""COMPUTED_VALUE"""),"(Diff)")</f>
        <v>(Diff)</v>
      </c>
      <c r="N2122" s="25"/>
      <c r="O2122" s="25"/>
      <c r="P2122" s="25"/>
      <c r="Q2122" s="29" t="s">
        <v>432</v>
      </c>
      <c r="R2122" s="8" t="str">
        <f aca="false">B2122&amp;" "&amp;C2122&amp;" "&amp;D2122&amp;" "&amp;E2122&amp;" "&amp;G2122&amp;" "&amp;H2122&amp;" "&amp;J2122&amp;" "&amp;N2122</f>
        <v>Differentials Solvent     CIF Switzerland (Diff) </v>
      </c>
      <c r="S2122" s="25"/>
      <c r="T2122" s="8"/>
      <c r="U2122" s="8"/>
      <c r="V2122" s="25"/>
      <c r="W2122" s="25"/>
      <c r="X2122" s="25"/>
      <c r="Y2122" s="25"/>
      <c r="Z2122" s="25"/>
      <c r="AA2122" s="25"/>
      <c r="AB2122" s="25"/>
      <c r="AC2122" s="25"/>
      <c r="AD2122" s="25"/>
    </row>
    <row r="2123" customFormat="false" ht="15.75" hidden="false" customHeight="false" outlineLevel="0" collapsed="false">
      <c r="A2123" s="28" t="s">
        <v>2532</v>
      </c>
      <c r="B2123" s="27" t="s">
        <v>438</v>
      </c>
      <c r="C2123" s="27" t="s">
        <v>417</v>
      </c>
      <c r="D2123" s="25"/>
      <c r="E2123" s="25"/>
      <c r="F2123" s="25"/>
      <c r="G2123" s="25"/>
      <c r="H2123" s="25"/>
      <c r="I2123" s="25"/>
      <c r="J2123" s="27" t="s">
        <v>2456</v>
      </c>
      <c r="K2123" s="25" t="str">
        <f aca="false">IFERROR(__xludf.dummyfunction("SPLIT(J2123,"" "")"),"CIF")</f>
        <v>CIF</v>
      </c>
      <c r="L2123" s="28" t="str">
        <f aca="false">IFERROR(__xludf.dummyfunction("""COMPUTED_VALUE"""),"Switzerland")</f>
        <v>Switzerland</v>
      </c>
      <c r="M2123" s="27" t="str">
        <f aca="false">IFERROR(__xludf.dummyfunction("""COMPUTED_VALUE"""),"(Diff)")</f>
        <v>(Diff)</v>
      </c>
      <c r="N2123" s="25"/>
      <c r="O2123" s="25"/>
      <c r="P2123" s="25"/>
      <c r="Q2123" s="29" t="s">
        <v>430</v>
      </c>
      <c r="R2123" s="8" t="str">
        <f aca="false">B2123&amp;" "&amp;C2123&amp;" "&amp;D2123&amp;" "&amp;E2123&amp;" "&amp;G2123&amp;" "&amp;H2123&amp;" "&amp;J2123&amp;" "&amp;N2123</f>
        <v>Differentials Solvent     CIF Switzerland (Diff) </v>
      </c>
      <c r="S2123" s="25"/>
      <c r="T2123" s="8"/>
      <c r="U2123" s="8"/>
      <c r="V2123" s="25"/>
      <c r="W2123" s="25"/>
      <c r="X2123" s="25"/>
      <c r="Y2123" s="25"/>
      <c r="Z2123" s="25"/>
      <c r="AA2123" s="25"/>
      <c r="AB2123" s="25"/>
      <c r="AC2123" s="25"/>
      <c r="AD2123" s="25"/>
    </row>
    <row r="2124" customFormat="false" ht="15.75" hidden="false" customHeight="false" outlineLevel="0" collapsed="false">
      <c r="A2124" s="28" t="s">
        <v>2533</v>
      </c>
      <c r="B2124" s="27" t="s">
        <v>438</v>
      </c>
      <c r="C2124" s="27" t="s">
        <v>417</v>
      </c>
      <c r="D2124" s="25"/>
      <c r="E2124" s="25"/>
      <c r="F2124" s="25"/>
      <c r="G2124" s="25"/>
      <c r="H2124" s="25"/>
      <c r="I2124" s="25"/>
      <c r="J2124" s="27" t="s">
        <v>2456</v>
      </c>
      <c r="K2124" s="25" t="str">
        <f aca="false">IFERROR(__xludf.dummyfunction("SPLIT(J2124,"" "")"),"CIF")</f>
        <v>CIF</v>
      </c>
      <c r="L2124" s="28" t="str">
        <f aca="false">IFERROR(__xludf.dummyfunction("""COMPUTED_VALUE"""),"Switzerland")</f>
        <v>Switzerland</v>
      </c>
      <c r="M2124" s="27" t="str">
        <f aca="false">IFERROR(__xludf.dummyfunction("""COMPUTED_VALUE"""),"(Diff)")</f>
        <v>(Diff)</v>
      </c>
      <c r="N2124" s="25"/>
      <c r="O2124" s="25"/>
      <c r="P2124" s="25"/>
      <c r="Q2124" s="29" t="s">
        <v>428</v>
      </c>
      <c r="R2124" s="8" t="str">
        <f aca="false">B2124&amp;" "&amp;C2124&amp;" "&amp;D2124&amp;" "&amp;E2124&amp;" "&amp;G2124&amp;" "&amp;H2124&amp;" "&amp;J2124&amp;" "&amp;N2124</f>
        <v>Differentials Solvent     CIF Switzerland (Diff) </v>
      </c>
      <c r="S2124" s="25"/>
      <c r="T2124" s="8"/>
      <c r="U2124" s="8"/>
      <c r="V2124" s="25"/>
      <c r="W2124" s="25"/>
      <c r="X2124" s="25"/>
      <c r="Y2124" s="25"/>
      <c r="Z2124" s="25"/>
      <c r="AA2124" s="25"/>
      <c r="AB2124" s="25"/>
      <c r="AC2124" s="25"/>
      <c r="AD2124" s="25"/>
    </row>
    <row r="2125" customFormat="false" ht="15.75" hidden="false" customHeight="false" outlineLevel="0" collapsed="false">
      <c r="A2125" s="28" t="s">
        <v>2534</v>
      </c>
      <c r="B2125" s="27" t="s">
        <v>438</v>
      </c>
      <c r="C2125" s="27" t="s">
        <v>417</v>
      </c>
      <c r="D2125" s="25"/>
      <c r="E2125" s="25"/>
      <c r="F2125" s="25"/>
      <c r="G2125" s="25"/>
      <c r="H2125" s="25"/>
      <c r="I2125" s="25"/>
      <c r="J2125" s="27" t="s">
        <v>2456</v>
      </c>
      <c r="K2125" s="25" t="str">
        <f aca="false">IFERROR(__xludf.dummyfunction("SPLIT(J2125,"" "")"),"CIF")</f>
        <v>CIF</v>
      </c>
      <c r="L2125" s="28" t="str">
        <f aca="false">IFERROR(__xludf.dummyfunction("""COMPUTED_VALUE"""),"Switzerland")</f>
        <v>Switzerland</v>
      </c>
      <c r="M2125" s="27" t="str">
        <f aca="false">IFERROR(__xludf.dummyfunction("""COMPUTED_VALUE"""),"(Diff)")</f>
        <v>(Diff)</v>
      </c>
      <c r="N2125" s="25"/>
      <c r="O2125" s="25"/>
      <c r="P2125" s="25"/>
      <c r="Q2125" s="29" t="s">
        <v>426</v>
      </c>
      <c r="R2125" s="8" t="str">
        <f aca="false">B2125&amp;" "&amp;C2125&amp;" "&amp;D2125&amp;" "&amp;E2125&amp;" "&amp;G2125&amp;" "&amp;H2125&amp;" "&amp;J2125&amp;" "&amp;N2125</f>
        <v>Differentials Solvent     CIF Switzerland (Diff) </v>
      </c>
      <c r="S2125" s="25"/>
      <c r="T2125" s="8"/>
      <c r="U2125" s="8"/>
      <c r="V2125" s="25"/>
      <c r="W2125" s="25"/>
      <c r="X2125" s="25"/>
      <c r="Y2125" s="25"/>
      <c r="Z2125" s="25"/>
      <c r="AA2125" s="25"/>
      <c r="AB2125" s="25"/>
      <c r="AC2125" s="25"/>
      <c r="AD2125" s="25"/>
    </row>
    <row r="2126" customFormat="false" ht="15.75" hidden="false" customHeight="false" outlineLevel="0" collapsed="false">
      <c r="A2126" s="28" t="s">
        <v>2535</v>
      </c>
      <c r="B2126" s="27" t="s">
        <v>438</v>
      </c>
      <c r="C2126" s="27" t="s">
        <v>417</v>
      </c>
      <c r="D2126" s="25"/>
      <c r="E2126" s="25"/>
      <c r="F2126" s="25"/>
      <c r="G2126" s="25"/>
      <c r="H2126" s="25"/>
      <c r="I2126" s="25"/>
      <c r="J2126" s="27" t="s">
        <v>2456</v>
      </c>
      <c r="K2126" s="25" t="str">
        <f aca="false">IFERROR(__xludf.dummyfunction("SPLIT(J2126,"" "")"),"CIF")</f>
        <v>CIF</v>
      </c>
      <c r="L2126" s="28" t="str">
        <f aca="false">IFERROR(__xludf.dummyfunction("""COMPUTED_VALUE"""),"Switzerland")</f>
        <v>Switzerland</v>
      </c>
      <c r="M2126" s="27" t="str">
        <f aca="false">IFERROR(__xludf.dummyfunction("""COMPUTED_VALUE"""),"(Diff)")</f>
        <v>(Diff)</v>
      </c>
      <c r="N2126" s="25"/>
      <c r="O2126" s="25"/>
      <c r="P2126" s="25"/>
      <c r="Q2126" s="29" t="s">
        <v>424</v>
      </c>
      <c r="R2126" s="8" t="str">
        <f aca="false">B2126&amp;" "&amp;C2126&amp;" "&amp;D2126&amp;" "&amp;E2126&amp;" "&amp;G2126&amp;" "&amp;H2126&amp;" "&amp;J2126&amp;" "&amp;N2126</f>
        <v>Differentials Solvent     CIF Switzerland (Diff) </v>
      </c>
      <c r="S2126" s="25"/>
      <c r="T2126" s="8"/>
      <c r="U2126" s="8"/>
      <c r="V2126" s="25"/>
      <c r="W2126" s="25"/>
      <c r="X2126" s="25"/>
      <c r="Y2126" s="25"/>
      <c r="Z2126" s="25"/>
      <c r="AA2126" s="25"/>
      <c r="AB2126" s="25"/>
      <c r="AC2126" s="25"/>
      <c r="AD2126" s="25"/>
    </row>
    <row r="2127" customFormat="false" ht="15.75" hidden="false" customHeight="false" outlineLevel="0" collapsed="false">
      <c r="A2127" s="28" t="s">
        <v>2536</v>
      </c>
      <c r="B2127" s="27" t="s">
        <v>438</v>
      </c>
      <c r="C2127" s="27" t="s">
        <v>417</v>
      </c>
      <c r="D2127" s="25"/>
      <c r="E2127" s="25"/>
      <c r="F2127" s="25"/>
      <c r="G2127" s="25"/>
      <c r="H2127" s="25"/>
      <c r="I2127" s="25"/>
      <c r="J2127" s="27" t="s">
        <v>2456</v>
      </c>
      <c r="K2127" s="25" t="str">
        <f aca="false">IFERROR(__xludf.dummyfunction("SPLIT(J2127,"" "")"),"CIF")</f>
        <v>CIF</v>
      </c>
      <c r="L2127" s="28" t="str">
        <f aca="false">IFERROR(__xludf.dummyfunction("""COMPUTED_VALUE"""),"Switzerland")</f>
        <v>Switzerland</v>
      </c>
      <c r="M2127" s="27" t="str">
        <f aca="false">IFERROR(__xludf.dummyfunction("""COMPUTED_VALUE"""),"(Diff)")</f>
        <v>(Diff)</v>
      </c>
      <c r="N2127" s="25"/>
      <c r="O2127" s="25"/>
      <c r="P2127" s="25"/>
      <c r="Q2127" s="29" t="s">
        <v>422</v>
      </c>
      <c r="R2127" s="8" t="str">
        <f aca="false">B2127&amp;" "&amp;C2127&amp;" "&amp;D2127&amp;" "&amp;E2127&amp;" "&amp;G2127&amp;" "&amp;H2127&amp;" "&amp;J2127&amp;" "&amp;N2127</f>
        <v>Differentials Solvent     CIF Switzerland (Diff) </v>
      </c>
      <c r="S2127" s="25"/>
      <c r="T2127" s="8"/>
      <c r="U2127" s="8"/>
      <c r="V2127" s="25"/>
      <c r="W2127" s="25"/>
      <c r="X2127" s="25"/>
      <c r="Y2127" s="25"/>
      <c r="Z2127" s="25"/>
      <c r="AA2127" s="25"/>
      <c r="AB2127" s="25"/>
      <c r="AC2127" s="25"/>
      <c r="AD2127" s="25"/>
    </row>
    <row r="2128" customFormat="false" ht="15.75" hidden="false" customHeight="false" outlineLevel="0" collapsed="false">
      <c r="A2128" s="28" t="s">
        <v>2537</v>
      </c>
      <c r="B2128" s="27" t="s">
        <v>438</v>
      </c>
      <c r="C2128" s="27" t="s">
        <v>417</v>
      </c>
      <c r="D2128" s="25"/>
      <c r="E2128" s="25"/>
      <c r="F2128" s="25"/>
      <c r="G2128" s="25"/>
      <c r="H2128" s="25"/>
      <c r="I2128" s="25"/>
      <c r="J2128" s="27" t="s">
        <v>2456</v>
      </c>
      <c r="K2128" s="25" t="str">
        <f aca="false">IFERROR(__xludf.dummyfunction("SPLIT(J2128,"" "")"),"CIF")</f>
        <v>CIF</v>
      </c>
      <c r="L2128" s="28" t="str">
        <f aca="false">IFERROR(__xludf.dummyfunction("""COMPUTED_VALUE"""),"Switzerland")</f>
        <v>Switzerland</v>
      </c>
      <c r="M2128" s="27" t="str">
        <f aca="false">IFERROR(__xludf.dummyfunction("""COMPUTED_VALUE"""),"(Diff)")</f>
        <v>(Diff)</v>
      </c>
      <c r="N2128" s="25"/>
      <c r="O2128" s="25"/>
      <c r="P2128" s="25"/>
      <c r="Q2128" s="29" t="s">
        <v>420</v>
      </c>
      <c r="R2128" s="8" t="str">
        <f aca="false">B2128&amp;" "&amp;C2128&amp;" "&amp;D2128&amp;" "&amp;E2128&amp;" "&amp;G2128&amp;" "&amp;H2128&amp;" "&amp;J2128&amp;" "&amp;N2128</f>
        <v>Differentials Solvent     CIF Switzerland (Diff) </v>
      </c>
      <c r="S2128" s="25"/>
      <c r="T2128" s="8"/>
      <c r="U2128" s="8"/>
      <c r="V2128" s="25"/>
      <c r="W2128" s="25"/>
      <c r="X2128" s="25"/>
      <c r="Y2128" s="25"/>
      <c r="Z2128" s="25"/>
      <c r="AA2128" s="25"/>
      <c r="AB2128" s="25"/>
      <c r="AC2128" s="25"/>
      <c r="AD2128" s="25"/>
    </row>
    <row r="2129" customFormat="false" ht="15.75" hidden="false" customHeight="false" outlineLevel="0" collapsed="false">
      <c r="A2129" s="28" t="s">
        <v>2538</v>
      </c>
      <c r="B2129" s="27" t="s">
        <v>438</v>
      </c>
      <c r="C2129" s="27" t="s">
        <v>417</v>
      </c>
      <c r="D2129" s="25"/>
      <c r="E2129" s="25"/>
      <c r="F2129" s="25"/>
      <c r="G2129" s="25"/>
      <c r="H2129" s="25"/>
      <c r="I2129" s="25"/>
      <c r="J2129" s="27" t="s">
        <v>2456</v>
      </c>
      <c r="K2129" s="25" t="str">
        <f aca="false">IFERROR(__xludf.dummyfunction("SPLIT(J2129,"" "")"),"CIF")</f>
        <v>CIF</v>
      </c>
      <c r="L2129" s="28" t="str">
        <f aca="false">IFERROR(__xludf.dummyfunction("""COMPUTED_VALUE"""),"Switzerland")</f>
        <v>Switzerland</v>
      </c>
      <c r="M2129" s="27" t="str">
        <f aca="false">IFERROR(__xludf.dummyfunction("""COMPUTED_VALUE"""),"(Diff)")</f>
        <v>(Diff)</v>
      </c>
      <c r="N2129" s="25"/>
      <c r="O2129" s="25"/>
      <c r="P2129" s="25"/>
      <c r="Q2129" s="29" t="s">
        <v>418</v>
      </c>
      <c r="R2129" s="8" t="str">
        <f aca="false">B2129&amp;" "&amp;C2129&amp;" "&amp;D2129&amp;" "&amp;E2129&amp;" "&amp;G2129&amp;" "&amp;H2129&amp;" "&amp;J2129&amp;" "&amp;N2129</f>
        <v>Differentials Solvent     CIF Switzerland (Diff) </v>
      </c>
      <c r="S2129" s="25"/>
      <c r="T2129" s="8"/>
      <c r="U2129" s="8"/>
      <c r="V2129" s="25"/>
      <c r="W2129" s="25"/>
      <c r="X2129" s="25"/>
      <c r="Y2129" s="25"/>
      <c r="Z2129" s="25"/>
      <c r="AA2129" s="25"/>
      <c r="AB2129" s="25"/>
      <c r="AC2129" s="25"/>
      <c r="AD2129" s="25"/>
    </row>
    <row r="2130" customFormat="false" ht="15.75" hidden="false" customHeight="false" outlineLevel="0" collapsed="false">
      <c r="A2130" s="28" t="s">
        <v>2539</v>
      </c>
      <c r="B2130" s="27" t="s">
        <v>438</v>
      </c>
      <c r="C2130" s="27" t="s">
        <v>177</v>
      </c>
      <c r="D2130" s="25"/>
      <c r="E2130" s="25"/>
      <c r="F2130" s="25"/>
      <c r="G2130" s="25"/>
      <c r="H2130" s="25"/>
      <c r="I2130" s="25"/>
      <c r="J2130" s="27" t="s">
        <v>2540</v>
      </c>
      <c r="K2130" s="25" t="str">
        <f aca="false">IFERROR(__xludf.dummyfunction("SPLIT(J2130,"" "")"),"CIF")</f>
        <v>CIF</v>
      </c>
      <c r="L2130" s="28" t="str">
        <f aca="false">IFERROR(__xludf.dummyfunction("""COMPUTED_VALUE"""),"Taiwan")</f>
        <v>Taiwan</v>
      </c>
      <c r="M2130" s="27" t="str">
        <f aca="false">IFERROR(__xludf.dummyfunction("""COMPUTED_VALUE"""),"(Diff)")</f>
        <v>(Diff)</v>
      </c>
      <c r="N2130" s="25"/>
      <c r="O2130" s="25"/>
      <c r="P2130" s="25"/>
      <c r="Q2130" s="29" t="s">
        <v>209</v>
      </c>
      <c r="R2130" s="8" t="str">
        <f aca="false">B2130&amp;" "&amp;C2130&amp;" "&amp;D2130&amp;" "&amp;E2130&amp;" "&amp;G2130&amp;" "&amp;H2130&amp;" "&amp;J2130&amp;" "&amp;N2130</f>
        <v>Differentials Anode     CIF Taiwan (Diff) </v>
      </c>
      <c r="S2130" s="25"/>
      <c r="T2130" s="8"/>
      <c r="U2130" s="8"/>
      <c r="V2130" s="25"/>
      <c r="W2130" s="25"/>
      <c r="X2130" s="25"/>
      <c r="Y2130" s="25"/>
      <c r="Z2130" s="25"/>
      <c r="AA2130" s="25"/>
      <c r="AB2130" s="25"/>
      <c r="AC2130" s="25"/>
      <c r="AD2130" s="25"/>
    </row>
    <row r="2131" customFormat="false" ht="15.75" hidden="false" customHeight="false" outlineLevel="0" collapsed="false">
      <c r="A2131" s="28" t="s">
        <v>2541</v>
      </c>
      <c r="B2131" s="27" t="s">
        <v>438</v>
      </c>
      <c r="C2131" s="27" t="s">
        <v>177</v>
      </c>
      <c r="D2131" s="25"/>
      <c r="E2131" s="25"/>
      <c r="F2131" s="25"/>
      <c r="G2131" s="25"/>
      <c r="H2131" s="25"/>
      <c r="I2131" s="25"/>
      <c r="J2131" s="27" t="s">
        <v>2540</v>
      </c>
      <c r="K2131" s="25" t="str">
        <f aca="false">IFERROR(__xludf.dummyfunction("SPLIT(J2131,"" "")"),"CIF")</f>
        <v>CIF</v>
      </c>
      <c r="L2131" s="28" t="str">
        <f aca="false">IFERROR(__xludf.dummyfunction("""COMPUTED_VALUE"""),"Taiwan")</f>
        <v>Taiwan</v>
      </c>
      <c r="M2131" s="27" t="str">
        <f aca="false">IFERROR(__xludf.dummyfunction("""COMPUTED_VALUE"""),"(Diff)")</f>
        <v>(Diff)</v>
      </c>
      <c r="N2131" s="25"/>
      <c r="O2131" s="25"/>
      <c r="P2131" s="25"/>
      <c r="Q2131" s="29" t="s">
        <v>205</v>
      </c>
      <c r="R2131" s="8" t="str">
        <f aca="false">B2131&amp;" "&amp;C2131&amp;" "&amp;D2131&amp;" "&amp;E2131&amp;" "&amp;G2131&amp;" "&amp;H2131&amp;" "&amp;J2131&amp;" "&amp;N2131</f>
        <v>Differentials Anode     CIF Taiwan (Diff) </v>
      </c>
      <c r="S2131" s="25"/>
      <c r="T2131" s="8"/>
      <c r="U2131" s="8"/>
      <c r="V2131" s="25"/>
      <c r="W2131" s="25"/>
      <c r="X2131" s="25"/>
      <c r="Y2131" s="25"/>
      <c r="Z2131" s="25"/>
      <c r="AA2131" s="25"/>
      <c r="AB2131" s="25"/>
      <c r="AC2131" s="25"/>
      <c r="AD2131" s="25"/>
    </row>
    <row r="2132" customFormat="false" ht="15.75" hidden="false" customHeight="false" outlineLevel="0" collapsed="false">
      <c r="A2132" s="28" t="s">
        <v>2542</v>
      </c>
      <c r="B2132" s="27" t="s">
        <v>438</v>
      </c>
      <c r="C2132" s="27" t="s">
        <v>177</v>
      </c>
      <c r="D2132" s="25"/>
      <c r="E2132" s="25"/>
      <c r="F2132" s="25"/>
      <c r="G2132" s="25"/>
      <c r="H2132" s="25"/>
      <c r="I2132" s="25"/>
      <c r="J2132" s="27" t="s">
        <v>2540</v>
      </c>
      <c r="K2132" s="25" t="str">
        <f aca="false">IFERROR(__xludf.dummyfunction("SPLIT(J2132,"" "")"),"CIF")</f>
        <v>CIF</v>
      </c>
      <c r="L2132" s="28" t="str">
        <f aca="false">IFERROR(__xludf.dummyfunction("""COMPUTED_VALUE"""),"Taiwan")</f>
        <v>Taiwan</v>
      </c>
      <c r="M2132" s="27" t="str">
        <f aca="false">IFERROR(__xludf.dummyfunction("""COMPUTED_VALUE"""),"(Diff)")</f>
        <v>(Diff)</v>
      </c>
      <c r="N2132" s="25"/>
      <c r="O2132" s="25"/>
      <c r="P2132" s="25"/>
      <c r="Q2132" s="29" t="s">
        <v>202</v>
      </c>
      <c r="R2132" s="8" t="str">
        <f aca="false">B2132&amp;" "&amp;C2132&amp;" "&amp;D2132&amp;" "&amp;E2132&amp;" "&amp;G2132&amp;" "&amp;H2132&amp;" "&amp;J2132&amp;" "&amp;N2132</f>
        <v>Differentials Anode     CIF Taiwan (Diff) </v>
      </c>
      <c r="S2132" s="25"/>
      <c r="T2132" s="8"/>
      <c r="U2132" s="8"/>
      <c r="V2132" s="25"/>
      <c r="W2132" s="25"/>
      <c r="X2132" s="25"/>
      <c r="Y2132" s="25"/>
      <c r="Z2132" s="25"/>
      <c r="AA2132" s="25"/>
      <c r="AB2132" s="25"/>
      <c r="AC2132" s="25"/>
      <c r="AD2132" s="25"/>
    </row>
    <row r="2133" customFormat="false" ht="15.75" hidden="false" customHeight="false" outlineLevel="0" collapsed="false">
      <c r="A2133" s="28" t="s">
        <v>2543</v>
      </c>
      <c r="B2133" s="27" t="s">
        <v>438</v>
      </c>
      <c r="C2133" s="27" t="s">
        <v>177</v>
      </c>
      <c r="D2133" s="25"/>
      <c r="E2133" s="25"/>
      <c r="F2133" s="25"/>
      <c r="G2133" s="25"/>
      <c r="H2133" s="25"/>
      <c r="I2133" s="25"/>
      <c r="J2133" s="27" t="s">
        <v>2540</v>
      </c>
      <c r="K2133" s="25" t="str">
        <f aca="false">IFERROR(__xludf.dummyfunction("SPLIT(J2133,"" "")"),"CIF")</f>
        <v>CIF</v>
      </c>
      <c r="L2133" s="28" t="str">
        <f aca="false">IFERROR(__xludf.dummyfunction("""COMPUTED_VALUE"""),"Taiwan")</f>
        <v>Taiwan</v>
      </c>
      <c r="M2133" s="27" t="str">
        <f aca="false">IFERROR(__xludf.dummyfunction("""COMPUTED_VALUE"""),"(Diff)")</f>
        <v>(Diff)</v>
      </c>
      <c r="N2133" s="25"/>
      <c r="O2133" s="25"/>
      <c r="P2133" s="25"/>
      <c r="Q2133" s="29" t="s">
        <v>197</v>
      </c>
      <c r="R2133" s="8" t="str">
        <f aca="false">B2133&amp;" "&amp;C2133&amp;" "&amp;D2133&amp;" "&amp;E2133&amp;" "&amp;G2133&amp;" "&amp;H2133&amp;" "&amp;J2133&amp;" "&amp;N2133</f>
        <v>Differentials Anode     CIF Taiwan (Diff) </v>
      </c>
      <c r="S2133" s="25"/>
      <c r="T2133" s="8"/>
      <c r="U2133" s="8"/>
      <c r="V2133" s="25"/>
      <c r="W2133" s="25"/>
      <c r="X2133" s="25"/>
      <c r="Y2133" s="25"/>
      <c r="Z2133" s="25"/>
      <c r="AA2133" s="25"/>
      <c r="AB2133" s="25"/>
      <c r="AC2133" s="25"/>
      <c r="AD2133" s="25"/>
    </row>
    <row r="2134" customFormat="false" ht="15.75" hidden="false" customHeight="false" outlineLevel="0" collapsed="false">
      <c r="A2134" s="28" t="s">
        <v>2544</v>
      </c>
      <c r="B2134" s="27" t="s">
        <v>438</v>
      </c>
      <c r="C2134" s="27" t="s">
        <v>177</v>
      </c>
      <c r="D2134" s="25"/>
      <c r="E2134" s="25"/>
      <c r="F2134" s="25"/>
      <c r="G2134" s="25"/>
      <c r="H2134" s="25"/>
      <c r="I2134" s="25"/>
      <c r="J2134" s="27" t="s">
        <v>2540</v>
      </c>
      <c r="K2134" s="25" t="str">
        <f aca="false">IFERROR(__xludf.dummyfunction("SPLIT(J2134,"" "")"),"CIF")</f>
        <v>CIF</v>
      </c>
      <c r="L2134" s="28" t="str">
        <f aca="false">IFERROR(__xludf.dummyfunction("""COMPUTED_VALUE"""),"Taiwan")</f>
        <v>Taiwan</v>
      </c>
      <c r="M2134" s="27" t="str">
        <f aca="false">IFERROR(__xludf.dummyfunction("""COMPUTED_VALUE"""),"(Diff)")</f>
        <v>(Diff)</v>
      </c>
      <c r="N2134" s="25"/>
      <c r="O2134" s="25"/>
      <c r="P2134" s="25"/>
      <c r="Q2134" s="29" t="s">
        <v>193</v>
      </c>
      <c r="R2134" s="8" t="str">
        <f aca="false">B2134&amp;" "&amp;C2134&amp;" "&amp;D2134&amp;" "&amp;E2134&amp;" "&amp;G2134&amp;" "&amp;H2134&amp;" "&amp;J2134&amp;" "&amp;N2134</f>
        <v>Differentials Anode     CIF Taiwan (Diff) </v>
      </c>
      <c r="S2134" s="25"/>
      <c r="T2134" s="8"/>
      <c r="U2134" s="8"/>
      <c r="V2134" s="25"/>
      <c r="W2134" s="25"/>
      <c r="X2134" s="25"/>
      <c r="Y2134" s="25"/>
      <c r="Z2134" s="25"/>
      <c r="AA2134" s="25"/>
      <c r="AB2134" s="25"/>
      <c r="AC2134" s="25"/>
      <c r="AD2134" s="25"/>
    </row>
    <row r="2135" customFormat="false" ht="15.75" hidden="false" customHeight="false" outlineLevel="0" collapsed="false">
      <c r="A2135" s="28" t="s">
        <v>2545</v>
      </c>
      <c r="B2135" s="27" t="s">
        <v>438</v>
      </c>
      <c r="C2135" s="27" t="s">
        <v>177</v>
      </c>
      <c r="D2135" s="25"/>
      <c r="E2135" s="25"/>
      <c r="F2135" s="25"/>
      <c r="G2135" s="25"/>
      <c r="H2135" s="25"/>
      <c r="I2135" s="25"/>
      <c r="J2135" s="27" t="s">
        <v>2540</v>
      </c>
      <c r="K2135" s="25" t="str">
        <f aca="false">IFERROR(__xludf.dummyfunction("SPLIT(J2135,"" "")"),"CIF")</f>
        <v>CIF</v>
      </c>
      <c r="L2135" s="28" t="str">
        <f aca="false">IFERROR(__xludf.dummyfunction("""COMPUTED_VALUE"""),"Taiwan")</f>
        <v>Taiwan</v>
      </c>
      <c r="M2135" s="27" t="str">
        <f aca="false">IFERROR(__xludf.dummyfunction("""COMPUTED_VALUE"""),"(Diff)")</f>
        <v>(Diff)</v>
      </c>
      <c r="N2135" s="25"/>
      <c r="O2135" s="25"/>
      <c r="P2135" s="25"/>
      <c r="Q2135" s="29" t="s">
        <v>188</v>
      </c>
      <c r="R2135" s="8" t="str">
        <f aca="false">B2135&amp;" "&amp;C2135&amp;" "&amp;D2135&amp;" "&amp;E2135&amp;" "&amp;G2135&amp;" "&amp;H2135&amp;" "&amp;J2135&amp;" "&amp;N2135</f>
        <v>Differentials Anode     CIF Taiwan (Diff) </v>
      </c>
      <c r="S2135" s="25"/>
      <c r="T2135" s="8"/>
      <c r="U2135" s="8"/>
      <c r="V2135" s="25"/>
      <c r="W2135" s="25"/>
      <c r="X2135" s="25"/>
      <c r="Y2135" s="25"/>
      <c r="Z2135" s="25"/>
      <c r="AA2135" s="25"/>
      <c r="AB2135" s="25"/>
      <c r="AC2135" s="25"/>
      <c r="AD2135" s="25"/>
    </row>
    <row r="2136" customFormat="false" ht="15.75" hidden="false" customHeight="false" outlineLevel="0" collapsed="false">
      <c r="A2136" s="28" t="s">
        <v>2546</v>
      </c>
      <c r="B2136" s="27" t="s">
        <v>438</v>
      </c>
      <c r="C2136" s="27" t="s">
        <v>177</v>
      </c>
      <c r="D2136" s="25"/>
      <c r="E2136" s="25"/>
      <c r="F2136" s="25"/>
      <c r="G2136" s="25"/>
      <c r="H2136" s="25"/>
      <c r="I2136" s="25"/>
      <c r="J2136" s="27" t="s">
        <v>2540</v>
      </c>
      <c r="K2136" s="25" t="str">
        <f aca="false">IFERROR(__xludf.dummyfunction("SPLIT(J2136,"" "")"),"CIF")</f>
        <v>CIF</v>
      </c>
      <c r="L2136" s="28" t="str">
        <f aca="false">IFERROR(__xludf.dummyfunction("""COMPUTED_VALUE"""),"Taiwan")</f>
        <v>Taiwan</v>
      </c>
      <c r="M2136" s="27" t="str">
        <f aca="false">IFERROR(__xludf.dummyfunction("""COMPUTED_VALUE"""),"(Diff)")</f>
        <v>(Diff)</v>
      </c>
      <c r="N2136" s="25"/>
      <c r="O2136" s="25"/>
      <c r="P2136" s="25"/>
      <c r="Q2136" s="29" t="s">
        <v>180</v>
      </c>
      <c r="R2136" s="8" t="str">
        <f aca="false">B2136&amp;" "&amp;C2136&amp;" "&amp;D2136&amp;" "&amp;E2136&amp;" "&amp;G2136&amp;" "&amp;H2136&amp;" "&amp;J2136&amp;" "&amp;N2136</f>
        <v>Differentials Anode     CIF Taiwan (Diff) </v>
      </c>
      <c r="S2136" s="25"/>
      <c r="T2136" s="8"/>
      <c r="U2136" s="8"/>
      <c r="V2136" s="25"/>
      <c r="W2136" s="25"/>
      <c r="X2136" s="25"/>
      <c r="Y2136" s="25"/>
      <c r="Z2136" s="25"/>
      <c r="AA2136" s="25"/>
      <c r="AB2136" s="25"/>
      <c r="AC2136" s="25"/>
      <c r="AD2136" s="25"/>
    </row>
    <row r="2137" customFormat="false" ht="15.75" hidden="false" customHeight="false" outlineLevel="0" collapsed="false">
      <c r="A2137" s="28" t="s">
        <v>2547</v>
      </c>
      <c r="B2137" s="27" t="s">
        <v>438</v>
      </c>
      <c r="C2137" s="27" t="s">
        <v>211</v>
      </c>
      <c r="D2137" s="25"/>
      <c r="E2137" s="25"/>
      <c r="F2137" s="25"/>
      <c r="G2137" s="25"/>
      <c r="H2137" s="25"/>
      <c r="I2137" s="25"/>
      <c r="J2137" s="27" t="s">
        <v>2540</v>
      </c>
      <c r="K2137" s="25" t="str">
        <f aca="false">IFERROR(__xludf.dummyfunction("SPLIT(J2137,"" "")"),"CIF")</f>
        <v>CIF</v>
      </c>
      <c r="L2137" s="28" t="str">
        <f aca="false">IFERROR(__xludf.dummyfunction("""COMPUTED_VALUE"""),"Taiwan")</f>
        <v>Taiwan</v>
      </c>
      <c r="M2137" s="27" t="str">
        <f aca="false">IFERROR(__xludf.dummyfunction("""COMPUTED_VALUE"""),"(Diff)")</f>
        <v>(Diff)</v>
      </c>
      <c r="N2137" s="25"/>
      <c r="O2137" s="25"/>
      <c r="P2137" s="25"/>
      <c r="Q2137" s="29" t="s">
        <v>234</v>
      </c>
      <c r="R2137" s="8" t="str">
        <f aca="false">B2137&amp;" "&amp;C2137&amp;" "&amp;D2137&amp;" "&amp;E2137&amp;" "&amp;G2137&amp;" "&amp;H2137&amp;" "&amp;J2137&amp;" "&amp;N2137</f>
        <v>Differentials Binders &amp; Additives     CIF Taiwan (Diff) </v>
      </c>
      <c r="S2137" s="25"/>
      <c r="T2137" s="8"/>
      <c r="U2137" s="8"/>
      <c r="V2137" s="25"/>
      <c r="W2137" s="25"/>
      <c r="X2137" s="25"/>
      <c r="Y2137" s="25"/>
      <c r="Z2137" s="25"/>
      <c r="AA2137" s="25"/>
      <c r="AB2137" s="25"/>
      <c r="AC2137" s="25"/>
      <c r="AD2137" s="25"/>
    </row>
    <row r="2138" customFormat="false" ht="15.75" hidden="false" customHeight="false" outlineLevel="0" collapsed="false">
      <c r="A2138" s="28" t="s">
        <v>2548</v>
      </c>
      <c r="B2138" s="27" t="s">
        <v>438</v>
      </c>
      <c r="C2138" s="27" t="s">
        <v>211</v>
      </c>
      <c r="D2138" s="25"/>
      <c r="E2138" s="25"/>
      <c r="F2138" s="25"/>
      <c r="G2138" s="25"/>
      <c r="H2138" s="25"/>
      <c r="I2138" s="25"/>
      <c r="J2138" s="27" t="s">
        <v>2540</v>
      </c>
      <c r="K2138" s="25" t="str">
        <f aca="false">IFERROR(__xludf.dummyfunction("SPLIT(J2138,"" "")"),"CIF")</f>
        <v>CIF</v>
      </c>
      <c r="L2138" s="28" t="str">
        <f aca="false">IFERROR(__xludf.dummyfunction("""COMPUTED_VALUE"""),"Taiwan")</f>
        <v>Taiwan</v>
      </c>
      <c r="M2138" s="27" t="str">
        <f aca="false">IFERROR(__xludf.dummyfunction("""COMPUTED_VALUE"""),"(Diff)")</f>
        <v>(Diff)</v>
      </c>
      <c r="N2138" s="25"/>
      <c r="O2138" s="25"/>
      <c r="P2138" s="25"/>
      <c r="Q2138" s="29" t="s">
        <v>232</v>
      </c>
      <c r="R2138" s="8" t="str">
        <f aca="false">B2138&amp;" "&amp;C2138&amp;" "&amp;D2138&amp;" "&amp;E2138&amp;" "&amp;G2138&amp;" "&amp;H2138&amp;" "&amp;J2138&amp;" "&amp;N2138</f>
        <v>Differentials Binders &amp; Additives     CIF Taiwan (Diff) </v>
      </c>
      <c r="S2138" s="25"/>
      <c r="T2138" s="8"/>
      <c r="U2138" s="8"/>
      <c r="V2138" s="25"/>
      <c r="W2138" s="25"/>
      <c r="X2138" s="25"/>
      <c r="Y2138" s="25"/>
      <c r="Z2138" s="25"/>
      <c r="AA2138" s="25"/>
      <c r="AB2138" s="25"/>
      <c r="AC2138" s="25"/>
      <c r="AD2138" s="25"/>
    </row>
    <row r="2139" customFormat="false" ht="15.75" hidden="false" customHeight="false" outlineLevel="0" collapsed="false">
      <c r="A2139" s="28" t="s">
        <v>2549</v>
      </c>
      <c r="B2139" s="27" t="s">
        <v>438</v>
      </c>
      <c r="C2139" s="27" t="s">
        <v>211</v>
      </c>
      <c r="D2139" s="25"/>
      <c r="E2139" s="25"/>
      <c r="F2139" s="25"/>
      <c r="G2139" s="25"/>
      <c r="H2139" s="25"/>
      <c r="I2139" s="25"/>
      <c r="J2139" s="27" t="s">
        <v>2540</v>
      </c>
      <c r="K2139" s="25" t="str">
        <f aca="false">IFERROR(__xludf.dummyfunction("SPLIT(J2139,"" "")"),"CIF")</f>
        <v>CIF</v>
      </c>
      <c r="L2139" s="28" t="str">
        <f aca="false">IFERROR(__xludf.dummyfunction("""COMPUTED_VALUE"""),"Taiwan")</f>
        <v>Taiwan</v>
      </c>
      <c r="M2139" s="27" t="str">
        <f aca="false">IFERROR(__xludf.dummyfunction("""COMPUTED_VALUE"""),"(Diff)")</f>
        <v>(Diff)</v>
      </c>
      <c r="N2139" s="25"/>
      <c r="O2139" s="25"/>
      <c r="P2139" s="25"/>
      <c r="Q2139" s="29" t="s">
        <v>230</v>
      </c>
      <c r="R2139" s="8" t="str">
        <f aca="false">B2139&amp;" "&amp;C2139&amp;" "&amp;D2139&amp;" "&amp;E2139&amp;" "&amp;G2139&amp;" "&amp;H2139&amp;" "&amp;J2139&amp;" "&amp;N2139</f>
        <v>Differentials Binders &amp; Additives     CIF Taiwan (Diff) </v>
      </c>
      <c r="S2139" s="25"/>
      <c r="T2139" s="8"/>
      <c r="U2139" s="8"/>
      <c r="V2139" s="25"/>
      <c r="W2139" s="25"/>
      <c r="X2139" s="25"/>
      <c r="Y2139" s="25"/>
      <c r="Z2139" s="25"/>
      <c r="AA2139" s="25"/>
      <c r="AB2139" s="25"/>
      <c r="AC2139" s="25"/>
      <c r="AD2139" s="25"/>
    </row>
    <row r="2140" customFormat="false" ht="15.75" hidden="false" customHeight="false" outlineLevel="0" collapsed="false">
      <c r="A2140" s="28" t="s">
        <v>2550</v>
      </c>
      <c r="B2140" s="27" t="s">
        <v>438</v>
      </c>
      <c r="C2140" s="27" t="s">
        <v>211</v>
      </c>
      <c r="D2140" s="25"/>
      <c r="E2140" s="25"/>
      <c r="F2140" s="25"/>
      <c r="G2140" s="25"/>
      <c r="H2140" s="25"/>
      <c r="I2140" s="25"/>
      <c r="J2140" s="27" t="s">
        <v>2540</v>
      </c>
      <c r="K2140" s="25" t="str">
        <f aca="false">IFERROR(__xludf.dummyfunction("SPLIT(J2140,"" "")"),"CIF")</f>
        <v>CIF</v>
      </c>
      <c r="L2140" s="28" t="str">
        <f aca="false">IFERROR(__xludf.dummyfunction("""COMPUTED_VALUE"""),"Taiwan")</f>
        <v>Taiwan</v>
      </c>
      <c r="M2140" s="27" t="str">
        <f aca="false">IFERROR(__xludf.dummyfunction("""COMPUTED_VALUE"""),"(Diff)")</f>
        <v>(Diff)</v>
      </c>
      <c r="N2140" s="25"/>
      <c r="O2140" s="25"/>
      <c r="P2140" s="25"/>
      <c r="Q2140" s="29" t="s">
        <v>228</v>
      </c>
      <c r="R2140" s="8" t="str">
        <f aca="false">B2140&amp;" "&amp;C2140&amp;" "&amp;D2140&amp;" "&amp;E2140&amp;" "&amp;G2140&amp;" "&amp;H2140&amp;" "&amp;J2140&amp;" "&amp;N2140</f>
        <v>Differentials Binders &amp; Additives     CIF Taiwan (Diff) </v>
      </c>
      <c r="S2140" s="25"/>
      <c r="T2140" s="8"/>
      <c r="U2140" s="8"/>
      <c r="V2140" s="25"/>
      <c r="W2140" s="25"/>
      <c r="X2140" s="25"/>
      <c r="Y2140" s="25"/>
      <c r="Z2140" s="25"/>
      <c r="AA2140" s="25"/>
      <c r="AB2140" s="25"/>
      <c r="AC2140" s="25"/>
      <c r="AD2140" s="25"/>
    </row>
    <row r="2141" customFormat="false" ht="15.75" hidden="false" customHeight="false" outlineLevel="0" collapsed="false">
      <c r="A2141" s="28" t="s">
        <v>2551</v>
      </c>
      <c r="B2141" s="27" t="s">
        <v>438</v>
      </c>
      <c r="C2141" s="27" t="s">
        <v>211</v>
      </c>
      <c r="D2141" s="25"/>
      <c r="E2141" s="25"/>
      <c r="F2141" s="25"/>
      <c r="G2141" s="25"/>
      <c r="H2141" s="25"/>
      <c r="I2141" s="25"/>
      <c r="J2141" s="27" t="s">
        <v>2540</v>
      </c>
      <c r="K2141" s="25" t="str">
        <f aca="false">IFERROR(__xludf.dummyfunction("SPLIT(J2141,"" "")"),"CIF")</f>
        <v>CIF</v>
      </c>
      <c r="L2141" s="28" t="str">
        <f aca="false">IFERROR(__xludf.dummyfunction("""COMPUTED_VALUE"""),"Taiwan")</f>
        <v>Taiwan</v>
      </c>
      <c r="M2141" s="27" t="str">
        <f aca="false">IFERROR(__xludf.dummyfunction("""COMPUTED_VALUE"""),"(Diff)")</f>
        <v>(Diff)</v>
      </c>
      <c r="N2141" s="25"/>
      <c r="O2141" s="25"/>
      <c r="P2141" s="25"/>
      <c r="Q2141" s="29" t="s">
        <v>226</v>
      </c>
      <c r="R2141" s="8" t="str">
        <f aca="false">B2141&amp;" "&amp;C2141&amp;" "&amp;D2141&amp;" "&amp;E2141&amp;" "&amp;G2141&amp;" "&amp;H2141&amp;" "&amp;J2141&amp;" "&amp;N2141</f>
        <v>Differentials Binders &amp; Additives     CIF Taiwan (Diff) </v>
      </c>
      <c r="S2141" s="25"/>
      <c r="T2141" s="8"/>
      <c r="U2141" s="8"/>
      <c r="V2141" s="25"/>
      <c r="W2141" s="25"/>
      <c r="X2141" s="25"/>
      <c r="Y2141" s="25"/>
      <c r="Z2141" s="25"/>
      <c r="AA2141" s="25"/>
      <c r="AB2141" s="25"/>
      <c r="AC2141" s="25"/>
      <c r="AD2141" s="25"/>
    </row>
    <row r="2142" customFormat="false" ht="15.75" hidden="false" customHeight="false" outlineLevel="0" collapsed="false">
      <c r="A2142" s="28" t="s">
        <v>2552</v>
      </c>
      <c r="B2142" s="27" t="s">
        <v>438</v>
      </c>
      <c r="C2142" s="27" t="s">
        <v>211</v>
      </c>
      <c r="D2142" s="25"/>
      <c r="E2142" s="25"/>
      <c r="F2142" s="25"/>
      <c r="G2142" s="25"/>
      <c r="H2142" s="25"/>
      <c r="I2142" s="25"/>
      <c r="J2142" s="27" t="s">
        <v>2540</v>
      </c>
      <c r="K2142" s="25" t="str">
        <f aca="false">IFERROR(__xludf.dummyfunction("SPLIT(J2142,"" "")"),"CIF")</f>
        <v>CIF</v>
      </c>
      <c r="L2142" s="28" t="str">
        <f aca="false">IFERROR(__xludf.dummyfunction("""COMPUTED_VALUE"""),"Taiwan")</f>
        <v>Taiwan</v>
      </c>
      <c r="M2142" s="27" t="str">
        <f aca="false">IFERROR(__xludf.dummyfunction("""COMPUTED_VALUE"""),"(Diff)")</f>
        <v>(Diff)</v>
      </c>
      <c r="N2142" s="25"/>
      <c r="O2142" s="25"/>
      <c r="P2142" s="25"/>
      <c r="Q2142" s="29" t="s">
        <v>224</v>
      </c>
      <c r="R2142" s="8" t="str">
        <f aca="false">B2142&amp;" "&amp;C2142&amp;" "&amp;D2142&amp;" "&amp;E2142&amp;" "&amp;G2142&amp;" "&amp;H2142&amp;" "&amp;J2142&amp;" "&amp;N2142</f>
        <v>Differentials Binders &amp; Additives     CIF Taiwan (Diff) </v>
      </c>
      <c r="S2142" s="25"/>
      <c r="T2142" s="8"/>
      <c r="U2142" s="8"/>
      <c r="V2142" s="25"/>
      <c r="W2142" s="25"/>
      <c r="X2142" s="25"/>
      <c r="Y2142" s="25"/>
      <c r="Z2142" s="25"/>
      <c r="AA2142" s="25"/>
      <c r="AB2142" s="25"/>
      <c r="AC2142" s="25"/>
      <c r="AD2142" s="25"/>
    </row>
    <row r="2143" customFormat="false" ht="15.75" hidden="false" customHeight="false" outlineLevel="0" collapsed="false">
      <c r="A2143" s="28" t="s">
        <v>2553</v>
      </c>
      <c r="B2143" s="27" t="s">
        <v>438</v>
      </c>
      <c r="C2143" s="27" t="s">
        <v>211</v>
      </c>
      <c r="D2143" s="25"/>
      <c r="E2143" s="25"/>
      <c r="F2143" s="25"/>
      <c r="G2143" s="25"/>
      <c r="H2143" s="25"/>
      <c r="I2143" s="25"/>
      <c r="J2143" s="27" t="s">
        <v>2540</v>
      </c>
      <c r="K2143" s="25" t="str">
        <f aca="false">IFERROR(__xludf.dummyfunction("SPLIT(J2143,"" "")"),"CIF")</f>
        <v>CIF</v>
      </c>
      <c r="L2143" s="28" t="str">
        <f aca="false">IFERROR(__xludf.dummyfunction("""COMPUTED_VALUE"""),"Taiwan")</f>
        <v>Taiwan</v>
      </c>
      <c r="M2143" s="27" t="str">
        <f aca="false">IFERROR(__xludf.dummyfunction("""COMPUTED_VALUE"""),"(Diff)")</f>
        <v>(Diff)</v>
      </c>
      <c r="N2143" s="25"/>
      <c r="O2143" s="25"/>
      <c r="P2143" s="25"/>
      <c r="Q2143" s="29" t="s">
        <v>222</v>
      </c>
      <c r="R2143" s="8" t="str">
        <f aca="false">B2143&amp;" "&amp;C2143&amp;" "&amp;D2143&amp;" "&amp;E2143&amp;" "&amp;G2143&amp;" "&amp;H2143&amp;" "&amp;J2143&amp;" "&amp;N2143</f>
        <v>Differentials Binders &amp; Additives     CIF Taiwan (Diff) </v>
      </c>
      <c r="S2143" s="25"/>
      <c r="T2143" s="8"/>
      <c r="U2143" s="8"/>
      <c r="V2143" s="25"/>
      <c r="W2143" s="25"/>
      <c r="X2143" s="25"/>
      <c r="Y2143" s="25"/>
      <c r="Z2143" s="25"/>
      <c r="AA2143" s="25"/>
      <c r="AB2143" s="25"/>
      <c r="AC2143" s="25"/>
      <c r="AD2143" s="25"/>
    </row>
    <row r="2144" customFormat="false" ht="15.75" hidden="false" customHeight="false" outlineLevel="0" collapsed="false">
      <c r="A2144" s="28" t="s">
        <v>2554</v>
      </c>
      <c r="B2144" s="27" t="s">
        <v>438</v>
      </c>
      <c r="C2144" s="27" t="s">
        <v>211</v>
      </c>
      <c r="D2144" s="25"/>
      <c r="E2144" s="25"/>
      <c r="F2144" s="25"/>
      <c r="G2144" s="25"/>
      <c r="H2144" s="25"/>
      <c r="I2144" s="25"/>
      <c r="J2144" s="27" t="s">
        <v>2540</v>
      </c>
      <c r="K2144" s="25" t="str">
        <f aca="false">IFERROR(__xludf.dummyfunction("SPLIT(J2144,"" "")"),"CIF")</f>
        <v>CIF</v>
      </c>
      <c r="L2144" s="28" t="str">
        <f aca="false">IFERROR(__xludf.dummyfunction("""COMPUTED_VALUE"""),"Taiwan")</f>
        <v>Taiwan</v>
      </c>
      <c r="M2144" s="27" t="str">
        <f aca="false">IFERROR(__xludf.dummyfunction("""COMPUTED_VALUE"""),"(Diff)")</f>
        <v>(Diff)</v>
      </c>
      <c r="N2144" s="25"/>
      <c r="O2144" s="25"/>
      <c r="P2144" s="25"/>
      <c r="Q2144" s="29" t="s">
        <v>220</v>
      </c>
      <c r="R2144" s="8" t="str">
        <f aca="false">B2144&amp;" "&amp;C2144&amp;" "&amp;D2144&amp;" "&amp;E2144&amp;" "&amp;G2144&amp;" "&amp;H2144&amp;" "&amp;J2144&amp;" "&amp;N2144</f>
        <v>Differentials Binders &amp; Additives     CIF Taiwan (Diff) </v>
      </c>
      <c r="S2144" s="25"/>
      <c r="T2144" s="8"/>
      <c r="U2144" s="8"/>
      <c r="V2144" s="25"/>
      <c r="W2144" s="25"/>
      <c r="X2144" s="25"/>
      <c r="Y2144" s="25"/>
      <c r="Z2144" s="25"/>
      <c r="AA2144" s="25"/>
      <c r="AB2144" s="25"/>
      <c r="AC2144" s="25"/>
      <c r="AD2144" s="25"/>
    </row>
    <row r="2145" customFormat="false" ht="15.75" hidden="false" customHeight="false" outlineLevel="0" collapsed="false">
      <c r="A2145" s="28" t="s">
        <v>2555</v>
      </c>
      <c r="B2145" s="27" t="s">
        <v>438</v>
      </c>
      <c r="C2145" s="27" t="s">
        <v>211</v>
      </c>
      <c r="D2145" s="25"/>
      <c r="E2145" s="25"/>
      <c r="F2145" s="25"/>
      <c r="G2145" s="25"/>
      <c r="H2145" s="25"/>
      <c r="I2145" s="25"/>
      <c r="J2145" s="27" t="s">
        <v>2540</v>
      </c>
      <c r="K2145" s="25" t="str">
        <f aca="false">IFERROR(__xludf.dummyfunction("SPLIT(J2145,"" "")"),"CIF")</f>
        <v>CIF</v>
      </c>
      <c r="L2145" s="28" t="str">
        <f aca="false">IFERROR(__xludf.dummyfunction("""COMPUTED_VALUE"""),"Taiwan")</f>
        <v>Taiwan</v>
      </c>
      <c r="M2145" s="27" t="str">
        <f aca="false">IFERROR(__xludf.dummyfunction("""COMPUTED_VALUE"""),"(Diff)")</f>
        <v>(Diff)</v>
      </c>
      <c r="N2145" s="25"/>
      <c r="O2145" s="25"/>
      <c r="P2145" s="25"/>
      <c r="Q2145" s="29" t="s">
        <v>218</v>
      </c>
      <c r="R2145" s="8" t="str">
        <f aca="false">B2145&amp;" "&amp;C2145&amp;" "&amp;D2145&amp;" "&amp;E2145&amp;" "&amp;G2145&amp;" "&amp;H2145&amp;" "&amp;J2145&amp;" "&amp;N2145</f>
        <v>Differentials Binders &amp; Additives     CIF Taiwan (Diff) </v>
      </c>
      <c r="S2145" s="25"/>
      <c r="T2145" s="8"/>
      <c r="U2145" s="8"/>
      <c r="V2145" s="25"/>
      <c r="W2145" s="25"/>
      <c r="X2145" s="25"/>
      <c r="Y2145" s="25"/>
      <c r="Z2145" s="25"/>
      <c r="AA2145" s="25"/>
      <c r="AB2145" s="25"/>
      <c r="AC2145" s="25"/>
      <c r="AD2145" s="25"/>
    </row>
    <row r="2146" customFormat="false" ht="15.75" hidden="false" customHeight="false" outlineLevel="0" collapsed="false">
      <c r="A2146" s="28" t="s">
        <v>2556</v>
      </c>
      <c r="B2146" s="27" t="s">
        <v>438</v>
      </c>
      <c r="C2146" s="27" t="s">
        <v>211</v>
      </c>
      <c r="D2146" s="25"/>
      <c r="E2146" s="25"/>
      <c r="F2146" s="25"/>
      <c r="G2146" s="25"/>
      <c r="H2146" s="25"/>
      <c r="I2146" s="25"/>
      <c r="J2146" s="27" t="s">
        <v>2540</v>
      </c>
      <c r="K2146" s="25" t="str">
        <f aca="false">IFERROR(__xludf.dummyfunction("SPLIT(J2146,"" "")"),"CIF")</f>
        <v>CIF</v>
      </c>
      <c r="L2146" s="28" t="str">
        <f aca="false">IFERROR(__xludf.dummyfunction("""COMPUTED_VALUE"""),"Taiwan")</f>
        <v>Taiwan</v>
      </c>
      <c r="M2146" s="27" t="str">
        <f aca="false">IFERROR(__xludf.dummyfunction("""COMPUTED_VALUE"""),"(Diff)")</f>
        <v>(Diff)</v>
      </c>
      <c r="N2146" s="25"/>
      <c r="O2146" s="25"/>
      <c r="P2146" s="25"/>
      <c r="Q2146" s="29" t="s">
        <v>215</v>
      </c>
      <c r="R2146" s="8" t="str">
        <f aca="false">B2146&amp;" "&amp;C2146&amp;" "&amp;D2146&amp;" "&amp;E2146&amp;" "&amp;G2146&amp;" "&amp;H2146&amp;" "&amp;J2146&amp;" "&amp;N2146</f>
        <v>Differentials Binders &amp; Additives     CIF Taiwan (Diff) </v>
      </c>
      <c r="S2146" s="25"/>
      <c r="T2146" s="8"/>
      <c r="U2146" s="8"/>
      <c r="V2146" s="25"/>
      <c r="W2146" s="25"/>
      <c r="X2146" s="25"/>
      <c r="Y2146" s="25"/>
      <c r="Z2146" s="25"/>
      <c r="AA2146" s="25"/>
      <c r="AB2146" s="25"/>
      <c r="AC2146" s="25"/>
      <c r="AD2146" s="25"/>
    </row>
    <row r="2147" customFormat="false" ht="15.75" hidden="false" customHeight="false" outlineLevel="0" collapsed="false">
      <c r="A2147" s="28" t="s">
        <v>2557</v>
      </c>
      <c r="B2147" s="27" t="s">
        <v>438</v>
      </c>
      <c r="C2147" s="27" t="s">
        <v>211</v>
      </c>
      <c r="D2147" s="25"/>
      <c r="E2147" s="25"/>
      <c r="F2147" s="25"/>
      <c r="G2147" s="25"/>
      <c r="H2147" s="25"/>
      <c r="I2147" s="25"/>
      <c r="J2147" s="27" t="s">
        <v>2540</v>
      </c>
      <c r="K2147" s="25" t="str">
        <f aca="false">IFERROR(__xludf.dummyfunction("SPLIT(J2147,"" "")"),"CIF")</f>
        <v>CIF</v>
      </c>
      <c r="L2147" s="28" t="str">
        <f aca="false">IFERROR(__xludf.dummyfunction("""COMPUTED_VALUE"""),"Taiwan")</f>
        <v>Taiwan</v>
      </c>
      <c r="M2147" s="27" t="str">
        <f aca="false">IFERROR(__xludf.dummyfunction("""COMPUTED_VALUE"""),"(Diff)")</f>
        <v>(Diff)</v>
      </c>
      <c r="N2147" s="25"/>
      <c r="O2147" s="25"/>
      <c r="P2147" s="25"/>
      <c r="Q2147" s="29" t="s">
        <v>213</v>
      </c>
      <c r="R2147" s="8" t="str">
        <f aca="false">B2147&amp;" "&amp;C2147&amp;" "&amp;D2147&amp;" "&amp;E2147&amp;" "&amp;G2147&amp;" "&amp;H2147&amp;" "&amp;J2147&amp;" "&amp;N2147</f>
        <v>Differentials Binders &amp; Additives     CIF Taiwan (Diff) </v>
      </c>
      <c r="S2147" s="25"/>
      <c r="T2147" s="8"/>
      <c r="U2147" s="8"/>
      <c r="V2147" s="25"/>
      <c r="W2147" s="25"/>
      <c r="X2147" s="25"/>
      <c r="Y2147" s="25"/>
      <c r="Z2147" s="25"/>
      <c r="AA2147" s="25"/>
      <c r="AB2147" s="25"/>
      <c r="AC2147" s="25"/>
      <c r="AD2147" s="25"/>
    </row>
    <row r="2148" customFormat="false" ht="15.75" hidden="false" customHeight="false" outlineLevel="0" collapsed="false">
      <c r="A2148" s="28" t="s">
        <v>2558</v>
      </c>
      <c r="B2148" s="27" t="s">
        <v>438</v>
      </c>
      <c r="C2148" s="27" t="s">
        <v>236</v>
      </c>
      <c r="D2148" s="25"/>
      <c r="E2148" s="25"/>
      <c r="F2148" s="25"/>
      <c r="G2148" s="25"/>
      <c r="H2148" s="25"/>
      <c r="I2148" s="25"/>
      <c r="J2148" s="27" t="s">
        <v>2540</v>
      </c>
      <c r="K2148" s="25" t="str">
        <f aca="false">IFERROR(__xludf.dummyfunction("SPLIT(J2148,"" "")"),"CIF")</f>
        <v>CIF</v>
      </c>
      <c r="L2148" s="28" t="str">
        <f aca="false">IFERROR(__xludf.dummyfunction("""COMPUTED_VALUE"""),"Taiwan")</f>
        <v>Taiwan</v>
      </c>
      <c r="M2148" s="27" t="str">
        <f aca="false">IFERROR(__xludf.dummyfunction("""COMPUTED_VALUE"""),"(Diff)")</f>
        <v>(Diff)</v>
      </c>
      <c r="N2148" s="25"/>
      <c r="O2148" s="25"/>
      <c r="P2148" s="25"/>
      <c r="Q2148" s="29" t="s">
        <v>271</v>
      </c>
      <c r="R2148" s="8" t="str">
        <f aca="false">B2148&amp;" "&amp;C2148&amp;" "&amp;D2148&amp;" "&amp;E2148&amp;" "&amp;G2148&amp;" "&amp;H2148&amp;" "&amp;J2148&amp;" "&amp;N2148</f>
        <v>Differentials Cathode     CIF Taiwan (Diff) </v>
      </c>
      <c r="S2148" s="25"/>
      <c r="T2148" s="8"/>
      <c r="U2148" s="8"/>
      <c r="V2148" s="25"/>
      <c r="W2148" s="25"/>
      <c r="X2148" s="25"/>
      <c r="Y2148" s="25"/>
      <c r="Z2148" s="25"/>
      <c r="AA2148" s="25"/>
      <c r="AB2148" s="25"/>
      <c r="AC2148" s="25"/>
      <c r="AD2148" s="25"/>
    </row>
    <row r="2149" customFormat="false" ht="15.75" hidden="false" customHeight="false" outlineLevel="0" collapsed="false">
      <c r="A2149" s="28" t="s">
        <v>2559</v>
      </c>
      <c r="B2149" s="27" t="s">
        <v>438</v>
      </c>
      <c r="C2149" s="27" t="s">
        <v>236</v>
      </c>
      <c r="D2149" s="25"/>
      <c r="E2149" s="25"/>
      <c r="F2149" s="25"/>
      <c r="G2149" s="25"/>
      <c r="H2149" s="25"/>
      <c r="I2149" s="25"/>
      <c r="J2149" s="27" t="s">
        <v>2540</v>
      </c>
      <c r="K2149" s="25" t="str">
        <f aca="false">IFERROR(__xludf.dummyfunction("SPLIT(J2149,"" "")"),"CIF")</f>
        <v>CIF</v>
      </c>
      <c r="L2149" s="28" t="str">
        <f aca="false">IFERROR(__xludf.dummyfunction("""COMPUTED_VALUE"""),"Taiwan")</f>
        <v>Taiwan</v>
      </c>
      <c r="M2149" s="27" t="str">
        <f aca="false">IFERROR(__xludf.dummyfunction("""COMPUTED_VALUE"""),"(Diff)")</f>
        <v>(Diff)</v>
      </c>
      <c r="N2149" s="25"/>
      <c r="O2149" s="25"/>
      <c r="P2149" s="25"/>
      <c r="Q2149" s="29" t="s">
        <v>266</v>
      </c>
      <c r="R2149" s="8" t="str">
        <f aca="false">B2149&amp;" "&amp;C2149&amp;" "&amp;D2149&amp;" "&amp;E2149&amp;" "&amp;G2149&amp;" "&amp;H2149&amp;" "&amp;J2149&amp;" "&amp;N2149</f>
        <v>Differentials Cathode     CIF Taiwan (Diff) </v>
      </c>
      <c r="S2149" s="25"/>
      <c r="T2149" s="8"/>
      <c r="U2149" s="8"/>
      <c r="V2149" s="25"/>
      <c r="W2149" s="25"/>
      <c r="X2149" s="25"/>
      <c r="Y2149" s="25"/>
      <c r="Z2149" s="25"/>
      <c r="AA2149" s="25"/>
      <c r="AB2149" s="25"/>
      <c r="AC2149" s="25"/>
      <c r="AD2149" s="25"/>
    </row>
    <row r="2150" customFormat="false" ht="15.75" hidden="false" customHeight="false" outlineLevel="0" collapsed="false">
      <c r="A2150" s="28" t="s">
        <v>2560</v>
      </c>
      <c r="B2150" s="27" t="s">
        <v>438</v>
      </c>
      <c r="C2150" s="27" t="s">
        <v>236</v>
      </c>
      <c r="D2150" s="25"/>
      <c r="E2150" s="25"/>
      <c r="F2150" s="25"/>
      <c r="G2150" s="25"/>
      <c r="H2150" s="25"/>
      <c r="I2150" s="25"/>
      <c r="J2150" s="27" t="s">
        <v>2540</v>
      </c>
      <c r="K2150" s="25" t="str">
        <f aca="false">IFERROR(__xludf.dummyfunction("SPLIT(J2150,"" "")"),"CIF")</f>
        <v>CIF</v>
      </c>
      <c r="L2150" s="28" t="str">
        <f aca="false">IFERROR(__xludf.dummyfunction("""COMPUTED_VALUE"""),"Taiwan")</f>
        <v>Taiwan</v>
      </c>
      <c r="M2150" s="27" t="str">
        <f aca="false">IFERROR(__xludf.dummyfunction("""COMPUTED_VALUE"""),"(Diff)")</f>
        <v>(Diff)</v>
      </c>
      <c r="N2150" s="25"/>
      <c r="O2150" s="25"/>
      <c r="P2150" s="25"/>
      <c r="Q2150" s="29" t="s">
        <v>261</v>
      </c>
      <c r="R2150" s="8" t="str">
        <f aca="false">B2150&amp;" "&amp;C2150&amp;" "&amp;D2150&amp;" "&amp;E2150&amp;" "&amp;G2150&amp;" "&amp;H2150&amp;" "&amp;J2150&amp;" "&amp;N2150</f>
        <v>Differentials Cathode     CIF Taiwan (Diff) </v>
      </c>
      <c r="S2150" s="25"/>
      <c r="T2150" s="8"/>
      <c r="U2150" s="8"/>
      <c r="V2150" s="25"/>
      <c r="W2150" s="25"/>
      <c r="X2150" s="25"/>
      <c r="Y2150" s="25"/>
      <c r="Z2150" s="25"/>
      <c r="AA2150" s="25"/>
      <c r="AB2150" s="25"/>
      <c r="AC2150" s="25"/>
      <c r="AD2150" s="25"/>
    </row>
    <row r="2151" customFormat="false" ht="15.75" hidden="false" customHeight="false" outlineLevel="0" collapsed="false">
      <c r="A2151" s="28" t="s">
        <v>2561</v>
      </c>
      <c r="B2151" s="27" t="s">
        <v>438</v>
      </c>
      <c r="C2151" s="27" t="s">
        <v>236</v>
      </c>
      <c r="D2151" s="25"/>
      <c r="E2151" s="25"/>
      <c r="F2151" s="25"/>
      <c r="G2151" s="25"/>
      <c r="H2151" s="25"/>
      <c r="I2151" s="25"/>
      <c r="J2151" s="27" t="s">
        <v>2540</v>
      </c>
      <c r="K2151" s="25" t="str">
        <f aca="false">IFERROR(__xludf.dummyfunction("SPLIT(J2151,"" "")"),"CIF")</f>
        <v>CIF</v>
      </c>
      <c r="L2151" s="28" t="str">
        <f aca="false">IFERROR(__xludf.dummyfunction("""COMPUTED_VALUE"""),"Taiwan")</f>
        <v>Taiwan</v>
      </c>
      <c r="M2151" s="27" t="str">
        <f aca="false">IFERROR(__xludf.dummyfunction("""COMPUTED_VALUE"""),"(Diff)")</f>
        <v>(Diff)</v>
      </c>
      <c r="N2151" s="25"/>
      <c r="O2151" s="25"/>
      <c r="P2151" s="25"/>
      <c r="Q2151" s="29" t="s">
        <v>256</v>
      </c>
      <c r="R2151" s="8" t="str">
        <f aca="false">B2151&amp;" "&amp;C2151&amp;" "&amp;D2151&amp;" "&amp;E2151&amp;" "&amp;G2151&amp;" "&amp;H2151&amp;" "&amp;J2151&amp;" "&amp;N2151</f>
        <v>Differentials Cathode     CIF Taiwan (Diff) </v>
      </c>
      <c r="S2151" s="25"/>
      <c r="T2151" s="8"/>
      <c r="U2151" s="8"/>
      <c r="V2151" s="25"/>
      <c r="W2151" s="25"/>
      <c r="X2151" s="25"/>
      <c r="Y2151" s="25"/>
      <c r="Z2151" s="25"/>
      <c r="AA2151" s="25"/>
      <c r="AB2151" s="25"/>
      <c r="AC2151" s="25"/>
      <c r="AD2151" s="25"/>
    </row>
    <row r="2152" customFormat="false" ht="15.75" hidden="false" customHeight="false" outlineLevel="0" collapsed="false">
      <c r="A2152" s="28" t="s">
        <v>2562</v>
      </c>
      <c r="B2152" s="27" t="s">
        <v>438</v>
      </c>
      <c r="C2152" s="27" t="s">
        <v>236</v>
      </c>
      <c r="D2152" s="25"/>
      <c r="E2152" s="25"/>
      <c r="F2152" s="25"/>
      <c r="G2152" s="25"/>
      <c r="H2152" s="25"/>
      <c r="I2152" s="25"/>
      <c r="J2152" s="27" t="s">
        <v>2540</v>
      </c>
      <c r="K2152" s="25" t="str">
        <f aca="false">IFERROR(__xludf.dummyfunction("SPLIT(J2152,"" "")"),"CIF")</f>
        <v>CIF</v>
      </c>
      <c r="L2152" s="28" t="str">
        <f aca="false">IFERROR(__xludf.dummyfunction("""COMPUTED_VALUE"""),"Taiwan")</f>
        <v>Taiwan</v>
      </c>
      <c r="M2152" s="27" t="str">
        <f aca="false">IFERROR(__xludf.dummyfunction("""COMPUTED_VALUE"""),"(Diff)")</f>
        <v>(Diff)</v>
      </c>
      <c r="N2152" s="25"/>
      <c r="O2152" s="25"/>
      <c r="P2152" s="25"/>
      <c r="Q2152" s="29" t="s">
        <v>251</v>
      </c>
      <c r="R2152" s="8" t="str">
        <f aca="false">B2152&amp;" "&amp;C2152&amp;" "&amp;D2152&amp;" "&amp;E2152&amp;" "&amp;G2152&amp;" "&amp;H2152&amp;" "&amp;J2152&amp;" "&amp;N2152</f>
        <v>Differentials Cathode     CIF Taiwan (Diff) </v>
      </c>
      <c r="S2152" s="25"/>
      <c r="T2152" s="8"/>
      <c r="U2152" s="8"/>
      <c r="V2152" s="25"/>
      <c r="W2152" s="25"/>
      <c r="X2152" s="25"/>
      <c r="Y2152" s="25"/>
      <c r="Z2152" s="25"/>
      <c r="AA2152" s="25"/>
      <c r="AB2152" s="25"/>
      <c r="AC2152" s="25"/>
      <c r="AD2152" s="25"/>
    </row>
    <row r="2153" customFormat="false" ht="15.75" hidden="false" customHeight="false" outlineLevel="0" collapsed="false">
      <c r="A2153" s="28" t="s">
        <v>2563</v>
      </c>
      <c r="B2153" s="27" t="s">
        <v>438</v>
      </c>
      <c r="C2153" s="27" t="s">
        <v>236</v>
      </c>
      <c r="D2153" s="25"/>
      <c r="E2153" s="25"/>
      <c r="F2153" s="25"/>
      <c r="G2153" s="25"/>
      <c r="H2153" s="25"/>
      <c r="I2153" s="25"/>
      <c r="J2153" s="27" t="s">
        <v>2540</v>
      </c>
      <c r="K2153" s="25" t="str">
        <f aca="false">IFERROR(__xludf.dummyfunction("SPLIT(J2153,"" "")"),"CIF")</f>
        <v>CIF</v>
      </c>
      <c r="L2153" s="28" t="str">
        <f aca="false">IFERROR(__xludf.dummyfunction("""COMPUTED_VALUE"""),"Taiwan")</f>
        <v>Taiwan</v>
      </c>
      <c r="M2153" s="27" t="str">
        <f aca="false">IFERROR(__xludf.dummyfunction("""COMPUTED_VALUE"""),"(Diff)")</f>
        <v>(Diff)</v>
      </c>
      <c r="N2153" s="25"/>
      <c r="O2153" s="25"/>
      <c r="P2153" s="25"/>
      <c r="Q2153" s="29" t="s">
        <v>247</v>
      </c>
      <c r="R2153" s="8" t="str">
        <f aca="false">B2153&amp;" "&amp;C2153&amp;" "&amp;D2153&amp;" "&amp;E2153&amp;" "&amp;G2153&amp;" "&amp;H2153&amp;" "&amp;J2153&amp;" "&amp;N2153</f>
        <v>Differentials Cathode     CIF Taiwan (Diff) </v>
      </c>
      <c r="S2153" s="25"/>
      <c r="T2153" s="8"/>
      <c r="U2153" s="8"/>
      <c r="V2153" s="25"/>
      <c r="W2153" s="25"/>
      <c r="X2153" s="25"/>
      <c r="Y2153" s="25"/>
      <c r="Z2153" s="25"/>
      <c r="AA2153" s="25"/>
      <c r="AB2153" s="25"/>
      <c r="AC2153" s="25"/>
      <c r="AD2153" s="25"/>
    </row>
    <row r="2154" customFormat="false" ht="15.75" hidden="false" customHeight="false" outlineLevel="0" collapsed="false">
      <c r="A2154" s="28" t="s">
        <v>2564</v>
      </c>
      <c r="B2154" s="27" t="s">
        <v>438</v>
      </c>
      <c r="C2154" s="27" t="s">
        <v>236</v>
      </c>
      <c r="D2154" s="25"/>
      <c r="E2154" s="25"/>
      <c r="F2154" s="25"/>
      <c r="G2154" s="25"/>
      <c r="H2154" s="25"/>
      <c r="I2154" s="25"/>
      <c r="J2154" s="27" t="s">
        <v>2540</v>
      </c>
      <c r="K2154" s="25" t="str">
        <f aca="false">IFERROR(__xludf.dummyfunction("SPLIT(J2154,"" "")"),"CIF")</f>
        <v>CIF</v>
      </c>
      <c r="L2154" s="28" t="str">
        <f aca="false">IFERROR(__xludf.dummyfunction("""COMPUTED_VALUE"""),"Taiwan")</f>
        <v>Taiwan</v>
      </c>
      <c r="M2154" s="27" t="str">
        <f aca="false">IFERROR(__xludf.dummyfunction("""COMPUTED_VALUE"""),"(Diff)")</f>
        <v>(Diff)</v>
      </c>
      <c r="N2154" s="25"/>
      <c r="O2154" s="25"/>
      <c r="P2154" s="25"/>
      <c r="Q2154" s="29" t="s">
        <v>243</v>
      </c>
      <c r="R2154" s="8" t="str">
        <f aca="false">B2154&amp;" "&amp;C2154&amp;" "&amp;D2154&amp;" "&amp;E2154&amp;" "&amp;G2154&amp;" "&amp;H2154&amp;" "&amp;J2154&amp;" "&amp;N2154</f>
        <v>Differentials Cathode     CIF Taiwan (Diff) </v>
      </c>
      <c r="S2154" s="25"/>
      <c r="T2154" s="8"/>
      <c r="U2154" s="8"/>
      <c r="V2154" s="25"/>
      <c r="W2154" s="25"/>
      <c r="X2154" s="25"/>
      <c r="Y2154" s="25"/>
      <c r="Z2154" s="25"/>
      <c r="AA2154" s="25"/>
      <c r="AB2154" s="25"/>
      <c r="AC2154" s="25"/>
      <c r="AD2154" s="25"/>
    </row>
    <row r="2155" customFormat="false" ht="15.75" hidden="false" customHeight="false" outlineLevel="0" collapsed="false">
      <c r="A2155" s="28" t="s">
        <v>2565</v>
      </c>
      <c r="B2155" s="27" t="s">
        <v>438</v>
      </c>
      <c r="C2155" s="27" t="s">
        <v>236</v>
      </c>
      <c r="D2155" s="25"/>
      <c r="E2155" s="25"/>
      <c r="F2155" s="25"/>
      <c r="G2155" s="25"/>
      <c r="H2155" s="25"/>
      <c r="I2155" s="25"/>
      <c r="J2155" s="27" t="s">
        <v>2540</v>
      </c>
      <c r="K2155" s="25" t="str">
        <f aca="false">IFERROR(__xludf.dummyfunction("SPLIT(J2155,"" "")"),"CIF")</f>
        <v>CIF</v>
      </c>
      <c r="L2155" s="28" t="str">
        <f aca="false">IFERROR(__xludf.dummyfunction("""COMPUTED_VALUE"""),"Taiwan")</f>
        <v>Taiwan</v>
      </c>
      <c r="M2155" s="27" t="str">
        <f aca="false">IFERROR(__xludf.dummyfunction("""COMPUTED_VALUE"""),"(Diff)")</f>
        <v>(Diff)</v>
      </c>
      <c r="N2155" s="25"/>
      <c r="O2155" s="25"/>
      <c r="P2155" s="25"/>
      <c r="Q2155" s="29" t="s">
        <v>239</v>
      </c>
      <c r="R2155" s="8" t="str">
        <f aca="false">B2155&amp;" "&amp;C2155&amp;" "&amp;D2155&amp;" "&amp;E2155&amp;" "&amp;G2155&amp;" "&amp;H2155&amp;" "&amp;J2155&amp;" "&amp;N2155</f>
        <v>Differentials Cathode     CIF Taiwan (Diff) </v>
      </c>
      <c r="S2155" s="25"/>
      <c r="T2155" s="8"/>
      <c r="U2155" s="8"/>
      <c r="V2155" s="25"/>
      <c r="W2155" s="25"/>
      <c r="X2155" s="25"/>
      <c r="Y2155" s="25"/>
      <c r="Z2155" s="25"/>
      <c r="AA2155" s="25"/>
      <c r="AB2155" s="25"/>
      <c r="AC2155" s="25"/>
      <c r="AD2155" s="25"/>
    </row>
    <row r="2156" customFormat="false" ht="15.75" hidden="false" customHeight="false" outlineLevel="0" collapsed="false">
      <c r="A2156" s="28" t="s">
        <v>2566</v>
      </c>
      <c r="B2156" s="27" t="s">
        <v>438</v>
      </c>
      <c r="C2156" s="27" t="s">
        <v>289</v>
      </c>
      <c r="D2156" s="25"/>
      <c r="E2156" s="25"/>
      <c r="F2156" s="25"/>
      <c r="G2156" s="25"/>
      <c r="H2156" s="25"/>
      <c r="I2156" s="25"/>
      <c r="J2156" s="27" t="s">
        <v>2540</v>
      </c>
      <c r="K2156" s="25" t="str">
        <f aca="false">IFERROR(__xludf.dummyfunction("SPLIT(J2156,"" "")"),"CIF")</f>
        <v>CIF</v>
      </c>
      <c r="L2156" s="28" t="str">
        <f aca="false">IFERROR(__xludf.dummyfunction("""COMPUTED_VALUE"""),"Taiwan")</f>
        <v>Taiwan</v>
      </c>
      <c r="M2156" s="27" t="str">
        <f aca="false">IFERROR(__xludf.dummyfunction("""COMPUTED_VALUE"""),"(Diff)")</f>
        <v>(Diff)</v>
      </c>
      <c r="N2156" s="25"/>
      <c r="O2156" s="25"/>
      <c r="P2156" s="25"/>
      <c r="Q2156" s="29" t="s">
        <v>306</v>
      </c>
      <c r="R2156" s="8" t="str">
        <f aca="false">B2156&amp;" "&amp;C2156&amp;" "&amp;D2156&amp;" "&amp;E2156&amp;" "&amp;G2156&amp;" "&amp;H2156&amp;" "&amp;J2156&amp;" "&amp;N2156</f>
        <v>Differentials Electrolyte     CIF Taiwan (Diff) </v>
      </c>
      <c r="S2156" s="25"/>
      <c r="T2156" s="8"/>
      <c r="U2156" s="8"/>
      <c r="V2156" s="25"/>
      <c r="W2156" s="25"/>
      <c r="X2156" s="25"/>
      <c r="Y2156" s="25"/>
      <c r="Z2156" s="25"/>
      <c r="AA2156" s="25"/>
      <c r="AB2156" s="25"/>
      <c r="AC2156" s="25"/>
      <c r="AD2156" s="25"/>
    </row>
    <row r="2157" customFormat="false" ht="15.75" hidden="false" customHeight="false" outlineLevel="0" collapsed="false">
      <c r="A2157" s="28" t="s">
        <v>2567</v>
      </c>
      <c r="B2157" s="27" t="s">
        <v>438</v>
      </c>
      <c r="C2157" s="27" t="s">
        <v>289</v>
      </c>
      <c r="D2157" s="25"/>
      <c r="E2157" s="25"/>
      <c r="F2157" s="25"/>
      <c r="G2157" s="25"/>
      <c r="H2157" s="25"/>
      <c r="I2157" s="25"/>
      <c r="J2157" s="27" t="s">
        <v>2540</v>
      </c>
      <c r="K2157" s="25" t="str">
        <f aca="false">IFERROR(__xludf.dummyfunction("SPLIT(J2157,"" "")"),"CIF")</f>
        <v>CIF</v>
      </c>
      <c r="L2157" s="28" t="str">
        <f aca="false">IFERROR(__xludf.dummyfunction("""COMPUTED_VALUE"""),"Taiwan")</f>
        <v>Taiwan</v>
      </c>
      <c r="M2157" s="27" t="str">
        <f aca="false">IFERROR(__xludf.dummyfunction("""COMPUTED_VALUE"""),"(Diff)")</f>
        <v>(Diff)</v>
      </c>
      <c r="N2157" s="25"/>
      <c r="O2157" s="25"/>
      <c r="P2157" s="25"/>
      <c r="Q2157" s="29" t="s">
        <v>304</v>
      </c>
      <c r="R2157" s="8" t="str">
        <f aca="false">B2157&amp;" "&amp;C2157&amp;" "&amp;D2157&amp;" "&amp;E2157&amp;" "&amp;G2157&amp;" "&amp;H2157&amp;" "&amp;J2157&amp;" "&amp;N2157</f>
        <v>Differentials Electrolyte     CIF Taiwan (Diff) </v>
      </c>
      <c r="S2157" s="25"/>
      <c r="T2157" s="8"/>
      <c r="U2157" s="8"/>
      <c r="V2157" s="25"/>
      <c r="W2157" s="25"/>
      <c r="X2157" s="25"/>
      <c r="Y2157" s="25"/>
      <c r="Z2157" s="25"/>
      <c r="AA2157" s="25"/>
      <c r="AB2157" s="25"/>
      <c r="AC2157" s="25"/>
      <c r="AD2157" s="25"/>
    </row>
    <row r="2158" customFormat="false" ht="15.75" hidden="false" customHeight="false" outlineLevel="0" collapsed="false">
      <c r="A2158" s="28" t="s">
        <v>2568</v>
      </c>
      <c r="B2158" s="27" t="s">
        <v>438</v>
      </c>
      <c r="C2158" s="27" t="s">
        <v>289</v>
      </c>
      <c r="D2158" s="25"/>
      <c r="E2158" s="25"/>
      <c r="F2158" s="25"/>
      <c r="G2158" s="25"/>
      <c r="H2158" s="25"/>
      <c r="I2158" s="25"/>
      <c r="J2158" s="27" t="s">
        <v>2540</v>
      </c>
      <c r="K2158" s="25" t="str">
        <f aca="false">IFERROR(__xludf.dummyfunction("SPLIT(J2158,"" "")"),"CIF")</f>
        <v>CIF</v>
      </c>
      <c r="L2158" s="28" t="str">
        <f aca="false">IFERROR(__xludf.dummyfunction("""COMPUTED_VALUE"""),"Taiwan")</f>
        <v>Taiwan</v>
      </c>
      <c r="M2158" s="27" t="str">
        <f aca="false">IFERROR(__xludf.dummyfunction("""COMPUTED_VALUE"""),"(Diff)")</f>
        <v>(Diff)</v>
      </c>
      <c r="N2158" s="25"/>
      <c r="O2158" s="25"/>
      <c r="P2158" s="25"/>
      <c r="Q2158" s="29" t="s">
        <v>302</v>
      </c>
      <c r="R2158" s="8" t="str">
        <f aca="false">B2158&amp;" "&amp;C2158&amp;" "&amp;D2158&amp;" "&amp;E2158&amp;" "&amp;G2158&amp;" "&amp;H2158&amp;" "&amp;J2158&amp;" "&amp;N2158</f>
        <v>Differentials Electrolyte     CIF Taiwan (Diff) </v>
      </c>
      <c r="S2158" s="25"/>
      <c r="T2158" s="8"/>
      <c r="U2158" s="8"/>
      <c r="V2158" s="25"/>
      <c r="W2158" s="25"/>
      <c r="X2158" s="25"/>
      <c r="Y2158" s="25"/>
      <c r="Z2158" s="25"/>
      <c r="AA2158" s="25"/>
      <c r="AB2158" s="25"/>
      <c r="AC2158" s="25"/>
      <c r="AD2158" s="25"/>
    </row>
    <row r="2159" customFormat="false" ht="15.75" hidden="false" customHeight="false" outlineLevel="0" collapsed="false">
      <c r="A2159" s="28" t="s">
        <v>2569</v>
      </c>
      <c r="B2159" s="27" t="s">
        <v>438</v>
      </c>
      <c r="C2159" s="27" t="s">
        <v>289</v>
      </c>
      <c r="D2159" s="25"/>
      <c r="E2159" s="25"/>
      <c r="F2159" s="25"/>
      <c r="G2159" s="25"/>
      <c r="H2159" s="25"/>
      <c r="I2159" s="25"/>
      <c r="J2159" s="27" t="s">
        <v>2540</v>
      </c>
      <c r="K2159" s="25" t="str">
        <f aca="false">IFERROR(__xludf.dummyfunction("SPLIT(J2159,"" "")"),"CIF")</f>
        <v>CIF</v>
      </c>
      <c r="L2159" s="28" t="str">
        <f aca="false">IFERROR(__xludf.dummyfunction("""COMPUTED_VALUE"""),"Taiwan")</f>
        <v>Taiwan</v>
      </c>
      <c r="M2159" s="27" t="str">
        <f aca="false">IFERROR(__xludf.dummyfunction("""COMPUTED_VALUE"""),"(Diff)")</f>
        <v>(Diff)</v>
      </c>
      <c r="N2159" s="25"/>
      <c r="O2159" s="25"/>
      <c r="P2159" s="25"/>
      <c r="Q2159" s="29" t="s">
        <v>300</v>
      </c>
      <c r="R2159" s="8" t="str">
        <f aca="false">B2159&amp;" "&amp;C2159&amp;" "&amp;D2159&amp;" "&amp;E2159&amp;" "&amp;G2159&amp;" "&amp;H2159&amp;" "&amp;J2159&amp;" "&amp;N2159</f>
        <v>Differentials Electrolyte     CIF Taiwan (Diff) </v>
      </c>
      <c r="S2159" s="25"/>
      <c r="T2159" s="8"/>
      <c r="U2159" s="8"/>
      <c r="V2159" s="25"/>
      <c r="W2159" s="25"/>
      <c r="X2159" s="25"/>
      <c r="Y2159" s="25"/>
      <c r="Z2159" s="25"/>
      <c r="AA2159" s="25"/>
      <c r="AB2159" s="25"/>
      <c r="AC2159" s="25"/>
      <c r="AD2159" s="25"/>
    </row>
    <row r="2160" customFormat="false" ht="15.75" hidden="false" customHeight="false" outlineLevel="0" collapsed="false">
      <c r="A2160" s="28" t="s">
        <v>2570</v>
      </c>
      <c r="B2160" s="27" t="s">
        <v>438</v>
      </c>
      <c r="C2160" s="27" t="s">
        <v>289</v>
      </c>
      <c r="D2160" s="25"/>
      <c r="E2160" s="25"/>
      <c r="F2160" s="25"/>
      <c r="G2160" s="25"/>
      <c r="H2160" s="25"/>
      <c r="I2160" s="25"/>
      <c r="J2160" s="27" t="s">
        <v>2540</v>
      </c>
      <c r="K2160" s="25" t="str">
        <f aca="false">IFERROR(__xludf.dummyfunction("SPLIT(J2160,"" "")"),"CIF")</f>
        <v>CIF</v>
      </c>
      <c r="L2160" s="28" t="str">
        <f aca="false">IFERROR(__xludf.dummyfunction("""COMPUTED_VALUE"""),"Taiwan")</f>
        <v>Taiwan</v>
      </c>
      <c r="M2160" s="27" t="str">
        <f aca="false">IFERROR(__xludf.dummyfunction("""COMPUTED_VALUE"""),"(Diff)")</f>
        <v>(Diff)</v>
      </c>
      <c r="N2160" s="25"/>
      <c r="O2160" s="25"/>
      <c r="P2160" s="25"/>
      <c r="Q2160" s="29" t="s">
        <v>298</v>
      </c>
      <c r="R2160" s="8" t="str">
        <f aca="false">B2160&amp;" "&amp;C2160&amp;" "&amp;D2160&amp;" "&amp;E2160&amp;" "&amp;G2160&amp;" "&amp;H2160&amp;" "&amp;J2160&amp;" "&amp;N2160</f>
        <v>Differentials Electrolyte     CIF Taiwan (Diff) </v>
      </c>
      <c r="S2160" s="25"/>
      <c r="T2160" s="8"/>
      <c r="U2160" s="8"/>
      <c r="V2160" s="25"/>
      <c r="W2160" s="25"/>
      <c r="X2160" s="25"/>
      <c r="Y2160" s="25"/>
      <c r="Z2160" s="25"/>
      <c r="AA2160" s="25"/>
      <c r="AB2160" s="25"/>
      <c r="AC2160" s="25"/>
      <c r="AD2160" s="25"/>
    </row>
    <row r="2161" customFormat="false" ht="15.75" hidden="false" customHeight="false" outlineLevel="0" collapsed="false">
      <c r="A2161" s="28" t="s">
        <v>2571</v>
      </c>
      <c r="B2161" s="27" t="s">
        <v>438</v>
      </c>
      <c r="C2161" s="27" t="s">
        <v>289</v>
      </c>
      <c r="D2161" s="25"/>
      <c r="E2161" s="25"/>
      <c r="F2161" s="25"/>
      <c r="G2161" s="25"/>
      <c r="H2161" s="25"/>
      <c r="I2161" s="25"/>
      <c r="J2161" s="27" t="s">
        <v>2540</v>
      </c>
      <c r="K2161" s="25" t="str">
        <f aca="false">IFERROR(__xludf.dummyfunction("SPLIT(J2161,"" "")"),"CIF")</f>
        <v>CIF</v>
      </c>
      <c r="L2161" s="28" t="str">
        <f aca="false">IFERROR(__xludf.dummyfunction("""COMPUTED_VALUE"""),"Taiwan")</f>
        <v>Taiwan</v>
      </c>
      <c r="M2161" s="27" t="str">
        <f aca="false">IFERROR(__xludf.dummyfunction("""COMPUTED_VALUE"""),"(Diff)")</f>
        <v>(Diff)</v>
      </c>
      <c r="N2161" s="25"/>
      <c r="O2161" s="25"/>
      <c r="P2161" s="25"/>
      <c r="Q2161" s="29" t="s">
        <v>296</v>
      </c>
      <c r="R2161" s="8" t="str">
        <f aca="false">B2161&amp;" "&amp;C2161&amp;" "&amp;D2161&amp;" "&amp;E2161&amp;" "&amp;G2161&amp;" "&amp;H2161&amp;" "&amp;J2161&amp;" "&amp;N2161</f>
        <v>Differentials Electrolyte     CIF Taiwan (Diff) </v>
      </c>
      <c r="S2161" s="25"/>
      <c r="T2161" s="8"/>
      <c r="U2161" s="8"/>
      <c r="V2161" s="25"/>
      <c r="W2161" s="25"/>
      <c r="X2161" s="25"/>
      <c r="Y2161" s="25"/>
      <c r="Z2161" s="25"/>
      <c r="AA2161" s="25"/>
      <c r="AB2161" s="25"/>
      <c r="AC2161" s="25"/>
      <c r="AD2161" s="25"/>
    </row>
    <row r="2162" customFormat="false" ht="15.75" hidden="false" customHeight="false" outlineLevel="0" collapsed="false">
      <c r="A2162" s="28" t="s">
        <v>2572</v>
      </c>
      <c r="B2162" s="27" t="s">
        <v>438</v>
      </c>
      <c r="C2162" s="27" t="s">
        <v>289</v>
      </c>
      <c r="D2162" s="25"/>
      <c r="E2162" s="25"/>
      <c r="F2162" s="25"/>
      <c r="G2162" s="25"/>
      <c r="H2162" s="25"/>
      <c r="I2162" s="25"/>
      <c r="J2162" s="27" t="s">
        <v>2540</v>
      </c>
      <c r="K2162" s="25" t="str">
        <f aca="false">IFERROR(__xludf.dummyfunction("SPLIT(J2162,"" "")"),"CIF")</f>
        <v>CIF</v>
      </c>
      <c r="L2162" s="28" t="str">
        <f aca="false">IFERROR(__xludf.dummyfunction("""COMPUTED_VALUE"""),"Taiwan")</f>
        <v>Taiwan</v>
      </c>
      <c r="M2162" s="27" t="str">
        <f aca="false">IFERROR(__xludf.dummyfunction("""COMPUTED_VALUE"""),"(Diff)")</f>
        <v>(Diff)</v>
      </c>
      <c r="N2162" s="25"/>
      <c r="O2162" s="25"/>
      <c r="P2162" s="25"/>
      <c r="Q2162" s="29" t="s">
        <v>294</v>
      </c>
      <c r="R2162" s="8" t="str">
        <f aca="false">B2162&amp;" "&amp;C2162&amp;" "&amp;D2162&amp;" "&amp;E2162&amp;" "&amp;G2162&amp;" "&amp;H2162&amp;" "&amp;J2162&amp;" "&amp;N2162</f>
        <v>Differentials Electrolyte     CIF Taiwan (Diff) </v>
      </c>
      <c r="S2162" s="25"/>
      <c r="T2162" s="8"/>
      <c r="U2162" s="8"/>
      <c r="V2162" s="25"/>
      <c r="W2162" s="25"/>
      <c r="X2162" s="25"/>
      <c r="Y2162" s="25"/>
      <c r="Z2162" s="25"/>
      <c r="AA2162" s="25"/>
      <c r="AB2162" s="25"/>
      <c r="AC2162" s="25"/>
      <c r="AD2162" s="25"/>
    </row>
    <row r="2163" customFormat="false" ht="15.75" hidden="false" customHeight="false" outlineLevel="0" collapsed="false">
      <c r="A2163" s="28" t="s">
        <v>2573</v>
      </c>
      <c r="B2163" s="27" t="s">
        <v>438</v>
      </c>
      <c r="C2163" s="27" t="s">
        <v>289</v>
      </c>
      <c r="D2163" s="25"/>
      <c r="E2163" s="25"/>
      <c r="F2163" s="25"/>
      <c r="G2163" s="25"/>
      <c r="H2163" s="25"/>
      <c r="I2163" s="25"/>
      <c r="J2163" s="27" t="s">
        <v>2540</v>
      </c>
      <c r="K2163" s="25" t="str">
        <f aca="false">IFERROR(__xludf.dummyfunction("SPLIT(J2163,"" "")"),"CIF")</f>
        <v>CIF</v>
      </c>
      <c r="L2163" s="28" t="str">
        <f aca="false">IFERROR(__xludf.dummyfunction("""COMPUTED_VALUE"""),"Taiwan")</f>
        <v>Taiwan</v>
      </c>
      <c r="M2163" s="27" t="str">
        <f aca="false">IFERROR(__xludf.dummyfunction("""COMPUTED_VALUE"""),"(Diff)")</f>
        <v>(Diff)</v>
      </c>
      <c r="N2163" s="25"/>
      <c r="O2163" s="25"/>
      <c r="P2163" s="25"/>
      <c r="Q2163" s="29" t="s">
        <v>291</v>
      </c>
      <c r="R2163" s="8" t="str">
        <f aca="false">B2163&amp;" "&amp;C2163&amp;" "&amp;D2163&amp;" "&amp;E2163&amp;" "&amp;G2163&amp;" "&amp;H2163&amp;" "&amp;J2163&amp;" "&amp;N2163</f>
        <v>Differentials Electrolyte     CIF Taiwan (Diff) </v>
      </c>
      <c r="S2163" s="25"/>
      <c r="T2163" s="8"/>
      <c r="U2163" s="8"/>
      <c r="V2163" s="25"/>
      <c r="W2163" s="25"/>
      <c r="X2163" s="25"/>
      <c r="Y2163" s="25"/>
      <c r="Z2163" s="25"/>
      <c r="AA2163" s="25"/>
      <c r="AB2163" s="25"/>
      <c r="AC2163" s="25"/>
      <c r="AD2163" s="25"/>
    </row>
    <row r="2164" customFormat="false" ht="15.75" hidden="false" customHeight="false" outlineLevel="0" collapsed="false">
      <c r="A2164" s="28" t="s">
        <v>2574</v>
      </c>
      <c r="B2164" s="27" t="s">
        <v>438</v>
      </c>
      <c r="C2164" s="27" t="s">
        <v>308</v>
      </c>
      <c r="D2164" s="25"/>
      <c r="E2164" s="25"/>
      <c r="F2164" s="25"/>
      <c r="G2164" s="25"/>
      <c r="H2164" s="25"/>
      <c r="I2164" s="25"/>
      <c r="J2164" s="27" t="s">
        <v>2540</v>
      </c>
      <c r="K2164" s="25" t="str">
        <f aca="false">IFERROR(__xludf.dummyfunction("SPLIT(J2164,"" "")"),"CIF")</f>
        <v>CIF</v>
      </c>
      <c r="L2164" s="28" t="str">
        <f aca="false">IFERROR(__xludf.dummyfunction("""COMPUTED_VALUE"""),"Taiwan")</f>
        <v>Taiwan</v>
      </c>
      <c r="M2164" s="27" t="str">
        <f aca="false">IFERROR(__xludf.dummyfunction("""COMPUTED_VALUE"""),"(Diff)")</f>
        <v>(Diff)</v>
      </c>
      <c r="N2164" s="25"/>
      <c r="O2164" s="25"/>
      <c r="P2164" s="25"/>
      <c r="Q2164" s="29" t="s">
        <v>358</v>
      </c>
      <c r="R2164" s="8" t="str">
        <f aca="false">B2164&amp;" "&amp;C2164&amp;" "&amp;D2164&amp;" "&amp;E2164&amp;" "&amp;G2164&amp;" "&amp;H2164&amp;" "&amp;J2164&amp;" "&amp;N2164</f>
        <v>Differentials Graphite     CIF Taiwan (Diff) </v>
      </c>
      <c r="S2164" s="25"/>
      <c r="T2164" s="8"/>
      <c r="U2164" s="8"/>
      <c r="V2164" s="25"/>
      <c r="W2164" s="25"/>
      <c r="X2164" s="25"/>
      <c r="Y2164" s="25"/>
      <c r="Z2164" s="25"/>
      <c r="AA2164" s="25"/>
      <c r="AB2164" s="25"/>
      <c r="AC2164" s="25"/>
      <c r="AD2164" s="25"/>
    </row>
    <row r="2165" customFormat="false" ht="15.75" hidden="false" customHeight="false" outlineLevel="0" collapsed="false">
      <c r="A2165" s="28" t="s">
        <v>2575</v>
      </c>
      <c r="B2165" s="27" t="s">
        <v>438</v>
      </c>
      <c r="C2165" s="27" t="s">
        <v>308</v>
      </c>
      <c r="D2165" s="25"/>
      <c r="E2165" s="25"/>
      <c r="F2165" s="25"/>
      <c r="G2165" s="25"/>
      <c r="H2165" s="25"/>
      <c r="I2165" s="25"/>
      <c r="J2165" s="27" t="s">
        <v>2540</v>
      </c>
      <c r="K2165" s="25" t="str">
        <f aca="false">IFERROR(__xludf.dummyfunction("SPLIT(J2165,"" "")"),"CIF")</f>
        <v>CIF</v>
      </c>
      <c r="L2165" s="28" t="str">
        <f aca="false">IFERROR(__xludf.dummyfunction("""COMPUTED_VALUE"""),"Taiwan")</f>
        <v>Taiwan</v>
      </c>
      <c r="M2165" s="27" t="str">
        <f aca="false">IFERROR(__xludf.dummyfunction("""COMPUTED_VALUE"""),"(Diff)")</f>
        <v>(Diff)</v>
      </c>
      <c r="N2165" s="25"/>
      <c r="O2165" s="25"/>
      <c r="P2165" s="25"/>
      <c r="Q2165" s="29" t="s">
        <v>356</v>
      </c>
      <c r="R2165" s="8" t="str">
        <f aca="false">B2165&amp;" "&amp;C2165&amp;" "&amp;D2165&amp;" "&amp;E2165&amp;" "&amp;G2165&amp;" "&amp;H2165&amp;" "&amp;J2165&amp;" "&amp;N2165</f>
        <v>Differentials Graphite     CIF Taiwan (Diff) </v>
      </c>
      <c r="S2165" s="25"/>
      <c r="T2165" s="8"/>
      <c r="U2165" s="8"/>
      <c r="V2165" s="25"/>
      <c r="W2165" s="25"/>
      <c r="X2165" s="25"/>
      <c r="Y2165" s="25"/>
      <c r="Z2165" s="25"/>
      <c r="AA2165" s="25"/>
      <c r="AB2165" s="25"/>
      <c r="AC2165" s="25"/>
      <c r="AD2165" s="25"/>
    </row>
    <row r="2166" customFormat="false" ht="15.75" hidden="false" customHeight="false" outlineLevel="0" collapsed="false">
      <c r="A2166" s="28" t="s">
        <v>2576</v>
      </c>
      <c r="B2166" s="27" t="s">
        <v>438</v>
      </c>
      <c r="C2166" s="27" t="s">
        <v>308</v>
      </c>
      <c r="D2166" s="25"/>
      <c r="E2166" s="25"/>
      <c r="F2166" s="25"/>
      <c r="G2166" s="25"/>
      <c r="H2166" s="25"/>
      <c r="I2166" s="25"/>
      <c r="J2166" s="27" t="s">
        <v>2540</v>
      </c>
      <c r="K2166" s="25" t="str">
        <f aca="false">IFERROR(__xludf.dummyfunction("SPLIT(J2166,"" "")"),"CIF")</f>
        <v>CIF</v>
      </c>
      <c r="L2166" s="28" t="str">
        <f aca="false">IFERROR(__xludf.dummyfunction("""COMPUTED_VALUE"""),"Taiwan")</f>
        <v>Taiwan</v>
      </c>
      <c r="M2166" s="27" t="str">
        <f aca="false">IFERROR(__xludf.dummyfunction("""COMPUTED_VALUE"""),"(Diff)")</f>
        <v>(Diff)</v>
      </c>
      <c r="N2166" s="25"/>
      <c r="O2166" s="25"/>
      <c r="P2166" s="25"/>
      <c r="Q2166" s="29" t="s">
        <v>354</v>
      </c>
      <c r="R2166" s="8" t="str">
        <f aca="false">B2166&amp;" "&amp;C2166&amp;" "&amp;D2166&amp;" "&amp;E2166&amp;" "&amp;G2166&amp;" "&amp;H2166&amp;" "&amp;J2166&amp;" "&amp;N2166</f>
        <v>Differentials Graphite     CIF Taiwan (Diff) </v>
      </c>
      <c r="S2166" s="25"/>
      <c r="T2166" s="8"/>
      <c r="U2166" s="8"/>
      <c r="V2166" s="25"/>
      <c r="W2166" s="25"/>
      <c r="X2166" s="25"/>
      <c r="Y2166" s="25"/>
      <c r="Z2166" s="25"/>
      <c r="AA2166" s="25"/>
      <c r="AB2166" s="25"/>
      <c r="AC2166" s="25"/>
      <c r="AD2166" s="25"/>
    </row>
    <row r="2167" customFormat="false" ht="15.75" hidden="false" customHeight="false" outlineLevel="0" collapsed="false">
      <c r="A2167" s="28" t="s">
        <v>2577</v>
      </c>
      <c r="B2167" s="27" t="s">
        <v>438</v>
      </c>
      <c r="C2167" s="27" t="s">
        <v>308</v>
      </c>
      <c r="D2167" s="25"/>
      <c r="E2167" s="25"/>
      <c r="F2167" s="25"/>
      <c r="G2167" s="25"/>
      <c r="H2167" s="25"/>
      <c r="I2167" s="25"/>
      <c r="J2167" s="27" t="s">
        <v>2540</v>
      </c>
      <c r="K2167" s="25" t="str">
        <f aca="false">IFERROR(__xludf.dummyfunction("SPLIT(J2167,"" "")"),"CIF")</f>
        <v>CIF</v>
      </c>
      <c r="L2167" s="28" t="str">
        <f aca="false">IFERROR(__xludf.dummyfunction("""COMPUTED_VALUE"""),"Taiwan")</f>
        <v>Taiwan</v>
      </c>
      <c r="M2167" s="27" t="str">
        <f aca="false">IFERROR(__xludf.dummyfunction("""COMPUTED_VALUE"""),"(Diff)")</f>
        <v>(Diff)</v>
      </c>
      <c r="N2167" s="25"/>
      <c r="O2167" s="25"/>
      <c r="P2167" s="25"/>
      <c r="Q2167" s="29" t="s">
        <v>352</v>
      </c>
      <c r="R2167" s="8" t="str">
        <f aca="false">B2167&amp;" "&amp;C2167&amp;" "&amp;D2167&amp;" "&amp;E2167&amp;" "&amp;G2167&amp;" "&amp;H2167&amp;" "&amp;J2167&amp;" "&amp;N2167</f>
        <v>Differentials Graphite     CIF Taiwan (Diff) </v>
      </c>
      <c r="S2167" s="25"/>
      <c r="T2167" s="8"/>
      <c r="U2167" s="8"/>
      <c r="V2167" s="25"/>
      <c r="W2167" s="25"/>
      <c r="X2167" s="25"/>
      <c r="Y2167" s="25"/>
      <c r="Z2167" s="25"/>
      <c r="AA2167" s="25"/>
      <c r="AB2167" s="25"/>
      <c r="AC2167" s="25"/>
      <c r="AD2167" s="25"/>
    </row>
    <row r="2168" customFormat="false" ht="15.75" hidden="false" customHeight="false" outlineLevel="0" collapsed="false">
      <c r="A2168" s="28" t="s">
        <v>2578</v>
      </c>
      <c r="B2168" s="27" t="s">
        <v>438</v>
      </c>
      <c r="C2168" s="27" t="s">
        <v>308</v>
      </c>
      <c r="D2168" s="25"/>
      <c r="E2168" s="25"/>
      <c r="F2168" s="25"/>
      <c r="G2168" s="25"/>
      <c r="H2168" s="25"/>
      <c r="I2168" s="25"/>
      <c r="J2168" s="27" t="s">
        <v>2540</v>
      </c>
      <c r="K2168" s="25" t="str">
        <f aca="false">IFERROR(__xludf.dummyfunction("SPLIT(J2168,"" "")"),"CIF")</f>
        <v>CIF</v>
      </c>
      <c r="L2168" s="28" t="str">
        <f aca="false">IFERROR(__xludf.dummyfunction("""COMPUTED_VALUE"""),"Taiwan")</f>
        <v>Taiwan</v>
      </c>
      <c r="M2168" s="27" t="str">
        <f aca="false">IFERROR(__xludf.dummyfunction("""COMPUTED_VALUE"""),"(Diff)")</f>
        <v>(Diff)</v>
      </c>
      <c r="N2168" s="25"/>
      <c r="O2168" s="25"/>
      <c r="P2168" s="25"/>
      <c r="Q2168" s="29" t="s">
        <v>350</v>
      </c>
      <c r="R2168" s="8" t="str">
        <f aca="false">B2168&amp;" "&amp;C2168&amp;" "&amp;D2168&amp;" "&amp;E2168&amp;" "&amp;G2168&amp;" "&amp;H2168&amp;" "&amp;J2168&amp;" "&amp;N2168</f>
        <v>Differentials Graphite     CIF Taiwan (Diff) </v>
      </c>
      <c r="S2168" s="25"/>
      <c r="T2168" s="8"/>
      <c r="U2168" s="8"/>
      <c r="V2168" s="25"/>
      <c r="W2168" s="25"/>
      <c r="X2168" s="25"/>
      <c r="Y2168" s="25"/>
      <c r="Z2168" s="25"/>
      <c r="AA2168" s="25"/>
      <c r="AB2168" s="25"/>
      <c r="AC2168" s="25"/>
      <c r="AD2168" s="25"/>
    </row>
    <row r="2169" customFormat="false" ht="15.75" hidden="false" customHeight="false" outlineLevel="0" collapsed="false">
      <c r="A2169" s="28" t="s">
        <v>2579</v>
      </c>
      <c r="B2169" s="27" t="s">
        <v>438</v>
      </c>
      <c r="C2169" s="27" t="s">
        <v>308</v>
      </c>
      <c r="D2169" s="25"/>
      <c r="E2169" s="25"/>
      <c r="F2169" s="25"/>
      <c r="G2169" s="25"/>
      <c r="H2169" s="25"/>
      <c r="I2169" s="25"/>
      <c r="J2169" s="27" t="s">
        <v>2540</v>
      </c>
      <c r="K2169" s="25" t="str">
        <f aca="false">IFERROR(__xludf.dummyfunction("SPLIT(J2169,"" "")"),"CIF")</f>
        <v>CIF</v>
      </c>
      <c r="L2169" s="28" t="str">
        <f aca="false">IFERROR(__xludf.dummyfunction("""COMPUTED_VALUE"""),"Taiwan")</f>
        <v>Taiwan</v>
      </c>
      <c r="M2169" s="27" t="str">
        <f aca="false">IFERROR(__xludf.dummyfunction("""COMPUTED_VALUE"""),"(Diff)")</f>
        <v>(Diff)</v>
      </c>
      <c r="N2169" s="25"/>
      <c r="O2169" s="25"/>
      <c r="P2169" s="25"/>
      <c r="Q2169" s="29" t="s">
        <v>347</v>
      </c>
      <c r="R2169" s="8" t="str">
        <f aca="false">B2169&amp;" "&amp;C2169&amp;" "&amp;D2169&amp;" "&amp;E2169&amp;" "&amp;G2169&amp;" "&amp;H2169&amp;" "&amp;J2169&amp;" "&amp;N2169</f>
        <v>Differentials Graphite     CIF Taiwan (Diff) </v>
      </c>
      <c r="S2169" s="25"/>
      <c r="T2169" s="8"/>
      <c r="U2169" s="8"/>
      <c r="V2169" s="25"/>
      <c r="W2169" s="25"/>
      <c r="X2169" s="25"/>
      <c r="Y2169" s="25"/>
      <c r="Z2169" s="25"/>
      <c r="AA2169" s="25"/>
      <c r="AB2169" s="25"/>
      <c r="AC2169" s="25"/>
      <c r="AD2169" s="25"/>
    </row>
    <row r="2170" customFormat="false" ht="15.75" hidden="false" customHeight="false" outlineLevel="0" collapsed="false">
      <c r="A2170" s="28" t="s">
        <v>2580</v>
      </c>
      <c r="B2170" s="27" t="s">
        <v>438</v>
      </c>
      <c r="C2170" s="27" t="s">
        <v>308</v>
      </c>
      <c r="D2170" s="25"/>
      <c r="E2170" s="25"/>
      <c r="F2170" s="25"/>
      <c r="G2170" s="25"/>
      <c r="H2170" s="25"/>
      <c r="I2170" s="25"/>
      <c r="J2170" s="27" t="s">
        <v>2540</v>
      </c>
      <c r="K2170" s="25" t="str">
        <f aca="false">IFERROR(__xludf.dummyfunction("SPLIT(J2170,"" "")"),"CIF")</f>
        <v>CIF</v>
      </c>
      <c r="L2170" s="28" t="str">
        <f aca="false">IFERROR(__xludf.dummyfunction("""COMPUTED_VALUE"""),"Taiwan")</f>
        <v>Taiwan</v>
      </c>
      <c r="M2170" s="27" t="str">
        <f aca="false">IFERROR(__xludf.dummyfunction("""COMPUTED_VALUE"""),"(Diff)")</f>
        <v>(Diff)</v>
      </c>
      <c r="N2170" s="25"/>
      <c r="O2170" s="25"/>
      <c r="P2170" s="25"/>
      <c r="Q2170" s="29" t="s">
        <v>344</v>
      </c>
      <c r="R2170" s="8" t="str">
        <f aca="false">B2170&amp;" "&amp;C2170&amp;" "&amp;D2170&amp;" "&amp;E2170&amp;" "&amp;G2170&amp;" "&amp;H2170&amp;" "&amp;J2170&amp;" "&amp;N2170</f>
        <v>Differentials Graphite     CIF Taiwan (Diff) </v>
      </c>
      <c r="S2170" s="25"/>
      <c r="T2170" s="8"/>
      <c r="U2170" s="8"/>
      <c r="V2170" s="25"/>
      <c r="W2170" s="25"/>
      <c r="X2170" s="25"/>
      <c r="Y2170" s="25"/>
      <c r="Z2170" s="25"/>
      <c r="AA2170" s="25"/>
      <c r="AB2170" s="25"/>
      <c r="AC2170" s="25"/>
      <c r="AD2170" s="25"/>
    </row>
    <row r="2171" customFormat="false" ht="15.75" hidden="false" customHeight="false" outlineLevel="0" collapsed="false">
      <c r="A2171" s="28" t="s">
        <v>2581</v>
      </c>
      <c r="B2171" s="27" t="s">
        <v>438</v>
      </c>
      <c r="C2171" s="27" t="s">
        <v>308</v>
      </c>
      <c r="D2171" s="25"/>
      <c r="E2171" s="25"/>
      <c r="F2171" s="25"/>
      <c r="G2171" s="25"/>
      <c r="H2171" s="25"/>
      <c r="I2171" s="25"/>
      <c r="J2171" s="27" t="s">
        <v>2540</v>
      </c>
      <c r="K2171" s="25" t="str">
        <f aca="false">IFERROR(__xludf.dummyfunction("SPLIT(J2171,"" "")"),"CIF")</f>
        <v>CIF</v>
      </c>
      <c r="L2171" s="28" t="str">
        <f aca="false">IFERROR(__xludf.dummyfunction("""COMPUTED_VALUE"""),"Taiwan")</f>
        <v>Taiwan</v>
      </c>
      <c r="M2171" s="27" t="str">
        <f aca="false">IFERROR(__xludf.dummyfunction("""COMPUTED_VALUE"""),"(Diff)")</f>
        <v>(Diff)</v>
      </c>
      <c r="N2171" s="25"/>
      <c r="O2171" s="25"/>
      <c r="P2171" s="25"/>
      <c r="Q2171" s="29" t="s">
        <v>340</v>
      </c>
      <c r="R2171" s="8" t="str">
        <f aca="false">B2171&amp;" "&amp;C2171&amp;" "&amp;D2171&amp;" "&amp;E2171&amp;" "&amp;G2171&amp;" "&amp;H2171&amp;" "&amp;J2171&amp;" "&amp;N2171</f>
        <v>Differentials Graphite     CIF Taiwan (Diff) </v>
      </c>
      <c r="S2171" s="25"/>
      <c r="T2171" s="8"/>
      <c r="U2171" s="8"/>
      <c r="V2171" s="25"/>
      <c r="W2171" s="25"/>
      <c r="X2171" s="25"/>
      <c r="Y2171" s="25"/>
      <c r="Z2171" s="25"/>
      <c r="AA2171" s="25"/>
      <c r="AB2171" s="25"/>
      <c r="AC2171" s="25"/>
      <c r="AD2171" s="25"/>
    </row>
    <row r="2172" customFormat="false" ht="15.75" hidden="false" customHeight="false" outlineLevel="0" collapsed="false">
      <c r="A2172" s="28" t="s">
        <v>2582</v>
      </c>
      <c r="B2172" s="27" t="s">
        <v>438</v>
      </c>
      <c r="C2172" s="27" t="s">
        <v>308</v>
      </c>
      <c r="D2172" s="25"/>
      <c r="E2172" s="25"/>
      <c r="F2172" s="25"/>
      <c r="G2172" s="25"/>
      <c r="H2172" s="25"/>
      <c r="I2172" s="25"/>
      <c r="J2172" s="27" t="s">
        <v>2540</v>
      </c>
      <c r="K2172" s="25" t="str">
        <f aca="false">IFERROR(__xludf.dummyfunction("SPLIT(J2172,"" "")"),"CIF")</f>
        <v>CIF</v>
      </c>
      <c r="L2172" s="28" t="str">
        <f aca="false">IFERROR(__xludf.dummyfunction("""COMPUTED_VALUE"""),"Taiwan")</f>
        <v>Taiwan</v>
      </c>
      <c r="M2172" s="27" t="str">
        <f aca="false">IFERROR(__xludf.dummyfunction("""COMPUTED_VALUE"""),"(Diff)")</f>
        <v>(Diff)</v>
      </c>
      <c r="N2172" s="25"/>
      <c r="O2172" s="25"/>
      <c r="P2172" s="25"/>
      <c r="Q2172" s="29" t="s">
        <v>338</v>
      </c>
      <c r="R2172" s="8" t="str">
        <f aca="false">B2172&amp;" "&amp;C2172&amp;" "&amp;D2172&amp;" "&amp;E2172&amp;" "&amp;G2172&amp;" "&amp;H2172&amp;" "&amp;J2172&amp;" "&amp;N2172</f>
        <v>Differentials Graphite     CIF Taiwan (Diff) </v>
      </c>
      <c r="S2172" s="25"/>
      <c r="T2172" s="8"/>
      <c r="U2172" s="8"/>
      <c r="V2172" s="25"/>
      <c r="W2172" s="25"/>
      <c r="X2172" s="25"/>
      <c r="Y2172" s="25"/>
      <c r="Z2172" s="25"/>
      <c r="AA2172" s="25"/>
      <c r="AB2172" s="25"/>
      <c r="AC2172" s="25"/>
      <c r="AD2172" s="25"/>
    </row>
    <row r="2173" customFormat="false" ht="15.75" hidden="false" customHeight="false" outlineLevel="0" collapsed="false">
      <c r="A2173" s="28" t="s">
        <v>2583</v>
      </c>
      <c r="B2173" s="27" t="s">
        <v>438</v>
      </c>
      <c r="C2173" s="27" t="s">
        <v>308</v>
      </c>
      <c r="D2173" s="25"/>
      <c r="E2173" s="25"/>
      <c r="F2173" s="25"/>
      <c r="G2173" s="25"/>
      <c r="H2173" s="25"/>
      <c r="I2173" s="25"/>
      <c r="J2173" s="27" t="s">
        <v>2540</v>
      </c>
      <c r="K2173" s="25" t="str">
        <f aca="false">IFERROR(__xludf.dummyfunction("SPLIT(J2173,"" "")"),"CIF")</f>
        <v>CIF</v>
      </c>
      <c r="L2173" s="28" t="str">
        <f aca="false">IFERROR(__xludf.dummyfunction("""COMPUTED_VALUE"""),"Taiwan")</f>
        <v>Taiwan</v>
      </c>
      <c r="M2173" s="27" t="str">
        <f aca="false">IFERROR(__xludf.dummyfunction("""COMPUTED_VALUE"""),"(Diff)")</f>
        <v>(Diff)</v>
      </c>
      <c r="N2173" s="25"/>
      <c r="O2173" s="25"/>
      <c r="P2173" s="25"/>
      <c r="Q2173" s="29" t="s">
        <v>335</v>
      </c>
      <c r="R2173" s="8" t="str">
        <f aca="false">B2173&amp;" "&amp;C2173&amp;" "&amp;D2173&amp;" "&amp;E2173&amp;" "&amp;G2173&amp;" "&amp;H2173&amp;" "&amp;J2173&amp;" "&amp;N2173</f>
        <v>Differentials Graphite     CIF Taiwan (Diff) </v>
      </c>
      <c r="S2173" s="25"/>
      <c r="T2173" s="8"/>
      <c r="U2173" s="8"/>
      <c r="V2173" s="25"/>
      <c r="W2173" s="25"/>
      <c r="X2173" s="25"/>
      <c r="Y2173" s="25"/>
      <c r="Z2173" s="25"/>
      <c r="AA2173" s="25"/>
      <c r="AB2173" s="25"/>
      <c r="AC2173" s="25"/>
      <c r="AD2173" s="25"/>
    </row>
    <row r="2174" customFormat="false" ht="15.75" hidden="false" customHeight="false" outlineLevel="0" collapsed="false">
      <c r="A2174" s="28" t="s">
        <v>2584</v>
      </c>
      <c r="B2174" s="27" t="s">
        <v>438</v>
      </c>
      <c r="C2174" s="27" t="s">
        <v>308</v>
      </c>
      <c r="D2174" s="25"/>
      <c r="E2174" s="25"/>
      <c r="F2174" s="25"/>
      <c r="G2174" s="25"/>
      <c r="H2174" s="25"/>
      <c r="I2174" s="25"/>
      <c r="J2174" s="27" t="s">
        <v>2540</v>
      </c>
      <c r="K2174" s="25" t="str">
        <f aca="false">IFERROR(__xludf.dummyfunction("SPLIT(J2174,"" "")"),"CIF")</f>
        <v>CIF</v>
      </c>
      <c r="L2174" s="28" t="str">
        <f aca="false">IFERROR(__xludf.dummyfunction("""COMPUTED_VALUE"""),"Taiwan")</f>
        <v>Taiwan</v>
      </c>
      <c r="M2174" s="27" t="str">
        <f aca="false">IFERROR(__xludf.dummyfunction("""COMPUTED_VALUE"""),"(Diff)")</f>
        <v>(Diff)</v>
      </c>
      <c r="N2174" s="25"/>
      <c r="O2174" s="25"/>
      <c r="P2174" s="25"/>
      <c r="Q2174" s="29" t="s">
        <v>332</v>
      </c>
      <c r="R2174" s="8" t="str">
        <f aca="false">B2174&amp;" "&amp;C2174&amp;" "&amp;D2174&amp;" "&amp;E2174&amp;" "&amp;G2174&amp;" "&amp;H2174&amp;" "&amp;J2174&amp;" "&amp;N2174</f>
        <v>Differentials Graphite     CIF Taiwan (Diff) </v>
      </c>
      <c r="S2174" s="25"/>
      <c r="T2174" s="8"/>
      <c r="U2174" s="8"/>
      <c r="V2174" s="25"/>
      <c r="W2174" s="25"/>
      <c r="X2174" s="25"/>
      <c r="Y2174" s="25"/>
      <c r="Z2174" s="25"/>
      <c r="AA2174" s="25"/>
      <c r="AB2174" s="25"/>
      <c r="AC2174" s="25"/>
      <c r="AD2174" s="25"/>
    </row>
    <row r="2175" customFormat="false" ht="15.75" hidden="false" customHeight="false" outlineLevel="0" collapsed="false">
      <c r="A2175" s="28" t="s">
        <v>2585</v>
      </c>
      <c r="B2175" s="27" t="s">
        <v>438</v>
      </c>
      <c r="C2175" s="27" t="s">
        <v>308</v>
      </c>
      <c r="D2175" s="25"/>
      <c r="E2175" s="25"/>
      <c r="F2175" s="25"/>
      <c r="G2175" s="25"/>
      <c r="H2175" s="25"/>
      <c r="I2175" s="25"/>
      <c r="J2175" s="27" t="s">
        <v>2540</v>
      </c>
      <c r="K2175" s="25" t="str">
        <f aca="false">IFERROR(__xludf.dummyfunction("SPLIT(J2175,"" "")"),"CIF")</f>
        <v>CIF</v>
      </c>
      <c r="L2175" s="28" t="str">
        <f aca="false">IFERROR(__xludf.dummyfunction("""COMPUTED_VALUE"""),"Taiwan")</f>
        <v>Taiwan</v>
      </c>
      <c r="M2175" s="27" t="str">
        <f aca="false">IFERROR(__xludf.dummyfunction("""COMPUTED_VALUE"""),"(Diff)")</f>
        <v>(Diff)</v>
      </c>
      <c r="N2175" s="25"/>
      <c r="O2175" s="25"/>
      <c r="P2175" s="25"/>
      <c r="Q2175" s="29" t="s">
        <v>329</v>
      </c>
      <c r="R2175" s="8" t="str">
        <f aca="false">B2175&amp;" "&amp;C2175&amp;" "&amp;D2175&amp;" "&amp;E2175&amp;" "&amp;G2175&amp;" "&amp;H2175&amp;" "&amp;J2175&amp;" "&amp;N2175</f>
        <v>Differentials Graphite     CIF Taiwan (Diff) </v>
      </c>
      <c r="S2175" s="25"/>
      <c r="T2175" s="8"/>
      <c r="U2175" s="8"/>
      <c r="V2175" s="25"/>
      <c r="W2175" s="25"/>
      <c r="X2175" s="25"/>
      <c r="Y2175" s="25"/>
      <c r="Z2175" s="25"/>
      <c r="AA2175" s="25"/>
      <c r="AB2175" s="25"/>
      <c r="AC2175" s="25"/>
      <c r="AD2175" s="25"/>
    </row>
    <row r="2176" customFormat="false" ht="15.75" hidden="false" customHeight="false" outlineLevel="0" collapsed="false">
      <c r="A2176" s="28" t="s">
        <v>2586</v>
      </c>
      <c r="B2176" s="27" t="s">
        <v>438</v>
      </c>
      <c r="C2176" s="27" t="s">
        <v>308</v>
      </c>
      <c r="D2176" s="25"/>
      <c r="E2176" s="25"/>
      <c r="F2176" s="25"/>
      <c r="G2176" s="25"/>
      <c r="H2176" s="25"/>
      <c r="I2176" s="25"/>
      <c r="J2176" s="27" t="s">
        <v>2540</v>
      </c>
      <c r="K2176" s="25" t="str">
        <f aca="false">IFERROR(__xludf.dummyfunction("SPLIT(J2176,"" "")"),"CIF")</f>
        <v>CIF</v>
      </c>
      <c r="L2176" s="28" t="str">
        <f aca="false">IFERROR(__xludf.dummyfunction("""COMPUTED_VALUE"""),"Taiwan")</f>
        <v>Taiwan</v>
      </c>
      <c r="M2176" s="27" t="str">
        <f aca="false">IFERROR(__xludf.dummyfunction("""COMPUTED_VALUE"""),"(Diff)")</f>
        <v>(Diff)</v>
      </c>
      <c r="N2176" s="25"/>
      <c r="O2176" s="25"/>
      <c r="P2176" s="25"/>
      <c r="Q2176" s="29" t="s">
        <v>326</v>
      </c>
      <c r="R2176" s="8" t="str">
        <f aca="false">B2176&amp;" "&amp;C2176&amp;" "&amp;D2176&amp;" "&amp;E2176&amp;" "&amp;G2176&amp;" "&amp;H2176&amp;" "&amp;J2176&amp;" "&amp;N2176</f>
        <v>Differentials Graphite     CIF Taiwan (Diff) </v>
      </c>
      <c r="S2176" s="25"/>
      <c r="T2176" s="8"/>
      <c r="U2176" s="8"/>
      <c r="V2176" s="25"/>
      <c r="W2176" s="25"/>
      <c r="X2176" s="25"/>
      <c r="Y2176" s="25"/>
      <c r="Z2176" s="25"/>
      <c r="AA2176" s="25"/>
      <c r="AB2176" s="25"/>
      <c r="AC2176" s="25"/>
      <c r="AD2176" s="25"/>
    </row>
    <row r="2177" customFormat="false" ht="15.75" hidden="false" customHeight="false" outlineLevel="0" collapsed="false">
      <c r="A2177" s="28" t="s">
        <v>2587</v>
      </c>
      <c r="B2177" s="27" t="s">
        <v>438</v>
      </c>
      <c r="C2177" s="27" t="s">
        <v>308</v>
      </c>
      <c r="D2177" s="25"/>
      <c r="E2177" s="25"/>
      <c r="F2177" s="25"/>
      <c r="G2177" s="25"/>
      <c r="H2177" s="25"/>
      <c r="I2177" s="25"/>
      <c r="J2177" s="27" t="s">
        <v>2540</v>
      </c>
      <c r="K2177" s="25" t="str">
        <f aca="false">IFERROR(__xludf.dummyfunction("SPLIT(J2177,"" "")"),"CIF")</f>
        <v>CIF</v>
      </c>
      <c r="L2177" s="28" t="str">
        <f aca="false">IFERROR(__xludf.dummyfunction("""COMPUTED_VALUE"""),"Taiwan")</f>
        <v>Taiwan</v>
      </c>
      <c r="M2177" s="27" t="str">
        <f aca="false">IFERROR(__xludf.dummyfunction("""COMPUTED_VALUE"""),"(Diff)")</f>
        <v>(Diff)</v>
      </c>
      <c r="N2177" s="25"/>
      <c r="O2177" s="25"/>
      <c r="P2177" s="25"/>
      <c r="Q2177" s="29" t="s">
        <v>323</v>
      </c>
      <c r="R2177" s="8" t="str">
        <f aca="false">B2177&amp;" "&amp;C2177&amp;" "&amp;D2177&amp;" "&amp;E2177&amp;" "&amp;G2177&amp;" "&amp;H2177&amp;" "&amp;J2177&amp;" "&amp;N2177</f>
        <v>Differentials Graphite     CIF Taiwan (Diff) </v>
      </c>
      <c r="S2177" s="25"/>
      <c r="T2177" s="8"/>
      <c r="U2177" s="8"/>
      <c r="V2177" s="25"/>
      <c r="W2177" s="25"/>
      <c r="X2177" s="25"/>
      <c r="Y2177" s="25"/>
      <c r="Z2177" s="25"/>
      <c r="AA2177" s="25"/>
      <c r="AB2177" s="25"/>
      <c r="AC2177" s="25"/>
      <c r="AD2177" s="25"/>
    </row>
    <row r="2178" customFormat="false" ht="15.75" hidden="false" customHeight="false" outlineLevel="0" collapsed="false">
      <c r="A2178" s="28" t="s">
        <v>2588</v>
      </c>
      <c r="B2178" s="27" t="s">
        <v>438</v>
      </c>
      <c r="C2178" s="27" t="s">
        <v>308</v>
      </c>
      <c r="D2178" s="25"/>
      <c r="E2178" s="25"/>
      <c r="F2178" s="25"/>
      <c r="G2178" s="25"/>
      <c r="H2178" s="25"/>
      <c r="I2178" s="25"/>
      <c r="J2178" s="27" t="s">
        <v>2540</v>
      </c>
      <c r="K2178" s="25" t="str">
        <f aca="false">IFERROR(__xludf.dummyfunction("SPLIT(J2178,"" "")"),"CIF")</f>
        <v>CIF</v>
      </c>
      <c r="L2178" s="28" t="str">
        <f aca="false">IFERROR(__xludf.dummyfunction("""COMPUTED_VALUE"""),"Taiwan")</f>
        <v>Taiwan</v>
      </c>
      <c r="M2178" s="27" t="str">
        <f aca="false">IFERROR(__xludf.dummyfunction("""COMPUTED_VALUE"""),"(Diff)")</f>
        <v>(Diff)</v>
      </c>
      <c r="N2178" s="25"/>
      <c r="O2178" s="25"/>
      <c r="P2178" s="25"/>
      <c r="Q2178" s="29" t="s">
        <v>319</v>
      </c>
      <c r="R2178" s="8" t="str">
        <f aca="false">B2178&amp;" "&amp;C2178&amp;" "&amp;D2178&amp;" "&amp;E2178&amp;" "&amp;G2178&amp;" "&amp;H2178&amp;" "&amp;J2178&amp;" "&amp;N2178</f>
        <v>Differentials Graphite     CIF Taiwan (Diff) </v>
      </c>
      <c r="S2178" s="25"/>
      <c r="T2178" s="8"/>
      <c r="U2178" s="8"/>
      <c r="V2178" s="25"/>
      <c r="W2178" s="25"/>
      <c r="X2178" s="25"/>
      <c r="Y2178" s="25"/>
      <c r="Z2178" s="25"/>
      <c r="AA2178" s="25"/>
      <c r="AB2178" s="25"/>
      <c r="AC2178" s="25"/>
      <c r="AD2178" s="25"/>
    </row>
    <row r="2179" customFormat="false" ht="15.75" hidden="false" customHeight="false" outlineLevel="0" collapsed="false">
      <c r="A2179" s="28" t="s">
        <v>2589</v>
      </c>
      <c r="B2179" s="27" t="s">
        <v>438</v>
      </c>
      <c r="C2179" s="27" t="s">
        <v>308</v>
      </c>
      <c r="D2179" s="25"/>
      <c r="E2179" s="25"/>
      <c r="F2179" s="25"/>
      <c r="G2179" s="25"/>
      <c r="H2179" s="25"/>
      <c r="I2179" s="25"/>
      <c r="J2179" s="27" t="s">
        <v>2540</v>
      </c>
      <c r="K2179" s="25" t="str">
        <f aca="false">IFERROR(__xludf.dummyfunction("SPLIT(J2179,"" "")"),"CIF")</f>
        <v>CIF</v>
      </c>
      <c r="L2179" s="28" t="str">
        <f aca="false">IFERROR(__xludf.dummyfunction("""COMPUTED_VALUE"""),"Taiwan")</f>
        <v>Taiwan</v>
      </c>
      <c r="M2179" s="27" t="str">
        <f aca="false">IFERROR(__xludf.dummyfunction("""COMPUTED_VALUE"""),"(Diff)")</f>
        <v>(Diff)</v>
      </c>
      <c r="N2179" s="25"/>
      <c r="O2179" s="25"/>
      <c r="P2179" s="25"/>
      <c r="Q2179" s="29" t="s">
        <v>315</v>
      </c>
      <c r="R2179" s="8" t="str">
        <f aca="false">B2179&amp;" "&amp;C2179&amp;" "&amp;D2179&amp;" "&amp;E2179&amp;" "&amp;G2179&amp;" "&amp;H2179&amp;" "&amp;J2179&amp;" "&amp;N2179</f>
        <v>Differentials Graphite     CIF Taiwan (Diff) </v>
      </c>
      <c r="S2179" s="25"/>
      <c r="T2179" s="8"/>
      <c r="U2179" s="8"/>
      <c r="V2179" s="25"/>
      <c r="W2179" s="25"/>
      <c r="X2179" s="25"/>
      <c r="Y2179" s="25"/>
      <c r="Z2179" s="25"/>
      <c r="AA2179" s="25"/>
      <c r="AB2179" s="25"/>
      <c r="AC2179" s="25"/>
      <c r="AD2179" s="25"/>
    </row>
    <row r="2180" customFormat="false" ht="15.75" hidden="false" customHeight="false" outlineLevel="0" collapsed="false">
      <c r="A2180" s="28" t="s">
        <v>2590</v>
      </c>
      <c r="B2180" s="27" t="s">
        <v>438</v>
      </c>
      <c r="C2180" s="27" t="s">
        <v>308</v>
      </c>
      <c r="D2180" s="25"/>
      <c r="E2180" s="25"/>
      <c r="F2180" s="25"/>
      <c r="G2180" s="25"/>
      <c r="H2180" s="25"/>
      <c r="I2180" s="25"/>
      <c r="J2180" s="27" t="s">
        <v>2540</v>
      </c>
      <c r="K2180" s="25" t="str">
        <f aca="false">IFERROR(__xludf.dummyfunction("SPLIT(J2180,"" "")"),"CIF")</f>
        <v>CIF</v>
      </c>
      <c r="L2180" s="28" t="str">
        <f aca="false">IFERROR(__xludf.dummyfunction("""COMPUTED_VALUE"""),"Taiwan")</f>
        <v>Taiwan</v>
      </c>
      <c r="M2180" s="27" t="str">
        <f aca="false">IFERROR(__xludf.dummyfunction("""COMPUTED_VALUE"""),"(Diff)")</f>
        <v>(Diff)</v>
      </c>
      <c r="N2180" s="25"/>
      <c r="O2180" s="25"/>
      <c r="P2180" s="25"/>
      <c r="Q2180" s="29" t="s">
        <v>311</v>
      </c>
      <c r="R2180" s="8" t="str">
        <f aca="false">B2180&amp;" "&amp;C2180&amp;" "&amp;D2180&amp;" "&amp;E2180&amp;" "&amp;G2180&amp;" "&amp;H2180&amp;" "&amp;J2180&amp;" "&amp;N2180</f>
        <v>Differentials Graphite     CIF Taiwan (Diff) </v>
      </c>
      <c r="S2180" s="25"/>
      <c r="T2180" s="8"/>
      <c r="U2180" s="8"/>
      <c r="V2180" s="25"/>
      <c r="W2180" s="25"/>
      <c r="X2180" s="25"/>
      <c r="Y2180" s="25"/>
      <c r="Z2180" s="25"/>
      <c r="AA2180" s="25"/>
      <c r="AB2180" s="25"/>
      <c r="AC2180" s="25"/>
      <c r="AD2180" s="25"/>
    </row>
    <row r="2181" customFormat="false" ht="15.75" hidden="false" customHeight="false" outlineLevel="0" collapsed="false">
      <c r="A2181" s="28" t="s">
        <v>2591</v>
      </c>
      <c r="B2181" s="27" t="s">
        <v>438</v>
      </c>
      <c r="C2181" s="27" t="s">
        <v>417</v>
      </c>
      <c r="D2181" s="25"/>
      <c r="E2181" s="25"/>
      <c r="F2181" s="25"/>
      <c r="G2181" s="25"/>
      <c r="H2181" s="25"/>
      <c r="I2181" s="25"/>
      <c r="J2181" s="27" t="s">
        <v>2540</v>
      </c>
      <c r="K2181" s="25" t="str">
        <f aca="false">IFERROR(__xludf.dummyfunction("SPLIT(J2181,"" "")"),"CIF")</f>
        <v>CIF</v>
      </c>
      <c r="L2181" s="28" t="str">
        <f aca="false">IFERROR(__xludf.dummyfunction("""COMPUTED_VALUE"""),"Taiwan")</f>
        <v>Taiwan</v>
      </c>
      <c r="M2181" s="27" t="str">
        <f aca="false">IFERROR(__xludf.dummyfunction("""COMPUTED_VALUE"""),"(Diff)")</f>
        <v>(Diff)</v>
      </c>
      <c r="N2181" s="25"/>
      <c r="O2181" s="25"/>
      <c r="P2181" s="25"/>
      <c r="Q2181" s="29" t="s">
        <v>436</v>
      </c>
      <c r="R2181" s="8" t="str">
        <f aca="false">B2181&amp;" "&amp;C2181&amp;" "&amp;D2181&amp;" "&amp;E2181&amp;" "&amp;G2181&amp;" "&amp;H2181&amp;" "&amp;J2181&amp;" "&amp;N2181</f>
        <v>Differentials Solvent     CIF Taiwan (Diff) </v>
      </c>
      <c r="S2181" s="25"/>
      <c r="T2181" s="8"/>
      <c r="U2181" s="8"/>
      <c r="V2181" s="25"/>
      <c r="W2181" s="25"/>
      <c r="X2181" s="25"/>
      <c r="Y2181" s="25"/>
      <c r="Z2181" s="25"/>
      <c r="AA2181" s="25"/>
      <c r="AB2181" s="25"/>
      <c r="AC2181" s="25"/>
      <c r="AD2181" s="25"/>
    </row>
    <row r="2182" customFormat="false" ht="15.75" hidden="false" customHeight="false" outlineLevel="0" collapsed="false">
      <c r="A2182" s="28" t="s">
        <v>2592</v>
      </c>
      <c r="B2182" s="27" t="s">
        <v>438</v>
      </c>
      <c r="C2182" s="27" t="s">
        <v>417</v>
      </c>
      <c r="D2182" s="25"/>
      <c r="E2182" s="25"/>
      <c r="F2182" s="25"/>
      <c r="G2182" s="25"/>
      <c r="H2182" s="25"/>
      <c r="I2182" s="25"/>
      <c r="J2182" s="27" t="s">
        <v>2540</v>
      </c>
      <c r="K2182" s="25" t="str">
        <f aca="false">IFERROR(__xludf.dummyfunction("SPLIT(J2182,"" "")"),"CIF")</f>
        <v>CIF</v>
      </c>
      <c r="L2182" s="28" t="str">
        <f aca="false">IFERROR(__xludf.dummyfunction("""COMPUTED_VALUE"""),"Taiwan")</f>
        <v>Taiwan</v>
      </c>
      <c r="M2182" s="27" t="str">
        <f aca="false">IFERROR(__xludf.dummyfunction("""COMPUTED_VALUE"""),"(Diff)")</f>
        <v>(Diff)</v>
      </c>
      <c r="N2182" s="25"/>
      <c r="O2182" s="25"/>
      <c r="P2182" s="25"/>
      <c r="Q2182" s="29" t="s">
        <v>434</v>
      </c>
      <c r="R2182" s="8" t="str">
        <f aca="false">B2182&amp;" "&amp;C2182&amp;" "&amp;D2182&amp;" "&amp;E2182&amp;" "&amp;G2182&amp;" "&amp;H2182&amp;" "&amp;J2182&amp;" "&amp;N2182</f>
        <v>Differentials Solvent     CIF Taiwan (Diff) </v>
      </c>
      <c r="S2182" s="25"/>
      <c r="T2182" s="8"/>
      <c r="U2182" s="8"/>
      <c r="V2182" s="25"/>
      <c r="W2182" s="25"/>
      <c r="X2182" s="25"/>
      <c r="Y2182" s="25"/>
      <c r="Z2182" s="25"/>
      <c r="AA2182" s="25"/>
      <c r="AB2182" s="25"/>
      <c r="AC2182" s="25"/>
      <c r="AD2182" s="25"/>
    </row>
    <row r="2183" customFormat="false" ht="15.75" hidden="false" customHeight="false" outlineLevel="0" collapsed="false">
      <c r="A2183" s="28" t="s">
        <v>2593</v>
      </c>
      <c r="B2183" s="27" t="s">
        <v>438</v>
      </c>
      <c r="C2183" s="27" t="s">
        <v>417</v>
      </c>
      <c r="D2183" s="25"/>
      <c r="E2183" s="25"/>
      <c r="F2183" s="25"/>
      <c r="G2183" s="25"/>
      <c r="H2183" s="25"/>
      <c r="I2183" s="25"/>
      <c r="J2183" s="27" t="s">
        <v>2540</v>
      </c>
      <c r="K2183" s="25" t="str">
        <f aca="false">IFERROR(__xludf.dummyfunction("SPLIT(J2183,"" "")"),"CIF")</f>
        <v>CIF</v>
      </c>
      <c r="L2183" s="28" t="str">
        <f aca="false">IFERROR(__xludf.dummyfunction("""COMPUTED_VALUE"""),"Taiwan")</f>
        <v>Taiwan</v>
      </c>
      <c r="M2183" s="27" t="str">
        <f aca="false">IFERROR(__xludf.dummyfunction("""COMPUTED_VALUE"""),"(Diff)")</f>
        <v>(Diff)</v>
      </c>
      <c r="N2183" s="25"/>
      <c r="O2183" s="25"/>
      <c r="P2183" s="25"/>
      <c r="Q2183" s="29" t="s">
        <v>432</v>
      </c>
      <c r="R2183" s="8" t="str">
        <f aca="false">B2183&amp;" "&amp;C2183&amp;" "&amp;D2183&amp;" "&amp;E2183&amp;" "&amp;G2183&amp;" "&amp;H2183&amp;" "&amp;J2183&amp;" "&amp;N2183</f>
        <v>Differentials Solvent     CIF Taiwan (Diff) </v>
      </c>
      <c r="S2183" s="25"/>
      <c r="T2183" s="8"/>
      <c r="U2183" s="8"/>
      <c r="V2183" s="25"/>
      <c r="W2183" s="25"/>
      <c r="X2183" s="25"/>
      <c r="Y2183" s="25"/>
      <c r="Z2183" s="25"/>
      <c r="AA2183" s="25"/>
      <c r="AB2183" s="25"/>
      <c r="AC2183" s="25"/>
      <c r="AD2183" s="25"/>
    </row>
    <row r="2184" customFormat="false" ht="15.75" hidden="false" customHeight="false" outlineLevel="0" collapsed="false">
      <c r="A2184" s="28" t="s">
        <v>2594</v>
      </c>
      <c r="B2184" s="27" t="s">
        <v>438</v>
      </c>
      <c r="C2184" s="27" t="s">
        <v>417</v>
      </c>
      <c r="D2184" s="25"/>
      <c r="E2184" s="25"/>
      <c r="F2184" s="25"/>
      <c r="G2184" s="25"/>
      <c r="H2184" s="25"/>
      <c r="I2184" s="25"/>
      <c r="J2184" s="27" t="s">
        <v>2540</v>
      </c>
      <c r="K2184" s="25" t="str">
        <f aca="false">IFERROR(__xludf.dummyfunction("SPLIT(J2184,"" "")"),"CIF")</f>
        <v>CIF</v>
      </c>
      <c r="L2184" s="28" t="str">
        <f aca="false">IFERROR(__xludf.dummyfunction("""COMPUTED_VALUE"""),"Taiwan")</f>
        <v>Taiwan</v>
      </c>
      <c r="M2184" s="27" t="str">
        <f aca="false">IFERROR(__xludf.dummyfunction("""COMPUTED_VALUE"""),"(Diff)")</f>
        <v>(Diff)</v>
      </c>
      <c r="N2184" s="25"/>
      <c r="O2184" s="25"/>
      <c r="P2184" s="25"/>
      <c r="Q2184" s="29" t="s">
        <v>430</v>
      </c>
      <c r="R2184" s="8" t="str">
        <f aca="false">B2184&amp;" "&amp;C2184&amp;" "&amp;D2184&amp;" "&amp;E2184&amp;" "&amp;G2184&amp;" "&amp;H2184&amp;" "&amp;J2184&amp;" "&amp;N2184</f>
        <v>Differentials Solvent     CIF Taiwan (Diff) </v>
      </c>
      <c r="S2184" s="25"/>
      <c r="T2184" s="8"/>
      <c r="U2184" s="8"/>
      <c r="V2184" s="25"/>
      <c r="W2184" s="25"/>
      <c r="X2184" s="25"/>
      <c r="Y2184" s="25"/>
      <c r="Z2184" s="25"/>
      <c r="AA2184" s="25"/>
      <c r="AB2184" s="25"/>
      <c r="AC2184" s="25"/>
      <c r="AD2184" s="25"/>
    </row>
    <row r="2185" customFormat="false" ht="15.75" hidden="false" customHeight="false" outlineLevel="0" collapsed="false">
      <c r="A2185" s="28" t="s">
        <v>2595</v>
      </c>
      <c r="B2185" s="27" t="s">
        <v>438</v>
      </c>
      <c r="C2185" s="27" t="s">
        <v>417</v>
      </c>
      <c r="D2185" s="25"/>
      <c r="E2185" s="25"/>
      <c r="F2185" s="25"/>
      <c r="G2185" s="25"/>
      <c r="H2185" s="25"/>
      <c r="I2185" s="25"/>
      <c r="J2185" s="27" t="s">
        <v>2540</v>
      </c>
      <c r="K2185" s="25" t="str">
        <f aca="false">IFERROR(__xludf.dummyfunction("SPLIT(J2185,"" "")"),"CIF")</f>
        <v>CIF</v>
      </c>
      <c r="L2185" s="28" t="str">
        <f aca="false">IFERROR(__xludf.dummyfunction("""COMPUTED_VALUE"""),"Taiwan")</f>
        <v>Taiwan</v>
      </c>
      <c r="M2185" s="27" t="str">
        <f aca="false">IFERROR(__xludf.dummyfunction("""COMPUTED_VALUE"""),"(Diff)")</f>
        <v>(Diff)</v>
      </c>
      <c r="N2185" s="25"/>
      <c r="O2185" s="25"/>
      <c r="P2185" s="25"/>
      <c r="Q2185" s="29" t="s">
        <v>428</v>
      </c>
      <c r="R2185" s="8" t="str">
        <f aca="false">B2185&amp;" "&amp;C2185&amp;" "&amp;D2185&amp;" "&amp;E2185&amp;" "&amp;G2185&amp;" "&amp;H2185&amp;" "&amp;J2185&amp;" "&amp;N2185</f>
        <v>Differentials Solvent     CIF Taiwan (Diff) </v>
      </c>
      <c r="S2185" s="25"/>
      <c r="T2185" s="8"/>
      <c r="U2185" s="8"/>
      <c r="V2185" s="25"/>
      <c r="W2185" s="25"/>
      <c r="X2185" s="25"/>
      <c r="Y2185" s="25"/>
      <c r="Z2185" s="25"/>
      <c r="AA2185" s="25"/>
      <c r="AB2185" s="25"/>
      <c r="AC2185" s="25"/>
      <c r="AD2185" s="25"/>
    </row>
    <row r="2186" customFormat="false" ht="15.75" hidden="false" customHeight="false" outlineLevel="0" collapsed="false">
      <c r="A2186" s="28" t="s">
        <v>2596</v>
      </c>
      <c r="B2186" s="27" t="s">
        <v>438</v>
      </c>
      <c r="C2186" s="27" t="s">
        <v>417</v>
      </c>
      <c r="D2186" s="25"/>
      <c r="E2186" s="25"/>
      <c r="F2186" s="25"/>
      <c r="G2186" s="25"/>
      <c r="H2186" s="25"/>
      <c r="I2186" s="25"/>
      <c r="J2186" s="27" t="s">
        <v>2540</v>
      </c>
      <c r="K2186" s="25" t="str">
        <f aca="false">IFERROR(__xludf.dummyfunction("SPLIT(J2186,"" "")"),"CIF")</f>
        <v>CIF</v>
      </c>
      <c r="L2186" s="28" t="str">
        <f aca="false">IFERROR(__xludf.dummyfunction("""COMPUTED_VALUE"""),"Taiwan")</f>
        <v>Taiwan</v>
      </c>
      <c r="M2186" s="27" t="str">
        <f aca="false">IFERROR(__xludf.dummyfunction("""COMPUTED_VALUE"""),"(Diff)")</f>
        <v>(Diff)</v>
      </c>
      <c r="N2186" s="25"/>
      <c r="O2186" s="25"/>
      <c r="P2186" s="25"/>
      <c r="Q2186" s="29" t="s">
        <v>426</v>
      </c>
      <c r="R2186" s="8" t="str">
        <f aca="false">B2186&amp;" "&amp;C2186&amp;" "&amp;D2186&amp;" "&amp;E2186&amp;" "&amp;G2186&amp;" "&amp;H2186&amp;" "&amp;J2186&amp;" "&amp;N2186</f>
        <v>Differentials Solvent     CIF Taiwan (Diff) </v>
      </c>
      <c r="S2186" s="25"/>
      <c r="T2186" s="8"/>
      <c r="U2186" s="8"/>
      <c r="V2186" s="25"/>
      <c r="W2186" s="25"/>
      <c r="X2186" s="25"/>
      <c r="Y2186" s="25"/>
      <c r="Z2186" s="25"/>
      <c r="AA2186" s="25"/>
      <c r="AB2186" s="25"/>
      <c r="AC2186" s="25"/>
      <c r="AD2186" s="25"/>
    </row>
    <row r="2187" customFormat="false" ht="15.75" hidden="false" customHeight="false" outlineLevel="0" collapsed="false">
      <c r="A2187" s="28" t="s">
        <v>2597</v>
      </c>
      <c r="B2187" s="27" t="s">
        <v>438</v>
      </c>
      <c r="C2187" s="27" t="s">
        <v>417</v>
      </c>
      <c r="D2187" s="25"/>
      <c r="E2187" s="25"/>
      <c r="F2187" s="25"/>
      <c r="G2187" s="25"/>
      <c r="H2187" s="25"/>
      <c r="I2187" s="25"/>
      <c r="J2187" s="27" t="s">
        <v>2540</v>
      </c>
      <c r="K2187" s="25" t="str">
        <f aca="false">IFERROR(__xludf.dummyfunction("SPLIT(J2187,"" "")"),"CIF")</f>
        <v>CIF</v>
      </c>
      <c r="L2187" s="28" t="str">
        <f aca="false">IFERROR(__xludf.dummyfunction("""COMPUTED_VALUE"""),"Taiwan")</f>
        <v>Taiwan</v>
      </c>
      <c r="M2187" s="27" t="str">
        <f aca="false">IFERROR(__xludf.dummyfunction("""COMPUTED_VALUE"""),"(Diff)")</f>
        <v>(Diff)</v>
      </c>
      <c r="N2187" s="25"/>
      <c r="O2187" s="25"/>
      <c r="P2187" s="25"/>
      <c r="Q2187" s="29" t="s">
        <v>424</v>
      </c>
      <c r="R2187" s="8" t="str">
        <f aca="false">B2187&amp;" "&amp;C2187&amp;" "&amp;D2187&amp;" "&amp;E2187&amp;" "&amp;G2187&amp;" "&amp;H2187&amp;" "&amp;J2187&amp;" "&amp;N2187</f>
        <v>Differentials Solvent     CIF Taiwan (Diff) </v>
      </c>
      <c r="S2187" s="25"/>
      <c r="T2187" s="8"/>
      <c r="U2187" s="8"/>
      <c r="V2187" s="25"/>
      <c r="W2187" s="25"/>
      <c r="X2187" s="25"/>
      <c r="Y2187" s="25"/>
      <c r="Z2187" s="25"/>
      <c r="AA2187" s="25"/>
      <c r="AB2187" s="25"/>
      <c r="AC2187" s="25"/>
      <c r="AD2187" s="25"/>
    </row>
    <row r="2188" customFormat="false" ht="15.75" hidden="false" customHeight="false" outlineLevel="0" collapsed="false">
      <c r="A2188" s="28" t="s">
        <v>2598</v>
      </c>
      <c r="B2188" s="27" t="s">
        <v>438</v>
      </c>
      <c r="C2188" s="27" t="s">
        <v>417</v>
      </c>
      <c r="D2188" s="25"/>
      <c r="E2188" s="25"/>
      <c r="F2188" s="25"/>
      <c r="G2188" s="25"/>
      <c r="H2188" s="25"/>
      <c r="I2188" s="25"/>
      <c r="J2188" s="27" t="s">
        <v>2540</v>
      </c>
      <c r="K2188" s="25" t="str">
        <f aca="false">IFERROR(__xludf.dummyfunction("SPLIT(J2188,"" "")"),"CIF")</f>
        <v>CIF</v>
      </c>
      <c r="L2188" s="28" t="str">
        <f aca="false">IFERROR(__xludf.dummyfunction("""COMPUTED_VALUE"""),"Taiwan")</f>
        <v>Taiwan</v>
      </c>
      <c r="M2188" s="27" t="str">
        <f aca="false">IFERROR(__xludf.dummyfunction("""COMPUTED_VALUE"""),"(Diff)")</f>
        <v>(Diff)</v>
      </c>
      <c r="N2188" s="25"/>
      <c r="O2188" s="25"/>
      <c r="P2188" s="25"/>
      <c r="Q2188" s="29" t="s">
        <v>422</v>
      </c>
      <c r="R2188" s="8" t="str">
        <f aca="false">B2188&amp;" "&amp;C2188&amp;" "&amp;D2188&amp;" "&amp;E2188&amp;" "&amp;G2188&amp;" "&amp;H2188&amp;" "&amp;J2188&amp;" "&amp;N2188</f>
        <v>Differentials Solvent     CIF Taiwan (Diff) </v>
      </c>
      <c r="S2188" s="25"/>
      <c r="T2188" s="8"/>
      <c r="U2188" s="8"/>
      <c r="V2188" s="25"/>
      <c r="W2188" s="25"/>
      <c r="X2188" s="25"/>
      <c r="Y2188" s="25"/>
      <c r="Z2188" s="25"/>
      <c r="AA2188" s="25"/>
      <c r="AB2188" s="25"/>
      <c r="AC2188" s="25"/>
      <c r="AD2188" s="25"/>
    </row>
    <row r="2189" customFormat="false" ht="15.75" hidden="false" customHeight="false" outlineLevel="0" collapsed="false">
      <c r="A2189" s="28" t="s">
        <v>2599</v>
      </c>
      <c r="B2189" s="27" t="s">
        <v>438</v>
      </c>
      <c r="C2189" s="27" t="s">
        <v>417</v>
      </c>
      <c r="D2189" s="25"/>
      <c r="E2189" s="25"/>
      <c r="F2189" s="25"/>
      <c r="G2189" s="25"/>
      <c r="H2189" s="25"/>
      <c r="I2189" s="25"/>
      <c r="J2189" s="27" t="s">
        <v>2540</v>
      </c>
      <c r="K2189" s="25" t="str">
        <f aca="false">IFERROR(__xludf.dummyfunction("SPLIT(J2189,"" "")"),"CIF")</f>
        <v>CIF</v>
      </c>
      <c r="L2189" s="28" t="str">
        <f aca="false">IFERROR(__xludf.dummyfunction("""COMPUTED_VALUE"""),"Taiwan")</f>
        <v>Taiwan</v>
      </c>
      <c r="M2189" s="27" t="str">
        <f aca="false">IFERROR(__xludf.dummyfunction("""COMPUTED_VALUE"""),"(Diff)")</f>
        <v>(Diff)</v>
      </c>
      <c r="N2189" s="25"/>
      <c r="O2189" s="25"/>
      <c r="P2189" s="25"/>
      <c r="Q2189" s="29" t="s">
        <v>420</v>
      </c>
      <c r="R2189" s="8" t="str">
        <f aca="false">B2189&amp;" "&amp;C2189&amp;" "&amp;D2189&amp;" "&amp;E2189&amp;" "&amp;G2189&amp;" "&amp;H2189&amp;" "&amp;J2189&amp;" "&amp;N2189</f>
        <v>Differentials Solvent     CIF Taiwan (Diff) </v>
      </c>
      <c r="S2189" s="25"/>
      <c r="T2189" s="8"/>
      <c r="U2189" s="8"/>
      <c r="V2189" s="25"/>
      <c r="W2189" s="25"/>
      <c r="X2189" s="25"/>
      <c r="Y2189" s="25"/>
      <c r="Z2189" s="25"/>
      <c r="AA2189" s="25"/>
      <c r="AB2189" s="25"/>
      <c r="AC2189" s="25"/>
      <c r="AD2189" s="25"/>
    </row>
    <row r="2190" customFormat="false" ht="15.75" hidden="false" customHeight="false" outlineLevel="0" collapsed="false">
      <c r="A2190" s="28" t="s">
        <v>2600</v>
      </c>
      <c r="B2190" s="27" t="s">
        <v>438</v>
      </c>
      <c r="C2190" s="27" t="s">
        <v>417</v>
      </c>
      <c r="D2190" s="25"/>
      <c r="E2190" s="25"/>
      <c r="F2190" s="25"/>
      <c r="G2190" s="25"/>
      <c r="H2190" s="25"/>
      <c r="I2190" s="25"/>
      <c r="J2190" s="27" t="s">
        <v>2540</v>
      </c>
      <c r="K2190" s="25" t="str">
        <f aca="false">IFERROR(__xludf.dummyfunction("SPLIT(J2190,"" "")"),"CIF")</f>
        <v>CIF</v>
      </c>
      <c r="L2190" s="28" t="str">
        <f aca="false">IFERROR(__xludf.dummyfunction("""COMPUTED_VALUE"""),"Taiwan")</f>
        <v>Taiwan</v>
      </c>
      <c r="M2190" s="27" t="str">
        <f aca="false">IFERROR(__xludf.dummyfunction("""COMPUTED_VALUE"""),"(Diff)")</f>
        <v>(Diff)</v>
      </c>
      <c r="N2190" s="25"/>
      <c r="O2190" s="25"/>
      <c r="P2190" s="25"/>
      <c r="Q2190" s="29" t="s">
        <v>418</v>
      </c>
      <c r="R2190" s="8" t="str">
        <f aca="false">B2190&amp;" "&amp;C2190&amp;" "&amp;D2190&amp;" "&amp;E2190&amp;" "&amp;G2190&amp;" "&amp;H2190&amp;" "&amp;J2190&amp;" "&amp;N2190</f>
        <v>Differentials Solvent     CIF Taiwan (Diff) </v>
      </c>
      <c r="S2190" s="25"/>
      <c r="T2190" s="8"/>
      <c r="U2190" s="8"/>
      <c r="V2190" s="25"/>
      <c r="W2190" s="25"/>
      <c r="X2190" s="25"/>
      <c r="Y2190" s="25"/>
      <c r="Z2190" s="25"/>
      <c r="AA2190" s="25"/>
      <c r="AB2190" s="25"/>
      <c r="AC2190" s="25"/>
      <c r="AD2190" s="25"/>
    </row>
    <row r="2191" customFormat="false" ht="15.75" hidden="false" customHeight="false" outlineLevel="0" collapsed="false">
      <c r="A2191" s="28" t="s">
        <v>2601</v>
      </c>
      <c r="B2191" s="27" t="s">
        <v>438</v>
      </c>
      <c r="C2191" s="27" t="s">
        <v>360</v>
      </c>
      <c r="D2191" s="25"/>
      <c r="E2191" s="25"/>
      <c r="F2191" s="25"/>
      <c r="G2191" s="25"/>
      <c r="H2191" s="25"/>
      <c r="I2191" s="25"/>
      <c r="J2191" s="27" t="s">
        <v>2602</v>
      </c>
      <c r="K2191" s="25" t="str">
        <f aca="false">IFERROR(__xludf.dummyfunction("SPLIT(J2191,"" "")"),"CIF")</f>
        <v>CIF</v>
      </c>
      <c r="L2191" s="28" t="str">
        <f aca="false">IFERROR(__xludf.dummyfunction("""COMPUTED_VALUE"""),"Taiwan,")</f>
        <v>Taiwan,</v>
      </c>
      <c r="M2191" s="27" t="str">
        <f aca="false">IFERROR(__xludf.dummyfunction("""COMPUTED_VALUE"""),"(Diff)")</f>
        <v>(Diff)</v>
      </c>
      <c r="N2191" s="25"/>
      <c r="O2191" s="25"/>
      <c r="P2191" s="25"/>
      <c r="Q2191" s="29" t="s">
        <v>368</v>
      </c>
      <c r="R2191" s="8" t="str">
        <f aca="false">B2191&amp;" "&amp;C2191&amp;" "&amp;D2191&amp;" "&amp;E2191&amp;" "&amp;G2191&amp;" "&amp;H2191&amp;" "&amp;J2191&amp;" "&amp;N2191</f>
        <v>Differentials Lithium     CIF Taiwan, (Diff) </v>
      </c>
      <c r="S2191" s="25"/>
      <c r="T2191" s="8"/>
      <c r="U2191" s="8"/>
      <c r="V2191" s="25"/>
      <c r="W2191" s="25"/>
      <c r="X2191" s="25"/>
      <c r="Y2191" s="25"/>
      <c r="Z2191" s="25"/>
      <c r="AA2191" s="25"/>
      <c r="AB2191" s="25"/>
      <c r="AC2191" s="25"/>
      <c r="AD2191" s="25"/>
    </row>
    <row r="2192" customFormat="false" ht="15.75" hidden="false" customHeight="false" outlineLevel="0" collapsed="false">
      <c r="A2192" s="28" t="s">
        <v>2603</v>
      </c>
      <c r="B2192" s="27" t="s">
        <v>438</v>
      </c>
      <c r="C2192" s="27" t="s">
        <v>360</v>
      </c>
      <c r="D2192" s="25"/>
      <c r="E2192" s="25"/>
      <c r="F2192" s="25"/>
      <c r="G2192" s="25"/>
      <c r="H2192" s="25"/>
      <c r="I2192" s="25"/>
      <c r="J2192" s="27" t="s">
        <v>2602</v>
      </c>
      <c r="K2192" s="25" t="str">
        <f aca="false">IFERROR(__xludf.dummyfunction("SPLIT(J2192,"" "")"),"CIF")</f>
        <v>CIF</v>
      </c>
      <c r="L2192" s="28" t="str">
        <f aca="false">IFERROR(__xludf.dummyfunction("""COMPUTED_VALUE"""),"Taiwan,")</f>
        <v>Taiwan,</v>
      </c>
      <c r="M2192" s="27" t="str">
        <f aca="false">IFERROR(__xludf.dummyfunction("""COMPUTED_VALUE"""),"(Diff)")</f>
        <v>(Diff)</v>
      </c>
      <c r="N2192" s="25"/>
      <c r="O2192" s="25"/>
      <c r="P2192" s="25"/>
      <c r="Q2192" s="29" t="s">
        <v>366</v>
      </c>
      <c r="R2192" s="8" t="str">
        <f aca="false">B2192&amp;" "&amp;C2192&amp;" "&amp;D2192&amp;" "&amp;E2192&amp;" "&amp;G2192&amp;" "&amp;H2192&amp;" "&amp;J2192&amp;" "&amp;N2192</f>
        <v>Differentials Lithium     CIF Taiwan, (Diff) </v>
      </c>
      <c r="S2192" s="25"/>
      <c r="T2192" s="8"/>
      <c r="U2192" s="8"/>
      <c r="V2192" s="25"/>
      <c r="W2192" s="25"/>
      <c r="X2192" s="25"/>
      <c r="Y2192" s="25"/>
      <c r="Z2192" s="25"/>
      <c r="AA2192" s="25"/>
      <c r="AB2192" s="25"/>
      <c r="AC2192" s="25"/>
      <c r="AD2192" s="25"/>
    </row>
    <row r="2193" customFormat="false" ht="15.75" hidden="false" customHeight="false" outlineLevel="0" collapsed="false">
      <c r="A2193" s="28" t="s">
        <v>2604</v>
      </c>
      <c r="B2193" s="27" t="s">
        <v>438</v>
      </c>
      <c r="C2193" s="27" t="s">
        <v>360</v>
      </c>
      <c r="D2193" s="25"/>
      <c r="E2193" s="25"/>
      <c r="F2193" s="25"/>
      <c r="G2193" s="25"/>
      <c r="H2193" s="25"/>
      <c r="I2193" s="25"/>
      <c r="J2193" s="27" t="s">
        <v>2602</v>
      </c>
      <c r="K2193" s="25" t="str">
        <f aca="false">IFERROR(__xludf.dummyfunction("SPLIT(J2193,"" "")"),"CIF")</f>
        <v>CIF</v>
      </c>
      <c r="L2193" s="28" t="str">
        <f aca="false">IFERROR(__xludf.dummyfunction("""COMPUTED_VALUE"""),"Taiwan,")</f>
        <v>Taiwan,</v>
      </c>
      <c r="M2193" s="27" t="str">
        <f aca="false">IFERROR(__xludf.dummyfunction("""COMPUTED_VALUE"""),"(Diff)")</f>
        <v>(Diff)</v>
      </c>
      <c r="N2193" s="25"/>
      <c r="O2193" s="25"/>
      <c r="P2193" s="25"/>
      <c r="Q2193" s="29" t="s">
        <v>361</v>
      </c>
      <c r="R2193" s="8" t="str">
        <f aca="false">B2193&amp;" "&amp;C2193&amp;" "&amp;D2193&amp;" "&amp;E2193&amp;" "&amp;G2193&amp;" "&amp;H2193&amp;" "&amp;J2193&amp;" "&amp;N2193</f>
        <v>Differentials Lithium     CIF Taiwan, (Diff) </v>
      </c>
      <c r="S2193" s="25"/>
      <c r="T2193" s="8"/>
      <c r="U2193" s="8"/>
      <c r="V2193" s="25"/>
      <c r="W2193" s="25"/>
      <c r="X2193" s="25"/>
      <c r="Y2193" s="25"/>
      <c r="Z2193" s="25"/>
      <c r="AA2193" s="25"/>
      <c r="AB2193" s="25"/>
      <c r="AC2193" s="25"/>
      <c r="AD2193" s="25"/>
    </row>
    <row r="2194" customFormat="false" ht="15.75" hidden="false" customHeight="false" outlineLevel="0" collapsed="false">
      <c r="A2194" s="28" t="s">
        <v>2605</v>
      </c>
      <c r="B2194" s="27" t="s">
        <v>438</v>
      </c>
      <c r="C2194" s="27" t="s">
        <v>360</v>
      </c>
      <c r="D2194" s="25"/>
      <c r="E2194" s="25"/>
      <c r="F2194" s="25"/>
      <c r="G2194" s="25"/>
      <c r="H2194" s="25"/>
      <c r="I2194" s="25"/>
      <c r="J2194" s="27" t="s">
        <v>2602</v>
      </c>
      <c r="K2194" s="25" t="str">
        <f aca="false">IFERROR(__xludf.dummyfunction("SPLIT(J2194,"" "")"),"CIF")</f>
        <v>CIF</v>
      </c>
      <c r="L2194" s="28" t="str">
        <f aca="false">IFERROR(__xludf.dummyfunction("""COMPUTED_VALUE"""),"Taiwan,")</f>
        <v>Taiwan,</v>
      </c>
      <c r="M2194" s="27" t="str">
        <f aca="false">IFERROR(__xludf.dummyfunction("""COMPUTED_VALUE"""),"(Diff)")</f>
        <v>(Diff)</v>
      </c>
      <c r="N2194" s="25"/>
      <c r="O2194" s="25"/>
      <c r="P2194" s="25"/>
      <c r="Q2194" s="29" t="s">
        <v>363</v>
      </c>
      <c r="R2194" s="8" t="str">
        <f aca="false">B2194&amp;" "&amp;C2194&amp;" "&amp;D2194&amp;" "&amp;E2194&amp;" "&amp;G2194&amp;" "&amp;H2194&amp;" "&amp;J2194&amp;" "&amp;N2194</f>
        <v>Differentials Lithium     CIF Taiwan, (Diff) </v>
      </c>
      <c r="S2194" s="25"/>
      <c r="T2194" s="8"/>
      <c r="U2194" s="8"/>
      <c r="V2194" s="25"/>
      <c r="W2194" s="25"/>
      <c r="X2194" s="25"/>
      <c r="Y2194" s="25"/>
      <c r="Z2194" s="25"/>
      <c r="AA2194" s="25"/>
      <c r="AB2194" s="25"/>
      <c r="AC2194" s="25"/>
      <c r="AD2194" s="25"/>
    </row>
    <row r="2195" customFormat="false" ht="15.75" hidden="false" customHeight="false" outlineLevel="0" collapsed="false">
      <c r="A2195" s="28" t="s">
        <v>2606</v>
      </c>
      <c r="B2195" s="27" t="s">
        <v>438</v>
      </c>
      <c r="C2195" s="27" t="s">
        <v>360</v>
      </c>
      <c r="D2195" s="25"/>
      <c r="E2195" s="25"/>
      <c r="F2195" s="25"/>
      <c r="G2195" s="25"/>
      <c r="H2195" s="25"/>
      <c r="I2195" s="25"/>
      <c r="J2195" s="27" t="s">
        <v>2602</v>
      </c>
      <c r="K2195" s="25" t="str">
        <f aca="false">IFERROR(__xludf.dummyfunction("SPLIT(J2195,"" "")"),"CIF")</f>
        <v>CIF</v>
      </c>
      <c r="L2195" s="28" t="str">
        <f aca="false">IFERROR(__xludf.dummyfunction("""COMPUTED_VALUE"""),"Taiwan,")</f>
        <v>Taiwan,</v>
      </c>
      <c r="M2195" s="27" t="str">
        <f aca="false">IFERROR(__xludf.dummyfunction("""COMPUTED_VALUE"""),"(Diff)")</f>
        <v>(Diff)</v>
      </c>
      <c r="N2195" s="25"/>
      <c r="O2195" s="25"/>
      <c r="P2195" s="25"/>
      <c r="Q2195" s="29" t="s">
        <v>361</v>
      </c>
      <c r="R2195" s="8" t="str">
        <f aca="false">B2195&amp;" "&amp;C2195&amp;" "&amp;D2195&amp;" "&amp;E2195&amp;" "&amp;G2195&amp;" "&amp;H2195&amp;" "&amp;J2195&amp;" "&amp;N2195</f>
        <v>Differentials Lithium     CIF Taiwan, (Diff) </v>
      </c>
      <c r="S2195" s="25"/>
      <c r="T2195" s="8"/>
      <c r="U2195" s="8"/>
      <c r="V2195" s="25"/>
      <c r="W2195" s="25"/>
      <c r="X2195" s="25"/>
      <c r="Y2195" s="25"/>
      <c r="Z2195" s="25"/>
      <c r="AA2195" s="25"/>
      <c r="AB2195" s="25"/>
      <c r="AC2195" s="25"/>
      <c r="AD2195" s="25"/>
    </row>
    <row r="2196" customFormat="false" ht="15.75" hidden="false" customHeight="false" outlineLevel="0" collapsed="false">
      <c r="A2196" s="28" t="s">
        <v>2607</v>
      </c>
      <c r="B2196" s="27" t="s">
        <v>438</v>
      </c>
      <c r="C2196" s="27" t="s">
        <v>383</v>
      </c>
      <c r="D2196" s="25"/>
      <c r="E2196" s="25"/>
      <c r="F2196" s="25"/>
      <c r="G2196" s="25"/>
      <c r="H2196" s="25"/>
      <c r="I2196" s="25"/>
      <c r="J2196" s="27" t="s">
        <v>2602</v>
      </c>
      <c r="K2196" s="25" t="str">
        <f aca="false">IFERROR(__xludf.dummyfunction("SPLIT(J2196,"" "")"),"CIF")</f>
        <v>CIF</v>
      </c>
      <c r="L2196" s="28" t="str">
        <f aca="false">IFERROR(__xludf.dummyfunction("""COMPUTED_VALUE"""),"Taiwan,")</f>
        <v>Taiwan,</v>
      </c>
      <c r="M2196" s="27" t="str">
        <f aca="false">IFERROR(__xludf.dummyfunction("""COMPUTED_VALUE"""),"(Diff)")</f>
        <v>(Diff)</v>
      </c>
      <c r="N2196" s="25"/>
      <c r="O2196" s="25"/>
      <c r="P2196" s="25"/>
      <c r="Q2196" s="29" t="s">
        <v>406</v>
      </c>
      <c r="R2196" s="8" t="str">
        <f aca="false">B2196&amp;" "&amp;C2196&amp;" "&amp;D2196&amp;" "&amp;E2196&amp;" "&amp;G2196&amp;" "&amp;H2196&amp;" "&amp;J2196&amp;" "&amp;N2196</f>
        <v>Differentials Precursor     CIF Taiwan, (Diff) </v>
      </c>
      <c r="S2196" s="25"/>
      <c r="T2196" s="8"/>
      <c r="U2196" s="8"/>
      <c r="V2196" s="25"/>
      <c r="W2196" s="25"/>
      <c r="X2196" s="25"/>
      <c r="Y2196" s="25"/>
      <c r="Z2196" s="25"/>
      <c r="AA2196" s="25"/>
      <c r="AB2196" s="25"/>
      <c r="AC2196" s="25"/>
      <c r="AD2196" s="25"/>
    </row>
    <row r="2197" customFormat="false" ht="15.75" hidden="false" customHeight="false" outlineLevel="0" collapsed="false">
      <c r="A2197" s="28" t="s">
        <v>2608</v>
      </c>
      <c r="B2197" s="27" t="s">
        <v>438</v>
      </c>
      <c r="C2197" s="27" t="s">
        <v>383</v>
      </c>
      <c r="D2197" s="25"/>
      <c r="E2197" s="25"/>
      <c r="F2197" s="25"/>
      <c r="G2197" s="25"/>
      <c r="H2197" s="25"/>
      <c r="I2197" s="25"/>
      <c r="J2197" s="27" t="s">
        <v>2602</v>
      </c>
      <c r="K2197" s="25" t="str">
        <f aca="false">IFERROR(__xludf.dummyfunction("SPLIT(J2197,"" "")"),"CIF")</f>
        <v>CIF</v>
      </c>
      <c r="L2197" s="28" t="str">
        <f aca="false">IFERROR(__xludf.dummyfunction("""COMPUTED_VALUE"""),"Taiwan,")</f>
        <v>Taiwan,</v>
      </c>
      <c r="M2197" s="27" t="str">
        <f aca="false">IFERROR(__xludf.dummyfunction("""COMPUTED_VALUE"""),"(Diff)")</f>
        <v>(Diff)</v>
      </c>
      <c r="N2197" s="25"/>
      <c r="O2197" s="25"/>
      <c r="P2197" s="25"/>
      <c r="Q2197" s="29" t="s">
        <v>404</v>
      </c>
      <c r="R2197" s="8" t="str">
        <f aca="false">B2197&amp;" "&amp;C2197&amp;" "&amp;D2197&amp;" "&amp;E2197&amp;" "&amp;G2197&amp;" "&amp;H2197&amp;" "&amp;J2197&amp;" "&amp;N2197</f>
        <v>Differentials Precursor     CIF Taiwan, (Diff) </v>
      </c>
      <c r="S2197" s="25"/>
      <c r="T2197" s="8"/>
      <c r="U2197" s="8"/>
      <c r="V2197" s="25"/>
      <c r="W2197" s="25"/>
      <c r="X2197" s="25"/>
      <c r="Y2197" s="25"/>
      <c r="Z2197" s="25"/>
      <c r="AA2197" s="25"/>
      <c r="AB2197" s="25"/>
      <c r="AC2197" s="25"/>
      <c r="AD2197" s="25"/>
    </row>
    <row r="2198" customFormat="false" ht="15.75" hidden="false" customHeight="false" outlineLevel="0" collapsed="false">
      <c r="A2198" s="28" t="s">
        <v>2609</v>
      </c>
      <c r="B2198" s="27" t="s">
        <v>438</v>
      </c>
      <c r="C2198" s="27" t="s">
        <v>383</v>
      </c>
      <c r="D2198" s="25"/>
      <c r="E2198" s="25"/>
      <c r="F2198" s="25"/>
      <c r="G2198" s="25"/>
      <c r="H2198" s="25"/>
      <c r="I2198" s="25"/>
      <c r="J2198" s="27" t="s">
        <v>2602</v>
      </c>
      <c r="K2198" s="25" t="str">
        <f aca="false">IFERROR(__xludf.dummyfunction("SPLIT(J2198,"" "")"),"CIF")</f>
        <v>CIF</v>
      </c>
      <c r="L2198" s="28" t="str">
        <f aca="false">IFERROR(__xludf.dummyfunction("""COMPUTED_VALUE"""),"Taiwan,")</f>
        <v>Taiwan,</v>
      </c>
      <c r="M2198" s="27" t="str">
        <f aca="false">IFERROR(__xludf.dummyfunction("""COMPUTED_VALUE"""),"(Diff)")</f>
        <v>(Diff)</v>
      </c>
      <c r="N2198" s="25"/>
      <c r="O2198" s="25"/>
      <c r="P2198" s="25"/>
      <c r="Q2198" s="29" t="s">
        <v>402</v>
      </c>
      <c r="R2198" s="8" t="str">
        <f aca="false">B2198&amp;" "&amp;C2198&amp;" "&amp;D2198&amp;" "&amp;E2198&amp;" "&amp;G2198&amp;" "&amp;H2198&amp;" "&amp;J2198&amp;" "&amp;N2198</f>
        <v>Differentials Precursor     CIF Taiwan, (Diff) </v>
      </c>
      <c r="S2198" s="25"/>
      <c r="T2198" s="8"/>
      <c r="U2198" s="8"/>
      <c r="V2198" s="25"/>
      <c r="W2198" s="25"/>
      <c r="X2198" s="25"/>
      <c r="Y2198" s="25"/>
      <c r="Z2198" s="25"/>
      <c r="AA2198" s="25"/>
      <c r="AB2198" s="25"/>
      <c r="AC2198" s="25"/>
      <c r="AD2198" s="25"/>
    </row>
    <row r="2199" customFormat="false" ht="15.75" hidden="false" customHeight="false" outlineLevel="0" collapsed="false">
      <c r="A2199" s="28" t="s">
        <v>2610</v>
      </c>
      <c r="B2199" s="27" t="s">
        <v>438</v>
      </c>
      <c r="C2199" s="27" t="s">
        <v>383</v>
      </c>
      <c r="D2199" s="25"/>
      <c r="E2199" s="25"/>
      <c r="F2199" s="25"/>
      <c r="G2199" s="25"/>
      <c r="H2199" s="25"/>
      <c r="I2199" s="25"/>
      <c r="J2199" s="27" t="s">
        <v>2602</v>
      </c>
      <c r="K2199" s="25" t="str">
        <f aca="false">IFERROR(__xludf.dummyfunction("SPLIT(J2199,"" "")"),"CIF")</f>
        <v>CIF</v>
      </c>
      <c r="L2199" s="28" t="str">
        <f aca="false">IFERROR(__xludf.dummyfunction("""COMPUTED_VALUE"""),"Taiwan,")</f>
        <v>Taiwan,</v>
      </c>
      <c r="M2199" s="27" t="str">
        <f aca="false">IFERROR(__xludf.dummyfunction("""COMPUTED_VALUE"""),"(Diff)")</f>
        <v>(Diff)</v>
      </c>
      <c r="N2199" s="25"/>
      <c r="O2199" s="25"/>
      <c r="P2199" s="25"/>
      <c r="Q2199" s="29" t="s">
        <v>400</v>
      </c>
      <c r="R2199" s="8" t="str">
        <f aca="false">B2199&amp;" "&amp;C2199&amp;" "&amp;D2199&amp;" "&amp;E2199&amp;" "&amp;G2199&amp;" "&amp;H2199&amp;" "&amp;J2199&amp;" "&amp;N2199</f>
        <v>Differentials Precursor     CIF Taiwan, (Diff) </v>
      </c>
      <c r="S2199" s="25"/>
      <c r="T2199" s="8"/>
      <c r="U2199" s="8"/>
      <c r="V2199" s="25"/>
      <c r="W2199" s="25"/>
      <c r="X2199" s="25"/>
      <c r="Y2199" s="25"/>
      <c r="Z2199" s="25"/>
      <c r="AA2199" s="25"/>
      <c r="AB2199" s="25"/>
      <c r="AC2199" s="25"/>
      <c r="AD2199" s="25"/>
    </row>
    <row r="2200" customFormat="false" ht="15.75" hidden="false" customHeight="false" outlineLevel="0" collapsed="false">
      <c r="A2200" s="28" t="s">
        <v>2611</v>
      </c>
      <c r="B2200" s="27" t="s">
        <v>438</v>
      </c>
      <c r="C2200" s="27" t="s">
        <v>383</v>
      </c>
      <c r="D2200" s="25"/>
      <c r="E2200" s="25"/>
      <c r="F2200" s="25"/>
      <c r="G2200" s="25"/>
      <c r="H2200" s="25"/>
      <c r="I2200" s="25"/>
      <c r="J2200" s="27" t="s">
        <v>2602</v>
      </c>
      <c r="K2200" s="25" t="str">
        <f aca="false">IFERROR(__xludf.dummyfunction("SPLIT(J2200,"" "")"),"CIF")</f>
        <v>CIF</v>
      </c>
      <c r="L2200" s="28" t="str">
        <f aca="false">IFERROR(__xludf.dummyfunction("""COMPUTED_VALUE"""),"Taiwan,")</f>
        <v>Taiwan,</v>
      </c>
      <c r="M2200" s="27" t="str">
        <f aca="false">IFERROR(__xludf.dummyfunction("""COMPUTED_VALUE"""),"(Diff)")</f>
        <v>(Diff)</v>
      </c>
      <c r="N2200" s="25"/>
      <c r="O2200" s="25"/>
      <c r="P2200" s="25"/>
      <c r="Q2200" s="29" t="s">
        <v>398</v>
      </c>
      <c r="R2200" s="8" t="str">
        <f aca="false">B2200&amp;" "&amp;C2200&amp;" "&amp;D2200&amp;" "&amp;E2200&amp;" "&amp;G2200&amp;" "&amp;H2200&amp;" "&amp;J2200&amp;" "&amp;N2200</f>
        <v>Differentials Precursor     CIF Taiwan, (Diff) </v>
      </c>
      <c r="S2200" s="25"/>
      <c r="T2200" s="8"/>
      <c r="U2200" s="8"/>
      <c r="V2200" s="25"/>
      <c r="W2200" s="25"/>
      <c r="X2200" s="25"/>
      <c r="Y2200" s="25"/>
      <c r="Z2200" s="25"/>
      <c r="AA2200" s="25"/>
      <c r="AB2200" s="25"/>
      <c r="AC2200" s="25"/>
      <c r="AD2200" s="25"/>
    </row>
    <row r="2201" customFormat="false" ht="15.75" hidden="false" customHeight="false" outlineLevel="0" collapsed="false">
      <c r="A2201" s="28" t="s">
        <v>2612</v>
      </c>
      <c r="B2201" s="27" t="s">
        <v>438</v>
      </c>
      <c r="C2201" s="27" t="s">
        <v>383</v>
      </c>
      <c r="D2201" s="25"/>
      <c r="E2201" s="25"/>
      <c r="F2201" s="25"/>
      <c r="G2201" s="25"/>
      <c r="H2201" s="25"/>
      <c r="I2201" s="25"/>
      <c r="J2201" s="27" t="s">
        <v>2602</v>
      </c>
      <c r="K2201" s="25" t="str">
        <f aca="false">IFERROR(__xludf.dummyfunction("SPLIT(J2201,"" "")"),"CIF")</f>
        <v>CIF</v>
      </c>
      <c r="L2201" s="28" t="str">
        <f aca="false">IFERROR(__xludf.dummyfunction("""COMPUTED_VALUE"""),"Taiwan,")</f>
        <v>Taiwan,</v>
      </c>
      <c r="M2201" s="27" t="str">
        <f aca="false">IFERROR(__xludf.dummyfunction("""COMPUTED_VALUE"""),"(Diff)")</f>
        <v>(Diff)</v>
      </c>
      <c r="N2201" s="25"/>
      <c r="O2201" s="25"/>
      <c r="P2201" s="25"/>
      <c r="Q2201" s="29" t="s">
        <v>259</v>
      </c>
      <c r="R2201" s="8" t="str">
        <f aca="false">B2201&amp;" "&amp;C2201&amp;" "&amp;D2201&amp;" "&amp;E2201&amp;" "&amp;G2201&amp;" "&amp;H2201&amp;" "&amp;J2201&amp;" "&amp;N2201</f>
        <v>Differentials Precursor     CIF Taiwan, (Diff) </v>
      </c>
      <c r="S2201" s="25"/>
      <c r="T2201" s="8"/>
      <c r="U2201" s="8"/>
      <c r="V2201" s="25"/>
      <c r="W2201" s="25"/>
      <c r="X2201" s="25"/>
      <c r="Y2201" s="25"/>
      <c r="Z2201" s="25"/>
      <c r="AA2201" s="25"/>
      <c r="AB2201" s="25"/>
      <c r="AC2201" s="25"/>
      <c r="AD2201" s="25"/>
    </row>
    <row r="2202" customFormat="false" ht="15.75" hidden="false" customHeight="false" outlineLevel="0" collapsed="false">
      <c r="A2202" s="28" t="s">
        <v>2613</v>
      </c>
      <c r="B2202" s="27" t="s">
        <v>438</v>
      </c>
      <c r="C2202" s="27" t="s">
        <v>383</v>
      </c>
      <c r="D2202" s="25"/>
      <c r="E2202" s="25"/>
      <c r="F2202" s="25"/>
      <c r="G2202" s="25"/>
      <c r="H2202" s="25"/>
      <c r="I2202" s="25"/>
      <c r="J2202" s="27" t="s">
        <v>2602</v>
      </c>
      <c r="K2202" s="25" t="str">
        <f aca="false">IFERROR(__xludf.dummyfunction("SPLIT(J2202,"" "")"),"CIF")</f>
        <v>CIF</v>
      </c>
      <c r="L2202" s="28" t="str">
        <f aca="false">IFERROR(__xludf.dummyfunction("""COMPUTED_VALUE"""),"Taiwan,")</f>
        <v>Taiwan,</v>
      </c>
      <c r="M2202" s="27" t="str">
        <f aca="false">IFERROR(__xludf.dummyfunction("""COMPUTED_VALUE"""),"(Diff)")</f>
        <v>(Diff)</v>
      </c>
      <c r="N2202" s="25"/>
      <c r="O2202" s="25"/>
      <c r="P2202" s="25"/>
      <c r="Q2202" s="29" t="s">
        <v>395</v>
      </c>
      <c r="R2202" s="8" t="str">
        <f aca="false">B2202&amp;" "&amp;C2202&amp;" "&amp;D2202&amp;" "&amp;E2202&amp;" "&amp;G2202&amp;" "&amp;H2202&amp;" "&amp;J2202&amp;" "&amp;N2202</f>
        <v>Differentials Precursor     CIF Taiwan, (Diff) </v>
      </c>
      <c r="S2202" s="25"/>
      <c r="T2202" s="8"/>
      <c r="U2202" s="8"/>
      <c r="V2202" s="25"/>
      <c r="W2202" s="25"/>
      <c r="X2202" s="25"/>
      <c r="Y2202" s="25"/>
      <c r="Z2202" s="25"/>
      <c r="AA2202" s="25"/>
      <c r="AB2202" s="25"/>
      <c r="AC2202" s="25"/>
      <c r="AD2202" s="25"/>
    </row>
    <row r="2203" customFormat="false" ht="15.75" hidden="false" customHeight="false" outlineLevel="0" collapsed="false">
      <c r="A2203" s="28" t="s">
        <v>2614</v>
      </c>
      <c r="B2203" s="27" t="s">
        <v>438</v>
      </c>
      <c r="C2203" s="27" t="s">
        <v>383</v>
      </c>
      <c r="D2203" s="25"/>
      <c r="E2203" s="25"/>
      <c r="F2203" s="25"/>
      <c r="G2203" s="25"/>
      <c r="H2203" s="25"/>
      <c r="I2203" s="25"/>
      <c r="J2203" s="27" t="s">
        <v>2602</v>
      </c>
      <c r="K2203" s="25" t="str">
        <f aca="false">IFERROR(__xludf.dummyfunction("SPLIT(J2203,"" "")"),"CIF")</f>
        <v>CIF</v>
      </c>
      <c r="L2203" s="28" t="str">
        <f aca="false">IFERROR(__xludf.dummyfunction("""COMPUTED_VALUE"""),"Taiwan,")</f>
        <v>Taiwan,</v>
      </c>
      <c r="M2203" s="27" t="str">
        <f aca="false">IFERROR(__xludf.dummyfunction("""COMPUTED_VALUE"""),"(Diff)")</f>
        <v>(Diff)</v>
      </c>
      <c r="N2203" s="25"/>
      <c r="O2203" s="25"/>
      <c r="P2203" s="25"/>
      <c r="Q2203" s="29" t="s">
        <v>393</v>
      </c>
      <c r="R2203" s="8" t="str">
        <f aca="false">B2203&amp;" "&amp;C2203&amp;" "&amp;D2203&amp;" "&amp;E2203&amp;" "&amp;G2203&amp;" "&amp;H2203&amp;" "&amp;J2203&amp;" "&amp;N2203</f>
        <v>Differentials Precursor     CIF Taiwan, (Diff) </v>
      </c>
      <c r="S2203" s="25"/>
      <c r="T2203" s="8"/>
      <c r="U2203" s="8"/>
      <c r="V2203" s="25"/>
      <c r="W2203" s="25"/>
      <c r="X2203" s="25"/>
      <c r="Y2203" s="25"/>
      <c r="Z2203" s="25"/>
      <c r="AA2203" s="25"/>
      <c r="AB2203" s="25"/>
      <c r="AC2203" s="25"/>
      <c r="AD2203" s="25"/>
    </row>
    <row r="2204" customFormat="false" ht="15.75" hidden="false" customHeight="false" outlineLevel="0" collapsed="false">
      <c r="A2204" s="28" t="s">
        <v>2615</v>
      </c>
      <c r="B2204" s="27" t="s">
        <v>438</v>
      </c>
      <c r="C2204" s="27" t="s">
        <v>383</v>
      </c>
      <c r="D2204" s="25"/>
      <c r="E2204" s="25"/>
      <c r="F2204" s="25"/>
      <c r="G2204" s="25"/>
      <c r="H2204" s="25"/>
      <c r="I2204" s="25"/>
      <c r="J2204" s="27" t="s">
        <v>2602</v>
      </c>
      <c r="K2204" s="25" t="str">
        <f aca="false">IFERROR(__xludf.dummyfunction("SPLIT(J2204,"" "")"),"CIF")</f>
        <v>CIF</v>
      </c>
      <c r="L2204" s="28" t="str">
        <f aca="false">IFERROR(__xludf.dummyfunction("""COMPUTED_VALUE"""),"Taiwan,")</f>
        <v>Taiwan,</v>
      </c>
      <c r="M2204" s="27" t="str">
        <f aca="false">IFERROR(__xludf.dummyfunction("""COMPUTED_VALUE"""),"(Diff)")</f>
        <v>(Diff)</v>
      </c>
      <c r="N2204" s="25"/>
      <c r="O2204" s="25"/>
      <c r="P2204" s="25"/>
      <c r="Q2204" s="29" t="s">
        <v>391</v>
      </c>
      <c r="R2204" s="8" t="str">
        <f aca="false">B2204&amp;" "&amp;C2204&amp;" "&amp;D2204&amp;" "&amp;E2204&amp;" "&amp;G2204&amp;" "&amp;H2204&amp;" "&amp;J2204&amp;" "&amp;N2204</f>
        <v>Differentials Precursor     CIF Taiwan, (Diff) </v>
      </c>
      <c r="S2204" s="25"/>
      <c r="T2204" s="8"/>
      <c r="U2204" s="8"/>
      <c r="V2204" s="25"/>
      <c r="W2204" s="25"/>
      <c r="X2204" s="25"/>
      <c r="Y2204" s="25"/>
      <c r="Z2204" s="25"/>
      <c r="AA2204" s="25"/>
      <c r="AB2204" s="25"/>
      <c r="AC2204" s="25"/>
      <c r="AD2204" s="25"/>
    </row>
    <row r="2205" customFormat="false" ht="15.75" hidden="false" customHeight="false" outlineLevel="0" collapsed="false">
      <c r="A2205" s="28" t="s">
        <v>2616</v>
      </c>
      <c r="B2205" s="27" t="s">
        <v>438</v>
      </c>
      <c r="C2205" s="27" t="s">
        <v>383</v>
      </c>
      <c r="D2205" s="25"/>
      <c r="E2205" s="25"/>
      <c r="F2205" s="25"/>
      <c r="G2205" s="25"/>
      <c r="H2205" s="25"/>
      <c r="I2205" s="25"/>
      <c r="J2205" s="27" t="s">
        <v>2602</v>
      </c>
      <c r="K2205" s="25" t="str">
        <f aca="false">IFERROR(__xludf.dummyfunction("SPLIT(J2205,"" "")"),"CIF")</f>
        <v>CIF</v>
      </c>
      <c r="L2205" s="28" t="str">
        <f aca="false">IFERROR(__xludf.dummyfunction("""COMPUTED_VALUE"""),"Taiwan,")</f>
        <v>Taiwan,</v>
      </c>
      <c r="M2205" s="27" t="str">
        <f aca="false">IFERROR(__xludf.dummyfunction("""COMPUTED_VALUE"""),"(Diff)")</f>
        <v>(Diff)</v>
      </c>
      <c r="N2205" s="25"/>
      <c r="O2205" s="25"/>
      <c r="P2205" s="25"/>
      <c r="Q2205" s="29" t="s">
        <v>389</v>
      </c>
      <c r="R2205" s="8" t="str">
        <f aca="false">B2205&amp;" "&amp;C2205&amp;" "&amp;D2205&amp;" "&amp;E2205&amp;" "&amp;G2205&amp;" "&amp;H2205&amp;" "&amp;J2205&amp;" "&amp;N2205</f>
        <v>Differentials Precursor     CIF Taiwan, (Diff) </v>
      </c>
      <c r="S2205" s="25"/>
      <c r="T2205" s="8"/>
      <c r="U2205" s="8"/>
      <c r="V2205" s="25"/>
      <c r="W2205" s="25"/>
      <c r="X2205" s="25"/>
      <c r="Y2205" s="25"/>
      <c r="Z2205" s="25"/>
      <c r="AA2205" s="25"/>
      <c r="AB2205" s="25"/>
      <c r="AC2205" s="25"/>
      <c r="AD2205" s="25"/>
    </row>
    <row r="2206" customFormat="false" ht="15.75" hidden="false" customHeight="false" outlineLevel="0" collapsed="false">
      <c r="A2206" s="28" t="s">
        <v>2617</v>
      </c>
      <c r="B2206" s="27" t="s">
        <v>438</v>
      </c>
      <c r="C2206" s="27" t="s">
        <v>383</v>
      </c>
      <c r="D2206" s="25"/>
      <c r="E2206" s="25"/>
      <c r="F2206" s="25"/>
      <c r="G2206" s="25"/>
      <c r="H2206" s="25"/>
      <c r="I2206" s="25"/>
      <c r="J2206" s="27" t="s">
        <v>2602</v>
      </c>
      <c r="K2206" s="25" t="str">
        <f aca="false">IFERROR(__xludf.dummyfunction("SPLIT(J2206,"" "")"),"CIF")</f>
        <v>CIF</v>
      </c>
      <c r="L2206" s="28" t="str">
        <f aca="false">IFERROR(__xludf.dummyfunction("""COMPUTED_VALUE"""),"Taiwan,")</f>
        <v>Taiwan,</v>
      </c>
      <c r="M2206" s="27" t="str">
        <f aca="false">IFERROR(__xludf.dummyfunction("""COMPUTED_VALUE"""),"(Diff)")</f>
        <v>(Diff)</v>
      </c>
      <c r="N2206" s="25"/>
      <c r="O2206" s="25"/>
      <c r="P2206" s="25"/>
      <c r="Q2206" s="29" t="s">
        <v>387</v>
      </c>
      <c r="R2206" s="8" t="str">
        <f aca="false">B2206&amp;" "&amp;C2206&amp;" "&amp;D2206&amp;" "&amp;E2206&amp;" "&amp;G2206&amp;" "&amp;H2206&amp;" "&amp;J2206&amp;" "&amp;N2206</f>
        <v>Differentials Precursor     CIF Taiwan, (Diff) </v>
      </c>
      <c r="S2206" s="25"/>
      <c r="T2206" s="8"/>
      <c r="U2206" s="8"/>
      <c r="V2206" s="25"/>
      <c r="W2206" s="25"/>
      <c r="X2206" s="25"/>
      <c r="Y2206" s="25"/>
      <c r="Z2206" s="25"/>
      <c r="AA2206" s="25"/>
      <c r="AB2206" s="25"/>
      <c r="AC2206" s="25"/>
      <c r="AD2206" s="25"/>
    </row>
    <row r="2207" customFormat="false" ht="15.75" hidden="false" customHeight="false" outlineLevel="0" collapsed="false">
      <c r="A2207" s="28" t="s">
        <v>2618</v>
      </c>
      <c r="B2207" s="27" t="s">
        <v>438</v>
      </c>
      <c r="C2207" s="27" t="s">
        <v>383</v>
      </c>
      <c r="D2207" s="25"/>
      <c r="E2207" s="25"/>
      <c r="F2207" s="25"/>
      <c r="G2207" s="25"/>
      <c r="H2207" s="25"/>
      <c r="I2207" s="25"/>
      <c r="J2207" s="27" t="s">
        <v>2602</v>
      </c>
      <c r="K2207" s="25" t="str">
        <f aca="false">IFERROR(__xludf.dummyfunction("SPLIT(J2207,"" "")"),"CIF")</f>
        <v>CIF</v>
      </c>
      <c r="L2207" s="28" t="str">
        <f aca="false">IFERROR(__xludf.dummyfunction("""COMPUTED_VALUE"""),"Taiwan,")</f>
        <v>Taiwan,</v>
      </c>
      <c r="M2207" s="27" t="str">
        <f aca="false">IFERROR(__xludf.dummyfunction("""COMPUTED_VALUE"""),"(Diff)")</f>
        <v>(Diff)</v>
      </c>
      <c r="N2207" s="25"/>
      <c r="O2207" s="25"/>
      <c r="P2207" s="25"/>
      <c r="Q2207" s="29" t="s">
        <v>385</v>
      </c>
      <c r="R2207" s="8" t="str">
        <f aca="false">B2207&amp;" "&amp;C2207&amp;" "&amp;D2207&amp;" "&amp;E2207&amp;" "&amp;G2207&amp;" "&amp;H2207&amp;" "&amp;J2207&amp;" "&amp;N2207</f>
        <v>Differentials Precursor     CIF Taiwan, (Diff) </v>
      </c>
      <c r="S2207" s="25"/>
      <c r="T2207" s="8"/>
      <c r="U2207" s="8"/>
      <c r="V2207" s="25"/>
      <c r="W2207" s="25"/>
      <c r="X2207" s="25"/>
      <c r="Y2207" s="25"/>
      <c r="Z2207" s="25"/>
      <c r="AA2207" s="25"/>
      <c r="AB2207" s="25"/>
      <c r="AC2207" s="25"/>
      <c r="AD2207" s="25"/>
    </row>
    <row r="2208" customFormat="false" ht="15.75" hidden="false" customHeight="false" outlineLevel="0" collapsed="false">
      <c r="A2208" s="28" t="s">
        <v>2619</v>
      </c>
      <c r="B2208" s="27" t="s">
        <v>438</v>
      </c>
      <c r="C2208" s="27" t="s">
        <v>168</v>
      </c>
      <c r="D2208" s="25"/>
      <c r="E2208" s="25"/>
      <c r="F2208" s="25"/>
      <c r="G2208" s="25"/>
      <c r="H2208" s="25"/>
      <c r="I2208" s="25"/>
      <c r="J2208" s="27" t="s">
        <v>2620</v>
      </c>
      <c r="K2208" s="25" t="str">
        <f aca="false">IFERROR(__xludf.dummyfunction("SPLIT(J2208,"" "")"),"CIF")</f>
        <v>CIF</v>
      </c>
      <c r="L2208" s="28" t="str">
        <f aca="false">IFERROR(__xludf.dummyfunction("""COMPUTED_VALUE"""),"Taiwan,")</f>
        <v>Taiwan,</v>
      </c>
      <c r="M2208" s="27" t="str">
        <f aca="false">IFERROR(__xludf.dummyfunction("""COMPUTED_VALUE"""),"Province")</f>
        <v>Province</v>
      </c>
      <c r="N2208" s="25" t="str">
        <f aca="false">IFERROR(__xludf.dummyfunction("""COMPUTED_VALUE"""),"of")</f>
        <v>of</v>
      </c>
      <c r="O2208" s="25" t="str">
        <f aca="false">IFERROR(__xludf.dummyfunction("""COMPUTED_VALUE"""),"China")</f>
        <v>China</v>
      </c>
      <c r="P2208" s="25" t="str">
        <f aca="false">IFERROR(__xludf.dummyfunction("""COMPUTED_VALUE"""),"(Diff)")</f>
        <v>(Diff)</v>
      </c>
      <c r="Q2208" s="29" t="s">
        <v>175</v>
      </c>
      <c r="R2208" s="8" t="str">
        <f aca="false">B2208&amp;" "&amp;C2208&amp;" "&amp;D2208&amp;" "&amp;E2208&amp;" "&amp;G2208&amp;" "&amp;H2208&amp;" "&amp;J2208&amp;" "&amp;N2208</f>
        <v>Differentials Aluminium (Battery Grade)     CIF Taiwan, Province of China (Diff) of</v>
      </c>
      <c r="S2208" s="25"/>
      <c r="T2208" s="8"/>
      <c r="U2208" s="8"/>
      <c r="V2208" s="25"/>
      <c r="W2208" s="25"/>
      <c r="X2208" s="25"/>
      <c r="Y2208" s="25"/>
      <c r="Z2208" s="25"/>
      <c r="AA2208" s="25"/>
      <c r="AB2208" s="25"/>
      <c r="AC2208" s="25"/>
      <c r="AD2208" s="25"/>
    </row>
    <row r="2209" customFormat="false" ht="15.75" hidden="false" customHeight="false" outlineLevel="0" collapsed="false">
      <c r="A2209" s="28" t="s">
        <v>2621</v>
      </c>
      <c r="B2209" s="27" t="s">
        <v>438</v>
      </c>
      <c r="C2209" s="27" t="s">
        <v>168</v>
      </c>
      <c r="D2209" s="25"/>
      <c r="E2209" s="25"/>
      <c r="F2209" s="25"/>
      <c r="G2209" s="25"/>
      <c r="H2209" s="25"/>
      <c r="I2209" s="25"/>
      <c r="J2209" s="27" t="s">
        <v>2620</v>
      </c>
      <c r="K2209" s="25" t="str">
        <f aca="false">IFERROR(__xludf.dummyfunction("SPLIT(J2209,"" "")"),"CIF")</f>
        <v>CIF</v>
      </c>
      <c r="L2209" s="28" t="str">
        <f aca="false">IFERROR(__xludf.dummyfunction("""COMPUTED_VALUE"""),"Taiwan,")</f>
        <v>Taiwan,</v>
      </c>
      <c r="M2209" s="27" t="str">
        <f aca="false">IFERROR(__xludf.dummyfunction("""COMPUTED_VALUE"""),"Province")</f>
        <v>Province</v>
      </c>
      <c r="N2209" s="25" t="str">
        <f aca="false">IFERROR(__xludf.dummyfunction("""COMPUTED_VALUE"""),"of")</f>
        <v>of</v>
      </c>
      <c r="O2209" s="25" t="str">
        <f aca="false">IFERROR(__xludf.dummyfunction("""COMPUTED_VALUE"""),"China")</f>
        <v>China</v>
      </c>
      <c r="P2209" s="25" t="str">
        <f aca="false">IFERROR(__xludf.dummyfunction("""COMPUTED_VALUE"""),"(Diff)")</f>
        <v>(Diff)</v>
      </c>
      <c r="Q2209" s="29" t="s">
        <v>173</v>
      </c>
      <c r="R2209" s="8" t="str">
        <f aca="false">B2209&amp;" "&amp;C2209&amp;" "&amp;D2209&amp;" "&amp;E2209&amp;" "&amp;G2209&amp;" "&amp;H2209&amp;" "&amp;J2209&amp;" "&amp;N2209</f>
        <v>Differentials Aluminium (Battery Grade)     CIF Taiwan, Province of China (Diff) of</v>
      </c>
      <c r="S2209" s="25"/>
      <c r="T2209" s="8"/>
      <c r="U2209" s="8"/>
      <c r="V2209" s="25"/>
      <c r="W2209" s="25"/>
      <c r="X2209" s="25"/>
      <c r="Y2209" s="25"/>
      <c r="Z2209" s="25"/>
      <c r="AA2209" s="25"/>
      <c r="AB2209" s="25"/>
      <c r="AC2209" s="25"/>
      <c r="AD2209" s="25"/>
    </row>
    <row r="2210" customFormat="false" ht="15.75" hidden="false" customHeight="false" outlineLevel="0" collapsed="false">
      <c r="A2210" s="28" t="s">
        <v>2622</v>
      </c>
      <c r="B2210" s="27" t="s">
        <v>438</v>
      </c>
      <c r="C2210" s="27" t="s">
        <v>168</v>
      </c>
      <c r="D2210" s="25"/>
      <c r="E2210" s="25"/>
      <c r="F2210" s="25"/>
      <c r="G2210" s="25"/>
      <c r="H2210" s="25"/>
      <c r="I2210" s="25"/>
      <c r="J2210" s="27" t="s">
        <v>2620</v>
      </c>
      <c r="K2210" s="25" t="str">
        <f aca="false">IFERROR(__xludf.dummyfunction("SPLIT(J2210,"" "")"),"CIF")</f>
        <v>CIF</v>
      </c>
      <c r="L2210" s="28" t="str">
        <f aca="false">IFERROR(__xludf.dummyfunction("""COMPUTED_VALUE"""),"Taiwan,")</f>
        <v>Taiwan,</v>
      </c>
      <c r="M2210" s="27" t="str">
        <f aca="false">IFERROR(__xludf.dummyfunction("""COMPUTED_VALUE"""),"Province")</f>
        <v>Province</v>
      </c>
      <c r="N2210" s="25" t="str">
        <f aca="false">IFERROR(__xludf.dummyfunction("""COMPUTED_VALUE"""),"of")</f>
        <v>of</v>
      </c>
      <c r="O2210" s="25" t="str">
        <f aca="false">IFERROR(__xludf.dummyfunction("""COMPUTED_VALUE"""),"China")</f>
        <v>China</v>
      </c>
      <c r="P2210" s="25" t="str">
        <f aca="false">IFERROR(__xludf.dummyfunction("""COMPUTED_VALUE"""),"(Diff)")</f>
        <v>(Diff)</v>
      </c>
      <c r="Q2210" s="29" t="s">
        <v>169</v>
      </c>
      <c r="R2210" s="8" t="str">
        <f aca="false">B2210&amp;" "&amp;C2210&amp;" "&amp;D2210&amp;" "&amp;E2210&amp;" "&amp;G2210&amp;" "&amp;H2210&amp;" "&amp;J2210&amp;" "&amp;N2210</f>
        <v>Differentials Aluminium (Battery Grade)     CIF Taiwan, Province of China (Diff) of</v>
      </c>
      <c r="S2210" s="25"/>
      <c r="T2210" s="8"/>
      <c r="U2210" s="8"/>
      <c r="V2210" s="25"/>
      <c r="W2210" s="25"/>
      <c r="X2210" s="25"/>
      <c r="Y2210" s="25"/>
      <c r="Z2210" s="25"/>
      <c r="AA2210" s="25"/>
      <c r="AB2210" s="25"/>
      <c r="AC2210" s="25"/>
      <c r="AD2210" s="25"/>
    </row>
    <row r="2211" customFormat="false" ht="15.75" hidden="false" customHeight="false" outlineLevel="0" collapsed="false">
      <c r="A2211" s="28" t="s">
        <v>2623</v>
      </c>
      <c r="B2211" s="27" t="s">
        <v>438</v>
      </c>
      <c r="C2211" s="27" t="s">
        <v>284</v>
      </c>
      <c r="D2211" s="25"/>
      <c r="E2211" s="25"/>
      <c r="F2211" s="25"/>
      <c r="G2211" s="25"/>
      <c r="H2211" s="25"/>
      <c r="I2211" s="25"/>
      <c r="J2211" s="27" t="s">
        <v>2620</v>
      </c>
      <c r="K2211" s="25" t="str">
        <f aca="false">IFERROR(__xludf.dummyfunction("SPLIT(J2211,"" "")"),"CIF")</f>
        <v>CIF</v>
      </c>
      <c r="L2211" s="28" t="str">
        <f aca="false">IFERROR(__xludf.dummyfunction("""COMPUTED_VALUE"""),"Taiwan,")</f>
        <v>Taiwan,</v>
      </c>
      <c r="M2211" s="27" t="str">
        <f aca="false">IFERROR(__xludf.dummyfunction("""COMPUTED_VALUE"""),"Province")</f>
        <v>Province</v>
      </c>
      <c r="N2211" s="25" t="str">
        <f aca="false">IFERROR(__xludf.dummyfunction("""COMPUTED_VALUE"""),"of")</f>
        <v>of</v>
      </c>
      <c r="O2211" s="25" t="str">
        <f aca="false">IFERROR(__xludf.dummyfunction("""COMPUTED_VALUE"""),"China")</f>
        <v>China</v>
      </c>
      <c r="P2211" s="25" t="str">
        <f aca="false">IFERROR(__xludf.dummyfunction("""COMPUTED_VALUE"""),"(Diff)")</f>
        <v>(Diff)</v>
      </c>
      <c r="Q2211" s="29" t="s">
        <v>287</v>
      </c>
      <c r="R2211" s="8" t="str">
        <f aca="false">B2211&amp;" "&amp;C2211&amp;" "&amp;D2211&amp;" "&amp;E2211&amp;" "&amp;G2211&amp;" "&amp;H2211&amp;" "&amp;J2211&amp;" "&amp;N2211</f>
        <v>Differentials Copper (Battery Grade)     CIF Taiwan, Province of China (Diff) of</v>
      </c>
      <c r="S2211" s="25"/>
      <c r="T2211" s="8"/>
      <c r="U2211" s="8"/>
      <c r="V2211" s="25"/>
      <c r="W2211" s="25"/>
      <c r="X2211" s="25"/>
      <c r="Y2211" s="25"/>
      <c r="Z2211" s="25"/>
      <c r="AA2211" s="25"/>
      <c r="AB2211" s="25"/>
      <c r="AC2211" s="25"/>
      <c r="AD2211" s="25"/>
    </row>
    <row r="2212" customFormat="false" ht="15.75" hidden="false" customHeight="false" outlineLevel="0" collapsed="false">
      <c r="A2212" s="28" t="s">
        <v>2624</v>
      </c>
      <c r="B2212" s="27" t="s">
        <v>438</v>
      </c>
      <c r="C2212" s="27" t="s">
        <v>284</v>
      </c>
      <c r="D2212" s="25"/>
      <c r="E2212" s="25"/>
      <c r="F2212" s="25"/>
      <c r="G2212" s="25"/>
      <c r="H2212" s="25"/>
      <c r="I2212" s="25"/>
      <c r="J2212" s="27" t="s">
        <v>2620</v>
      </c>
      <c r="K2212" s="25" t="str">
        <f aca="false">IFERROR(__xludf.dummyfunction("SPLIT(J2212,"" "")"),"CIF")</f>
        <v>CIF</v>
      </c>
      <c r="L2212" s="28" t="str">
        <f aca="false">IFERROR(__xludf.dummyfunction("""COMPUTED_VALUE"""),"Taiwan,")</f>
        <v>Taiwan,</v>
      </c>
      <c r="M2212" s="27" t="str">
        <f aca="false">IFERROR(__xludf.dummyfunction("""COMPUTED_VALUE"""),"Province")</f>
        <v>Province</v>
      </c>
      <c r="N2212" s="25" t="str">
        <f aca="false">IFERROR(__xludf.dummyfunction("""COMPUTED_VALUE"""),"of")</f>
        <v>of</v>
      </c>
      <c r="O2212" s="25" t="str">
        <f aca="false">IFERROR(__xludf.dummyfunction("""COMPUTED_VALUE"""),"China")</f>
        <v>China</v>
      </c>
      <c r="P2212" s="25" t="str">
        <f aca="false">IFERROR(__xludf.dummyfunction("""COMPUTED_VALUE"""),"(Diff)")</f>
        <v>(Diff)</v>
      </c>
      <c r="Q2212" s="29" t="s">
        <v>285</v>
      </c>
      <c r="R2212" s="8" t="str">
        <f aca="false">B2212&amp;" "&amp;C2212&amp;" "&amp;D2212&amp;" "&amp;E2212&amp;" "&amp;G2212&amp;" "&amp;H2212&amp;" "&amp;J2212&amp;" "&amp;N2212</f>
        <v>Differentials Copper (Battery Grade)     CIF Taiwan, Province of China (Diff) of</v>
      </c>
      <c r="S2212" s="25"/>
      <c r="T2212" s="8"/>
      <c r="U2212" s="8"/>
      <c r="V2212" s="25"/>
      <c r="W2212" s="25"/>
      <c r="X2212" s="25"/>
      <c r="Y2212" s="25"/>
      <c r="Z2212" s="25"/>
      <c r="AA2212" s="25"/>
      <c r="AB2212" s="25"/>
      <c r="AC2212" s="25"/>
      <c r="AD2212" s="25"/>
    </row>
    <row r="2213" customFormat="false" ht="15.75" hidden="false" customHeight="false" outlineLevel="0" collapsed="false">
      <c r="A2213" s="28" t="s">
        <v>2625</v>
      </c>
      <c r="B2213" s="27" t="s">
        <v>438</v>
      </c>
      <c r="C2213" s="27" t="s">
        <v>177</v>
      </c>
      <c r="D2213" s="25"/>
      <c r="E2213" s="25"/>
      <c r="F2213" s="25"/>
      <c r="G2213" s="25"/>
      <c r="H2213" s="25"/>
      <c r="I2213" s="25"/>
      <c r="J2213" s="27" t="s">
        <v>2626</v>
      </c>
      <c r="K2213" s="25" t="str">
        <f aca="false">IFERROR(__xludf.dummyfunction("SPLIT(J2213,"" "")"),"CIF")</f>
        <v>CIF</v>
      </c>
      <c r="L2213" s="28" t="str">
        <f aca="false">IFERROR(__xludf.dummyfunction("""COMPUTED_VALUE"""),"Thailand")</f>
        <v>Thailand</v>
      </c>
      <c r="M2213" s="27" t="str">
        <f aca="false">IFERROR(__xludf.dummyfunction("""COMPUTED_VALUE"""),"(Diff)")</f>
        <v>(Diff)</v>
      </c>
      <c r="N2213" s="25"/>
      <c r="O2213" s="25"/>
      <c r="P2213" s="25"/>
      <c r="Q2213" s="29" t="s">
        <v>209</v>
      </c>
      <c r="R2213" s="8" t="str">
        <f aca="false">B2213&amp;" "&amp;C2213&amp;" "&amp;D2213&amp;" "&amp;E2213&amp;" "&amp;G2213&amp;" "&amp;H2213&amp;" "&amp;J2213&amp;" "&amp;N2213</f>
        <v>Differentials Anode     CIF Thailand (Diff) </v>
      </c>
      <c r="S2213" s="25"/>
      <c r="T2213" s="8"/>
      <c r="U2213" s="8"/>
      <c r="V2213" s="25"/>
      <c r="W2213" s="25"/>
      <c r="X2213" s="25"/>
      <c r="Y2213" s="25"/>
      <c r="Z2213" s="25"/>
      <c r="AA2213" s="25"/>
      <c r="AB2213" s="25"/>
      <c r="AC2213" s="25"/>
      <c r="AD2213" s="25"/>
    </row>
    <row r="2214" customFormat="false" ht="15.75" hidden="false" customHeight="false" outlineLevel="0" collapsed="false">
      <c r="A2214" s="28" t="s">
        <v>2627</v>
      </c>
      <c r="B2214" s="27" t="s">
        <v>438</v>
      </c>
      <c r="C2214" s="27" t="s">
        <v>177</v>
      </c>
      <c r="D2214" s="25"/>
      <c r="E2214" s="25"/>
      <c r="F2214" s="25"/>
      <c r="G2214" s="25"/>
      <c r="H2214" s="25"/>
      <c r="I2214" s="25"/>
      <c r="J2214" s="27" t="s">
        <v>2626</v>
      </c>
      <c r="K2214" s="25" t="str">
        <f aca="false">IFERROR(__xludf.dummyfunction("SPLIT(J2214,"" "")"),"CIF")</f>
        <v>CIF</v>
      </c>
      <c r="L2214" s="28" t="str">
        <f aca="false">IFERROR(__xludf.dummyfunction("""COMPUTED_VALUE"""),"Thailand")</f>
        <v>Thailand</v>
      </c>
      <c r="M2214" s="27" t="str">
        <f aca="false">IFERROR(__xludf.dummyfunction("""COMPUTED_VALUE"""),"(Diff)")</f>
        <v>(Diff)</v>
      </c>
      <c r="N2214" s="25"/>
      <c r="O2214" s="25"/>
      <c r="P2214" s="25"/>
      <c r="Q2214" s="29" t="s">
        <v>205</v>
      </c>
      <c r="R2214" s="8" t="str">
        <f aca="false">B2214&amp;" "&amp;C2214&amp;" "&amp;D2214&amp;" "&amp;E2214&amp;" "&amp;G2214&amp;" "&amp;H2214&amp;" "&amp;J2214&amp;" "&amp;N2214</f>
        <v>Differentials Anode     CIF Thailand (Diff) </v>
      </c>
      <c r="S2214" s="25"/>
      <c r="T2214" s="8"/>
      <c r="U2214" s="8"/>
      <c r="V2214" s="25"/>
      <c r="W2214" s="25"/>
      <c r="X2214" s="25"/>
      <c r="Y2214" s="25"/>
      <c r="Z2214" s="25"/>
      <c r="AA2214" s="25"/>
      <c r="AB2214" s="25"/>
      <c r="AC2214" s="25"/>
      <c r="AD2214" s="25"/>
    </row>
    <row r="2215" customFormat="false" ht="15.75" hidden="false" customHeight="false" outlineLevel="0" collapsed="false">
      <c r="A2215" s="28" t="s">
        <v>2628</v>
      </c>
      <c r="B2215" s="27" t="s">
        <v>438</v>
      </c>
      <c r="C2215" s="27" t="s">
        <v>177</v>
      </c>
      <c r="D2215" s="25"/>
      <c r="E2215" s="25"/>
      <c r="F2215" s="25"/>
      <c r="G2215" s="25"/>
      <c r="H2215" s="25"/>
      <c r="I2215" s="25"/>
      <c r="J2215" s="27" t="s">
        <v>2626</v>
      </c>
      <c r="K2215" s="25" t="str">
        <f aca="false">IFERROR(__xludf.dummyfunction("SPLIT(J2215,"" "")"),"CIF")</f>
        <v>CIF</v>
      </c>
      <c r="L2215" s="28" t="str">
        <f aca="false">IFERROR(__xludf.dummyfunction("""COMPUTED_VALUE"""),"Thailand")</f>
        <v>Thailand</v>
      </c>
      <c r="M2215" s="27" t="str">
        <f aca="false">IFERROR(__xludf.dummyfunction("""COMPUTED_VALUE"""),"(Diff)")</f>
        <v>(Diff)</v>
      </c>
      <c r="N2215" s="25"/>
      <c r="O2215" s="25"/>
      <c r="P2215" s="25"/>
      <c r="Q2215" s="29" t="s">
        <v>202</v>
      </c>
      <c r="R2215" s="8" t="str">
        <f aca="false">B2215&amp;" "&amp;C2215&amp;" "&amp;D2215&amp;" "&amp;E2215&amp;" "&amp;G2215&amp;" "&amp;H2215&amp;" "&amp;J2215&amp;" "&amp;N2215</f>
        <v>Differentials Anode     CIF Thailand (Diff) </v>
      </c>
      <c r="S2215" s="25"/>
      <c r="T2215" s="8"/>
      <c r="U2215" s="8"/>
      <c r="V2215" s="25"/>
      <c r="W2215" s="25"/>
      <c r="X2215" s="25"/>
      <c r="Y2215" s="25"/>
      <c r="Z2215" s="25"/>
      <c r="AA2215" s="25"/>
      <c r="AB2215" s="25"/>
      <c r="AC2215" s="25"/>
      <c r="AD2215" s="25"/>
    </row>
    <row r="2216" customFormat="false" ht="15.75" hidden="false" customHeight="false" outlineLevel="0" collapsed="false">
      <c r="A2216" s="28" t="s">
        <v>2629</v>
      </c>
      <c r="B2216" s="27" t="s">
        <v>438</v>
      </c>
      <c r="C2216" s="27" t="s">
        <v>177</v>
      </c>
      <c r="D2216" s="25"/>
      <c r="E2216" s="25"/>
      <c r="F2216" s="25"/>
      <c r="G2216" s="25"/>
      <c r="H2216" s="25"/>
      <c r="I2216" s="25"/>
      <c r="J2216" s="27" t="s">
        <v>2626</v>
      </c>
      <c r="K2216" s="25" t="str">
        <f aca="false">IFERROR(__xludf.dummyfunction("SPLIT(J2216,"" "")"),"CIF")</f>
        <v>CIF</v>
      </c>
      <c r="L2216" s="28" t="str">
        <f aca="false">IFERROR(__xludf.dummyfunction("""COMPUTED_VALUE"""),"Thailand")</f>
        <v>Thailand</v>
      </c>
      <c r="M2216" s="27" t="str">
        <f aca="false">IFERROR(__xludf.dummyfunction("""COMPUTED_VALUE"""),"(Diff)")</f>
        <v>(Diff)</v>
      </c>
      <c r="N2216" s="25"/>
      <c r="O2216" s="25"/>
      <c r="P2216" s="25"/>
      <c r="Q2216" s="29" t="s">
        <v>197</v>
      </c>
      <c r="R2216" s="8" t="str">
        <f aca="false">B2216&amp;" "&amp;C2216&amp;" "&amp;D2216&amp;" "&amp;E2216&amp;" "&amp;G2216&amp;" "&amp;H2216&amp;" "&amp;J2216&amp;" "&amp;N2216</f>
        <v>Differentials Anode     CIF Thailand (Diff) </v>
      </c>
      <c r="S2216" s="25"/>
      <c r="T2216" s="8"/>
      <c r="U2216" s="8"/>
      <c r="V2216" s="25"/>
      <c r="W2216" s="25"/>
      <c r="X2216" s="25"/>
      <c r="Y2216" s="25"/>
      <c r="Z2216" s="25"/>
      <c r="AA2216" s="25"/>
      <c r="AB2216" s="25"/>
      <c r="AC2216" s="25"/>
      <c r="AD2216" s="25"/>
    </row>
    <row r="2217" customFormat="false" ht="15.75" hidden="false" customHeight="false" outlineLevel="0" collapsed="false">
      <c r="A2217" s="28" t="s">
        <v>2630</v>
      </c>
      <c r="B2217" s="27" t="s">
        <v>438</v>
      </c>
      <c r="C2217" s="27" t="s">
        <v>177</v>
      </c>
      <c r="D2217" s="25"/>
      <c r="E2217" s="25"/>
      <c r="F2217" s="25"/>
      <c r="G2217" s="25"/>
      <c r="H2217" s="25"/>
      <c r="I2217" s="25"/>
      <c r="J2217" s="27" t="s">
        <v>2626</v>
      </c>
      <c r="K2217" s="25" t="str">
        <f aca="false">IFERROR(__xludf.dummyfunction("SPLIT(J2217,"" "")"),"CIF")</f>
        <v>CIF</v>
      </c>
      <c r="L2217" s="28" t="str">
        <f aca="false">IFERROR(__xludf.dummyfunction("""COMPUTED_VALUE"""),"Thailand")</f>
        <v>Thailand</v>
      </c>
      <c r="M2217" s="27" t="str">
        <f aca="false">IFERROR(__xludf.dummyfunction("""COMPUTED_VALUE"""),"(Diff)")</f>
        <v>(Diff)</v>
      </c>
      <c r="N2217" s="25"/>
      <c r="O2217" s="25"/>
      <c r="P2217" s="25"/>
      <c r="Q2217" s="29" t="s">
        <v>193</v>
      </c>
      <c r="R2217" s="8" t="str">
        <f aca="false">B2217&amp;" "&amp;C2217&amp;" "&amp;D2217&amp;" "&amp;E2217&amp;" "&amp;G2217&amp;" "&amp;H2217&amp;" "&amp;J2217&amp;" "&amp;N2217</f>
        <v>Differentials Anode     CIF Thailand (Diff) </v>
      </c>
      <c r="S2217" s="25"/>
      <c r="T2217" s="8"/>
      <c r="U2217" s="8"/>
      <c r="V2217" s="25"/>
      <c r="W2217" s="25"/>
      <c r="X2217" s="25"/>
      <c r="Y2217" s="25"/>
      <c r="Z2217" s="25"/>
      <c r="AA2217" s="25"/>
      <c r="AB2217" s="25"/>
      <c r="AC2217" s="25"/>
      <c r="AD2217" s="25"/>
    </row>
    <row r="2218" customFormat="false" ht="15.75" hidden="false" customHeight="false" outlineLevel="0" collapsed="false">
      <c r="A2218" s="28" t="s">
        <v>2631</v>
      </c>
      <c r="B2218" s="27" t="s">
        <v>438</v>
      </c>
      <c r="C2218" s="27" t="s">
        <v>177</v>
      </c>
      <c r="D2218" s="25"/>
      <c r="E2218" s="25"/>
      <c r="F2218" s="25"/>
      <c r="G2218" s="25"/>
      <c r="H2218" s="25"/>
      <c r="I2218" s="25"/>
      <c r="J2218" s="27" t="s">
        <v>2626</v>
      </c>
      <c r="K2218" s="25" t="str">
        <f aca="false">IFERROR(__xludf.dummyfunction("SPLIT(J2218,"" "")"),"CIF")</f>
        <v>CIF</v>
      </c>
      <c r="L2218" s="28" t="str">
        <f aca="false">IFERROR(__xludf.dummyfunction("""COMPUTED_VALUE"""),"Thailand")</f>
        <v>Thailand</v>
      </c>
      <c r="M2218" s="27" t="str">
        <f aca="false">IFERROR(__xludf.dummyfunction("""COMPUTED_VALUE"""),"(Diff)")</f>
        <v>(Diff)</v>
      </c>
      <c r="N2218" s="25"/>
      <c r="O2218" s="25"/>
      <c r="P2218" s="25"/>
      <c r="Q2218" s="29" t="s">
        <v>188</v>
      </c>
      <c r="R2218" s="8" t="str">
        <f aca="false">B2218&amp;" "&amp;C2218&amp;" "&amp;D2218&amp;" "&amp;E2218&amp;" "&amp;G2218&amp;" "&amp;H2218&amp;" "&amp;J2218&amp;" "&amp;N2218</f>
        <v>Differentials Anode     CIF Thailand (Diff) </v>
      </c>
      <c r="S2218" s="25"/>
      <c r="T2218" s="8"/>
      <c r="U2218" s="8"/>
      <c r="V2218" s="25"/>
      <c r="W2218" s="25"/>
      <c r="X2218" s="25"/>
      <c r="Y2218" s="25"/>
      <c r="Z2218" s="25"/>
      <c r="AA2218" s="25"/>
      <c r="AB2218" s="25"/>
      <c r="AC2218" s="25"/>
      <c r="AD2218" s="25"/>
    </row>
    <row r="2219" customFormat="false" ht="15.75" hidden="false" customHeight="false" outlineLevel="0" collapsed="false">
      <c r="A2219" s="28" t="s">
        <v>2632</v>
      </c>
      <c r="B2219" s="27" t="s">
        <v>438</v>
      </c>
      <c r="C2219" s="27" t="s">
        <v>177</v>
      </c>
      <c r="D2219" s="25"/>
      <c r="E2219" s="25"/>
      <c r="F2219" s="25"/>
      <c r="G2219" s="25"/>
      <c r="H2219" s="25"/>
      <c r="I2219" s="25"/>
      <c r="J2219" s="27" t="s">
        <v>2626</v>
      </c>
      <c r="K2219" s="25" t="str">
        <f aca="false">IFERROR(__xludf.dummyfunction("SPLIT(J2219,"" "")"),"CIF")</f>
        <v>CIF</v>
      </c>
      <c r="L2219" s="28" t="str">
        <f aca="false">IFERROR(__xludf.dummyfunction("""COMPUTED_VALUE"""),"Thailand")</f>
        <v>Thailand</v>
      </c>
      <c r="M2219" s="27" t="str">
        <f aca="false">IFERROR(__xludf.dummyfunction("""COMPUTED_VALUE"""),"(Diff)")</f>
        <v>(Diff)</v>
      </c>
      <c r="N2219" s="25"/>
      <c r="O2219" s="25"/>
      <c r="P2219" s="25"/>
      <c r="Q2219" s="29" t="s">
        <v>180</v>
      </c>
      <c r="R2219" s="8" t="str">
        <f aca="false">B2219&amp;" "&amp;C2219&amp;" "&amp;D2219&amp;" "&amp;E2219&amp;" "&amp;G2219&amp;" "&amp;H2219&amp;" "&amp;J2219&amp;" "&amp;N2219</f>
        <v>Differentials Anode     CIF Thailand (Diff) </v>
      </c>
      <c r="S2219" s="25"/>
      <c r="T2219" s="8"/>
      <c r="U2219" s="8"/>
      <c r="V2219" s="25"/>
      <c r="W2219" s="25"/>
      <c r="X2219" s="25"/>
      <c r="Y2219" s="25"/>
      <c r="Z2219" s="25"/>
      <c r="AA2219" s="25"/>
      <c r="AB2219" s="25"/>
      <c r="AC2219" s="25"/>
      <c r="AD2219" s="25"/>
    </row>
    <row r="2220" customFormat="false" ht="15.75" hidden="false" customHeight="false" outlineLevel="0" collapsed="false">
      <c r="A2220" s="28" t="s">
        <v>2633</v>
      </c>
      <c r="B2220" s="27" t="s">
        <v>438</v>
      </c>
      <c r="C2220" s="27" t="s">
        <v>211</v>
      </c>
      <c r="D2220" s="25"/>
      <c r="E2220" s="25"/>
      <c r="F2220" s="25"/>
      <c r="G2220" s="25"/>
      <c r="H2220" s="25"/>
      <c r="I2220" s="25"/>
      <c r="J2220" s="27" t="s">
        <v>2626</v>
      </c>
      <c r="K2220" s="25" t="str">
        <f aca="false">IFERROR(__xludf.dummyfunction("SPLIT(J2220,"" "")"),"CIF")</f>
        <v>CIF</v>
      </c>
      <c r="L2220" s="28" t="str">
        <f aca="false">IFERROR(__xludf.dummyfunction("""COMPUTED_VALUE"""),"Thailand")</f>
        <v>Thailand</v>
      </c>
      <c r="M2220" s="27" t="str">
        <f aca="false">IFERROR(__xludf.dummyfunction("""COMPUTED_VALUE"""),"(Diff)")</f>
        <v>(Diff)</v>
      </c>
      <c r="N2220" s="25"/>
      <c r="O2220" s="25"/>
      <c r="P2220" s="25"/>
      <c r="Q2220" s="29" t="s">
        <v>234</v>
      </c>
      <c r="R2220" s="8" t="str">
        <f aca="false">B2220&amp;" "&amp;C2220&amp;" "&amp;D2220&amp;" "&amp;E2220&amp;" "&amp;G2220&amp;" "&amp;H2220&amp;" "&amp;J2220&amp;" "&amp;N2220</f>
        <v>Differentials Binders &amp; Additives     CIF Thailand (Diff) </v>
      </c>
      <c r="S2220" s="25"/>
      <c r="T2220" s="8"/>
      <c r="U2220" s="8"/>
      <c r="V2220" s="25"/>
      <c r="W2220" s="25"/>
      <c r="X2220" s="25"/>
      <c r="Y2220" s="25"/>
      <c r="Z2220" s="25"/>
      <c r="AA2220" s="25"/>
      <c r="AB2220" s="25"/>
      <c r="AC2220" s="25"/>
      <c r="AD2220" s="25"/>
    </row>
    <row r="2221" customFormat="false" ht="15.75" hidden="false" customHeight="false" outlineLevel="0" collapsed="false">
      <c r="A2221" s="28" t="s">
        <v>2634</v>
      </c>
      <c r="B2221" s="27" t="s">
        <v>438</v>
      </c>
      <c r="C2221" s="27" t="s">
        <v>211</v>
      </c>
      <c r="D2221" s="25"/>
      <c r="E2221" s="25"/>
      <c r="F2221" s="25"/>
      <c r="G2221" s="25"/>
      <c r="H2221" s="25"/>
      <c r="I2221" s="25"/>
      <c r="J2221" s="27" t="s">
        <v>2626</v>
      </c>
      <c r="K2221" s="25" t="str">
        <f aca="false">IFERROR(__xludf.dummyfunction("SPLIT(J2221,"" "")"),"CIF")</f>
        <v>CIF</v>
      </c>
      <c r="L2221" s="28" t="str">
        <f aca="false">IFERROR(__xludf.dummyfunction("""COMPUTED_VALUE"""),"Thailand")</f>
        <v>Thailand</v>
      </c>
      <c r="M2221" s="27" t="str">
        <f aca="false">IFERROR(__xludf.dummyfunction("""COMPUTED_VALUE"""),"(Diff)")</f>
        <v>(Diff)</v>
      </c>
      <c r="N2221" s="25"/>
      <c r="O2221" s="25"/>
      <c r="P2221" s="25"/>
      <c r="Q2221" s="29" t="s">
        <v>232</v>
      </c>
      <c r="R2221" s="8" t="str">
        <f aca="false">B2221&amp;" "&amp;C2221&amp;" "&amp;D2221&amp;" "&amp;E2221&amp;" "&amp;G2221&amp;" "&amp;H2221&amp;" "&amp;J2221&amp;" "&amp;N2221</f>
        <v>Differentials Binders &amp; Additives     CIF Thailand (Diff) </v>
      </c>
      <c r="S2221" s="25"/>
      <c r="T2221" s="8"/>
      <c r="U2221" s="8"/>
      <c r="V2221" s="25"/>
      <c r="W2221" s="25"/>
      <c r="X2221" s="25"/>
      <c r="Y2221" s="25"/>
      <c r="Z2221" s="25"/>
      <c r="AA2221" s="25"/>
      <c r="AB2221" s="25"/>
      <c r="AC2221" s="25"/>
      <c r="AD2221" s="25"/>
    </row>
    <row r="2222" customFormat="false" ht="15.75" hidden="false" customHeight="false" outlineLevel="0" collapsed="false">
      <c r="A2222" s="28" t="s">
        <v>2635</v>
      </c>
      <c r="B2222" s="27" t="s">
        <v>438</v>
      </c>
      <c r="C2222" s="27" t="s">
        <v>211</v>
      </c>
      <c r="D2222" s="25"/>
      <c r="E2222" s="25"/>
      <c r="F2222" s="25"/>
      <c r="G2222" s="25"/>
      <c r="H2222" s="25"/>
      <c r="I2222" s="25"/>
      <c r="J2222" s="27" t="s">
        <v>2626</v>
      </c>
      <c r="K2222" s="25" t="str">
        <f aca="false">IFERROR(__xludf.dummyfunction("SPLIT(J2222,"" "")"),"CIF")</f>
        <v>CIF</v>
      </c>
      <c r="L2222" s="28" t="str">
        <f aca="false">IFERROR(__xludf.dummyfunction("""COMPUTED_VALUE"""),"Thailand")</f>
        <v>Thailand</v>
      </c>
      <c r="M2222" s="27" t="str">
        <f aca="false">IFERROR(__xludf.dummyfunction("""COMPUTED_VALUE"""),"(Diff)")</f>
        <v>(Diff)</v>
      </c>
      <c r="N2222" s="25"/>
      <c r="O2222" s="25"/>
      <c r="P2222" s="25"/>
      <c r="Q2222" s="29" t="s">
        <v>230</v>
      </c>
      <c r="R2222" s="8" t="str">
        <f aca="false">B2222&amp;" "&amp;C2222&amp;" "&amp;D2222&amp;" "&amp;E2222&amp;" "&amp;G2222&amp;" "&amp;H2222&amp;" "&amp;J2222&amp;" "&amp;N2222</f>
        <v>Differentials Binders &amp; Additives     CIF Thailand (Diff) </v>
      </c>
      <c r="S2222" s="25"/>
      <c r="T2222" s="8"/>
      <c r="U2222" s="8"/>
      <c r="V2222" s="25"/>
      <c r="W2222" s="25"/>
      <c r="X2222" s="25"/>
      <c r="Y2222" s="25"/>
      <c r="Z2222" s="25"/>
      <c r="AA2222" s="25"/>
      <c r="AB2222" s="25"/>
      <c r="AC2222" s="25"/>
      <c r="AD2222" s="25"/>
    </row>
    <row r="2223" customFormat="false" ht="15.75" hidden="false" customHeight="false" outlineLevel="0" collapsed="false">
      <c r="A2223" s="28" t="s">
        <v>2636</v>
      </c>
      <c r="B2223" s="27" t="s">
        <v>438</v>
      </c>
      <c r="C2223" s="27" t="s">
        <v>211</v>
      </c>
      <c r="D2223" s="25"/>
      <c r="E2223" s="25"/>
      <c r="F2223" s="25"/>
      <c r="G2223" s="25"/>
      <c r="H2223" s="25"/>
      <c r="I2223" s="25"/>
      <c r="J2223" s="27" t="s">
        <v>2626</v>
      </c>
      <c r="K2223" s="25" t="str">
        <f aca="false">IFERROR(__xludf.dummyfunction("SPLIT(J2223,"" "")"),"CIF")</f>
        <v>CIF</v>
      </c>
      <c r="L2223" s="28" t="str">
        <f aca="false">IFERROR(__xludf.dummyfunction("""COMPUTED_VALUE"""),"Thailand")</f>
        <v>Thailand</v>
      </c>
      <c r="M2223" s="27" t="str">
        <f aca="false">IFERROR(__xludf.dummyfunction("""COMPUTED_VALUE"""),"(Diff)")</f>
        <v>(Diff)</v>
      </c>
      <c r="N2223" s="25"/>
      <c r="O2223" s="25"/>
      <c r="P2223" s="25"/>
      <c r="Q2223" s="29" t="s">
        <v>228</v>
      </c>
      <c r="R2223" s="8" t="str">
        <f aca="false">B2223&amp;" "&amp;C2223&amp;" "&amp;D2223&amp;" "&amp;E2223&amp;" "&amp;G2223&amp;" "&amp;H2223&amp;" "&amp;J2223&amp;" "&amp;N2223</f>
        <v>Differentials Binders &amp; Additives     CIF Thailand (Diff) </v>
      </c>
      <c r="S2223" s="25"/>
      <c r="T2223" s="8"/>
      <c r="U2223" s="8"/>
      <c r="V2223" s="25"/>
      <c r="W2223" s="25"/>
      <c r="X2223" s="25"/>
      <c r="Y2223" s="25"/>
      <c r="Z2223" s="25"/>
      <c r="AA2223" s="25"/>
      <c r="AB2223" s="25"/>
      <c r="AC2223" s="25"/>
      <c r="AD2223" s="25"/>
    </row>
    <row r="2224" customFormat="false" ht="15.75" hidden="false" customHeight="false" outlineLevel="0" collapsed="false">
      <c r="A2224" s="28" t="s">
        <v>2637</v>
      </c>
      <c r="B2224" s="27" t="s">
        <v>438</v>
      </c>
      <c r="C2224" s="27" t="s">
        <v>211</v>
      </c>
      <c r="D2224" s="25"/>
      <c r="E2224" s="25"/>
      <c r="F2224" s="25"/>
      <c r="G2224" s="25"/>
      <c r="H2224" s="25"/>
      <c r="I2224" s="25"/>
      <c r="J2224" s="27" t="s">
        <v>2626</v>
      </c>
      <c r="K2224" s="25" t="str">
        <f aca="false">IFERROR(__xludf.dummyfunction("SPLIT(J2224,"" "")"),"CIF")</f>
        <v>CIF</v>
      </c>
      <c r="L2224" s="28" t="str">
        <f aca="false">IFERROR(__xludf.dummyfunction("""COMPUTED_VALUE"""),"Thailand")</f>
        <v>Thailand</v>
      </c>
      <c r="M2224" s="27" t="str">
        <f aca="false">IFERROR(__xludf.dummyfunction("""COMPUTED_VALUE"""),"(Diff)")</f>
        <v>(Diff)</v>
      </c>
      <c r="N2224" s="25"/>
      <c r="O2224" s="25"/>
      <c r="P2224" s="25"/>
      <c r="Q2224" s="29" t="s">
        <v>226</v>
      </c>
      <c r="R2224" s="8" t="str">
        <f aca="false">B2224&amp;" "&amp;C2224&amp;" "&amp;D2224&amp;" "&amp;E2224&amp;" "&amp;G2224&amp;" "&amp;H2224&amp;" "&amp;J2224&amp;" "&amp;N2224</f>
        <v>Differentials Binders &amp; Additives     CIF Thailand (Diff) </v>
      </c>
      <c r="S2224" s="25"/>
      <c r="T2224" s="8"/>
      <c r="U2224" s="8"/>
      <c r="V2224" s="25"/>
      <c r="W2224" s="25"/>
      <c r="X2224" s="25"/>
      <c r="Y2224" s="25"/>
      <c r="Z2224" s="25"/>
      <c r="AA2224" s="25"/>
      <c r="AB2224" s="25"/>
      <c r="AC2224" s="25"/>
      <c r="AD2224" s="25"/>
    </row>
    <row r="2225" customFormat="false" ht="15.75" hidden="false" customHeight="false" outlineLevel="0" collapsed="false">
      <c r="A2225" s="28" t="s">
        <v>2638</v>
      </c>
      <c r="B2225" s="27" t="s">
        <v>438</v>
      </c>
      <c r="C2225" s="27" t="s">
        <v>211</v>
      </c>
      <c r="D2225" s="25"/>
      <c r="E2225" s="25"/>
      <c r="F2225" s="25"/>
      <c r="G2225" s="25"/>
      <c r="H2225" s="25"/>
      <c r="I2225" s="25"/>
      <c r="J2225" s="27" t="s">
        <v>2626</v>
      </c>
      <c r="K2225" s="25" t="str">
        <f aca="false">IFERROR(__xludf.dummyfunction("SPLIT(J2225,"" "")"),"CIF")</f>
        <v>CIF</v>
      </c>
      <c r="L2225" s="28" t="str">
        <f aca="false">IFERROR(__xludf.dummyfunction("""COMPUTED_VALUE"""),"Thailand")</f>
        <v>Thailand</v>
      </c>
      <c r="M2225" s="27" t="str">
        <f aca="false">IFERROR(__xludf.dummyfunction("""COMPUTED_VALUE"""),"(Diff)")</f>
        <v>(Diff)</v>
      </c>
      <c r="N2225" s="25"/>
      <c r="O2225" s="25"/>
      <c r="P2225" s="25"/>
      <c r="Q2225" s="29" t="s">
        <v>224</v>
      </c>
      <c r="R2225" s="8" t="str">
        <f aca="false">B2225&amp;" "&amp;C2225&amp;" "&amp;D2225&amp;" "&amp;E2225&amp;" "&amp;G2225&amp;" "&amp;H2225&amp;" "&amp;J2225&amp;" "&amp;N2225</f>
        <v>Differentials Binders &amp; Additives     CIF Thailand (Diff) </v>
      </c>
      <c r="S2225" s="25"/>
      <c r="T2225" s="8"/>
      <c r="U2225" s="8"/>
      <c r="V2225" s="25"/>
      <c r="W2225" s="25"/>
      <c r="X2225" s="25"/>
      <c r="Y2225" s="25"/>
      <c r="Z2225" s="25"/>
      <c r="AA2225" s="25"/>
      <c r="AB2225" s="25"/>
      <c r="AC2225" s="25"/>
      <c r="AD2225" s="25"/>
    </row>
    <row r="2226" customFormat="false" ht="15.75" hidden="false" customHeight="false" outlineLevel="0" collapsed="false">
      <c r="A2226" s="28" t="s">
        <v>2639</v>
      </c>
      <c r="B2226" s="27" t="s">
        <v>438</v>
      </c>
      <c r="C2226" s="27" t="s">
        <v>211</v>
      </c>
      <c r="D2226" s="25"/>
      <c r="E2226" s="25"/>
      <c r="F2226" s="25"/>
      <c r="G2226" s="25"/>
      <c r="H2226" s="25"/>
      <c r="I2226" s="25"/>
      <c r="J2226" s="27" t="s">
        <v>2626</v>
      </c>
      <c r="K2226" s="25" t="str">
        <f aca="false">IFERROR(__xludf.dummyfunction("SPLIT(J2226,"" "")"),"CIF")</f>
        <v>CIF</v>
      </c>
      <c r="L2226" s="28" t="str">
        <f aca="false">IFERROR(__xludf.dummyfunction("""COMPUTED_VALUE"""),"Thailand")</f>
        <v>Thailand</v>
      </c>
      <c r="M2226" s="27" t="str">
        <f aca="false">IFERROR(__xludf.dummyfunction("""COMPUTED_VALUE"""),"(Diff)")</f>
        <v>(Diff)</v>
      </c>
      <c r="N2226" s="25"/>
      <c r="O2226" s="25"/>
      <c r="P2226" s="25"/>
      <c r="Q2226" s="29" t="s">
        <v>222</v>
      </c>
      <c r="R2226" s="8" t="str">
        <f aca="false">B2226&amp;" "&amp;C2226&amp;" "&amp;D2226&amp;" "&amp;E2226&amp;" "&amp;G2226&amp;" "&amp;H2226&amp;" "&amp;J2226&amp;" "&amp;N2226</f>
        <v>Differentials Binders &amp; Additives     CIF Thailand (Diff) </v>
      </c>
      <c r="S2226" s="25"/>
      <c r="T2226" s="8"/>
      <c r="U2226" s="8"/>
      <c r="V2226" s="25"/>
      <c r="W2226" s="25"/>
      <c r="X2226" s="25"/>
      <c r="Y2226" s="25"/>
      <c r="Z2226" s="25"/>
      <c r="AA2226" s="25"/>
      <c r="AB2226" s="25"/>
      <c r="AC2226" s="25"/>
      <c r="AD2226" s="25"/>
    </row>
    <row r="2227" customFormat="false" ht="15.75" hidden="false" customHeight="false" outlineLevel="0" collapsed="false">
      <c r="A2227" s="28" t="s">
        <v>2640</v>
      </c>
      <c r="B2227" s="27" t="s">
        <v>438</v>
      </c>
      <c r="C2227" s="27" t="s">
        <v>211</v>
      </c>
      <c r="D2227" s="25"/>
      <c r="E2227" s="25"/>
      <c r="F2227" s="25"/>
      <c r="G2227" s="25"/>
      <c r="H2227" s="25"/>
      <c r="I2227" s="25"/>
      <c r="J2227" s="27" t="s">
        <v>2626</v>
      </c>
      <c r="K2227" s="25" t="str">
        <f aca="false">IFERROR(__xludf.dummyfunction("SPLIT(J2227,"" "")"),"CIF")</f>
        <v>CIF</v>
      </c>
      <c r="L2227" s="28" t="str">
        <f aca="false">IFERROR(__xludf.dummyfunction("""COMPUTED_VALUE"""),"Thailand")</f>
        <v>Thailand</v>
      </c>
      <c r="M2227" s="27" t="str">
        <f aca="false">IFERROR(__xludf.dummyfunction("""COMPUTED_VALUE"""),"(Diff)")</f>
        <v>(Diff)</v>
      </c>
      <c r="N2227" s="25"/>
      <c r="O2227" s="25"/>
      <c r="P2227" s="25"/>
      <c r="Q2227" s="29" t="s">
        <v>220</v>
      </c>
      <c r="R2227" s="8" t="str">
        <f aca="false">B2227&amp;" "&amp;C2227&amp;" "&amp;D2227&amp;" "&amp;E2227&amp;" "&amp;G2227&amp;" "&amp;H2227&amp;" "&amp;J2227&amp;" "&amp;N2227</f>
        <v>Differentials Binders &amp; Additives     CIF Thailand (Diff) </v>
      </c>
      <c r="S2227" s="25"/>
      <c r="T2227" s="8"/>
      <c r="U2227" s="8"/>
      <c r="V2227" s="25"/>
      <c r="W2227" s="25"/>
      <c r="X2227" s="25"/>
      <c r="Y2227" s="25"/>
      <c r="Z2227" s="25"/>
      <c r="AA2227" s="25"/>
      <c r="AB2227" s="25"/>
      <c r="AC2227" s="25"/>
      <c r="AD2227" s="25"/>
    </row>
    <row r="2228" customFormat="false" ht="15.75" hidden="false" customHeight="false" outlineLevel="0" collapsed="false">
      <c r="A2228" s="28" t="s">
        <v>2641</v>
      </c>
      <c r="B2228" s="27" t="s">
        <v>438</v>
      </c>
      <c r="C2228" s="27" t="s">
        <v>211</v>
      </c>
      <c r="D2228" s="25"/>
      <c r="E2228" s="25"/>
      <c r="F2228" s="25"/>
      <c r="G2228" s="25"/>
      <c r="H2228" s="25"/>
      <c r="I2228" s="25"/>
      <c r="J2228" s="27" t="s">
        <v>2626</v>
      </c>
      <c r="K2228" s="25" t="str">
        <f aca="false">IFERROR(__xludf.dummyfunction("SPLIT(J2228,"" "")"),"CIF")</f>
        <v>CIF</v>
      </c>
      <c r="L2228" s="28" t="str">
        <f aca="false">IFERROR(__xludf.dummyfunction("""COMPUTED_VALUE"""),"Thailand")</f>
        <v>Thailand</v>
      </c>
      <c r="M2228" s="27" t="str">
        <f aca="false">IFERROR(__xludf.dummyfunction("""COMPUTED_VALUE"""),"(Diff)")</f>
        <v>(Diff)</v>
      </c>
      <c r="N2228" s="25"/>
      <c r="O2228" s="25"/>
      <c r="P2228" s="25"/>
      <c r="Q2228" s="29" t="s">
        <v>218</v>
      </c>
      <c r="R2228" s="8" t="str">
        <f aca="false">B2228&amp;" "&amp;C2228&amp;" "&amp;D2228&amp;" "&amp;E2228&amp;" "&amp;G2228&amp;" "&amp;H2228&amp;" "&amp;J2228&amp;" "&amp;N2228</f>
        <v>Differentials Binders &amp; Additives     CIF Thailand (Diff) </v>
      </c>
      <c r="S2228" s="25"/>
      <c r="T2228" s="8"/>
      <c r="U2228" s="8"/>
      <c r="V2228" s="25"/>
      <c r="W2228" s="25"/>
      <c r="X2228" s="25"/>
      <c r="Y2228" s="25"/>
      <c r="Z2228" s="25"/>
      <c r="AA2228" s="25"/>
      <c r="AB2228" s="25"/>
      <c r="AC2228" s="25"/>
      <c r="AD2228" s="25"/>
    </row>
    <row r="2229" customFormat="false" ht="15.75" hidden="false" customHeight="false" outlineLevel="0" collapsed="false">
      <c r="A2229" s="28" t="s">
        <v>2642</v>
      </c>
      <c r="B2229" s="27" t="s">
        <v>438</v>
      </c>
      <c r="C2229" s="27" t="s">
        <v>211</v>
      </c>
      <c r="D2229" s="25"/>
      <c r="E2229" s="25"/>
      <c r="F2229" s="25"/>
      <c r="G2229" s="25"/>
      <c r="H2229" s="25"/>
      <c r="I2229" s="25"/>
      <c r="J2229" s="27" t="s">
        <v>2626</v>
      </c>
      <c r="K2229" s="25" t="str">
        <f aca="false">IFERROR(__xludf.dummyfunction("SPLIT(J2229,"" "")"),"CIF")</f>
        <v>CIF</v>
      </c>
      <c r="L2229" s="28" t="str">
        <f aca="false">IFERROR(__xludf.dummyfunction("""COMPUTED_VALUE"""),"Thailand")</f>
        <v>Thailand</v>
      </c>
      <c r="M2229" s="27" t="str">
        <f aca="false">IFERROR(__xludf.dummyfunction("""COMPUTED_VALUE"""),"(Diff)")</f>
        <v>(Diff)</v>
      </c>
      <c r="N2229" s="25"/>
      <c r="O2229" s="25"/>
      <c r="P2229" s="25"/>
      <c r="Q2229" s="29" t="s">
        <v>215</v>
      </c>
      <c r="R2229" s="8" t="str">
        <f aca="false">B2229&amp;" "&amp;C2229&amp;" "&amp;D2229&amp;" "&amp;E2229&amp;" "&amp;G2229&amp;" "&amp;H2229&amp;" "&amp;J2229&amp;" "&amp;N2229</f>
        <v>Differentials Binders &amp; Additives     CIF Thailand (Diff) </v>
      </c>
      <c r="S2229" s="25"/>
      <c r="T2229" s="8"/>
      <c r="U2229" s="8"/>
      <c r="V2229" s="25"/>
      <c r="W2229" s="25"/>
      <c r="X2229" s="25"/>
      <c r="Y2229" s="25"/>
      <c r="Z2229" s="25"/>
      <c r="AA2229" s="25"/>
      <c r="AB2229" s="25"/>
      <c r="AC2229" s="25"/>
      <c r="AD2229" s="25"/>
    </row>
    <row r="2230" customFormat="false" ht="15.75" hidden="false" customHeight="false" outlineLevel="0" collapsed="false">
      <c r="A2230" s="28" t="s">
        <v>2643</v>
      </c>
      <c r="B2230" s="27" t="s">
        <v>438</v>
      </c>
      <c r="C2230" s="27" t="s">
        <v>211</v>
      </c>
      <c r="D2230" s="25"/>
      <c r="E2230" s="25"/>
      <c r="F2230" s="25"/>
      <c r="G2230" s="25"/>
      <c r="H2230" s="25"/>
      <c r="I2230" s="25"/>
      <c r="J2230" s="27" t="s">
        <v>2626</v>
      </c>
      <c r="K2230" s="25" t="str">
        <f aca="false">IFERROR(__xludf.dummyfunction("SPLIT(J2230,"" "")"),"CIF")</f>
        <v>CIF</v>
      </c>
      <c r="L2230" s="28" t="str">
        <f aca="false">IFERROR(__xludf.dummyfunction("""COMPUTED_VALUE"""),"Thailand")</f>
        <v>Thailand</v>
      </c>
      <c r="M2230" s="27" t="str">
        <f aca="false">IFERROR(__xludf.dummyfunction("""COMPUTED_VALUE"""),"(Diff)")</f>
        <v>(Diff)</v>
      </c>
      <c r="N2230" s="25"/>
      <c r="O2230" s="25"/>
      <c r="P2230" s="25"/>
      <c r="Q2230" s="29" t="s">
        <v>213</v>
      </c>
      <c r="R2230" s="8" t="str">
        <f aca="false">B2230&amp;" "&amp;C2230&amp;" "&amp;D2230&amp;" "&amp;E2230&amp;" "&amp;G2230&amp;" "&amp;H2230&amp;" "&amp;J2230&amp;" "&amp;N2230</f>
        <v>Differentials Binders &amp; Additives     CIF Thailand (Diff) </v>
      </c>
      <c r="S2230" s="25"/>
      <c r="T2230" s="8"/>
      <c r="U2230" s="8"/>
      <c r="V2230" s="25"/>
      <c r="W2230" s="25"/>
      <c r="X2230" s="25"/>
      <c r="Y2230" s="25"/>
      <c r="Z2230" s="25"/>
      <c r="AA2230" s="25"/>
      <c r="AB2230" s="25"/>
      <c r="AC2230" s="25"/>
      <c r="AD2230" s="25"/>
    </row>
    <row r="2231" customFormat="false" ht="15.75" hidden="false" customHeight="false" outlineLevel="0" collapsed="false">
      <c r="A2231" s="28" t="s">
        <v>2644</v>
      </c>
      <c r="B2231" s="27" t="s">
        <v>438</v>
      </c>
      <c r="C2231" s="27" t="s">
        <v>236</v>
      </c>
      <c r="D2231" s="25"/>
      <c r="E2231" s="25"/>
      <c r="F2231" s="25"/>
      <c r="G2231" s="25"/>
      <c r="H2231" s="25"/>
      <c r="I2231" s="25"/>
      <c r="J2231" s="27" t="s">
        <v>2626</v>
      </c>
      <c r="K2231" s="25" t="str">
        <f aca="false">IFERROR(__xludf.dummyfunction("SPLIT(J2231,"" "")"),"CIF")</f>
        <v>CIF</v>
      </c>
      <c r="L2231" s="28" t="str">
        <f aca="false">IFERROR(__xludf.dummyfunction("""COMPUTED_VALUE"""),"Thailand")</f>
        <v>Thailand</v>
      </c>
      <c r="M2231" s="27" t="str">
        <f aca="false">IFERROR(__xludf.dummyfunction("""COMPUTED_VALUE"""),"(Diff)")</f>
        <v>(Diff)</v>
      </c>
      <c r="N2231" s="25"/>
      <c r="O2231" s="25"/>
      <c r="P2231" s="25"/>
      <c r="Q2231" s="29" t="s">
        <v>271</v>
      </c>
      <c r="R2231" s="8" t="str">
        <f aca="false">B2231&amp;" "&amp;C2231&amp;" "&amp;D2231&amp;" "&amp;E2231&amp;" "&amp;G2231&amp;" "&amp;H2231&amp;" "&amp;J2231&amp;" "&amp;N2231</f>
        <v>Differentials Cathode     CIF Thailand (Diff) </v>
      </c>
      <c r="S2231" s="25"/>
      <c r="T2231" s="8"/>
      <c r="U2231" s="8"/>
      <c r="V2231" s="25"/>
      <c r="W2231" s="25"/>
      <c r="X2231" s="25"/>
      <c r="Y2231" s="25"/>
      <c r="Z2231" s="25"/>
      <c r="AA2231" s="25"/>
      <c r="AB2231" s="25"/>
      <c r="AC2231" s="25"/>
      <c r="AD2231" s="25"/>
    </row>
    <row r="2232" customFormat="false" ht="15.75" hidden="false" customHeight="false" outlineLevel="0" collapsed="false">
      <c r="A2232" s="28" t="s">
        <v>2645</v>
      </c>
      <c r="B2232" s="27" t="s">
        <v>438</v>
      </c>
      <c r="C2232" s="27" t="s">
        <v>236</v>
      </c>
      <c r="D2232" s="25"/>
      <c r="E2232" s="25"/>
      <c r="F2232" s="25"/>
      <c r="G2232" s="25"/>
      <c r="H2232" s="25"/>
      <c r="I2232" s="25"/>
      <c r="J2232" s="27" t="s">
        <v>2626</v>
      </c>
      <c r="K2232" s="25" t="str">
        <f aca="false">IFERROR(__xludf.dummyfunction("SPLIT(J2232,"" "")"),"CIF")</f>
        <v>CIF</v>
      </c>
      <c r="L2232" s="28" t="str">
        <f aca="false">IFERROR(__xludf.dummyfunction("""COMPUTED_VALUE"""),"Thailand")</f>
        <v>Thailand</v>
      </c>
      <c r="M2232" s="27" t="str">
        <f aca="false">IFERROR(__xludf.dummyfunction("""COMPUTED_VALUE"""),"(Diff)")</f>
        <v>(Diff)</v>
      </c>
      <c r="N2232" s="25"/>
      <c r="O2232" s="25"/>
      <c r="P2232" s="25"/>
      <c r="Q2232" s="29" t="s">
        <v>266</v>
      </c>
      <c r="R2232" s="8" t="str">
        <f aca="false">B2232&amp;" "&amp;C2232&amp;" "&amp;D2232&amp;" "&amp;E2232&amp;" "&amp;G2232&amp;" "&amp;H2232&amp;" "&amp;J2232&amp;" "&amp;N2232</f>
        <v>Differentials Cathode     CIF Thailand (Diff) </v>
      </c>
      <c r="S2232" s="25"/>
      <c r="T2232" s="8"/>
      <c r="U2232" s="8"/>
      <c r="V2232" s="25"/>
      <c r="W2232" s="25"/>
      <c r="X2232" s="25"/>
      <c r="Y2232" s="25"/>
      <c r="Z2232" s="25"/>
      <c r="AA2232" s="25"/>
      <c r="AB2232" s="25"/>
      <c r="AC2232" s="25"/>
      <c r="AD2232" s="25"/>
    </row>
    <row r="2233" customFormat="false" ht="15.75" hidden="false" customHeight="false" outlineLevel="0" collapsed="false">
      <c r="A2233" s="28" t="s">
        <v>2646</v>
      </c>
      <c r="B2233" s="27" t="s">
        <v>438</v>
      </c>
      <c r="C2233" s="27" t="s">
        <v>236</v>
      </c>
      <c r="D2233" s="25"/>
      <c r="E2233" s="25"/>
      <c r="F2233" s="25"/>
      <c r="G2233" s="25"/>
      <c r="H2233" s="25"/>
      <c r="I2233" s="25"/>
      <c r="J2233" s="27" t="s">
        <v>2626</v>
      </c>
      <c r="K2233" s="25" t="str">
        <f aca="false">IFERROR(__xludf.dummyfunction("SPLIT(J2233,"" "")"),"CIF")</f>
        <v>CIF</v>
      </c>
      <c r="L2233" s="28" t="str">
        <f aca="false">IFERROR(__xludf.dummyfunction("""COMPUTED_VALUE"""),"Thailand")</f>
        <v>Thailand</v>
      </c>
      <c r="M2233" s="27" t="str">
        <f aca="false">IFERROR(__xludf.dummyfunction("""COMPUTED_VALUE"""),"(Diff)")</f>
        <v>(Diff)</v>
      </c>
      <c r="N2233" s="25"/>
      <c r="O2233" s="25"/>
      <c r="P2233" s="25"/>
      <c r="Q2233" s="29" t="s">
        <v>261</v>
      </c>
      <c r="R2233" s="8" t="str">
        <f aca="false">B2233&amp;" "&amp;C2233&amp;" "&amp;D2233&amp;" "&amp;E2233&amp;" "&amp;G2233&amp;" "&amp;H2233&amp;" "&amp;J2233&amp;" "&amp;N2233</f>
        <v>Differentials Cathode     CIF Thailand (Diff) </v>
      </c>
      <c r="S2233" s="25"/>
      <c r="T2233" s="8"/>
      <c r="U2233" s="8"/>
      <c r="V2233" s="25"/>
      <c r="W2233" s="25"/>
      <c r="X2233" s="25"/>
      <c r="Y2233" s="25"/>
      <c r="Z2233" s="25"/>
      <c r="AA2233" s="25"/>
      <c r="AB2233" s="25"/>
      <c r="AC2233" s="25"/>
      <c r="AD2233" s="25"/>
    </row>
    <row r="2234" customFormat="false" ht="15.75" hidden="false" customHeight="false" outlineLevel="0" collapsed="false">
      <c r="A2234" s="28" t="s">
        <v>2647</v>
      </c>
      <c r="B2234" s="27" t="s">
        <v>438</v>
      </c>
      <c r="C2234" s="27" t="s">
        <v>236</v>
      </c>
      <c r="D2234" s="25"/>
      <c r="E2234" s="25"/>
      <c r="F2234" s="25"/>
      <c r="G2234" s="25"/>
      <c r="H2234" s="25"/>
      <c r="I2234" s="25"/>
      <c r="J2234" s="27" t="s">
        <v>2626</v>
      </c>
      <c r="K2234" s="25" t="str">
        <f aca="false">IFERROR(__xludf.dummyfunction("SPLIT(J2234,"" "")"),"CIF")</f>
        <v>CIF</v>
      </c>
      <c r="L2234" s="28" t="str">
        <f aca="false">IFERROR(__xludf.dummyfunction("""COMPUTED_VALUE"""),"Thailand")</f>
        <v>Thailand</v>
      </c>
      <c r="M2234" s="27" t="str">
        <f aca="false">IFERROR(__xludf.dummyfunction("""COMPUTED_VALUE"""),"(Diff)")</f>
        <v>(Diff)</v>
      </c>
      <c r="N2234" s="25"/>
      <c r="O2234" s="25"/>
      <c r="P2234" s="25"/>
      <c r="Q2234" s="29" t="s">
        <v>256</v>
      </c>
      <c r="R2234" s="8" t="str">
        <f aca="false">B2234&amp;" "&amp;C2234&amp;" "&amp;D2234&amp;" "&amp;E2234&amp;" "&amp;G2234&amp;" "&amp;H2234&amp;" "&amp;J2234&amp;" "&amp;N2234</f>
        <v>Differentials Cathode     CIF Thailand (Diff) </v>
      </c>
      <c r="S2234" s="25"/>
      <c r="T2234" s="8"/>
      <c r="U2234" s="8"/>
      <c r="V2234" s="25"/>
      <c r="W2234" s="25"/>
      <c r="X2234" s="25"/>
      <c r="Y2234" s="25"/>
      <c r="Z2234" s="25"/>
      <c r="AA2234" s="25"/>
      <c r="AB2234" s="25"/>
      <c r="AC2234" s="25"/>
      <c r="AD2234" s="25"/>
    </row>
    <row r="2235" customFormat="false" ht="15.75" hidden="false" customHeight="false" outlineLevel="0" collapsed="false">
      <c r="A2235" s="28" t="s">
        <v>2648</v>
      </c>
      <c r="B2235" s="27" t="s">
        <v>438</v>
      </c>
      <c r="C2235" s="27" t="s">
        <v>236</v>
      </c>
      <c r="D2235" s="25"/>
      <c r="E2235" s="25"/>
      <c r="F2235" s="25"/>
      <c r="G2235" s="25"/>
      <c r="H2235" s="25"/>
      <c r="I2235" s="25"/>
      <c r="J2235" s="27" t="s">
        <v>2626</v>
      </c>
      <c r="K2235" s="25" t="str">
        <f aca="false">IFERROR(__xludf.dummyfunction("SPLIT(J2235,"" "")"),"CIF")</f>
        <v>CIF</v>
      </c>
      <c r="L2235" s="28" t="str">
        <f aca="false">IFERROR(__xludf.dummyfunction("""COMPUTED_VALUE"""),"Thailand")</f>
        <v>Thailand</v>
      </c>
      <c r="M2235" s="27" t="str">
        <f aca="false">IFERROR(__xludf.dummyfunction("""COMPUTED_VALUE"""),"(Diff)")</f>
        <v>(Diff)</v>
      </c>
      <c r="N2235" s="25"/>
      <c r="O2235" s="25"/>
      <c r="P2235" s="25"/>
      <c r="Q2235" s="29" t="s">
        <v>251</v>
      </c>
      <c r="R2235" s="8" t="str">
        <f aca="false">B2235&amp;" "&amp;C2235&amp;" "&amp;D2235&amp;" "&amp;E2235&amp;" "&amp;G2235&amp;" "&amp;H2235&amp;" "&amp;J2235&amp;" "&amp;N2235</f>
        <v>Differentials Cathode     CIF Thailand (Diff) </v>
      </c>
      <c r="S2235" s="25"/>
      <c r="T2235" s="8"/>
      <c r="U2235" s="8"/>
      <c r="V2235" s="25"/>
      <c r="W2235" s="25"/>
      <c r="X2235" s="25"/>
      <c r="Y2235" s="25"/>
      <c r="Z2235" s="25"/>
      <c r="AA2235" s="25"/>
      <c r="AB2235" s="25"/>
      <c r="AC2235" s="25"/>
      <c r="AD2235" s="25"/>
    </row>
    <row r="2236" customFormat="false" ht="15.75" hidden="false" customHeight="false" outlineLevel="0" collapsed="false">
      <c r="A2236" s="28" t="s">
        <v>2649</v>
      </c>
      <c r="B2236" s="27" t="s">
        <v>438</v>
      </c>
      <c r="C2236" s="27" t="s">
        <v>236</v>
      </c>
      <c r="D2236" s="25"/>
      <c r="E2236" s="25"/>
      <c r="F2236" s="25"/>
      <c r="G2236" s="25"/>
      <c r="H2236" s="25"/>
      <c r="I2236" s="25"/>
      <c r="J2236" s="27" t="s">
        <v>2626</v>
      </c>
      <c r="K2236" s="25" t="str">
        <f aca="false">IFERROR(__xludf.dummyfunction("SPLIT(J2236,"" "")"),"CIF")</f>
        <v>CIF</v>
      </c>
      <c r="L2236" s="28" t="str">
        <f aca="false">IFERROR(__xludf.dummyfunction("""COMPUTED_VALUE"""),"Thailand")</f>
        <v>Thailand</v>
      </c>
      <c r="M2236" s="27" t="str">
        <f aca="false">IFERROR(__xludf.dummyfunction("""COMPUTED_VALUE"""),"(Diff)")</f>
        <v>(Diff)</v>
      </c>
      <c r="N2236" s="25"/>
      <c r="O2236" s="25"/>
      <c r="P2236" s="25"/>
      <c r="Q2236" s="29" t="s">
        <v>247</v>
      </c>
      <c r="R2236" s="8" t="str">
        <f aca="false">B2236&amp;" "&amp;C2236&amp;" "&amp;D2236&amp;" "&amp;E2236&amp;" "&amp;G2236&amp;" "&amp;H2236&amp;" "&amp;J2236&amp;" "&amp;N2236</f>
        <v>Differentials Cathode     CIF Thailand (Diff) </v>
      </c>
      <c r="S2236" s="25"/>
      <c r="T2236" s="8"/>
      <c r="U2236" s="8"/>
      <c r="V2236" s="25"/>
      <c r="W2236" s="25"/>
      <c r="X2236" s="25"/>
      <c r="Y2236" s="25"/>
      <c r="Z2236" s="25"/>
      <c r="AA2236" s="25"/>
      <c r="AB2236" s="25"/>
      <c r="AC2236" s="25"/>
      <c r="AD2236" s="25"/>
    </row>
    <row r="2237" customFormat="false" ht="15.75" hidden="false" customHeight="false" outlineLevel="0" collapsed="false">
      <c r="A2237" s="28" t="s">
        <v>2650</v>
      </c>
      <c r="B2237" s="27" t="s">
        <v>438</v>
      </c>
      <c r="C2237" s="27" t="s">
        <v>236</v>
      </c>
      <c r="D2237" s="25"/>
      <c r="E2237" s="25"/>
      <c r="F2237" s="25"/>
      <c r="G2237" s="25"/>
      <c r="H2237" s="25"/>
      <c r="I2237" s="25"/>
      <c r="J2237" s="27" t="s">
        <v>2626</v>
      </c>
      <c r="K2237" s="25" t="str">
        <f aca="false">IFERROR(__xludf.dummyfunction("SPLIT(J2237,"" "")"),"CIF")</f>
        <v>CIF</v>
      </c>
      <c r="L2237" s="28" t="str">
        <f aca="false">IFERROR(__xludf.dummyfunction("""COMPUTED_VALUE"""),"Thailand")</f>
        <v>Thailand</v>
      </c>
      <c r="M2237" s="27" t="str">
        <f aca="false">IFERROR(__xludf.dummyfunction("""COMPUTED_VALUE"""),"(Diff)")</f>
        <v>(Diff)</v>
      </c>
      <c r="N2237" s="25"/>
      <c r="O2237" s="25"/>
      <c r="P2237" s="25"/>
      <c r="Q2237" s="29" t="s">
        <v>243</v>
      </c>
      <c r="R2237" s="8" t="str">
        <f aca="false">B2237&amp;" "&amp;C2237&amp;" "&amp;D2237&amp;" "&amp;E2237&amp;" "&amp;G2237&amp;" "&amp;H2237&amp;" "&amp;J2237&amp;" "&amp;N2237</f>
        <v>Differentials Cathode     CIF Thailand (Diff) </v>
      </c>
      <c r="S2237" s="25"/>
      <c r="T2237" s="8"/>
      <c r="U2237" s="8"/>
      <c r="V2237" s="25"/>
      <c r="W2237" s="25"/>
      <c r="X2237" s="25"/>
      <c r="Y2237" s="25"/>
      <c r="Z2237" s="25"/>
      <c r="AA2237" s="25"/>
      <c r="AB2237" s="25"/>
      <c r="AC2237" s="25"/>
      <c r="AD2237" s="25"/>
    </row>
    <row r="2238" customFormat="false" ht="15.75" hidden="false" customHeight="false" outlineLevel="0" collapsed="false">
      <c r="A2238" s="28" t="s">
        <v>2651</v>
      </c>
      <c r="B2238" s="27" t="s">
        <v>438</v>
      </c>
      <c r="C2238" s="27" t="s">
        <v>236</v>
      </c>
      <c r="D2238" s="25"/>
      <c r="E2238" s="25"/>
      <c r="F2238" s="25"/>
      <c r="G2238" s="25"/>
      <c r="H2238" s="25"/>
      <c r="I2238" s="25"/>
      <c r="J2238" s="27" t="s">
        <v>2626</v>
      </c>
      <c r="K2238" s="25" t="str">
        <f aca="false">IFERROR(__xludf.dummyfunction("SPLIT(J2238,"" "")"),"CIF")</f>
        <v>CIF</v>
      </c>
      <c r="L2238" s="28" t="str">
        <f aca="false">IFERROR(__xludf.dummyfunction("""COMPUTED_VALUE"""),"Thailand")</f>
        <v>Thailand</v>
      </c>
      <c r="M2238" s="27" t="str">
        <f aca="false">IFERROR(__xludf.dummyfunction("""COMPUTED_VALUE"""),"(Diff)")</f>
        <v>(Diff)</v>
      </c>
      <c r="N2238" s="25"/>
      <c r="O2238" s="25"/>
      <c r="P2238" s="25"/>
      <c r="Q2238" s="29" t="s">
        <v>239</v>
      </c>
      <c r="R2238" s="8" t="str">
        <f aca="false">B2238&amp;" "&amp;C2238&amp;" "&amp;D2238&amp;" "&amp;E2238&amp;" "&amp;G2238&amp;" "&amp;H2238&amp;" "&amp;J2238&amp;" "&amp;N2238</f>
        <v>Differentials Cathode     CIF Thailand (Diff) </v>
      </c>
      <c r="S2238" s="25"/>
      <c r="T2238" s="8"/>
      <c r="U2238" s="8"/>
      <c r="V2238" s="25"/>
      <c r="W2238" s="25"/>
      <c r="X2238" s="25"/>
      <c r="Y2238" s="25"/>
      <c r="Z2238" s="25"/>
      <c r="AA2238" s="25"/>
      <c r="AB2238" s="25"/>
      <c r="AC2238" s="25"/>
      <c r="AD2238" s="25"/>
    </row>
    <row r="2239" customFormat="false" ht="15.75" hidden="false" customHeight="false" outlineLevel="0" collapsed="false">
      <c r="A2239" s="28" t="s">
        <v>2652</v>
      </c>
      <c r="B2239" s="27" t="s">
        <v>438</v>
      </c>
      <c r="C2239" s="27" t="s">
        <v>289</v>
      </c>
      <c r="D2239" s="25"/>
      <c r="E2239" s="25"/>
      <c r="F2239" s="25"/>
      <c r="G2239" s="25"/>
      <c r="H2239" s="25"/>
      <c r="I2239" s="25"/>
      <c r="J2239" s="27" t="s">
        <v>2626</v>
      </c>
      <c r="K2239" s="25" t="str">
        <f aca="false">IFERROR(__xludf.dummyfunction("SPLIT(J2239,"" "")"),"CIF")</f>
        <v>CIF</v>
      </c>
      <c r="L2239" s="28" t="str">
        <f aca="false">IFERROR(__xludf.dummyfunction("""COMPUTED_VALUE"""),"Thailand")</f>
        <v>Thailand</v>
      </c>
      <c r="M2239" s="27" t="str">
        <f aca="false">IFERROR(__xludf.dummyfunction("""COMPUTED_VALUE"""),"(Diff)")</f>
        <v>(Diff)</v>
      </c>
      <c r="N2239" s="25"/>
      <c r="O2239" s="25"/>
      <c r="P2239" s="25"/>
      <c r="Q2239" s="29" t="s">
        <v>306</v>
      </c>
      <c r="R2239" s="8" t="str">
        <f aca="false">B2239&amp;" "&amp;C2239&amp;" "&amp;D2239&amp;" "&amp;E2239&amp;" "&amp;G2239&amp;" "&amp;H2239&amp;" "&amp;J2239&amp;" "&amp;N2239</f>
        <v>Differentials Electrolyte     CIF Thailand (Diff) </v>
      </c>
      <c r="S2239" s="25"/>
      <c r="T2239" s="8"/>
      <c r="U2239" s="8"/>
      <c r="V2239" s="25"/>
      <c r="W2239" s="25"/>
      <c r="X2239" s="25"/>
      <c r="Y2239" s="25"/>
      <c r="Z2239" s="25"/>
      <c r="AA2239" s="25"/>
      <c r="AB2239" s="25"/>
      <c r="AC2239" s="25"/>
      <c r="AD2239" s="25"/>
    </row>
    <row r="2240" customFormat="false" ht="15.75" hidden="false" customHeight="false" outlineLevel="0" collapsed="false">
      <c r="A2240" s="28" t="s">
        <v>2653</v>
      </c>
      <c r="B2240" s="27" t="s">
        <v>438</v>
      </c>
      <c r="C2240" s="27" t="s">
        <v>289</v>
      </c>
      <c r="D2240" s="25"/>
      <c r="E2240" s="25"/>
      <c r="F2240" s="25"/>
      <c r="G2240" s="25"/>
      <c r="H2240" s="25"/>
      <c r="I2240" s="25"/>
      <c r="J2240" s="27" t="s">
        <v>2626</v>
      </c>
      <c r="K2240" s="25" t="str">
        <f aca="false">IFERROR(__xludf.dummyfunction("SPLIT(J2240,"" "")"),"CIF")</f>
        <v>CIF</v>
      </c>
      <c r="L2240" s="28" t="str">
        <f aca="false">IFERROR(__xludf.dummyfunction("""COMPUTED_VALUE"""),"Thailand")</f>
        <v>Thailand</v>
      </c>
      <c r="M2240" s="27" t="str">
        <f aca="false">IFERROR(__xludf.dummyfunction("""COMPUTED_VALUE"""),"(Diff)")</f>
        <v>(Diff)</v>
      </c>
      <c r="N2240" s="25"/>
      <c r="O2240" s="25"/>
      <c r="P2240" s="25"/>
      <c r="Q2240" s="29" t="s">
        <v>304</v>
      </c>
      <c r="R2240" s="8" t="str">
        <f aca="false">B2240&amp;" "&amp;C2240&amp;" "&amp;D2240&amp;" "&amp;E2240&amp;" "&amp;G2240&amp;" "&amp;H2240&amp;" "&amp;J2240&amp;" "&amp;N2240</f>
        <v>Differentials Electrolyte     CIF Thailand (Diff) </v>
      </c>
      <c r="S2240" s="25"/>
      <c r="T2240" s="8"/>
      <c r="U2240" s="8"/>
      <c r="V2240" s="25"/>
      <c r="W2240" s="25"/>
      <c r="X2240" s="25"/>
      <c r="Y2240" s="25"/>
      <c r="Z2240" s="25"/>
      <c r="AA2240" s="25"/>
      <c r="AB2240" s="25"/>
      <c r="AC2240" s="25"/>
      <c r="AD2240" s="25"/>
    </row>
    <row r="2241" customFormat="false" ht="15.75" hidden="false" customHeight="false" outlineLevel="0" collapsed="false">
      <c r="A2241" s="28" t="s">
        <v>2654</v>
      </c>
      <c r="B2241" s="27" t="s">
        <v>438</v>
      </c>
      <c r="C2241" s="27" t="s">
        <v>289</v>
      </c>
      <c r="D2241" s="25"/>
      <c r="E2241" s="25"/>
      <c r="F2241" s="25"/>
      <c r="G2241" s="25"/>
      <c r="H2241" s="25"/>
      <c r="I2241" s="25"/>
      <c r="J2241" s="27" t="s">
        <v>2626</v>
      </c>
      <c r="K2241" s="25" t="str">
        <f aca="false">IFERROR(__xludf.dummyfunction("SPLIT(J2241,"" "")"),"CIF")</f>
        <v>CIF</v>
      </c>
      <c r="L2241" s="28" t="str">
        <f aca="false">IFERROR(__xludf.dummyfunction("""COMPUTED_VALUE"""),"Thailand")</f>
        <v>Thailand</v>
      </c>
      <c r="M2241" s="27" t="str">
        <f aca="false">IFERROR(__xludf.dummyfunction("""COMPUTED_VALUE"""),"(Diff)")</f>
        <v>(Diff)</v>
      </c>
      <c r="N2241" s="25"/>
      <c r="O2241" s="25"/>
      <c r="P2241" s="25"/>
      <c r="Q2241" s="29" t="s">
        <v>302</v>
      </c>
      <c r="R2241" s="8" t="str">
        <f aca="false">B2241&amp;" "&amp;C2241&amp;" "&amp;D2241&amp;" "&amp;E2241&amp;" "&amp;G2241&amp;" "&amp;H2241&amp;" "&amp;J2241&amp;" "&amp;N2241</f>
        <v>Differentials Electrolyte     CIF Thailand (Diff) </v>
      </c>
      <c r="S2241" s="25"/>
      <c r="T2241" s="8"/>
      <c r="U2241" s="8"/>
      <c r="V2241" s="25"/>
      <c r="W2241" s="25"/>
      <c r="X2241" s="25"/>
      <c r="Y2241" s="25"/>
      <c r="Z2241" s="25"/>
      <c r="AA2241" s="25"/>
      <c r="AB2241" s="25"/>
      <c r="AC2241" s="25"/>
      <c r="AD2241" s="25"/>
    </row>
    <row r="2242" customFormat="false" ht="15.75" hidden="false" customHeight="false" outlineLevel="0" collapsed="false">
      <c r="A2242" s="28" t="s">
        <v>2655</v>
      </c>
      <c r="B2242" s="27" t="s">
        <v>438</v>
      </c>
      <c r="C2242" s="27" t="s">
        <v>289</v>
      </c>
      <c r="D2242" s="25"/>
      <c r="E2242" s="25"/>
      <c r="F2242" s="25"/>
      <c r="G2242" s="25"/>
      <c r="H2242" s="25"/>
      <c r="I2242" s="25"/>
      <c r="J2242" s="27" t="s">
        <v>2626</v>
      </c>
      <c r="K2242" s="25" t="str">
        <f aca="false">IFERROR(__xludf.dummyfunction("SPLIT(J2242,"" "")"),"CIF")</f>
        <v>CIF</v>
      </c>
      <c r="L2242" s="28" t="str">
        <f aca="false">IFERROR(__xludf.dummyfunction("""COMPUTED_VALUE"""),"Thailand")</f>
        <v>Thailand</v>
      </c>
      <c r="M2242" s="27" t="str">
        <f aca="false">IFERROR(__xludf.dummyfunction("""COMPUTED_VALUE"""),"(Diff)")</f>
        <v>(Diff)</v>
      </c>
      <c r="N2242" s="25"/>
      <c r="O2242" s="25"/>
      <c r="P2242" s="25"/>
      <c r="Q2242" s="29" t="s">
        <v>300</v>
      </c>
      <c r="R2242" s="8" t="str">
        <f aca="false">B2242&amp;" "&amp;C2242&amp;" "&amp;D2242&amp;" "&amp;E2242&amp;" "&amp;G2242&amp;" "&amp;H2242&amp;" "&amp;J2242&amp;" "&amp;N2242</f>
        <v>Differentials Electrolyte     CIF Thailand (Diff) </v>
      </c>
      <c r="S2242" s="25"/>
      <c r="T2242" s="8"/>
      <c r="U2242" s="8"/>
      <c r="V2242" s="25"/>
      <c r="W2242" s="25"/>
      <c r="X2242" s="25"/>
      <c r="Y2242" s="25"/>
      <c r="Z2242" s="25"/>
      <c r="AA2242" s="25"/>
      <c r="AB2242" s="25"/>
      <c r="AC2242" s="25"/>
      <c r="AD2242" s="25"/>
    </row>
    <row r="2243" customFormat="false" ht="15.75" hidden="false" customHeight="false" outlineLevel="0" collapsed="false">
      <c r="A2243" s="28" t="s">
        <v>2656</v>
      </c>
      <c r="B2243" s="27" t="s">
        <v>438</v>
      </c>
      <c r="C2243" s="27" t="s">
        <v>289</v>
      </c>
      <c r="D2243" s="25"/>
      <c r="E2243" s="25"/>
      <c r="F2243" s="25"/>
      <c r="G2243" s="25"/>
      <c r="H2243" s="25"/>
      <c r="I2243" s="25"/>
      <c r="J2243" s="27" t="s">
        <v>2626</v>
      </c>
      <c r="K2243" s="25" t="str">
        <f aca="false">IFERROR(__xludf.dummyfunction("SPLIT(J2243,"" "")"),"CIF")</f>
        <v>CIF</v>
      </c>
      <c r="L2243" s="28" t="str">
        <f aca="false">IFERROR(__xludf.dummyfunction("""COMPUTED_VALUE"""),"Thailand")</f>
        <v>Thailand</v>
      </c>
      <c r="M2243" s="27" t="str">
        <f aca="false">IFERROR(__xludf.dummyfunction("""COMPUTED_VALUE"""),"(Diff)")</f>
        <v>(Diff)</v>
      </c>
      <c r="N2243" s="25"/>
      <c r="O2243" s="25"/>
      <c r="P2243" s="25"/>
      <c r="Q2243" s="29" t="s">
        <v>298</v>
      </c>
      <c r="R2243" s="8" t="str">
        <f aca="false">B2243&amp;" "&amp;C2243&amp;" "&amp;D2243&amp;" "&amp;E2243&amp;" "&amp;G2243&amp;" "&amp;H2243&amp;" "&amp;J2243&amp;" "&amp;N2243</f>
        <v>Differentials Electrolyte     CIF Thailand (Diff) </v>
      </c>
      <c r="S2243" s="25"/>
      <c r="T2243" s="8"/>
      <c r="U2243" s="8"/>
      <c r="V2243" s="25"/>
      <c r="W2243" s="25"/>
      <c r="X2243" s="25"/>
      <c r="Y2243" s="25"/>
      <c r="Z2243" s="25"/>
      <c r="AA2243" s="25"/>
      <c r="AB2243" s="25"/>
      <c r="AC2243" s="25"/>
      <c r="AD2243" s="25"/>
    </row>
    <row r="2244" customFormat="false" ht="15.75" hidden="false" customHeight="false" outlineLevel="0" collapsed="false">
      <c r="A2244" s="28" t="s">
        <v>2657</v>
      </c>
      <c r="B2244" s="27" t="s">
        <v>438</v>
      </c>
      <c r="C2244" s="27" t="s">
        <v>289</v>
      </c>
      <c r="D2244" s="25"/>
      <c r="E2244" s="25"/>
      <c r="F2244" s="25"/>
      <c r="G2244" s="25"/>
      <c r="H2244" s="25"/>
      <c r="I2244" s="25"/>
      <c r="J2244" s="27" t="s">
        <v>2626</v>
      </c>
      <c r="K2244" s="25" t="str">
        <f aca="false">IFERROR(__xludf.dummyfunction("SPLIT(J2244,"" "")"),"CIF")</f>
        <v>CIF</v>
      </c>
      <c r="L2244" s="28" t="str">
        <f aca="false">IFERROR(__xludf.dummyfunction("""COMPUTED_VALUE"""),"Thailand")</f>
        <v>Thailand</v>
      </c>
      <c r="M2244" s="27" t="str">
        <f aca="false">IFERROR(__xludf.dummyfunction("""COMPUTED_VALUE"""),"(Diff)")</f>
        <v>(Diff)</v>
      </c>
      <c r="N2244" s="25"/>
      <c r="O2244" s="25"/>
      <c r="P2244" s="25"/>
      <c r="Q2244" s="29" t="s">
        <v>296</v>
      </c>
      <c r="R2244" s="8" t="str">
        <f aca="false">B2244&amp;" "&amp;C2244&amp;" "&amp;D2244&amp;" "&amp;E2244&amp;" "&amp;G2244&amp;" "&amp;H2244&amp;" "&amp;J2244&amp;" "&amp;N2244</f>
        <v>Differentials Electrolyte     CIF Thailand (Diff) </v>
      </c>
      <c r="S2244" s="25"/>
      <c r="T2244" s="8"/>
      <c r="U2244" s="8"/>
      <c r="V2244" s="25"/>
      <c r="W2244" s="25"/>
      <c r="X2244" s="25"/>
      <c r="Y2244" s="25"/>
      <c r="Z2244" s="25"/>
      <c r="AA2244" s="25"/>
      <c r="AB2244" s="25"/>
      <c r="AC2244" s="25"/>
      <c r="AD2244" s="25"/>
    </row>
    <row r="2245" customFormat="false" ht="15.75" hidden="false" customHeight="false" outlineLevel="0" collapsed="false">
      <c r="A2245" s="28" t="s">
        <v>2658</v>
      </c>
      <c r="B2245" s="27" t="s">
        <v>438</v>
      </c>
      <c r="C2245" s="27" t="s">
        <v>289</v>
      </c>
      <c r="D2245" s="25"/>
      <c r="E2245" s="25"/>
      <c r="F2245" s="25"/>
      <c r="G2245" s="25"/>
      <c r="H2245" s="25"/>
      <c r="I2245" s="25"/>
      <c r="J2245" s="27" t="s">
        <v>2626</v>
      </c>
      <c r="K2245" s="25" t="str">
        <f aca="false">IFERROR(__xludf.dummyfunction("SPLIT(J2245,"" "")"),"CIF")</f>
        <v>CIF</v>
      </c>
      <c r="L2245" s="28" t="str">
        <f aca="false">IFERROR(__xludf.dummyfunction("""COMPUTED_VALUE"""),"Thailand")</f>
        <v>Thailand</v>
      </c>
      <c r="M2245" s="27" t="str">
        <f aca="false">IFERROR(__xludf.dummyfunction("""COMPUTED_VALUE"""),"(Diff)")</f>
        <v>(Diff)</v>
      </c>
      <c r="N2245" s="25"/>
      <c r="O2245" s="25"/>
      <c r="P2245" s="25"/>
      <c r="Q2245" s="29" t="s">
        <v>294</v>
      </c>
      <c r="R2245" s="8" t="str">
        <f aca="false">B2245&amp;" "&amp;C2245&amp;" "&amp;D2245&amp;" "&amp;E2245&amp;" "&amp;G2245&amp;" "&amp;H2245&amp;" "&amp;J2245&amp;" "&amp;N2245</f>
        <v>Differentials Electrolyte     CIF Thailand (Diff) </v>
      </c>
      <c r="S2245" s="25"/>
      <c r="T2245" s="8"/>
      <c r="U2245" s="8"/>
      <c r="V2245" s="25"/>
      <c r="W2245" s="25"/>
      <c r="X2245" s="25"/>
      <c r="Y2245" s="25"/>
      <c r="Z2245" s="25"/>
      <c r="AA2245" s="25"/>
      <c r="AB2245" s="25"/>
      <c r="AC2245" s="25"/>
      <c r="AD2245" s="25"/>
    </row>
    <row r="2246" customFormat="false" ht="15.75" hidden="false" customHeight="false" outlineLevel="0" collapsed="false">
      <c r="A2246" s="28" t="s">
        <v>2659</v>
      </c>
      <c r="B2246" s="27" t="s">
        <v>438</v>
      </c>
      <c r="C2246" s="27" t="s">
        <v>289</v>
      </c>
      <c r="D2246" s="25"/>
      <c r="E2246" s="25"/>
      <c r="F2246" s="25"/>
      <c r="G2246" s="25"/>
      <c r="H2246" s="25"/>
      <c r="I2246" s="25"/>
      <c r="J2246" s="27" t="s">
        <v>2626</v>
      </c>
      <c r="K2246" s="25" t="str">
        <f aca="false">IFERROR(__xludf.dummyfunction("SPLIT(J2246,"" "")"),"CIF")</f>
        <v>CIF</v>
      </c>
      <c r="L2246" s="28" t="str">
        <f aca="false">IFERROR(__xludf.dummyfunction("""COMPUTED_VALUE"""),"Thailand")</f>
        <v>Thailand</v>
      </c>
      <c r="M2246" s="27" t="str">
        <f aca="false">IFERROR(__xludf.dummyfunction("""COMPUTED_VALUE"""),"(Diff)")</f>
        <v>(Diff)</v>
      </c>
      <c r="N2246" s="25"/>
      <c r="O2246" s="25"/>
      <c r="P2246" s="25"/>
      <c r="Q2246" s="29" t="s">
        <v>291</v>
      </c>
      <c r="R2246" s="8" t="str">
        <f aca="false">B2246&amp;" "&amp;C2246&amp;" "&amp;D2246&amp;" "&amp;E2246&amp;" "&amp;G2246&amp;" "&amp;H2246&amp;" "&amp;J2246&amp;" "&amp;N2246</f>
        <v>Differentials Electrolyte     CIF Thailand (Diff) </v>
      </c>
      <c r="S2246" s="25"/>
      <c r="T2246" s="8"/>
      <c r="U2246" s="8"/>
      <c r="V2246" s="25"/>
      <c r="W2246" s="25"/>
      <c r="X2246" s="25"/>
      <c r="Y2246" s="25"/>
      <c r="Z2246" s="25"/>
      <c r="AA2246" s="25"/>
      <c r="AB2246" s="25"/>
      <c r="AC2246" s="25"/>
      <c r="AD2246" s="25"/>
    </row>
    <row r="2247" customFormat="false" ht="15.75" hidden="false" customHeight="false" outlineLevel="0" collapsed="false">
      <c r="A2247" s="28" t="s">
        <v>2660</v>
      </c>
      <c r="B2247" s="27" t="s">
        <v>438</v>
      </c>
      <c r="C2247" s="27" t="s">
        <v>308</v>
      </c>
      <c r="D2247" s="25"/>
      <c r="E2247" s="25"/>
      <c r="F2247" s="25"/>
      <c r="G2247" s="25"/>
      <c r="H2247" s="25"/>
      <c r="I2247" s="25"/>
      <c r="J2247" s="27" t="s">
        <v>2626</v>
      </c>
      <c r="K2247" s="25" t="str">
        <f aca="false">IFERROR(__xludf.dummyfunction("SPLIT(J2247,"" "")"),"CIF")</f>
        <v>CIF</v>
      </c>
      <c r="L2247" s="28" t="str">
        <f aca="false">IFERROR(__xludf.dummyfunction("""COMPUTED_VALUE"""),"Thailand")</f>
        <v>Thailand</v>
      </c>
      <c r="M2247" s="27" t="str">
        <f aca="false">IFERROR(__xludf.dummyfunction("""COMPUTED_VALUE"""),"(Diff)")</f>
        <v>(Diff)</v>
      </c>
      <c r="N2247" s="25"/>
      <c r="O2247" s="25"/>
      <c r="P2247" s="25"/>
      <c r="Q2247" s="29" t="s">
        <v>358</v>
      </c>
      <c r="R2247" s="8" t="str">
        <f aca="false">B2247&amp;" "&amp;C2247&amp;" "&amp;D2247&amp;" "&amp;E2247&amp;" "&amp;G2247&amp;" "&amp;H2247&amp;" "&amp;J2247&amp;" "&amp;N2247</f>
        <v>Differentials Graphite     CIF Thailand (Diff) </v>
      </c>
      <c r="S2247" s="25"/>
      <c r="T2247" s="8"/>
      <c r="U2247" s="8"/>
      <c r="V2247" s="25"/>
      <c r="W2247" s="25"/>
      <c r="X2247" s="25"/>
      <c r="Y2247" s="25"/>
      <c r="Z2247" s="25"/>
      <c r="AA2247" s="25"/>
      <c r="AB2247" s="25"/>
      <c r="AC2247" s="25"/>
      <c r="AD2247" s="25"/>
    </row>
    <row r="2248" customFormat="false" ht="15.75" hidden="false" customHeight="false" outlineLevel="0" collapsed="false">
      <c r="A2248" s="28" t="s">
        <v>2661</v>
      </c>
      <c r="B2248" s="27" t="s">
        <v>438</v>
      </c>
      <c r="C2248" s="27" t="s">
        <v>308</v>
      </c>
      <c r="D2248" s="25"/>
      <c r="E2248" s="25"/>
      <c r="F2248" s="25"/>
      <c r="G2248" s="25"/>
      <c r="H2248" s="25"/>
      <c r="I2248" s="25"/>
      <c r="J2248" s="27" t="s">
        <v>2626</v>
      </c>
      <c r="K2248" s="25" t="str">
        <f aca="false">IFERROR(__xludf.dummyfunction("SPLIT(J2248,"" "")"),"CIF")</f>
        <v>CIF</v>
      </c>
      <c r="L2248" s="28" t="str">
        <f aca="false">IFERROR(__xludf.dummyfunction("""COMPUTED_VALUE"""),"Thailand")</f>
        <v>Thailand</v>
      </c>
      <c r="M2248" s="27" t="str">
        <f aca="false">IFERROR(__xludf.dummyfunction("""COMPUTED_VALUE"""),"(Diff)")</f>
        <v>(Diff)</v>
      </c>
      <c r="N2248" s="25"/>
      <c r="O2248" s="25"/>
      <c r="P2248" s="25"/>
      <c r="Q2248" s="29" t="s">
        <v>356</v>
      </c>
      <c r="R2248" s="8" t="str">
        <f aca="false">B2248&amp;" "&amp;C2248&amp;" "&amp;D2248&amp;" "&amp;E2248&amp;" "&amp;G2248&amp;" "&amp;H2248&amp;" "&amp;J2248&amp;" "&amp;N2248</f>
        <v>Differentials Graphite     CIF Thailand (Diff) </v>
      </c>
      <c r="S2248" s="25"/>
      <c r="T2248" s="8"/>
      <c r="U2248" s="8"/>
      <c r="V2248" s="25"/>
      <c r="W2248" s="25"/>
      <c r="X2248" s="25"/>
      <c r="Y2248" s="25"/>
      <c r="Z2248" s="25"/>
      <c r="AA2248" s="25"/>
      <c r="AB2248" s="25"/>
      <c r="AC2248" s="25"/>
      <c r="AD2248" s="25"/>
    </row>
    <row r="2249" customFormat="false" ht="15.75" hidden="false" customHeight="false" outlineLevel="0" collapsed="false">
      <c r="A2249" s="28" t="s">
        <v>2662</v>
      </c>
      <c r="B2249" s="27" t="s">
        <v>438</v>
      </c>
      <c r="C2249" s="27" t="s">
        <v>308</v>
      </c>
      <c r="D2249" s="25"/>
      <c r="E2249" s="25"/>
      <c r="F2249" s="25"/>
      <c r="G2249" s="25"/>
      <c r="H2249" s="25"/>
      <c r="I2249" s="25"/>
      <c r="J2249" s="27" t="s">
        <v>2626</v>
      </c>
      <c r="K2249" s="25" t="str">
        <f aca="false">IFERROR(__xludf.dummyfunction("SPLIT(J2249,"" "")"),"CIF")</f>
        <v>CIF</v>
      </c>
      <c r="L2249" s="28" t="str">
        <f aca="false">IFERROR(__xludf.dummyfunction("""COMPUTED_VALUE"""),"Thailand")</f>
        <v>Thailand</v>
      </c>
      <c r="M2249" s="27" t="str">
        <f aca="false">IFERROR(__xludf.dummyfunction("""COMPUTED_VALUE"""),"(Diff)")</f>
        <v>(Diff)</v>
      </c>
      <c r="N2249" s="25"/>
      <c r="O2249" s="25"/>
      <c r="P2249" s="25"/>
      <c r="Q2249" s="29" t="s">
        <v>354</v>
      </c>
      <c r="R2249" s="8" t="str">
        <f aca="false">B2249&amp;" "&amp;C2249&amp;" "&amp;D2249&amp;" "&amp;E2249&amp;" "&amp;G2249&amp;" "&amp;H2249&amp;" "&amp;J2249&amp;" "&amp;N2249</f>
        <v>Differentials Graphite     CIF Thailand (Diff) </v>
      </c>
      <c r="S2249" s="25"/>
      <c r="T2249" s="8"/>
      <c r="U2249" s="8"/>
      <c r="V2249" s="25"/>
      <c r="W2249" s="25"/>
      <c r="X2249" s="25"/>
      <c r="Y2249" s="25"/>
      <c r="Z2249" s="25"/>
      <c r="AA2249" s="25"/>
      <c r="AB2249" s="25"/>
      <c r="AC2249" s="25"/>
      <c r="AD2249" s="25"/>
    </row>
    <row r="2250" customFormat="false" ht="15.75" hidden="false" customHeight="false" outlineLevel="0" collapsed="false">
      <c r="A2250" s="28" t="s">
        <v>2663</v>
      </c>
      <c r="B2250" s="27" t="s">
        <v>438</v>
      </c>
      <c r="C2250" s="27" t="s">
        <v>308</v>
      </c>
      <c r="D2250" s="25"/>
      <c r="E2250" s="25"/>
      <c r="F2250" s="25"/>
      <c r="G2250" s="25"/>
      <c r="H2250" s="25"/>
      <c r="I2250" s="25"/>
      <c r="J2250" s="27" t="s">
        <v>2626</v>
      </c>
      <c r="K2250" s="25" t="str">
        <f aca="false">IFERROR(__xludf.dummyfunction("SPLIT(J2250,"" "")"),"CIF")</f>
        <v>CIF</v>
      </c>
      <c r="L2250" s="28" t="str">
        <f aca="false">IFERROR(__xludf.dummyfunction("""COMPUTED_VALUE"""),"Thailand")</f>
        <v>Thailand</v>
      </c>
      <c r="M2250" s="27" t="str">
        <f aca="false">IFERROR(__xludf.dummyfunction("""COMPUTED_VALUE"""),"(Diff)")</f>
        <v>(Diff)</v>
      </c>
      <c r="N2250" s="25"/>
      <c r="O2250" s="25"/>
      <c r="P2250" s="25"/>
      <c r="Q2250" s="29" t="s">
        <v>352</v>
      </c>
      <c r="R2250" s="8" t="str">
        <f aca="false">B2250&amp;" "&amp;C2250&amp;" "&amp;D2250&amp;" "&amp;E2250&amp;" "&amp;G2250&amp;" "&amp;H2250&amp;" "&amp;J2250&amp;" "&amp;N2250</f>
        <v>Differentials Graphite     CIF Thailand (Diff) </v>
      </c>
      <c r="S2250" s="25"/>
      <c r="T2250" s="8"/>
      <c r="U2250" s="8"/>
      <c r="V2250" s="25"/>
      <c r="W2250" s="25"/>
      <c r="X2250" s="25"/>
      <c r="Y2250" s="25"/>
      <c r="Z2250" s="25"/>
      <c r="AA2250" s="25"/>
      <c r="AB2250" s="25"/>
      <c r="AC2250" s="25"/>
      <c r="AD2250" s="25"/>
    </row>
    <row r="2251" customFormat="false" ht="15.75" hidden="false" customHeight="false" outlineLevel="0" collapsed="false">
      <c r="A2251" s="28" t="s">
        <v>2664</v>
      </c>
      <c r="B2251" s="27" t="s">
        <v>438</v>
      </c>
      <c r="C2251" s="27" t="s">
        <v>308</v>
      </c>
      <c r="D2251" s="25"/>
      <c r="E2251" s="25"/>
      <c r="F2251" s="25"/>
      <c r="G2251" s="25"/>
      <c r="H2251" s="25"/>
      <c r="I2251" s="25"/>
      <c r="J2251" s="27" t="s">
        <v>2626</v>
      </c>
      <c r="K2251" s="25" t="str">
        <f aca="false">IFERROR(__xludf.dummyfunction("SPLIT(J2251,"" "")"),"CIF")</f>
        <v>CIF</v>
      </c>
      <c r="L2251" s="28" t="str">
        <f aca="false">IFERROR(__xludf.dummyfunction("""COMPUTED_VALUE"""),"Thailand")</f>
        <v>Thailand</v>
      </c>
      <c r="M2251" s="27" t="str">
        <f aca="false">IFERROR(__xludf.dummyfunction("""COMPUTED_VALUE"""),"(Diff)")</f>
        <v>(Diff)</v>
      </c>
      <c r="N2251" s="25"/>
      <c r="O2251" s="25"/>
      <c r="P2251" s="25"/>
      <c r="Q2251" s="29" t="s">
        <v>350</v>
      </c>
      <c r="R2251" s="8" t="str">
        <f aca="false">B2251&amp;" "&amp;C2251&amp;" "&amp;D2251&amp;" "&amp;E2251&amp;" "&amp;G2251&amp;" "&amp;H2251&amp;" "&amp;J2251&amp;" "&amp;N2251</f>
        <v>Differentials Graphite     CIF Thailand (Diff) </v>
      </c>
      <c r="S2251" s="25"/>
      <c r="T2251" s="8"/>
      <c r="U2251" s="8"/>
      <c r="V2251" s="25"/>
      <c r="W2251" s="25"/>
      <c r="X2251" s="25"/>
      <c r="Y2251" s="25"/>
      <c r="Z2251" s="25"/>
      <c r="AA2251" s="25"/>
      <c r="AB2251" s="25"/>
      <c r="AC2251" s="25"/>
      <c r="AD2251" s="25"/>
    </row>
    <row r="2252" customFormat="false" ht="15.75" hidden="false" customHeight="false" outlineLevel="0" collapsed="false">
      <c r="A2252" s="28" t="s">
        <v>2665</v>
      </c>
      <c r="B2252" s="27" t="s">
        <v>438</v>
      </c>
      <c r="C2252" s="27" t="s">
        <v>308</v>
      </c>
      <c r="D2252" s="25"/>
      <c r="E2252" s="25"/>
      <c r="F2252" s="25"/>
      <c r="G2252" s="25"/>
      <c r="H2252" s="25"/>
      <c r="I2252" s="25"/>
      <c r="J2252" s="27" t="s">
        <v>2626</v>
      </c>
      <c r="K2252" s="25" t="str">
        <f aca="false">IFERROR(__xludf.dummyfunction("SPLIT(J2252,"" "")"),"CIF")</f>
        <v>CIF</v>
      </c>
      <c r="L2252" s="28" t="str">
        <f aca="false">IFERROR(__xludf.dummyfunction("""COMPUTED_VALUE"""),"Thailand")</f>
        <v>Thailand</v>
      </c>
      <c r="M2252" s="27" t="str">
        <f aca="false">IFERROR(__xludf.dummyfunction("""COMPUTED_VALUE"""),"(Diff)")</f>
        <v>(Diff)</v>
      </c>
      <c r="N2252" s="25"/>
      <c r="O2252" s="25"/>
      <c r="P2252" s="25"/>
      <c r="Q2252" s="29" t="s">
        <v>347</v>
      </c>
      <c r="R2252" s="8" t="str">
        <f aca="false">B2252&amp;" "&amp;C2252&amp;" "&amp;D2252&amp;" "&amp;E2252&amp;" "&amp;G2252&amp;" "&amp;H2252&amp;" "&amp;J2252&amp;" "&amp;N2252</f>
        <v>Differentials Graphite     CIF Thailand (Diff) </v>
      </c>
      <c r="S2252" s="25"/>
      <c r="T2252" s="8"/>
      <c r="U2252" s="8"/>
      <c r="V2252" s="25"/>
      <c r="W2252" s="25"/>
      <c r="X2252" s="25"/>
      <c r="Y2252" s="25"/>
      <c r="Z2252" s="25"/>
      <c r="AA2252" s="25"/>
      <c r="AB2252" s="25"/>
      <c r="AC2252" s="25"/>
      <c r="AD2252" s="25"/>
    </row>
    <row r="2253" customFormat="false" ht="15.75" hidden="false" customHeight="false" outlineLevel="0" collapsed="false">
      <c r="A2253" s="28" t="s">
        <v>2666</v>
      </c>
      <c r="B2253" s="27" t="s">
        <v>438</v>
      </c>
      <c r="C2253" s="27" t="s">
        <v>308</v>
      </c>
      <c r="D2253" s="25"/>
      <c r="E2253" s="25"/>
      <c r="F2253" s="25"/>
      <c r="G2253" s="25"/>
      <c r="H2253" s="25"/>
      <c r="I2253" s="25"/>
      <c r="J2253" s="27" t="s">
        <v>2626</v>
      </c>
      <c r="K2253" s="25" t="str">
        <f aca="false">IFERROR(__xludf.dummyfunction("SPLIT(J2253,"" "")"),"CIF")</f>
        <v>CIF</v>
      </c>
      <c r="L2253" s="28" t="str">
        <f aca="false">IFERROR(__xludf.dummyfunction("""COMPUTED_VALUE"""),"Thailand")</f>
        <v>Thailand</v>
      </c>
      <c r="M2253" s="27" t="str">
        <f aca="false">IFERROR(__xludf.dummyfunction("""COMPUTED_VALUE"""),"(Diff)")</f>
        <v>(Diff)</v>
      </c>
      <c r="N2253" s="25"/>
      <c r="O2253" s="25"/>
      <c r="P2253" s="25"/>
      <c r="Q2253" s="29" t="s">
        <v>344</v>
      </c>
      <c r="R2253" s="8" t="str">
        <f aca="false">B2253&amp;" "&amp;C2253&amp;" "&amp;D2253&amp;" "&amp;E2253&amp;" "&amp;G2253&amp;" "&amp;H2253&amp;" "&amp;J2253&amp;" "&amp;N2253</f>
        <v>Differentials Graphite     CIF Thailand (Diff) </v>
      </c>
      <c r="S2253" s="25"/>
      <c r="T2253" s="8"/>
      <c r="U2253" s="8"/>
      <c r="V2253" s="25"/>
      <c r="W2253" s="25"/>
      <c r="X2253" s="25"/>
      <c r="Y2253" s="25"/>
      <c r="Z2253" s="25"/>
      <c r="AA2253" s="25"/>
      <c r="AB2253" s="25"/>
      <c r="AC2253" s="25"/>
      <c r="AD2253" s="25"/>
    </row>
    <row r="2254" customFormat="false" ht="15.75" hidden="false" customHeight="false" outlineLevel="0" collapsed="false">
      <c r="A2254" s="28" t="s">
        <v>2667</v>
      </c>
      <c r="B2254" s="27" t="s">
        <v>438</v>
      </c>
      <c r="C2254" s="27" t="s">
        <v>308</v>
      </c>
      <c r="D2254" s="25"/>
      <c r="E2254" s="25"/>
      <c r="F2254" s="25"/>
      <c r="G2254" s="25"/>
      <c r="H2254" s="25"/>
      <c r="I2254" s="25"/>
      <c r="J2254" s="27" t="s">
        <v>2626</v>
      </c>
      <c r="K2254" s="25" t="str">
        <f aca="false">IFERROR(__xludf.dummyfunction("SPLIT(J2254,"" "")"),"CIF")</f>
        <v>CIF</v>
      </c>
      <c r="L2254" s="28" t="str">
        <f aca="false">IFERROR(__xludf.dummyfunction("""COMPUTED_VALUE"""),"Thailand")</f>
        <v>Thailand</v>
      </c>
      <c r="M2254" s="27" t="str">
        <f aca="false">IFERROR(__xludf.dummyfunction("""COMPUTED_VALUE"""),"(Diff)")</f>
        <v>(Diff)</v>
      </c>
      <c r="N2254" s="25"/>
      <c r="O2254" s="25"/>
      <c r="P2254" s="25"/>
      <c r="Q2254" s="29" t="s">
        <v>340</v>
      </c>
      <c r="R2254" s="8" t="str">
        <f aca="false">B2254&amp;" "&amp;C2254&amp;" "&amp;D2254&amp;" "&amp;E2254&amp;" "&amp;G2254&amp;" "&amp;H2254&amp;" "&amp;J2254&amp;" "&amp;N2254</f>
        <v>Differentials Graphite     CIF Thailand (Diff) </v>
      </c>
      <c r="S2254" s="25"/>
      <c r="T2254" s="8"/>
      <c r="U2254" s="8"/>
      <c r="V2254" s="25"/>
      <c r="W2254" s="25"/>
      <c r="X2254" s="25"/>
      <c r="Y2254" s="25"/>
      <c r="Z2254" s="25"/>
      <c r="AA2254" s="25"/>
      <c r="AB2254" s="25"/>
      <c r="AC2254" s="25"/>
      <c r="AD2254" s="25"/>
    </row>
    <row r="2255" customFormat="false" ht="15.75" hidden="false" customHeight="false" outlineLevel="0" collapsed="false">
      <c r="A2255" s="28" t="s">
        <v>2668</v>
      </c>
      <c r="B2255" s="27" t="s">
        <v>438</v>
      </c>
      <c r="C2255" s="27" t="s">
        <v>308</v>
      </c>
      <c r="D2255" s="25"/>
      <c r="E2255" s="25"/>
      <c r="F2255" s="25"/>
      <c r="G2255" s="25"/>
      <c r="H2255" s="25"/>
      <c r="I2255" s="25"/>
      <c r="J2255" s="27" t="s">
        <v>2626</v>
      </c>
      <c r="K2255" s="25" t="str">
        <f aca="false">IFERROR(__xludf.dummyfunction("SPLIT(J2255,"" "")"),"CIF")</f>
        <v>CIF</v>
      </c>
      <c r="L2255" s="28" t="str">
        <f aca="false">IFERROR(__xludf.dummyfunction("""COMPUTED_VALUE"""),"Thailand")</f>
        <v>Thailand</v>
      </c>
      <c r="M2255" s="27" t="str">
        <f aca="false">IFERROR(__xludf.dummyfunction("""COMPUTED_VALUE"""),"(Diff)")</f>
        <v>(Diff)</v>
      </c>
      <c r="N2255" s="25"/>
      <c r="O2255" s="25"/>
      <c r="P2255" s="25"/>
      <c r="Q2255" s="29" t="s">
        <v>338</v>
      </c>
      <c r="R2255" s="8" t="str">
        <f aca="false">B2255&amp;" "&amp;C2255&amp;" "&amp;D2255&amp;" "&amp;E2255&amp;" "&amp;G2255&amp;" "&amp;H2255&amp;" "&amp;J2255&amp;" "&amp;N2255</f>
        <v>Differentials Graphite     CIF Thailand (Diff) </v>
      </c>
      <c r="S2255" s="25"/>
      <c r="T2255" s="8"/>
      <c r="U2255" s="8"/>
      <c r="V2255" s="25"/>
      <c r="W2255" s="25"/>
      <c r="X2255" s="25"/>
      <c r="Y2255" s="25"/>
      <c r="Z2255" s="25"/>
      <c r="AA2255" s="25"/>
      <c r="AB2255" s="25"/>
      <c r="AC2255" s="25"/>
      <c r="AD2255" s="25"/>
    </row>
    <row r="2256" customFormat="false" ht="15.75" hidden="false" customHeight="false" outlineLevel="0" collapsed="false">
      <c r="A2256" s="28" t="s">
        <v>2669</v>
      </c>
      <c r="B2256" s="27" t="s">
        <v>438</v>
      </c>
      <c r="C2256" s="27" t="s">
        <v>308</v>
      </c>
      <c r="D2256" s="25"/>
      <c r="E2256" s="25"/>
      <c r="F2256" s="25"/>
      <c r="G2256" s="25"/>
      <c r="H2256" s="25"/>
      <c r="I2256" s="25"/>
      <c r="J2256" s="27" t="s">
        <v>2626</v>
      </c>
      <c r="K2256" s="25" t="str">
        <f aca="false">IFERROR(__xludf.dummyfunction("SPLIT(J2256,"" "")"),"CIF")</f>
        <v>CIF</v>
      </c>
      <c r="L2256" s="28" t="str">
        <f aca="false">IFERROR(__xludf.dummyfunction("""COMPUTED_VALUE"""),"Thailand")</f>
        <v>Thailand</v>
      </c>
      <c r="M2256" s="27" t="str">
        <f aca="false">IFERROR(__xludf.dummyfunction("""COMPUTED_VALUE"""),"(Diff)")</f>
        <v>(Diff)</v>
      </c>
      <c r="N2256" s="25"/>
      <c r="O2256" s="25"/>
      <c r="P2256" s="25"/>
      <c r="Q2256" s="29" t="s">
        <v>335</v>
      </c>
      <c r="R2256" s="8" t="str">
        <f aca="false">B2256&amp;" "&amp;C2256&amp;" "&amp;D2256&amp;" "&amp;E2256&amp;" "&amp;G2256&amp;" "&amp;H2256&amp;" "&amp;J2256&amp;" "&amp;N2256</f>
        <v>Differentials Graphite     CIF Thailand (Diff) </v>
      </c>
      <c r="S2256" s="25"/>
      <c r="T2256" s="8"/>
      <c r="U2256" s="8"/>
      <c r="V2256" s="25"/>
      <c r="W2256" s="25"/>
      <c r="X2256" s="25"/>
      <c r="Y2256" s="25"/>
      <c r="Z2256" s="25"/>
      <c r="AA2256" s="25"/>
      <c r="AB2256" s="25"/>
      <c r="AC2256" s="25"/>
      <c r="AD2256" s="25"/>
    </row>
    <row r="2257" customFormat="false" ht="15.75" hidden="false" customHeight="false" outlineLevel="0" collapsed="false">
      <c r="A2257" s="28" t="s">
        <v>2670</v>
      </c>
      <c r="B2257" s="27" t="s">
        <v>438</v>
      </c>
      <c r="C2257" s="27" t="s">
        <v>308</v>
      </c>
      <c r="D2257" s="25"/>
      <c r="E2257" s="25"/>
      <c r="F2257" s="25"/>
      <c r="G2257" s="25"/>
      <c r="H2257" s="25"/>
      <c r="I2257" s="25"/>
      <c r="J2257" s="27" t="s">
        <v>2626</v>
      </c>
      <c r="K2257" s="25" t="str">
        <f aca="false">IFERROR(__xludf.dummyfunction("SPLIT(J2257,"" "")"),"CIF")</f>
        <v>CIF</v>
      </c>
      <c r="L2257" s="28" t="str">
        <f aca="false">IFERROR(__xludf.dummyfunction("""COMPUTED_VALUE"""),"Thailand")</f>
        <v>Thailand</v>
      </c>
      <c r="M2257" s="27" t="str">
        <f aca="false">IFERROR(__xludf.dummyfunction("""COMPUTED_VALUE"""),"(Diff)")</f>
        <v>(Diff)</v>
      </c>
      <c r="N2257" s="25"/>
      <c r="O2257" s="25"/>
      <c r="P2257" s="25"/>
      <c r="Q2257" s="29" t="s">
        <v>332</v>
      </c>
      <c r="R2257" s="8" t="str">
        <f aca="false">B2257&amp;" "&amp;C2257&amp;" "&amp;D2257&amp;" "&amp;E2257&amp;" "&amp;G2257&amp;" "&amp;H2257&amp;" "&amp;J2257&amp;" "&amp;N2257</f>
        <v>Differentials Graphite     CIF Thailand (Diff) </v>
      </c>
      <c r="S2257" s="25"/>
      <c r="T2257" s="8"/>
      <c r="U2257" s="8"/>
      <c r="V2257" s="25"/>
      <c r="W2257" s="25"/>
      <c r="X2257" s="25"/>
      <c r="Y2257" s="25"/>
      <c r="Z2257" s="25"/>
      <c r="AA2257" s="25"/>
      <c r="AB2257" s="25"/>
      <c r="AC2257" s="25"/>
      <c r="AD2257" s="25"/>
    </row>
    <row r="2258" customFormat="false" ht="15.75" hidden="false" customHeight="false" outlineLevel="0" collapsed="false">
      <c r="A2258" s="28" t="s">
        <v>2671</v>
      </c>
      <c r="B2258" s="27" t="s">
        <v>438</v>
      </c>
      <c r="C2258" s="27" t="s">
        <v>308</v>
      </c>
      <c r="D2258" s="25"/>
      <c r="E2258" s="25"/>
      <c r="F2258" s="25"/>
      <c r="G2258" s="25"/>
      <c r="H2258" s="25"/>
      <c r="I2258" s="25"/>
      <c r="J2258" s="27" t="s">
        <v>2626</v>
      </c>
      <c r="K2258" s="25" t="str">
        <f aca="false">IFERROR(__xludf.dummyfunction("SPLIT(J2258,"" "")"),"CIF")</f>
        <v>CIF</v>
      </c>
      <c r="L2258" s="28" t="str">
        <f aca="false">IFERROR(__xludf.dummyfunction("""COMPUTED_VALUE"""),"Thailand")</f>
        <v>Thailand</v>
      </c>
      <c r="M2258" s="27" t="str">
        <f aca="false">IFERROR(__xludf.dummyfunction("""COMPUTED_VALUE"""),"(Diff)")</f>
        <v>(Diff)</v>
      </c>
      <c r="N2258" s="25"/>
      <c r="O2258" s="25"/>
      <c r="P2258" s="25"/>
      <c r="Q2258" s="29" t="s">
        <v>329</v>
      </c>
      <c r="R2258" s="8" t="str">
        <f aca="false">B2258&amp;" "&amp;C2258&amp;" "&amp;D2258&amp;" "&amp;E2258&amp;" "&amp;G2258&amp;" "&amp;H2258&amp;" "&amp;J2258&amp;" "&amp;N2258</f>
        <v>Differentials Graphite     CIF Thailand (Diff) </v>
      </c>
      <c r="S2258" s="25"/>
      <c r="T2258" s="8"/>
      <c r="U2258" s="8"/>
      <c r="V2258" s="25"/>
      <c r="W2258" s="25"/>
      <c r="X2258" s="25"/>
      <c r="Y2258" s="25"/>
      <c r="Z2258" s="25"/>
      <c r="AA2258" s="25"/>
      <c r="AB2258" s="25"/>
      <c r="AC2258" s="25"/>
      <c r="AD2258" s="25"/>
    </row>
    <row r="2259" customFormat="false" ht="15.75" hidden="false" customHeight="false" outlineLevel="0" collapsed="false">
      <c r="A2259" s="28" t="s">
        <v>2672</v>
      </c>
      <c r="B2259" s="27" t="s">
        <v>438</v>
      </c>
      <c r="C2259" s="27" t="s">
        <v>308</v>
      </c>
      <c r="D2259" s="25"/>
      <c r="E2259" s="25"/>
      <c r="F2259" s="25"/>
      <c r="G2259" s="25"/>
      <c r="H2259" s="25"/>
      <c r="I2259" s="25"/>
      <c r="J2259" s="27" t="s">
        <v>2626</v>
      </c>
      <c r="K2259" s="25" t="str">
        <f aca="false">IFERROR(__xludf.dummyfunction("SPLIT(J2259,"" "")"),"CIF")</f>
        <v>CIF</v>
      </c>
      <c r="L2259" s="28" t="str">
        <f aca="false">IFERROR(__xludf.dummyfunction("""COMPUTED_VALUE"""),"Thailand")</f>
        <v>Thailand</v>
      </c>
      <c r="M2259" s="27" t="str">
        <f aca="false">IFERROR(__xludf.dummyfunction("""COMPUTED_VALUE"""),"(Diff)")</f>
        <v>(Diff)</v>
      </c>
      <c r="N2259" s="25"/>
      <c r="O2259" s="25"/>
      <c r="P2259" s="25"/>
      <c r="Q2259" s="29" t="s">
        <v>326</v>
      </c>
      <c r="R2259" s="8" t="str">
        <f aca="false">B2259&amp;" "&amp;C2259&amp;" "&amp;D2259&amp;" "&amp;E2259&amp;" "&amp;G2259&amp;" "&amp;H2259&amp;" "&amp;J2259&amp;" "&amp;N2259</f>
        <v>Differentials Graphite     CIF Thailand (Diff) </v>
      </c>
      <c r="S2259" s="25"/>
      <c r="T2259" s="8"/>
      <c r="U2259" s="8"/>
      <c r="V2259" s="25"/>
      <c r="W2259" s="25"/>
      <c r="X2259" s="25"/>
      <c r="Y2259" s="25"/>
      <c r="Z2259" s="25"/>
      <c r="AA2259" s="25"/>
      <c r="AB2259" s="25"/>
      <c r="AC2259" s="25"/>
      <c r="AD2259" s="25"/>
    </row>
    <row r="2260" customFormat="false" ht="15.75" hidden="false" customHeight="false" outlineLevel="0" collapsed="false">
      <c r="A2260" s="28" t="s">
        <v>2673</v>
      </c>
      <c r="B2260" s="27" t="s">
        <v>438</v>
      </c>
      <c r="C2260" s="27" t="s">
        <v>308</v>
      </c>
      <c r="D2260" s="25"/>
      <c r="E2260" s="25"/>
      <c r="F2260" s="25"/>
      <c r="G2260" s="25"/>
      <c r="H2260" s="25"/>
      <c r="I2260" s="25"/>
      <c r="J2260" s="27" t="s">
        <v>2626</v>
      </c>
      <c r="K2260" s="25" t="str">
        <f aca="false">IFERROR(__xludf.dummyfunction("SPLIT(J2260,"" "")"),"CIF")</f>
        <v>CIF</v>
      </c>
      <c r="L2260" s="28" t="str">
        <f aca="false">IFERROR(__xludf.dummyfunction("""COMPUTED_VALUE"""),"Thailand")</f>
        <v>Thailand</v>
      </c>
      <c r="M2260" s="27" t="str">
        <f aca="false">IFERROR(__xludf.dummyfunction("""COMPUTED_VALUE"""),"(Diff)")</f>
        <v>(Diff)</v>
      </c>
      <c r="N2260" s="25"/>
      <c r="O2260" s="25"/>
      <c r="P2260" s="25"/>
      <c r="Q2260" s="29" t="s">
        <v>323</v>
      </c>
      <c r="R2260" s="8" t="str">
        <f aca="false">B2260&amp;" "&amp;C2260&amp;" "&amp;D2260&amp;" "&amp;E2260&amp;" "&amp;G2260&amp;" "&amp;H2260&amp;" "&amp;J2260&amp;" "&amp;N2260</f>
        <v>Differentials Graphite     CIF Thailand (Diff) </v>
      </c>
      <c r="S2260" s="25"/>
      <c r="T2260" s="8"/>
      <c r="U2260" s="8"/>
      <c r="V2260" s="25"/>
      <c r="W2260" s="25"/>
      <c r="X2260" s="25"/>
      <c r="Y2260" s="25"/>
      <c r="Z2260" s="25"/>
      <c r="AA2260" s="25"/>
      <c r="AB2260" s="25"/>
      <c r="AC2260" s="25"/>
      <c r="AD2260" s="25"/>
    </row>
    <row r="2261" customFormat="false" ht="15.75" hidden="false" customHeight="false" outlineLevel="0" collapsed="false">
      <c r="A2261" s="28" t="s">
        <v>2674</v>
      </c>
      <c r="B2261" s="27" t="s">
        <v>438</v>
      </c>
      <c r="C2261" s="27" t="s">
        <v>308</v>
      </c>
      <c r="D2261" s="25"/>
      <c r="E2261" s="25"/>
      <c r="F2261" s="25"/>
      <c r="G2261" s="25"/>
      <c r="H2261" s="25"/>
      <c r="I2261" s="25"/>
      <c r="J2261" s="27" t="s">
        <v>2626</v>
      </c>
      <c r="K2261" s="25" t="str">
        <f aca="false">IFERROR(__xludf.dummyfunction("SPLIT(J2261,"" "")"),"CIF")</f>
        <v>CIF</v>
      </c>
      <c r="L2261" s="28" t="str">
        <f aca="false">IFERROR(__xludf.dummyfunction("""COMPUTED_VALUE"""),"Thailand")</f>
        <v>Thailand</v>
      </c>
      <c r="M2261" s="27" t="str">
        <f aca="false">IFERROR(__xludf.dummyfunction("""COMPUTED_VALUE"""),"(Diff)")</f>
        <v>(Diff)</v>
      </c>
      <c r="N2261" s="25"/>
      <c r="O2261" s="25"/>
      <c r="P2261" s="25"/>
      <c r="Q2261" s="29" t="s">
        <v>319</v>
      </c>
      <c r="R2261" s="8" t="str">
        <f aca="false">B2261&amp;" "&amp;C2261&amp;" "&amp;D2261&amp;" "&amp;E2261&amp;" "&amp;G2261&amp;" "&amp;H2261&amp;" "&amp;J2261&amp;" "&amp;N2261</f>
        <v>Differentials Graphite     CIF Thailand (Diff) </v>
      </c>
      <c r="S2261" s="25"/>
      <c r="T2261" s="8"/>
      <c r="U2261" s="8"/>
      <c r="V2261" s="25"/>
      <c r="W2261" s="25"/>
      <c r="X2261" s="25"/>
      <c r="Y2261" s="25"/>
      <c r="Z2261" s="25"/>
      <c r="AA2261" s="25"/>
      <c r="AB2261" s="25"/>
      <c r="AC2261" s="25"/>
      <c r="AD2261" s="25"/>
    </row>
    <row r="2262" customFormat="false" ht="15.75" hidden="false" customHeight="false" outlineLevel="0" collapsed="false">
      <c r="A2262" s="28" t="s">
        <v>2675</v>
      </c>
      <c r="B2262" s="27" t="s">
        <v>438</v>
      </c>
      <c r="C2262" s="27" t="s">
        <v>308</v>
      </c>
      <c r="D2262" s="25"/>
      <c r="E2262" s="25"/>
      <c r="F2262" s="25"/>
      <c r="G2262" s="25"/>
      <c r="H2262" s="25"/>
      <c r="I2262" s="25"/>
      <c r="J2262" s="27" t="s">
        <v>2626</v>
      </c>
      <c r="K2262" s="25" t="str">
        <f aca="false">IFERROR(__xludf.dummyfunction("SPLIT(J2262,"" "")"),"CIF")</f>
        <v>CIF</v>
      </c>
      <c r="L2262" s="28" t="str">
        <f aca="false">IFERROR(__xludf.dummyfunction("""COMPUTED_VALUE"""),"Thailand")</f>
        <v>Thailand</v>
      </c>
      <c r="M2262" s="27" t="str">
        <f aca="false">IFERROR(__xludf.dummyfunction("""COMPUTED_VALUE"""),"(Diff)")</f>
        <v>(Diff)</v>
      </c>
      <c r="N2262" s="25"/>
      <c r="O2262" s="25"/>
      <c r="P2262" s="25"/>
      <c r="Q2262" s="29" t="s">
        <v>315</v>
      </c>
      <c r="R2262" s="8" t="str">
        <f aca="false">B2262&amp;" "&amp;C2262&amp;" "&amp;D2262&amp;" "&amp;E2262&amp;" "&amp;G2262&amp;" "&amp;H2262&amp;" "&amp;J2262&amp;" "&amp;N2262</f>
        <v>Differentials Graphite     CIF Thailand (Diff) </v>
      </c>
      <c r="S2262" s="25"/>
      <c r="T2262" s="8"/>
      <c r="U2262" s="8"/>
      <c r="V2262" s="25"/>
      <c r="W2262" s="25"/>
      <c r="X2262" s="25"/>
      <c r="Y2262" s="25"/>
      <c r="Z2262" s="25"/>
      <c r="AA2262" s="25"/>
      <c r="AB2262" s="25"/>
      <c r="AC2262" s="25"/>
      <c r="AD2262" s="25"/>
    </row>
    <row r="2263" customFormat="false" ht="15.75" hidden="false" customHeight="false" outlineLevel="0" collapsed="false">
      <c r="A2263" s="28" t="s">
        <v>2676</v>
      </c>
      <c r="B2263" s="27" t="s">
        <v>438</v>
      </c>
      <c r="C2263" s="27" t="s">
        <v>308</v>
      </c>
      <c r="D2263" s="25"/>
      <c r="E2263" s="25"/>
      <c r="F2263" s="25"/>
      <c r="G2263" s="25"/>
      <c r="H2263" s="25"/>
      <c r="I2263" s="25"/>
      <c r="J2263" s="27" t="s">
        <v>2626</v>
      </c>
      <c r="K2263" s="25" t="str">
        <f aca="false">IFERROR(__xludf.dummyfunction("SPLIT(J2263,"" "")"),"CIF")</f>
        <v>CIF</v>
      </c>
      <c r="L2263" s="28" t="str">
        <f aca="false">IFERROR(__xludf.dummyfunction("""COMPUTED_VALUE"""),"Thailand")</f>
        <v>Thailand</v>
      </c>
      <c r="M2263" s="27" t="str">
        <f aca="false">IFERROR(__xludf.dummyfunction("""COMPUTED_VALUE"""),"(Diff)")</f>
        <v>(Diff)</v>
      </c>
      <c r="N2263" s="25"/>
      <c r="O2263" s="25"/>
      <c r="P2263" s="25"/>
      <c r="Q2263" s="29" t="s">
        <v>311</v>
      </c>
      <c r="R2263" s="8" t="str">
        <f aca="false">B2263&amp;" "&amp;C2263&amp;" "&amp;D2263&amp;" "&amp;E2263&amp;" "&amp;G2263&amp;" "&amp;H2263&amp;" "&amp;J2263&amp;" "&amp;N2263</f>
        <v>Differentials Graphite     CIF Thailand (Diff) </v>
      </c>
      <c r="S2263" s="25"/>
      <c r="T2263" s="8"/>
      <c r="U2263" s="8"/>
      <c r="V2263" s="25"/>
      <c r="W2263" s="25"/>
      <c r="X2263" s="25"/>
      <c r="Y2263" s="25"/>
      <c r="Z2263" s="25"/>
      <c r="AA2263" s="25"/>
      <c r="AB2263" s="25"/>
      <c r="AC2263" s="25"/>
      <c r="AD2263" s="25"/>
    </row>
    <row r="2264" customFormat="false" ht="15.75" hidden="false" customHeight="false" outlineLevel="0" collapsed="false">
      <c r="A2264" s="28" t="s">
        <v>2677</v>
      </c>
      <c r="B2264" s="27" t="s">
        <v>438</v>
      </c>
      <c r="C2264" s="27" t="s">
        <v>417</v>
      </c>
      <c r="D2264" s="25"/>
      <c r="E2264" s="25"/>
      <c r="F2264" s="25"/>
      <c r="G2264" s="25"/>
      <c r="H2264" s="25"/>
      <c r="I2264" s="25"/>
      <c r="J2264" s="27" t="s">
        <v>2626</v>
      </c>
      <c r="K2264" s="25" t="str">
        <f aca="false">IFERROR(__xludf.dummyfunction("SPLIT(J2264,"" "")"),"CIF")</f>
        <v>CIF</v>
      </c>
      <c r="L2264" s="28" t="str">
        <f aca="false">IFERROR(__xludf.dummyfunction("""COMPUTED_VALUE"""),"Thailand")</f>
        <v>Thailand</v>
      </c>
      <c r="M2264" s="27" t="str">
        <f aca="false">IFERROR(__xludf.dummyfunction("""COMPUTED_VALUE"""),"(Diff)")</f>
        <v>(Diff)</v>
      </c>
      <c r="N2264" s="25"/>
      <c r="O2264" s="25"/>
      <c r="P2264" s="25"/>
      <c r="Q2264" s="29" t="s">
        <v>436</v>
      </c>
      <c r="R2264" s="8" t="str">
        <f aca="false">B2264&amp;" "&amp;C2264&amp;" "&amp;D2264&amp;" "&amp;E2264&amp;" "&amp;G2264&amp;" "&amp;H2264&amp;" "&amp;J2264&amp;" "&amp;N2264</f>
        <v>Differentials Solvent     CIF Thailand (Diff) </v>
      </c>
      <c r="S2264" s="25"/>
      <c r="T2264" s="8"/>
      <c r="U2264" s="8"/>
      <c r="V2264" s="25"/>
      <c r="W2264" s="25"/>
      <c r="X2264" s="25"/>
      <c r="Y2264" s="25"/>
      <c r="Z2264" s="25"/>
      <c r="AA2264" s="25"/>
      <c r="AB2264" s="25"/>
      <c r="AC2264" s="25"/>
      <c r="AD2264" s="25"/>
    </row>
    <row r="2265" customFormat="false" ht="15.75" hidden="false" customHeight="false" outlineLevel="0" collapsed="false">
      <c r="A2265" s="28" t="s">
        <v>2678</v>
      </c>
      <c r="B2265" s="27" t="s">
        <v>438</v>
      </c>
      <c r="C2265" s="27" t="s">
        <v>417</v>
      </c>
      <c r="D2265" s="25"/>
      <c r="E2265" s="25"/>
      <c r="F2265" s="25"/>
      <c r="G2265" s="25"/>
      <c r="H2265" s="25"/>
      <c r="I2265" s="25"/>
      <c r="J2265" s="27" t="s">
        <v>2626</v>
      </c>
      <c r="K2265" s="25" t="str">
        <f aca="false">IFERROR(__xludf.dummyfunction("SPLIT(J2265,"" "")"),"CIF")</f>
        <v>CIF</v>
      </c>
      <c r="L2265" s="28" t="str">
        <f aca="false">IFERROR(__xludf.dummyfunction("""COMPUTED_VALUE"""),"Thailand")</f>
        <v>Thailand</v>
      </c>
      <c r="M2265" s="27" t="str">
        <f aca="false">IFERROR(__xludf.dummyfunction("""COMPUTED_VALUE"""),"(Diff)")</f>
        <v>(Diff)</v>
      </c>
      <c r="N2265" s="25"/>
      <c r="O2265" s="25"/>
      <c r="P2265" s="25"/>
      <c r="Q2265" s="29" t="s">
        <v>434</v>
      </c>
      <c r="R2265" s="8" t="str">
        <f aca="false">B2265&amp;" "&amp;C2265&amp;" "&amp;D2265&amp;" "&amp;E2265&amp;" "&amp;G2265&amp;" "&amp;H2265&amp;" "&amp;J2265&amp;" "&amp;N2265</f>
        <v>Differentials Solvent     CIF Thailand (Diff) </v>
      </c>
      <c r="S2265" s="25"/>
      <c r="T2265" s="8"/>
      <c r="U2265" s="8"/>
      <c r="V2265" s="25"/>
      <c r="W2265" s="25"/>
      <c r="X2265" s="25"/>
      <c r="Y2265" s="25"/>
      <c r="Z2265" s="25"/>
      <c r="AA2265" s="25"/>
      <c r="AB2265" s="25"/>
      <c r="AC2265" s="25"/>
      <c r="AD2265" s="25"/>
    </row>
    <row r="2266" customFormat="false" ht="15.75" hidden="false" customHeight="false" outlineLevel="0" collapsed="false">
      <c r="A2266" s="28" t="s">
        <v>2679</v>
      </c>
      <c r="B2266" s="27" t="s">
        <v>438</v>
      </c>
      <c r="C2266" s="27" t="s">
        <v>417</v>
      </c>
      <c r="D2266" s="25"/>
      <c r="E2266" s="25"/>
      <c r="F2266" s="25"/>
      <c r="G2266" s="25"/>
      <c r="H2266" s="25"/>
      <c r="I2266" s="25"/>
      <c r="J2266" s="27" t="s">
        <v>2626</v>
      </c>
      <c r="K2266" s="25" t="str">
        <f aca="false">IFERROR(__xludf.dummyfunction("SPLIT(J2266,"" "")"),"CIF")</f>
        <v>CIF</v>
      </c>
      <c r="L2266" s="28" t="str">
        <f aca="false">IFERROR(__xludf.dummyfunction("""COMPUTED_VALUE"""),"Thailand")</f>
        <v>Thailand</v>
      </c>
      <c r="M2266" s="27" t="str">
        <f aca="false">IFERROR(__xludf.dummyfunction("""COMPUTED_VALUE"""),"(Diff)")</f>
        <v>(Diff)</v>
      </c>
      <c r="N2266" s="25"/>
      <c r="O2266" s="25"/>
      <c r="P2266" s="25"/>
      <c r="Q2266" s="29" t="s">
        <v>432</v>
      </c>
      <c r="R2266" s="8" t="str">
        <f aca="false">B2266&amp;" "&amp;C2266&amp;" "&amp;D2266&amp;" "&amp;E2266&amp;" "&amp;G2266&amp;" "&amp;H2266&amp;" "&amp;J2266&amp;" "&amp;N2266</f>
        <v>Differentials Solvent     CIF Thailand (Diff) </v>
      </c>
      <c r="S2266" s="25"/>
      <c r="T2266" s="8"/>
      <c r="U2266" s="8"/>
      <c r="V2266" s="25"/>
      <c r="W2266" s="25"/>
      <c r="X2266" s="25"/>
      <c r="Y2266" s="25"/>
      <c r="Z2266" s="25"/>
      <c r="AA2266" s="25"/>
      <c r="AB2266" s="25"/>
      <c r="AC2266" s="25"/>
      <c r="AD2266" s="25"/>
    </row>
    <row r="2267" customFormat="false" ht="15.75" hidden="false" customHeight="false" outlineLevel="0" collapsed="false">
      <c r="A2267" s="28" t="s">
        <v>2680</v>
      </c>
      <c r="B2267" s="27" t="s">
        <v>438</v>
      </c>
      <c r="C2267" s="27" t="s">
        <v>417</v>
      </c>
      <c r="D2267" s="25"/>
      <c r="E2267" s="25"/>
      <c r="F2267" s="25"/>
      <c r="G2267" s="25"/>
      <c r="H2267" s="25"/>
      <c r="I2267" s="25"/>
      <c r="J2267" s="27" t="s">
        <v>2626</v>
      </c>
      <c r="K2267" s="25" t="str">
        <f aca="false">IFERROR(__xludf.dummyfunction("SPLIT(J2267,"" "")"),"CIF")</f>
        <v>CIF</v>
      </c>
      <c r="L2267" s="28" t="str">
        <f aca="false">IFERROR(__xludf.dummyfunction("""COMPUTED_VALUE"""),"Thailand")</f>
        <v>Thailand</v>
      </c>
      <c r="M2267" s="27" t="str">
        <f aca="false">IFERROR(__xludf.dummyfunction("""COMPUTED_VALUE"""),"(Diff)")</f>
        <v>(Diff)</v>
      </c>
      <c r="N2267" s="25"/>
      <c r="O2267" s="25"/>
      <c r="P2267" s="25"/>
      <c r="Q2267" s="29" t="s">
        <v>430</v>
      </c>
      <c r="R2267" s="8" t="str">
        <f aca="false">B2267&amp;" "&amp;C2267&amp;" "&amp;D2267&amp;" "&amp;E2267&amp;" "&amp;G2267&amp;" "&amp;H2267&amp;" "&amp;J2267&amp;" "&amp;N2267</f>
        <v>Differentials Solvent     CIF Thailand (Diff) </v>
      </c>
      <c r="S2267" s="25"/>
      <c r="T2267" s="8"/>
      <c r="U2267" s="8"/>
      <c r="V2267" s="25"/>
      <c r="W2267" s="25"/>
      <c r="X2267" s="25"/>
      <c r="Y2267" s="25"/>
      <c r="Z2267" s="25"/>
      <c r="AA2267" s="25"/>
      <c r="AB2267" s="25"/>
      <c r="AC2267" s="25"/>
      <c r="AD2267" s="25"/>
    </row>
    <row r="2268" customFormat="false" ht="15.75" hidden="false" customHeight="false" outlineLevel="0" collapsed="false">
      <c r="A2268" s="28" t="s">
        <v>2681</v>
      </c>
      <c r="B2268" s="27" t="s">
        <v>438</v>
      </c>
      <c r="C2268" s="27" t="s">
        <v>417</v>
      </c>
      <c r="D2268" s="25"/>
      <c r="E2268" s="25"/>
      <c r="F2268" s="25"/>
      <c r="G2268" s="25"/>
      <c r="H2268" s="25"/>
      <c r="I2268" s="25"/>
      <c r="J2268" s="27" t="s">
        <v>2626</v>
      </c>
      <c r="K2268" s="25" t="str">
        <f aca="false">IFERROR(__xludf.dummyfunction("SPLIT(J2268,"" "")"),"CIF")</f>
        <v>CIF</v>
      </c>
      <c r="L2268" s="28" t="str">
        <f aca="false">IFERROR(__xludf.dummyfunction("""COMPUTED_VALUE"""),"Thailand")</f>
        <v>Thailand</v>
      </c>
      <c r="M2268" s="27" t="str">
        <f aca="false">IFERROR(__xludf.dummyfunction("""COMPUTED_VALUE"""),"(Diff)")</f>
        <v>(Diff)</v>
      </c>
      <c r="N2268" s="25"/>
      <c r="O2268" s="25"/>
      <c r="P2268" s="25"/>
      <c r="Q2268" s="29" t="s">
        <v>428</v>
      </c>
      <c r="R2268" s="8" t="str">
        <f aca="false">B2268&amp;" "&amp;C2268&amp;" "&amp;D2268&amp;" "&amp;E2268&amp;" "&amp;G2268&amp;" "&amp;H2268&amp;" "&amp;J2268&amp;" "&amp;N2268</f>
        <v>Differentials Solvent     CIF Thailand (Diff) </v>
      </c>
      <c r="S2268" s="25"/>
      <c r="T2268" s="8"/>
      <c r="U2268" s="8"/>
      <c r="V2268" s="25"/>
      <c r="W2268" s="25"/>
      <c r="X2268" s="25"/>
      <c r="Y2268" s="25"/>
      <c r="Z2268" s="25"/>
      <c r="AA2268" s="25"/>
      <c r="AB2268" s="25"/>
      <c r="AC2268" s="25"/>
      <c r="AD2268" s="25"/>
    </row>
    <row r="2269" customFormat="false" ht="15.75" hidden="false" customHeight="false" outlineLevel="0" collapsed="false">
      <c r="A2269" s="28" t="s">
        <v>2682</v>
      </c>
      <c r="B2269" s="27" t="s">
        <v>438</v>
      </c>
      <c r="C2269" s="27" t="s">
        <v>417</v>
      </c>
      <c r="D2269" s="25"/>
      <c r="E2269" s="25"/>
      <c r="F2269" s="25"/>
      <c r="G2269" s="25"/>
      <c r="H2269" s="25"/>
      <c r="I2269" s="25"/>
      <c r="J2269" s="27" t="s">
        <v>2626</v>
      </c>
      <c r="K2269" s="25" t="str">
        <f aca="false">IFERROR(__xludf.dummyfunction("SPLIT(J2269,"" "")"),"CIF")</f>
        <v>CIF</v>
      </c>
      <c r="L2269" s="28" t="str">
        <f aca="false">IFERROR(__xludf.dummyfunction("""COMPUTED_VALUE"""),"Thailand")</f>
        <v>Thailand</v>
      </c>
      <c r="M2269" s="27" t="str">
        <f aca="false">IFERROR(__xludf.dummyfunction("""COMPUTED_VALUE"""),"(Diff)")</f>
        <v>(Diff)</v>
      </c>
      <c r="N2269" s="25"/>
      <c r="O2269" s="25"/>
      <c r="P2269" s="25"/>
      <c r="Q2269" s="29" t="s">
        <v>426</v>
      </c>
      <c r="R2269" s="8" t="str">
        <f aca="false">B2269&amp;" "&amp;C2269&amp;" "&amp;D2269&amp;" "&amp;E2269&amp;" "&amp;G2269&amp;" "&amp;H2269&amp;" "&amp;J2269&amp;" "&amp;N2269</f>
        <v>Differentials Solvent     CIF Thailand (Diff) </v>
      </c>
      <c r="S2269" s="25"/>
      <c r="T2269" s="8"/>
      <c r="U2269" s="8"/>
      <c r="V2269" s="25"/>
      <c r="W2269" s="25"/>
      <c r="X2269" s="25"/>
      <c r="Y2269" s="25"/>
      <c r="Z2269" s="25"/>
      <c r="AA2269" s="25"/>
      <c r="AB2269" s="25"/>
      <c r="AC2269" s="25"/>
      <c r="AD2269" s="25"/>
    </row>
    <row r="2270" customFormat="false" ht="15.75" hidden="false" customHeight="false" outlineLevel="0" collapsed="false">
      <c r="A2270" s="28" t="s">
        <v>2683</v>
      </c>
      <c r="B2270" s="27" t="s">
        <v>438</v>
      </c>
      <c r="C2270" s="27" t="s">
        <v>417</v>
      </c>
      <c r="D2270" s="25"/>
      <c r="E2270" s="25"/>
      <c r="F2270" s="25"/>
      <c r="G2270" s="25"/>
      <c r="H2270" s="25"/>
      <c r="I2270" s="25"/>
      <c r="J2270" s="27" t="s">
        <v>2626</v>
      </c>
      <c r="K2270" s="25" t="str">
        <f aca="false">IFERROR(__xludf.dummyfunction("SPLIT(J2270,"" "")"),"CIF")</f>
        <v>CIF</v>
      </c>
      <c r="L2270" s="28" t="str">
        <f aca="false">IFERROR(__xludf.dummyfunction("""COMPUTED_VALUE"""),"Thailand")</f>
        <v>Thailand</v>
      </c>
      <c r="M2270" s="27" t="str">
        <f aca="false">IFERROR(__xludf.dummyfunction("""COMPUTED_VALUE"""),"(Diff)")</f>
        <v>(Diff)</v>
      </c>
      <c r="N2270" s="25"/>
      <c r="O2270" s="25"/>
      <c r="P2270" s="25"/>
      <c r="Q2270" s="29" t="s">
        <v>424</v>
      </c>
      <c r="R2270" s="8" t="str">
        <f aca="false">B2270&amp;" "&amp;C2270&amp;" "&amp;D2270&amp;" "&amp;E2270&amp;" "&amp;G2270&amp;" "&amp;H2270&amp;" "&amp;J2270&amp;" "&amp;N2270</f>
        <v>Differentials Solvent     CIF Thailand (Diff) </v>
      </c>
      <c r="S2270" s="25"/>
      <c r="T2270" s="8"/>
      <c r="U2270" s="8"/>
      <c r="V2270" s="25"/>
      <c r="W2270" s="25"/>
      <c r="X2270" s="25"/>
      <c r="Y2270" s="25"/>
      <c r="Z2270" s="25"/>
      <c r="AA2270" s="25"/>
      <c r="AB2270" s="25"/>
      <c r="AC2270" s="25"/>
      <c r="AD2270" s="25"/>
    </row>
    <row r="2271" customFormat="false" ht="15.75" hidden="false" customHeight="false" outlineLevel="0" collapsed="false">
      <c r="A2271" s="28" t="s">
        <v>2684</v>
      </c>
      <c r="B2271" s="27" t="s">
        <v>438</v>
      </c>
      <c r="C2271" s="27" t="s">
        <v>417</v>
      </c>
      <c r="D2271" s="25"/>
      <c r="E2271" s="25"/>
      <c r="F2271" s="25"/>
      <c r="G2271" s="25"/>
      <c r="H2271" s="25"/>
      <c r="I2271" s="25"/>
      <c r="J2271" s="27" t="s">
        <v>2626</v>
      </c>
      <c r="K2271" s="25" t="str">
        <f aca="false">IFERROR(__xludf.dummyfunction("SPLIT(J2271,"" "")"),"CIF")</f>
        <v>CIF</v>
      </c>
      <c r="L2271" s="28" t="str">
        <f aca="false">IFERROR(__xludf.dummyfunction("""COMPUTED_VALUE"""),"Thailand")</f>
        <v>Thailand</v>
      </c>
      <c r="M2271" s="27" t="str">
        <f aca="false">IFERROR(__xludf.dummyfunction("""COMPUTED_VALUE"""),"(Diff)")</f>
        <v>(Diff)</v>
      </c>
      <c r="N2271" s="25"/>
      <c r="O2271" s="25"/>
      <c r="P2271" s="25"/>
      <c r="Q2271" s="29" t="s">
        <v>422</v>
      </c>
      <c r="R2271" s="8" t="str">
        <f aca="false">B2271&amp;" "&amp;C2271&amp;" "&amp;D2271&amp;" "&amp;E2271&amp;" "&amp;G2271&amp;" "&amp;H2271&amp;" "&amp;J2271&amp;" "&amp;N2271</f>
        <v>Differentials Solvent     CIF Thailand (Diff) </v>
      </c>
      <c r="S2271" s="25"/>
      <c r="T2271" s="8"/>
      <c r="U2271" s="8"/>
      <c r="V2271" s="25"/>
      <c r="W2271" s="25"/>
      <c r="X2271" s="25"/>
      <c r="Y2271" s="25"/>
      <c r="Z2271" s="25"/>
      <c r="AA2271" s="25"/>
      <c r="AB2271" s="25"/>
      <c r="AC2271" s="25"/>
      <c r="AD2271" s="25"/>
    </row>
    <row r="2272" customFormat="false" ht="15.75" hidden="false" customHeight="false" outlineLevel="0" collapsed="false">
      <c r="A2272" s="28" t="s">
        <v>2685</v>
      </c>
      <c r="B2272" s="27" t="s">
        <v>438</v>
      </c>
      <c r="C2272" s="27" t="s">
        <v>417</v>
      </c>
      <c r="D2272" s="25"/>
      <c r="E2272" s="25"/>
      <c r="F2272" s="25"/>
      <c r="G2272" s="25"/>
      <c r="H2272" s="25"/>
      <c r="I2272" s="25"/>
      <c r="J2272" s="27" t="s">
        <v>2626</v>
      </c>
      <c r="K2272" s="25" t="str">
        <f aca="false">IFERROR(__xludf.dummyfunction("SPLIT(J2272,"" "")"),"CIF")</f>
        <v>CIF</v>
      </c>
      <c r="L2272" s="28" t="str">
        <f aca="false">IFERROR(__xludf.dummyfunction("""COMPUTED_VALUE"""),"Thailand")</f>
        <v>Thailand</v>
      </c>
      <c r="M2272" s="27" t="str">
        <f aca="false">IFERROR(__xludf.dummyfunction("""COMPUTED_VALUE"""),"(Diff)")</f>
        <v>(Diff)</v>
      </c>
      <c r="N2272" s="25"/>
      <c r="O2272" s="25"/>
      <c r="P2272" s="25"/>
      <c r="Q2272" s="29" t="s">
        <v>420</v>
      </c>
      <c r="R2272" s="8" t="str">
        <f aca="false">B2272&amp;" "&amp;C2272&amp;" "&amp;D2272&amp;" "&amp;E2272&amp;" "&amp;G2272&amp;" "&amp;H2272&amp;" "&amp;J2272&amp;" "&amp;N2272</f>
        <v>Differentials Solvent     CIF Thailand (Diff) </v>
      </c>
      <c r="S2272" s="25"/>
      <c r="T2272" s="8"/>
      <c r="U2272" s="8"/>
      <c r="V2272" s="25"/>
      <c r="W2272" s="25"/>
      <c r="X2272" s="25"/>
      <c r="Y2272" s="25"/>
      <c r="Z2272" s="25"/>
      <c r="AA2272" s="25"/>
      <c r="AB2272" s="25"/>
      <c r="AC2272" s="25"/>
      <c r="AD2272" s="25"/>
    </row>
    <row r="2273" customFormat="false" ht="15.75" hidden="false" customHeight="false" outlineLevel="0" collapsed="false">
      <c r="A2273" s="28" t="s">
        <v>2686</v>
      </c>
      <c r="B2273" s="27" t="s">
        <v>438</v>
      </c>
      <c r="C2273" s="27" t="s">
        <v>417</v>
      </c>
      <c r="D2273" s="25"/>
      <c r="E2273" s="25"/>
      <c r="F2273" s="25"/>
      <c r="G2273" s="25"/>
      <c r="H2273" s="25"/>
      <c r="I2273" s="25"/>
      <c r="J2273" s="27" t="s">
        <v>2626</v>
      </c>
      <c r="K2273" s="25" t="str">
        <f aca="false">IFERROR(__xludf.dummyfunction("SPLIT(J2273,"" "")"),"CIF")</f>
        <v>CIF</v>
      </c>
      <c r="L2273" s="28" t="str">
        <f aca="false">IFERROR(__xludf.dummyfunction("""COMPUTED_VALUE"""),"Thailand")</f>
        <v>Thailand</v>
      </c>
      <c r="M2273" s="27" t="str">
        <f aca="false">IFERROR(__xludf.dummyfunction("""COMPUTED_VALUE"""),"(Diff)")</f>
        <v>(Diff)</v>
      </c>
      <c r="N2273" s="25"/>
      <c r="O2273" s="25"/>
      <c r="P2273" s="25"/>
      <c r="Q2273" s="29" t="s">
        <v>418</v>
      </c>
      <c r="R2273" s="8" t="str">
        <f aca="false">B2273&amp;" "&amp;C2273&amp;" "&amp;D2273&amp;" "&amp;E2273&amp;" "&amp;G2273&amp;" "&amp;H2273&amp;" "&amp;J2273&amp;" "&amp;N2273</f>
        <v>Differentials Solvent     CIF Thailand (Diff) </v>
      </c>
      <c r="S2273" s="25"/>
      <c r="T2273" s="8"/>
      <c r="U2273" s="8"/>
      <c r="V2273" s="25"/>
      <c r="W2273" s="25"/>
      <c r="X2273" s="25"/>
      <c r="Y2273" s="25"/>
      <c r="Z2273" s="25"/>
      <c r="AA2273" s="25"/>
      <c r="AB2273" s="25"/>
      <c r="AC2273" s="25"/>
      <c r="AD2273" s="25"/>
    </row>
    <row r="2274" customFormat="false" ht="15.75" hidden="false" customHeight="false" outlineLevel="0" collapsed="false">
      <c r="A2274" s="28" t="s">
        <v>2687</v>
      </c>
      <c r="B2274" s="27" t="s">
        <v>438</v>
      </c>
      <c r="C2274" s="27" t="s">
        <v>177</v>
      </c>
      <c r="D2274" s="25"/>
      <c r="E2274" s="25"/>
      <c r="F2274" s="25"/>
      <c r="G2274" s="25"/>
      <c r="H2274" s="25"/>
      <c r="I2274" s="25"/>
      <c r="J2274" s="27" t="s">
        <v>2688</v>
      </c>
      <c r="K2274" s="25" t="str">
        <f aca="false">IFERROR(__xludf.dummyfunction("SPLIT(J2274,"" "")"),"CIF")</f>
        <v>CIF</v>
      </c>
      <c r="L2274" s="28" t="str">
        <f aca="false">IFERROR(__xludf.dummyfunction("""COMPUTED_VALUE"""),"Turkey")</f>
        <v>Turkey</v>
      </c>
      <c r="M2274" s="27" t="str">
        <f aca="false">IFERROR(__xludf.dummyfunction("""COMPUTED_VALUE"""),"(Diff)")</f>
        <v>(Diff)</v>
      </c>
      <c r="N2274" s="25"/>
      <c r="O2274" s="25"/>
      <c r="P2274" s="25"/>
      <c r="Q2274" s="29" t="s">
        <v>209</v>
      </c>
      <c r="R2274" s="8" t="str">
        <f aca="false">B2274&amp;" "&amp;C2274&amp;" "&amp;D2274&amp;" "&amp;E2274&amp;" "&amp;G2274&amp;" "&amp;H2274&amp;" "&amp;J2274&amp;" "&amp;N2274</f>
        <v>Differentials Anode     CIF Turkey (Diff) </v>
      </c>
      <c r="S2274" s="25"/>
      <c r="T2274" s="8"/>
      <c r="U2274" s="8"/>
      <c r="V2274" s="25"/>
      <c r="W2274" s="25"/>
      <c r="X2274" s="25"/>
      <c r="Y2274" s="25"/>
      <c r="Z2274" s="25"/>
      <c r="AA2274" s="25"/>
      <c r="AB2274" s="25"/>
      <c r="AC2274" s="25"/>
      <c r="AD2274" s="25"/>
    </row>
    <row r="2275" customFormat="false" ht="15.75" hidden="false" customHeight="false" outlineLevel="0" collapsed="false">
      <c r="A2275" s="28" t="s">
        <v>2689</v>
      </c>
      <c r="B2275" s="27" t="s">
        <v>438</v>
      </c>
      <c r="C2275" s="27" t="s">
        <v>177</v>
      </c>
      <c r="D2275" s="25"/>
      <c r="E2275" s="25"/>
      <c r="F2275" s="25"/>
      <c r="G2275" s="25"/>
      <c r="H2275" s="25"/>
      <c r="I2275" s="25"/>
      <c r="J2275" s="27" t="s">
        <v>2688</v>
      </c>
      <c r="K2275" s="25" t="str">
        <f aca="false">IFERROR(__xludf.dummyfunction("SPLIT(J2275,"" "")"),"CIF")</f>
        <v>CIF</v>
      </c>
      <c r="L2275" s="28" t="str">
        <f aca="false">IFERROR(__xludf.dummyfunction("""COMPUTED_VALUE"""),"Turkey")</f>
        <v>Turkey</v>
      </c>
      <c r="M2275" s="27" t="str">
        <f aca="false">IFERROR(__xludf.dummyfunction("""COMPUTED_VALUE"""),"(Diff)")</f>
        <v>(Diff)</v>
      </c>
      <c r="N2275" s="25"/>
      <c r="O2275" s="25"/>
      <c r="P2275" s="25"/>
      <c r="Q2275" s="29" t="s">
        <v>205</v>
      </c>
      <c r="R2275" s="8" t="str">
        <f aca="false">B2275&amp;" "&amp;C2275&amp;" "&amp;D2275&amp;" "&amp;E2275&amp;" "&amp;G2275&amp;" "&amp;H2275&amp;" "&amp;J2275&amp;" "&amp;N2275</f>
        <v>Differentials Anode     CIF Turkey (Diff) </v>
      </c>
      <c r="S2275" s="25"/>
      <c r="T2275" s="8"/>
      <c r="U2275" s="8"/>
      <c r="V2275" s="25"/>
      <c r="W2275" s="25"/>
      <c r="X2275" s="25"/>
      <c r="Y2275" s="25"/>
      <c r="Z2275" s="25"/>
      <c r="AA2275" s="25"/>
      <c r="AB2275" s="25"/>
      <c r="AC2275" s="25"/>
      <c r="AD2275" s="25"/>
    </row>
    <row r="2276" customFormat="false" ht="15.75" hidden="false" customHeight="false" outlineLevel="0" collapsed="false">
      <c r="A2276" s="28" t="s">
        <v>2690</v>
      </c>
      <c r="B2276" s="27" t="s">
        <v>438</v>
      </c>
      <c r="C2276" s="27" t="s">
        <v>177</v>
      </c>
      <c r="D2276" s="25"/>
      <c r="E2276" s="25"/>
      <c r="F2276" s="25"/>
      <c r="G2276" s="25"/>
      <c r="H2276" s="25"/>
      <c r="I2276" s="25"/>
      <c r="J2276" s="27" t="s">
        <v>2688</v>
      </c>
      <c r="K2276" s="25" t="str">
        <f aca="false">IFERROR(__xludf.dummyfunction("SPLIT(J2276,"" "")"),"CIF")</f>
        <v>CIF</v>
      </c>
      <c r="L2276" s="28" t="str">
        <f aca="false">IFERROR(__xludf.dummyfunction("""COMPUTED_VALUE"""),"Turkey")</f>
        <v>Turkey</v>
      </c>
      <c r="M2276" s="27" t="str">
        <f aca="false">IFERROR(__xludf.dummyfunction("""COMPUTED_VALUE"""),"(Diff)")</f>
        <v>(Diff)</v>
      </c>
      <c r="N2276" s="25"/>
      <c r="O2276" s="25"/>
      <c r="P2276" s="25"/>
      <c r="Q2276" s="29" t="s">
        <v>202</v>
      </c>
      <c r="R2276" s="8" t="str">
        <f aca="false">B2276&amp;" "&amp;C2276&amp;" "&amp;D2276&amp;" "&amp;E2276&amp;" "&amp;G2276&amp;" "&amp;H2276&amp;" "&amp;J2276&amp;" "&amp;N2276</f>
        <v>Differentials Anode     CIF Turkey (Diff) </v>
      </c>
      <c r="S2276" s="25"/>
      <c r="T2276" s="8"/>
      <c r="U2276" s="8"/>
      <c r="V2276" s="25"/>
      <c r="W2276" s="25"/>
      <c r="X2276" s="25"/>
      <c r="Y2276" s="25"/>
      <c r="Z2276" s="25"/>
      <c r="AA2276" s="25"/>
      <c r="AB2276" s="25"/>
      <c r="AC2276" s="25"/>
      <c r="AD2276" s="25"/>
    </row>
    <row r="2277" customFormat="false" ht="15.75" hidden="false" customHeight="false" outlineLevel="0" collapsed="false">
      <c r="A2277" s="28" t="s">
        <v>2691</v>
      </c>
      <c r="B2277" s="27" t="s">
        <v>438</v>
      </c>
      <c r="C2277" s="27" t="s">
        <v>177</v>
      </c>
      <c r="D2277" s="25"/>
      <c r="E2277" s="25"/>
      <c r="F2277" s="25"/>
      <c r="G2277" s="25"/>
      <c r="H2277" s="25"/>
      <c r="I2277" s="25"/>
      <c r="J2277" s="27" t="s">
        <v>2688</v>
      </c>
      <c r="K2277" s="25" t="str">
        <f aca="false">IFERROR(__xludf.dummyfunction("SPLIT(J2277,"" "")"),"CIF")</f>
        <v>CIF</v>
      </c>
      <c r="L2277" s="28" t="str">
        <f aca="false">IFERROR(__xludf.dummyfunction("""COMPUTED_VALUE"""),"Turkey")</f>
        <v>Turkey</v>
      </c>
      <c r="M2277" s="27" t="str">
        <f aca="false">IFERROR(__xludf.dummyfunction("""COMPUTED_VALUE"""),"(Diff)")</f>
        <v>(Diff)</v>
      </c>
      <c r="N2277" s="25"/>
      <c r="O2277" s="25"/>
      <c r="P2277" s="25"/>
      <c r="Q2277" s="29" t="s">
        <v>197</v>
      </c>
      <c r="R2277" s="8" t="str">
        <f aca="false">B2277&amp;" "&amp;C2277&amp;" "&amp;D2277&amp;" "&amp;E2277&amp;" "&amp;G2277&amp;" "&amp;H2277&amp;" "&amp;J2277&amp;" "&amp;N2277</f>
        <v>Differentials Anode     CIF Turkey (Diff) </v>
      </c>
      <c r="S2277" s="25"/>
      <c r="T2277" s="8"/>
      <c r="U2277" s="8"/>
      <c r="V2277" s="25"/>
      <c r="W2277" s="25"/>
      <c r="X2277" s="25"/>
      <c r="Y2277" s="25"/>
      <c r="Z2277" s="25"/>
      <c r="AA2277" s="25"/>
      <c r="AB2277" s="25"/>
      <c r="AC2277" s="25"/>
      <c r="AD2277" s="25"/>
    </row>
    <row r="2278" customFormat="false" ht="15.75" hidden="false" customHeight="false" outlineLevel="0" collapsed="false">
      <c r="A2278" s="28" t="s">
        <v>2692</v>
      </c>
      <c r="B2278" s="27" t="s">
        <v>438</v>
      </c>
      <c r="C2278" s="27" t="s">
        <v>177</v>
      </c>
      <c r="D2278" s="25"/>
      <c r="E2278" s="25"/>
      <c r="F2278" s="25"/>
      <c r="G2278" s="25"/>
      <c r="H2278" s="25"/>
      <c r="I2278" s="25"/>
      <c r="J2278" s="27" t="s">
        <v>2688</v>
      </c>
      <c r="K2278" s="25" t="str">
        <f aca="false">IFERROR(__xludf.dummyfunction("SPLIT(J2278,"" "")"),"CIF")</f>
        <v>CIF</v>
      </c>
      <c r="L2278" s="28" t="str">
        <f aca="false">IFERROR(__xludf.dummyfunction("""COMPUTED_VALUE"""),"Turkey")</f>
        <v>Turkey</v>
      </c>
      <c r="M2278" s="27" t="str">
        <f aca="false">IFERROR(__xludf.dummyfunction("""COMPUTED_VALUE"""),"(Diff)")</f>
        <v>(Diff)</v>
      </c>
      <c r="N2278" s="25"/>
      <c r="O2278" s="25"/>
      <c r="P2278" s="25"/>
      <c r="Q2278" s="29" t="s">
        <v>193</v>
      </c>
      <c r="R2278" s="8" t="str">
        <f aca="false">B2278&amp;" "&amp;C2278&amp;" "&amp;D2278&amp;" "&amp;E2278&amp;" "&amp;G2278&amp;" "&amp;H2278&amp;" "&amp;J2278&amp;" "&amp;N2278</f>
        <v>Differentials Anode     CIF Turkey (Diff) </v>
      </c>
      <c r="S2278" s="25"/>
      <c r="T2278" s="8"/>
      <c r="U2278" s="8"/>
      <c r="V2278" s="25"/>
      <c r="W2278" s="25"/>
      <c r="X2278" s="25"/>
      <c r="Y2278" s="25"/>
      <c r="Z2278" s="25"/>
      <c r="AA2278" s="25"/>
      <c r="AB2278" s="25"/>
      <c r="AC2278" s="25"/>
      <c r="AD2278" s="25"/>
    </row>
    <row r="2279" customFormat="false" ht="15.75" hidden="false" customHeight="false" outlineLevel="0" collapsed="false">
      <c r="A2279" s="28" t="s">
        <v>2693</v>
      </c>
      <c r="B2279" s="27" t="s">
        <v>438</v>
      </c>
      <c r="C2279" s="27" t="s">
        <v>177</v>
      </c>
      <c r="D2279" s="25"/>
      <c r="E2279" s="25"/>
      <c r="F2279" s="25"/>
      <c r="G2279" s="25"/>
      <c r="H2279" s="25"/>
      <c r="I2279" s="25"/>
      <c r="J2279" s="27" t="s">
        <v>2688</v>
      </c>
      <c r="K2279" s="25" t="str">
        <f aca="false">IFERROR(__xludf.dummyfunction("SPLIT(J2279,"" "")"),"CIF")</f>
        <v>CIF</v>
      </c>
      <c r="L2279" s="28" t="str">
        <f aca="false">IFERROR(__xludf.dummyfunction("""COMPUTED_VALUE"""),"Turkey")</f>
        <v>Turkey</v>
      </c>
      <c r="M2279" s="27" t="str">
        <f aca="false">IFERROR(__xludf.dummyfunction("""COMPUTED_VALUE"""),"(Diff)")</f>
        <v>(Diff)</v>
      </c>
      <c r="N2279" s="25"/>
      <c r="O2279" s="25"/>
      <c r="P2279" s="25"/>
      <c r="Q2279" s="29" t="s">
        <v>188</v>
      </c>
      <c r="R2279" s="8" t="str">
        <f aca="false">B2279&amp;" "&amp;C2279&amp;" "&amp;D2279&amp;" "&amp;E2279&amp;" "&amp;G2279&amp;" "&amp;H2279&amp;" "&amp;J2279&amp;" "&amp;N2279</f>
        <v>Differentials Anode     CIF Turkey (Diff) </v>
      </c>
      <c r="S2279" s="25"/>
      <c r="T2279" s="8"/>
      <c r="U2279" s="8"/>
      <c r="V2279" s="25"/>
      <c r="W2279" s="25"/>
      <c r="X2279" s="25"/>
      <c r="Y2279" s="25"/>
      <c r="Z2279" s="25"/>
      <c r="AA2279" s="25"/>
      <c r="AB2279" s="25"/>
      <c r="AC2279" s="25"/>
      <c r="AD2279" s="25"/>
    </row>
    <row r="2280" customFormat="false" ht="15.75" hidden="false" customHeight="false" outlineLevel="0" collapsed="false">
      <c r="A2280" s="28" t="s">
        <v>2694</v>
      </c>
      <c r="B2280" s="27" t="s">
        <v>438</v>
      </c>
      <c r="C2280" s="27" t="s">
        <v>177</v>
      </c>
      <c r="D2280" s="25"/>
      <c r="E2280" s="25"/>
      <c r="F2280" s="25"/>
      <c r="G2280" s="25"/>
      <c r="H2280" s="25"/>
      <c r="I2280" s="25"/>
      <c r="J2280" s="27" t="s">
        <v>2688</v>
      </c>
      <c r="K2280" s="25" t="str">
        <f aca="false">IFERROR(__xludf.dummyfunction("SPLIT(J2280,"" "")"),"CIF")</f>
        <v>CIF</v>
      </c>
      <c r="L2280" s="28" t="str">
        <f aca="false">IFERROR(__xludf.dummyfunction("""COMPUTED_VALUE"""),"Turkey")</f>
        <v>Turkey</v>
      </c>
      <c r="M2280" s="27" t="str">
        <f aca="false">IFERROR(__xludf.dummyfunction("""COMPUTED_VALUE"""),"(Diff)")</f>
        <v>(Diff)</v>
      </c>
      <c r="N2280" s="25"/>
      <c r="O2280" s="25"/>
      <c r="P2280" s="25"/>
      <c r="Q2280" s="29" t="s">
        <v>180</v>
      </c>
      <c r="R2280" s="8" t="str">
        <f aca="false">B2280&amp;" "&amp;C2280&amp;" "&amp;D2280&amp;" "&amp;E2280&amp;" "&amp;G2280&amp;" "&amp;H2280&amp;" "&amp;J2280&amp;" "&amp;N2280</f>
        <v>Differentials Anode     CIF Turkey (Diff) </v>
      </c>
      <c r="S2280" s="25"/>
      <c r="T2280" s="8"/>
      <c r="U2280" s="8"/>
      <c r="V2280" s="25"/>
      <c r="W2280" s="25"/>
      <c r="X2280" s="25"/>
      <c r="Y2280" s="25"/>
      <c r="Z2280" s="25"/>
      <c r="AA2280" s="25"/>
      <c r="AB2280" s="25"/>
      <c r="AC2280" s="25"/>
      <c r="AD2280" s="25"/>
    </row>
    <row r="2281" customFormat="false" ht="15.75" hidden="false" customHeight="false" outlineLevel="0" collapsed="false">
      <c r="A2281" s="28" t="s">
        <v>2695</v>
      </c>
      <c r="B2281" s="27" t="s">
        <v>438</v>
      </c>
      <c r="C2281" s="27" t="s">
        <v>211</v>
      </c>
      <c r="D2281" s="25"/>
      <c r="E2281" s="25"/>
      <c r="F2281" s="25"/>
      <c r="G2281" s="25"/>
      <c r="H2281" s="25"/>
      <c r="I2281" s="25"/>
      <c r="J2281" s="27" t="s">
        <v>2688</v>
      </c>
      <c r="K2281" s="25" t="str">
        <f aca="false">IFERROR(__xludf.dummyfunction("SPLIT(J2281,"" "")"),"CIF")</f>
        <v>CIF</v>
      </c>
      <c r="L2281" s="28" t="str">
        <f aca="false">IFERROR(__xludf.dummyfunction("""COMPUTED_VALUE"""),"Turkey")</f>
        <v>Turkey</v>
      </c>
      <c r="M2281" s="27" t="str">
        <f aca="false">IFERROR(__xludf.dummyfunction("""COMPUTED_VALUE"""),"(Diff)")</f>
        <v>(Diff)</v>
      </c>
      <c r="N2281" s="25"/>
      <c r="O2281" s="25"/>
      <c r="P2281" s="25"/>
      <c r="Q2281" s="29" t="s">
        <v>234</v>
      </c>
      <c r="R2281" s="8" t="str">
        <f aca="false">B2281&amp;" "&amp;C2281&amp;" "&amp;D2281&amp;" "&amp;E2281&amp;" "&amp;G2281&amp;" "&amp;H2281&amp;" "&amp;J2281&amp;" "&amp;N2281</f>
        <v>Differentials Binders &amp; Additives     CIF Turkey (Diff) </v>
      </c>
      <c r="S2281" s="25"/>
      <c r="T2281" s="8"/>
      <c r="U2281" s="8"/>
      <c r="V2281" s="25"/>
      <c r="W2281" s="25"/>
      <c r="X2281" s="25"/>
      <c r="Y2281" s="25"/>
      <c r="Z2281" s="25"/>
      <c r="AA2281" s="25"/>
      <c r="AB2281" s="25"/>
      <c r="AC2281" s="25"/>
      <c r="AD2281" s="25"/>
    </row>
    <row r="2282" customFormat="false" ht="15.75" hidden="false" customHeight="false" outlineLevel="0" collapsed="false">
      <c r="A2282" s="28" t="s">
        <v>2696</v>
      </c>
      <c r="B2282" s="27" t="s">
        <v>438</v>
      </c>
      <c r="C2282" s="27" t="s">
        <v>211</v>
      </c>
      <c r="D2282" s="25"/>
      <c r="E2282" s="25"/>
      <c r="F2282" s="25"/>
      <c r="G2282" s="25"/>
      <c r="H2282" s="25"/>
      <c r="I2282" s="25"/>
      <c r="J2282" s="27" t="s">
        <v>2688</v>
      </c>
      <c r="K2282" s="25" t="str">
        <f aca="false">IFERROR(__xludf.dummyfunction("SPLIT(J2282,"" "")"),"CIF")</f>
        <v>CIF</v>
      </c>
      <c r="L2282" s="28" t="str">
        <f aca="false">IFERROR(__xludf.dummyfunction("""COMPUTED_VALUE"""),"Turkey")</f>
        <v>Turkey</v>
      </c>
      <c r="M2282" s="27" t="str">
        <f aca="false">IFERROR(__xludf.dummyfunction("""COMPUTED_VALUE"""),"(Diff)")</f>
        <v>(Diff)</v>
      </c>
      <c r="N2282" s="25"/>
      <c r="O2282" s="25"/>
      <c r="P2282" s="25"/>
      <c r="Q2282" s="29" t="s">
        <v>232</v>
      </c>
      <c r="R2282" s="8" t="str">
        <f aca="false">B2282&amp;" "&amp;C2282&amp;" "&amp;D2282&amp;" "&amp;E2282&amp;" "&amp;G2282&amp;" "&amp;H2282&amp;" "&amp;J2282&amp;" "&amp;N2282</f>
        <v>Differentials Binders &amp; Additives     CIF Turkey (Diff) </v>
      </c>
      <c r="S2282" s="25"/>
      <c r="T2282" s="8"/>
      <c r="U2282" s="8"/>
      <c r="V2282" s="25"/>
      <c r="W2282" s="25"/>
      <c r="X2282" s="25"/>
      <c r="Y2282" s="25"/>
      <c r="Z2282" s="25"/>
      <c r="AA2282" s="25"/>
      <c r="AB2282" s="25"/>
      <c r="AC2282" s="25"/>
      <c r="AD2282" s="25"/>
    </row>
    <row r="2283" customFormat="false" ht="15.75" hidden="false" customHeight="false" outlineLevel="0" collapsed="false">
      <c r="A2283" s="28" t="s">
        <v>2697</v>
      </c>
      <c r="B2283" s="27" t="s">
        <v>438</v>
      </c>
      <c r="C2283" s="27" t="s">
        <v>211</v>
      </c>
      <c r="D2283" s="25"/>
      <c r="E2283" s="25"/>
      <c r="F2283" s="25"/>
      <c r="G2283" s="25"/>
      <c r="H2283" s="25"/>
      <c r="I2283" s="25"/>
      <c r="J2283" s="27" t="s">
        <v>2688</v>
      </c>
      <c r="K2283" s="25" t="str">
        <f aca="false">IFERROR(__xludf.dummyfunction("SPLIT(J2283,"" "")"),"CIF")</f>
        <v>CIF</v>
      </c>
      <c r="L2283" s="28" t="str">
        <f aca="false">IFERROR(__xludf.dummyfunction("""COMPUTED_VALUE"""),"Turkey")</f>
        <v>Turkey</v>
      </c>
      <c r="M2283" s="27" t="str">
        <f aca="false">IFERROR(__xludf.dummyfunction("""COMPUTED_VALUE"""),"(Diff)")</f>
        <v>(Diff)</v>
      </c>
      <c r="N2283" s="25"/>
      <c r="O2283" s="25"/>
      <c r="P2283" s="25"/>
      <c r="Q2283" s="29" t="s">
        <v>230</v>
      </c>
      <c r="R2283" s="8" t="str">
        <f aca="false">B2283&amp;" "&amp;C2283&amp;" "&amp;D2283&amp;" "&amp;E2283&amp;" "&amp;G2283&amp;" "&amp;H2283&amp;" "&amp;J2283&amp;" "&amp;N2283</f>
        <v>Differentials Binders &amp; Additives     CIF Turkey (Diff) </v>
      </c>
      <c r="S2283" s="25"/>
      <c r="T2283" s="8"/>
      <c r="U2283" s="8"/>
      <c r="V2283" s="25"/>
      <c r="W2283" s="25"/>
      <c r="X2283" s="25"/>
      <c r="Y2283" s="25"/>
      <c r="Z2283" s="25"/>
      <c r="AA2283" s="25"/>
      <c r="AB2283" s="25"/>
      <c r="AC2283" s="25"/>
      <c r="AD2283" s="25"/>
    </row>
    <row r="2284" customFormat="false" ht="15.75" hidden="false" customHeight="false" outlineLevel="0" collapsed="false">
      <c r="A2284" s="28" t="s">
        <v>2698</v>
      </c>
      <c r="B2284" s="27" t="s">
        <v>438</v>
      </c>
      <c r="C2284" s="27" t="s">
        <v>211</v>
      </c>
      <c r="D2284" s="25"/>
      <c r="E2284" s="25"/>
      <c r="F2284" s="25"/>
      <c r="G2284" s="25"/>
      <c r="H2284" s="25"/>
      <c r="I2284" s="25"/>
      <c r="J2284" s="27" t="s">
        <v>2688</v>
      </c>
      <c r="K2284" s="25" t="str">
        <f aca="false">IFERROR(__xludf.dummyfunction("SPLIT(J2284,"" "")"),"CIF")</f>
        <v>CIF</v>
      </c>
      <c r="L2284" s="28" t="str">
        <f aca="false">IFERROR(__xludf.dummyfunction("""COMPUTED_VALUE"""),"Turkey")</f>
        <v>Turkey</v>
      </c>
      <c r="M2284" s="27" t="str">
        <f aca="false">IFERROR(__xludf.dummyfunction("""COMPUTED_VALUE"""),"(Diff)")</f>
        <v>(Diff)</v>
      </c>
      <c r="N2284" s="25"/>
      <c r="O2284" s="25"/>
      <c r="P2284" s="25"/>
      <c r="Q2284" s="29" t="s">
        <v>228</v>
      </c>
      <c r="R2284" s="8" t="str">
        <f aca="false">B2284&amp;" "&amp;C2284&amp;" "&amp;D2284&amp;" "&amp;E2284&amp;" "&amp;G2284&amp;" "&amp;H2284&amp;" "&amp;J2284&amp;" "&amp;N2284</f>
        <v>Differentials Binders &amp; Additives     CIF Turkey (Diff) </v>
      </c>
      <c r="S2284" s="25"/>
      <c r="T2284" s="8"/>
      <c r="U2284" s="8"/>
      <c r="V2284" s="25"/>
      <c r="W2284" s="25"/>
      <c r="X2284" s="25"/>
      <c r="Y2284" s="25"/>
      <c r="Z2284" s="25"/>
      <c r="AA2284" s="25"/>
      <c r="AB2284" s="25"/>
      <c r="AC2284" s="25"/>
      <c r="AD2284" s="25"/>
    </row>
    <row r="2285" customFormat="false" ht="15.75" hidden="false" customHeight="false" outlineLevel="0" collapsed="false">
      <c r="A2285" s="28" t="s">
        <v>2699</v>
      </c>
      <c r="B2285" s="27" t="s">
        <v>438</v>
      </c>
      <c r="C2285" s="27" t="s">
        <v>211</v>
      </c>
      <c r="D2285" s="25"/>
      <c r="E2285" s="25"/>
      <c r="F2285" s="25"/>
      <c r="G2285" s="25"/>
      <c r="H2285" s="25"/>
      <c r="I2285" s="25"/>
      <c r="J2285" s="27" t="s">
        <v>2688</v>
      </c>
      <c r="K2285" s="25" t="str">
        <f aca="false">IFERROR(__xludf.dummyfunction("SPLIT(J2285,"" "")"),"CIF")</f>
        <v>CIF</v>
      </c>
      <c r="L2285" s="28" t="str">
        <f aca="false">IFERROR(__xludf.dummyfunction("""COMPUTED_VALUE"""),"Turkey")</f>
        <v>Turkey</v>
      </c>
      <c r="M2285" s="27" t="str">
        <f aca="false">IFERROR(__xludf.dummyfunction("""COMPUTED_VALUE"""),"(Diff)")</f>
        <v>(Diff)</v>
      </c>
      <c r="N2285" s="25"/>
      <c r="O2285" s="25"/>
      <c r="P2285" s="25"/>
      <c r="Q2285" s="29" t="s">
        <v>226</v>
      </c>
      <c r="R2285" s="8" t="str">
        <f aca="false">B2285&amp;" "&amp;C2285&amp;" "&amp;D2285&amp;" "&amp;E2285&amp;" "&amp;G2285&amp;" "&amp;H2285&amp;" "&amp;J2285&amp;" "&amp;N2285</f>
        <v>Differentials Binders &amp; Additives     CIF Turkey (Diff) </v>
      </c>
      <c r="S2285" s="25"/>
      <c r="T2285" s="8"/>
      <c r="U2285" s="8"/>
      <c r="V2285" s="25"/>
      <c r="W2285" s="25"/>
      <c r="X2285" s="25"/>
      <c r="Y2285" s="25"/>
      <c r="Z2285" s="25"/>
      <c r="AA2285" s="25"/>
      <c r="AB2285" s="25"/>
      <c r="AC2285" s="25"/>
      <c r="AD2285" s="25"/>
    </row>
    <row r="2286" customFormat="false" ht="15.75" hidden="false" customHeight="false" outlineLevel="0" collapsed="false">
      <c r="A2286" s="28" t="s">
        <v>2700</v>
      </c>
      <c r="B2286" s="27" t="s">
        <v>438</v>
      </c>
      <c r="C2286" s="27" t="s">
        <v>211</v>
      </c>
      <c r="D2286" s="25"/>
      <c r="E2286" s="25"/>
      <c r="F2286" s="25"/>
      <c r="G2286" s="25"/>
      <c r="H2286" s="25"/>
      <c r="I2286" s="25"/>
      <c r="J2286" s="27" t="s">
        <v>2688</v>
      </c>
      <c r="K2286" s="25" t="str">
        <f aca="false">IFERROR(__xludf.dummyfunction("SPLIT(J2286,"" "")"),"CIF")</f>
        <v>CIF</v>
      </c>
      <c r="L2286" s="28" t="str">
        <f aca="false">IFERROR(__xludf.dummyfunction("""COMPUTED_VALUE"""),"Turkey")</f>
        <v>Turkey</v>
      </c>
      <c r="M2286" s="27" t="str">
        <f aca="false">IFERROR(__xludf.dummyfunction("""COMPUTED_VALUE"""),"(Diff)")</f>
        <v>(Diff)</v>
      </c>
      <c r="N2286" s="25"/>
      <c r="O2286" s="25"/>
      <c r="P2286" s="25"/>
      <c r="Q2286" s="29" t="s">
        <v>224</v>
      </c>
      <c r="R2286" s="8" t="str">
        <f aca="false">B2286&amp;" "&amp;C2286&amp;" "&amp;D2286&amp;" "&amp;E2286&amp;" "&amp;G2286&amp;" "&amp;H2286&amp;" "&amp;J2286&amp;" "&amp;N2286</f>
        <v>Differentials Binders &amp; Additives     CIF Turkey (Diff) </v>
      </c>
      <c r="S2286" s="25"/>
      <c r="T2286" s="8"/>
      <c r="U2286" s="8"/>
      <c r="V2286" s="25"/>
      <c r="W2286" s="25"/>
      <c r="X2286" s="25"/>
      <c r="Y2286" s="25"/>
      <c r="Z2286" s="25"/>
      <c r="AA2286" s="25"/>
      <c r="AB2286" s="25"/>
      <c r="AC2286" s="25"/>
      <c r="AD2286" s="25"/>
    </row>
    <row r="2287" customFormat="false" ht="15.75" hidden="false" customHeight="false" outlineLevel="0" collapsed="false">
      <c r="A2287" s="28" t="s">
        <v>2701</v>
      </c>
      <c r="B2287" s="27" t="s">
        <v>438</v>
      </c>
      <c r="C2287" s="27" t="s">
        <v>211</v>
      </c>
      <c r="D2287" s="25"/>
      <c r="E2287" s="25"/>
      <c r="F2287" s="25"/>
      <c r="G2287" s="25"/>
      <c r="H2287" s="25"/>
      <c r="I2287" s="25"/>
      <c r="J2287" s="27" t="s">
        <v>2688</v>
      </c>
      <c r="K2287" s="25" t="str">
        <f aca="false">IFERROR(__xludf.dummyfunction("SPLIT(J2287,"" "")"),"CIF")</f>
        <v>CIF</v>
      </c>
      <c r="L2287" s="28" t="str">
        <f aca="false">IFERROR(__xludf.dummyfunction("""COMPUTED_VALUE"""),"Turkey")</f>
        <v>Turkey</v>
      </c>
      <c r="M2287" s="27" t="str">
        <f aca="false">IFERROR(__xludf.dummyfunction("""COMPUTED_VALUE"""),"(Diff)")</f>
        <v>(Diff)</v>
      </c>
      <c r="N2287" s="25"/>
      <c r="O2287" s="25"/>
      <c r="P2287" s="25"/>
      <c r="Q2287" s="29" t="s">
        <v>222</v>
      </c>
      <c r="R2287" s="8" t="str">
        <f aca="false">B2287&amp;" "&amp;C2287&amp;" "&amp;D2287&amp;" "&amp;E2287&amp;" "&amp;G2287&amp;" "&amp;H2287&amp;" "&amp;J2287&amp;" "&amp;N2287</f>
        <v>Differentials Binders &amp; Additives     CIF Turkey (Diff) </v>
      </c>
      <c r="S2287" s="25"/>
      <c r="T2287" s="8"/>
      <c r="U2287" s="8"/>
      <c r="V2287" s="25"/>
      <c r="W2287" s="25"/>
      <c r="X2287" s="25"/>
      <c r="Y2287" s="25"/>
      <c r="Z2287" s="25"/>
      <c r="AA2287" s="25"/>
      <c r="AB2287" s="25"/>
      <c r="AC2287" s="25"/>
      <c r="AD2287" s="25"/>
    </row>
    <row r="2288" customFormat="false" ht="15.75" hidden="false" customHeight="false" outlineLevel="0" collapsed="false">
      <c r="A2288" s="28" t="s">
        <v>2702</v>
      </c>
      <c r="B2288" s="27" t="s">
        <v>438</v>
      </c>
      <c r="C2288" s="27" t="s">
        <v>211</v>
      </c>
      <c r="D2288" s="25"/>
      <c r="E2288" s="25"/>
      <c r="F2288" s="25"/>
      <c r="G2288" s="25"/>
      <c r="H2288" s="25"/>
      <c r="I2288" s="25"/>
      <c r="J2288" s="27" t="s">
        <v>2688</v>
      </c>
      <c r="K2288" s="25" t="str">
        <f aca="false">IFERROR(__xludf.dummyfunction("SPLIT(J2288,"" "")"),"CIF")</f>
        <v>CIF</v>
      </c>
      <c r="L2288" s="28" t="str">
        <f aca="false">IFERROR(__xludf.dummyfunction("""COMPUTED_VALUE"""),"Turkey")</f>
        <v>Turkey</v>
      </c>
      <c r="M2288" s="27" t="str">
        <f aca="false">IFERROR(__xludf.dummyfunction("""COMPUTED_VALUE"""),"(Diff)")</f>
        <v>(Diff)</v>
      </c>
      <c r="N2288" s="25"/>
      <c r="O2288" s="25"/>
      <c r="P2288" s="25"/>
      <c r="Q2288" s="29" t="s">
        <v>220</v>
      </c>
      <c r="R2288" s="8" t="str">
        <f aca="false">B2288&amp;" "&amp;C2288&amp;" "&amp;D2288&amp;" "&amp;E2288&amp;" "&amp;G2288&amp;" "&amp;H2288&amp;" "&amp;J2288&amp;" "&amp;N2288</f>
        <v>Differentials Binders &amp; Additives     CIF Turkey (Diff) </v>
      </c>
      <c r="S2288" s="25"/>
      <c r="T2288" s="8"/>
      <c r="U2288" s="8"/>
      <c r="V2288" s="25"/>
      <c r="W2288" s="25"/>
      <c r="X2288" s="25"/>
      <c r="Y2288" s="25"/>
      <c r="Z2288" s="25"/>
      <c r="AA2288" s="25"/>
      <c r="AB2288" s="25"/>
      <c r="AC2288" s="25"/>
      <c r="AD2288" s="25"/>
    </row>
    <row r="2289" customFormat="false" ht="15.75" hidden="false" customHeight="false" outlineLevel="0" collapsed="false">
      <c r="A2289" s="28" t="s">
        <v>2703</v>
      </c>
      <c r="B2289" s="27" t="s">
        <v>438</v>
      </c>
      <c r="C2289" s="27" t="s">
        <v>211</v>
      </c>
      <c r="D2289" s="25"/>
      <c r="E2289" s="25"/>
      <c r="F2289" s="25"/>
      <c r="G2289" s="25"/>
      <c r="H2289" s="25"/>
      <c r="I2289" s="25"/>
      <c r="J2289" s="27" t="s">
        <v>2688</v>
      </c>
      <c r="K2289" s="25" t="str">
        <f aca="false">IFERROR(__xludf.dummyfunction("SPLIT(J2289,"" "")"),"CIF")</f>
        <v>CIF</v>
      </c>
      <c r="L2289" s="28" t="str">
        <f aca="false">IFERROR(__xludf.dummyfunction("""COMPUTED_VALUE"""),"Turkey")</f>
        <v>Turkey</v>
      </c>
      <c r="M2289" s="27" t="str">
        <f aca="false">IFERROR(__xludf.dummyfunction("""COMPUTED_VALUE"""),"(Diff)")</f>
        <v>(Diff)</v>
      </c>
      <c r="N2289" s="25"/>
      <c r="O2289" s="25"/>
      <c r="P2289" s="25"/>
      <c r="Q2289" s="29" t="s">
        <v>218</v>
      </c>
      <c r="R2289" s="8" t="str">
        <f aca="false">B2289&amp;" "&amp;C2289&amp;" "&amp;D2289&amp;" "&amp;E2289&amp;" "&amp;G2289&amp;" "&amp;H2289&amp;" "&amp;J2289&amp;" "&amp;N2289</f>
        <v>Differentials Binders &amp; Additives     CIF Turkey (Diff) </v>
      </c>
      <c r="S2289" s="25"/>
      <c r="T2289" s="8"/>
      <c r="U2289" s="8"/>
      <c r="V2289" s="25"/>
      <c r="W2289" s="25"/>
      <c r="X2289" s="25"/>
      <c r="Y2289" s="25"/>
      <c r="Z2289" s="25"/>
      <c r="AA2289" s="25"/>
      <c r="AB2289" s="25"/>
      <c r="AC2289" s="25"/>
      <c r="AD2289" s="25"/>
    </row>
    <row r="2290" customFormat="false" ht="15.75" hidden="false" customHeight="false" outlineLevel="0" collapsed="false">
      <c r="A2290" s="28" t="s">
        <v>2704</v>
      </c>
      <c r="B2290" s="27" t="s">
        <v>438</v>
      </c>
      <c r="C2290" s="27" t="s">
        <v>211</v>
      </c>
      <c r="D2290" s="25"/>
      <c r="E2290" s="25"/>
      <c r="F2290" s="25"/>
      <c r="G2290" s="25"/>
      <c r="H2290" s="25"/>
      <c r="I2290" s="25"/>
      <c r="J2290" s="27" t="s">
        <v>2688</v>
      </c>
      <c r="K2290" s="25" t="str">
        <f aca="false">IFERROR(__xludf.dummyfunction("SPLIT(J2290,"" "")"),"CIF")</f>
        <v>CIF</v>
      </c>
      <c r="L2290" s="28" t="str">
        <f aca="false">IFERROR(__xludf.dummyfunction("""COMPUTED_VALUE"""),"Turkey")</f>
        <v>Turkey</v>
      </c>
      <c r="M2290" s="27" t="str">
        <f aca="false">IFERROR(__xludf.dummyfunction("""COMPUTED_VALUE"""),"(Diff)")</f>
        <v>(Diff)</v>
      </c>
      <c r="N2290" s="25"/>
      <c r="O2290" s="25"/>
      <c r="P2290" s="25"/>
      <c r="Q2290" s="29" t="s">
        <v>215</v>
      </c>
      <c r="R2290" s="8" t="str">
        <f aca="false">B2290&amp;" "&amp;C2290&amp;" "&amp;D2290&amp;" "&amp;E2290&amp;" "&amp;G2290&amp;" "&amp;H2290&amp;" "&amp;J2290&amp;" "&amp;N2290</f>
        <v>Differentials Binders &amp; Additives     CIF Turkey (Diff) </v>
      </c>
      <c r="S2290" s="25"/>
      <c r="T2290" s="8"/>
      <c r="U2290" s="8"/>
      <c r="V2290" s="25"/>
      <c r="W2290" s="25"/>
      <c r="X2290" s="25"/>
      <c r="Y2290" s="25"/>
      <c r="Z2290" s="25"/>
      <c r="AA2290" s="25"/>
      <c r="AB2290" s="25"/>
      <c r="AC2290" s="25"/>
      <c r="AD2290" s="25"/>
    </row>
    <row r="2291" customFormat="false" ht="15.75" hidden="false" customHeight="false" outlineLevel="0" collapsed="false">
      <c r="A2291" s="28" t="s">
        <v>2705</v>
      </c>
      <c r="B2291" s="27" t="s">
        <v>438</v>
      </c>
      <c r="C2291" s="27" t="s">
        <v>211</v>
      </c>
      <c r="D2291" s="25"/>
      <c r="E2291" s="25"/>
      <c r="F2291" s="25"/>
      <c r="G2291" s="25"/>
      <c r="H2291" s="25"/>
      <c r="I2291" s="25"/>
      <c r="J2291" s="27" t="s">
        <v>2688</v>
      </c>
      <c r="K2291" s="25" t="str">
        <f aca="false">IFERROR(__xludf.dummyfunction("SPLIT(J2291,"" "")"),"CIF")</f>
        <v>CIF</v>
      </c>
      <c r="L2291" s="28" t="str">
        <f aca="false">IFERROR(__xludf.dummyfunction("""COMPUTED_VALUE"""),"Turkey")</f>
        <v>Turkey</v>
      </c>
      <c r="M2291" s="27" t="str">
        <f aca="false">IFERROR(__xludf.dummyfunction("""COMPUTED_VALUE"""),"(Diff)")</f>
        <v>(Diff)</v>
      </c>
      <c r="N2291" s="25"/>
      <c r="O2291" s="25"/>
      <c r="P2291" s="25"/>
      <c r="Q2291" s="29" t="s">
        <v>213</v>
      </c>
      <c r="R2291" s="8" t="str">
        <f aca="false">B2291&amp;" "&amp;C2291&amp;" "&amp;D2291&amp;" "&amp;E2291&amp;" "&amp;G2291&amp;" "&amp;H2291&amp;" "&amp;J2291&amp;" "&amp;N2291</f>
        <v>Differentials Binders &amp; Additives     CIF Turkey (Diff) </v>
      </c>
      <c r="S2291" s="25"/>
      <c r="T2291" s="8"/>
      <c r="U2291" s="8"/>
      <c r="V2291" s="25"/>
      <c r="W2291" s="25"/>
      <c r="X2291" s="25"/>
      <c r="Y2291" s="25"/>
      <c r="Z2291" s="25"/>
      <c r="AA2291" s="25"/>
      <c r="AB2291" s="25"/>
      <c r="AC2291" s="25"/>
      <c r="AD2291" s="25"/>
    </row>
    <row r="2292" customFormat="false" ht="15.75" hidden="false" customHeight="false" outlineLevel="0" collapsed="false">
      <c r="A2292" s="28" t="s">
        <v>2706</v>
      </c>
      <c r="B2292" s="27" t="s">
        <v>438</v>
      </c>
      <c r="C2292" s="27" t="s">
        <v>236</v>
      </c>
      <c r="D2292" s="25"/>
      <c r="E2292" s="25"/>
      <c r="F2292" s="25"/>
      <c r="G2292" s="25"/>
      <c r="H2292" s="25"/>
      <c r="I2292" s="25"/>
      <c r="J2292" s="27" t="s">
        <v>2688</v>
      </c>
      <c r="K2292" s="25" t="str">
        <f aca="false">IFERROR(__xludf.dummyfunction("SPLIT(J2292,"" "")"),"CIF")</f>
        <v>CIF</v>
      </c>
      <c r="L2292" s="28" t="str">
        <f aca="false">IFERROR(__xludf.dummyfunction("""COMPUTED_VALUE"""),"Turkey")</f>
        <v>Turkey</v>
      </c>
      <c r="M2292" s="27" t="str">
        <f aca="false">IFERROR(__xludf.dummyfunction("""COMPUTED_VALUE"""),"(Diff)")</f>
        <v>(Diff)</v>
      </c>
      <c r="N2292" s="25"/>
      <c r="O2292" s="25"/>
      <c r="P2292" s="25"/>
      <c r="Q2292" s="29" t="s">
        <v>271</v>
      </c>
      <c r="R2292" s="8" t="str">
        <f aca="false">B2292&amp;" "&amp;C2292&amp;" "&amp;D2292&amp;" "&amp;E2292&amp;" "&amp;G2292&amp;" "&amp;H2292&amp;" "&amp;J2292&amp;" "&amp;N2292</f>
        <v>Differentials Cathode     CIF Turkey (Diff) </v>
      </c>
      <c r="S2292" s="25"/>
      <c r="T2292" s="8"/>
      <c r="U2292" s="8"/>
      <c r="V2292" s="25"/>
      <c r="W2292" s="25"/>
      <c r="X2292" s="25"/>
      <c r="Y2292" s="25"/>
      <c r="Z2292" s="25"/>
      <c r="AA2292" s="25"/>
      <c r="AB2292" s="25"/>
      <c r="AC2292" s="25"/>
      <c r="AD2292" s="25"/>
    </row>
    <row r="2293" customFormat="false" ht="15.75" hidden="false" customHeight="false" outlineLevel="0" collapsed="false">
      <c r="A2293" s="28" t="s">
        <v>2707</v>
      </c>
      <c r="B2293" s="27" t="s">
        <v>438</v>
      </c>
      <c r="C2293" s="27" t="s">
        <v>236</v>
      </c>
      <c r="D2293" s="25"/>
      <c r="E2293" s="25"/>
      <c r="F2293" s="25"/>
      <c r="G2293" s="25"/>
      <c r="H2293" s="25"/>
      <c r="I2293" s="25"/>
      <c r="J2293" s="27" t="s">
        <v>2688</v>
      </c>
      <c r="K2293" s="25" t="str">
        <f aca="false">IFERROR(__xludf.dummyfunction("SPLIT(J2293,"" "")"),"CIF")</f>
        <v>CIF</v>
      </c>
      <c r="L2293" s="28" t="str">
        <f aca="false">IFERROR(__xludf.dummyfunction("""COMPUTED_VALUE"""),"Turkey")</f>
        <v>Turkey</v>
      </c>
      <c r="M2293" s="27" t="str">
        <f aca="false">IFERROR(__xludf.dummyfunction("""COMPUTED_VALUE"""),"(Diff)")</f>
        <v>(Diff)</v>
      </c>
      <c r="N2293" s="25"/>
      <c r="O2293" s="25"/>
      <c r="P2293" s="25"/>
      <c r="Q2293" s="29" t="s">
        <v>266</v>
      </c>
      <c r="R2293" s="8" t="str">
        <f aca="false">B2293&amp;" "&amp;C2293&amp;" "&amp;D2293&amp;" "&amp;E2293&amp;" "&amp;G2293&amp;" "&amp;H2293&amp;" "&amp;J2293&amp;" "&amp;N2293</f>
        <v>Differentials Cathode     CIF Turkey (Diff) </v>
      </c>
      <c r="S2293" s="25"/>
      <c r="T2293" s="8"/>
      <c r="U2293" s="8"/>
      <c r="V2293" s="25"/>
      <c r="W2293" s="25"/>
      <c r="X2293" s="25"/>
      <c r="Y2293" s="25"/>
      <c r="Z2293" s="25"/>
      <c r="AA2293" s="25"/>
      <c r="AB2293" s="25"/>
      <c r="AC2293" s="25"/>
      <c r="AD2293" s="25"/>
    </row>
    <row r="2294" customFormat="false" ht="15.75" hidden="false" customHeight="false" outlineLevel="0" collapsed="false">
      <c r="A2294" s="28" t="s">
        <v>2708</v>
      </c>
      <c r="B2294" s="27" t="s">
        <v>438</v>
      </c>
      <c r="C2294" s="27" t="s">
        <v>236</v>
      </c>
      <c r="D2294" s="25"/>
      <c r="E2294" s="25"/>
      <c r="F2294" s="25"/>
      <c r="G2294" s="25"/>
      <c r="H2294" s="25"/>
      <c r="I2294" s="25"/>
      <c r="J2294" s="27" t="s">
        <v>2688</v>
      </c>
      <c r="K2294" s="25" t="str">
        <f aca="false">IFERROR(__xludf.dummyfunction("SPLIT(J2294,"" "")"),"CIF")</f>
        <v>CIF</v>
      </c>
      <c r="L2294" s="28" t="str">
        <f aca="false">IFERROR(__xludf.dummyfunction("""COMPUTED_VALUE"""),"Turkey")</f>
        <v>Turkey</v>
      </c>
      <c r="M2294" s="27" t="str">
        <f aca="false">IFERROR(__xludf.dummyfunction("""COMPUTED_VALUE"""),"(Diff)")</f>
        <v>(Diff)</v>
      </c>
      <c r="N2294" s="25"/>
      <c r="O2294" s="25"/>
      <c r="P2294" s="25"/>
      <c r="Q2294" s="29" t="s">
        <v>261</v>
      </c>
      <c r="R2294" s="8" t="str">
        <f aca="false">B2294&amp;" "&amp;C2294&amp;" "&amp;D2294&amp;" "&amp;E2294&amp;" "&amp;G2294&amp;" "&amp;H2294&amp;" "&amp;J2294&amp;" "&amp;N2294</f>
        <v>Differentials Cathode     CIF Turkey (Diff) </v>
      </c>
      <c r="S2294" s="25"/>
      <c r="T2294" s="8"/>
      <c r="U2294" s="8"/>
      <c r="V2294" s="25"/>
      <c r="W2294" s="25"/>
      <c r="X2294" s="25"/>
      <c r="Y2294" s="25"/>
      <c r="Z2294" s="25"/>
      <c r="AA2294" s="25"/>
      <c r="AB2294" s="25"/>
      <c r="AC2294" s="25"/>
      <c r="AD2294" s="25"/>
    </row>
    <row r="2295" customFormat="false" ht="15.75" hidden="false" customHeight="false" outlineLevel="0" collapsed="false">
      <c r="A2295" s="28" t="s">
        <v>2709</v>
      </c>
      <c r="B2295" s="27" t="s">
        <v>438</v>
      </c>
      <c r="C2295" s="27" t="s">
        <v>236</v>
      </c>
      <c r="D2295" s="25"/>
      <c r="E2295" s="25"/>
      <c r="F2295" s="25"/>
      <c r="G2295" s="25"/>
      <c r="H2295" s="25"/>
      <c r="I2295" s="25"/>
      <c r="J2295" s="27" t="s">
        <v>2688</v>
      </c>
      <c r="K2295" s="25" t="str">
        <f aca="false">IFERROR(__xludf.dummyfunction("SPLIT(J2295,"" "")"),"CIF")</f>
        <v>CIF</v>
      </c>
      <c r="L2295" s="28" t="str">
        <f aca="false">IFERROR(__xludf.dummyfunction("""COMPUTED_VALUE"""),"Turkey")</f>
        <v>Turkey</v>
      </c>
      <c r="M2295" s="27" t="str">
        <f aca="false">IFERROR(__xludf.dummyfunction("""COMPUTED_VALUE"""),"(Diff)")</f>
        <v>(Diff)</v>
      </c>
      <c r="N2295" s="25"/>
      <c r="O2295" s="25"/>
      <c r="P2295" s="25"/>
      <c r="Q2295" s="29" t="s">
        <v>256</v>
      </c>
      <c r="R2295" s="8" t="str">
        <f aca="false">B2295&amp;" "&amp;C2295&amp;" "&amp;D2295&amp;" "&amp;E2295&amp;" "&amp;G2295&amp;" "&amp;H2295&amp;" "&amp;J2295&amp;" "&amp;N2295</f>
        <v>Differentials Cathode     CIF Turkey (Diff) </v>
      </c>
      <c r="S2295" s="25"/>
      <c r="T2295" s="8"/>
      <c r="U2295" s="8"/>
      <c r="V2295" s="25"/>
      <c r="W2295" s="25"/>
      <c r="X2295" s="25"/>
      <c r="Y2295" s="25"/>
      <c r="Z2295" s="25"/>
      <c r="AA2295" s="25"/>
      <c r="AB2295" s="25"/>
      <c r="AC2295" s="25"/>
      <c r="AD2295" s="25"/>
    </row>
    <row r="2296" customFormat="false" ht="15.75" hidden="false" customHeight="false" outlineLevel="0" collapsed="false">
      <c r="A2296" s="28" t="s">
        <v>2710</v>
      </c>
      <c r="B2296" s="27" t="s">
        <v>438</v>
      </c>
      <c r="C2296" s="27" t="s">
        <v>236</v>
      </c>
      <c r="D2296" s="25"/>
      <c r="E2296" s="25"/>
      <c r="F2296" s="25"/>
      <c r="G2296" s="25"/>
      <c r="H2296" s="25"/>
      <c r="I2296" s="25"/>
      <c r="J2296" s="27" t="s">
        <v>2688</v>
      </c>
      <c r="K2296" s="25" t="str">
        <f aca="false">IFERROR(__xludf.dummyfunction("SPLIT(J2296,"" "")"),"CIF")</f>
        <v>CIF</v>
      </c>
      <c r="L2296" s="28" t="str">
        <f aca="false">IFERROR(__xludf.dummyfunction("""COMPUTED_VALUE"""),"Turkey")</f>
        <v>Turkey</v>
      </c>
      <c r="M2296" s="27" t="str">
        <f aca="false">IFERROR(__xludf.dummyfunction("""COMPUTED_VALUE"""),"(Diff)")</f>
        <v>(Diff)</v>
      </c>
      <c r="N2296" s="25"/>
      <c r="O2296" s="25"/>
      <c r="P2296" s="25"/>
      <c r="Q2296" s="29" t="s">
        <v>251</v>
      </c>
      <c r="R2296" s="8" t="str">
        <f aca="false">B2296&amp;" "&amp;C2296&amp;" "&amp;D2296&amp;" "&amp;E2296&amp;" "&amp;G2296&amp;" "&amp;H2296&amp;" "&amp;J2296&amp;" "&amp;N2296</f>
        <v>Differentials Cathode     CIF Turkey (Diff) </v>
      </c>
      <c r="S2296" s="25"/>
      <c r="T2296" s="8"/>
      <c r="U2296" s="8"/>
      <c r="V2296" s="25"/>
      <c r="W2296" s="25"/>
      <c r="X2296" s="25"/>
      <c r="Y2296" s="25"/>
      <c r="Z2296" s="25"/>
      <c r="AA2296" s="25"/>
      <c r="AB2296" s="25"/>
      <c r="AC2296" s="25"/>
      <c r="AD2296" s="25"/>
    </row>
    <row r="2297" customFormat="false" ht="15.75" hidden="false" customHeight="false" outlineLevel="0" collapsed="false">
      <c r="A2297" s="28" t="s">
        <v>2711</v>
      </c>
      <c r="B2297" s="27" t="s">
        <v>438</v>
      </c>
      <c r="C2297" s="27" t="s">
        <v>236</v>
      </c>
      <c r="D2297" s="25"/>
      <c r="E2297" s="25"/>
      <c r="F2297" s="25"/>
      <c r="G2297" s="25"/>
      <c r="H2297" s="25"/>
      <c r="I2297" s="25"/>
      <c r="J2297" s="27" t="s">
        <v>2688</v>
      </c>
      <c r="K2297" s="25" t="str">
        <f aca="false">IFERROR(__xludf.dummyfunction("SPLIT(J2297,"" "")"),"CIF")</f>
        <v>CIF</v>
      </c>
      <c r="L2297" s="28" t="str">
        <f aca="false">IFERROR(__xludf.dummyfunction("""COMPUTED_VALUE"""),"Turkey")</f>
        <v>Turkey</v>
      </c>
      <c r="M2297" s="27" t="str">
        <f aca="false">IFERROR(__xludf.dummyfunction("""COMPUTED_VALUE"""),"(Diff)")</f>
        <v>(Diff)</v>
      </c>
      <c r="N2297" s="25"/>
      <c r="O2297" s="25"/>
      <c r="P2297" s="25"/>
      <c r="Q2297" s="29" t="s">
        <v>247</v>
      </c>
      <c r="R2297" s="8" t="str">
        <f aca="false">B2297&amp;" "&amp;C2297&amp;" "&amp;D2297&amp;" "&amp;E2297&amp;" "&amp;G2297&amp;" "&amp;H2297&amp;" "&amp;J2297&amp;" "&amp;N2297</f>
        <v>Differentials Cathode     CIF Turkey (Diff) </v>
      </c>
      <c r="S2297" s="25"/>
      <c r="T2297" s="8"/>
      <c r="U2297" s="8"/>
      <c r="V2297" s="25"/>
      <c r="W2297" s="25"/>
      <c r="X2297" s="25"/>
      <c r="Y2297" s="25"/>
      <c r="Z2297" s="25"/>
      <c r="AA2297" s="25"/>
      <c r="AB2297" s="25"/>
      <c r="AC2297" s="25"/>
      <c r="AD2297" s="25"/>
    </row>
    <row r="2298" customFormat="false" ht="15.75" hidden="false" customHeight="false" outlineLevel="0" collapsed="false">
      <c r="A2298" s="28" t="s">
        <v>2712</v>
      </c>
      <c r="B2298" s="27" t="s">
        <v>438</v>
      </c>
      <c r="C2298" s="27" t="s">
        <v>236</v>
      </c>
      <c r="D2298" s="25"/>
      <c r="E2298" s="25"/>
      <c r="F2298" s="25"/>
      <c r="G2298" s="25"/>
      <c r="H2298" s="25"/>
      <c r="I2298" s="25"/>
      <c r="J2298" s="27" t="s">
        <v>2688</v>
      </c>
      <c r="K2298" s="25" t="str">
        <f aca="false">IFERROR(__xludf.dummyfunction("SPLIT(J2298,"" "")"),"CIF")</f>
        <v>CIF</v>
      </c>
      <c r="L2298" s="28" t="str">
        <f aca="false">IFERROR(__xludf.dummyfunction("""COMPUTED_VALUE"""),"Turkey")</f>
        <v>Turkey</v>
      </c>
      <c r="M2298" s="27" t="str">
        <f aca="false">IFERROR(__xludf.dummyfunction("""COMPUTED_VALUE"""),"(Diff)")</f>
        <v>(Diff)</v>
      </c>
      <c r="N2298" s="25"/>
      <c r="O2298" s="25"/>
      <c r="P2298" s="25"/>
      <c r="Q2298" s="29" t="s">
        <v>243</v>
      </c>
      <c r="R2298" s="8" t="str">
        <f aca="false">B2298&amp;" "&amp;C2298&amp;" "&amp;D2298&amp;" "&amp;E2298&amp;" "&amp;G2298&amp;" "&amp;H2298&amp;" "&amp;J2298&amp;" "&amp;N2298</f>
        <v>Differentials Cathode     CIF Turkey (Diff) </v>
      </c>
      <c r="S2298" s="25"/>
      <c r="T2298" s="8"/>
      <c r="U2298" s="8"/>
      <c r="V2298" s="25"/>
      <c r="W2298" s="25"/>
      <c r="X2298" s="25"/>
      <c r="Y2298" s="25"/>
      <c r="Z2298" s="25"/>
      <c r="AA2298" s="25"/>
      <c r="AB2298" s="25"/>
      <c r="AC2298" s="25"/>
      <c r="AD2298" s="25"/>
    </row>
    <row r="2299" customFormat="false" ht="15.75" hidden="false" customHeight="false" outlineLevel="0" collapsed="false">
      <c r="A2299" s="28" t="s">
        <v>2713</v>
      </c>
      <c r="B2299" s="27" t="s">
        <v>438</v>
      </c>
      <c r="C2299" s="27" t="s">
        <v>236</v>
      </c>
      <c r="D2299" s="25"/>
      <c r="E2299" s="25"/>
      <c r="F2299" s="25"/>
      <c r="G2299" s="25"/>
      <c r="H2299" s="25"/>
      <c r="I2299" s="25"/>
      <c r="J2299" s="27" t="s">
        <v>2688</v>
      </c>
      <c r="K2299" s="25" t="str">
        <f aca="false">IFERROR(__xludf.dummyfunction("SPLIT(J2299,"" "")"),"CIF")</f>
        <v>CIF</v>
      </c>
      <c r="L2299" s="28" t="str">
        <f aca="false">IFERROR(__xludf.dummyfunction("""COMPUTED_VALUE"""),"Turkey")</f>
        <v>Turkey</v>
      </c>
      <c r="M2299" s="27" t="str">
        <f aca="false">IFERROR(__xludf.dummyfunction("""COMPUTED_VALUE"""),"(Diff)")</f>
        <v>(Diff)</v>
      </c>
      <c r="N2299" s="25"/>
      <c r="O2299" s="25"/>
      <c r="P2299" s="25"/>
      <c r="Q2299" s="29" t="s">
        <v>239</v>
      </c>
      <c r="R2299" s="8" t="str">
        <f aca="false">B2299&amp;" "&amp;C2299&amp;" "&amp;D2299&amp;" "&amp;E2299&amp;" "&amp;G2299&amp;" "&amp;H2299&amp;" "&amp;J2299&amp;" "&amp;N2299</f>
        <v>Differentials Cathode     CIF Turkey (Diff) </v>
      </c>
      <c r="S2299" s="25"/>
      <c r="T2299" s="8"/>
      <c r="U2299" s="8"/>
      <c r="V2299" s="25"/>
      <c r="W2299" s="25"/>
      <c r="X2299" s="25"/>
      <c r="Y2299" s="25"/>
      <c r="Z2299" s="25"/>
      <c r="AA2299" s="25"/>
      <c r="AB2299" s="25"/>
      <c r="AC2299" s="25"/>
      <c r="AD2299" s="25"/>
    </row>
    <row r="2300" customFormat="false" ht="15.75" hidden="false" customHeight="false" outlineLevel="0" collapsed="false">
      <c r="A2300" s="28" t="s">
        <v>2714</v>
      </c>
      <c r="B2300" s="27" t="s">
        <v>438</v>
      </c>
      <c r="C2300" s="27" t="s">
        <v>289</v>
      </c>
      <c r="D2300" s="25"/>
      <c r="E2300" s="25"/>
      <c r="F2300" s="25"/>
      <c r="G2300" s="25"/>
      <c r="H2300" s="25"/>
      <c r="I2300" s="25"/>
      <c r="J2300" s="27" t="s">
        <v>2688</v>
      </c>
      <c r="K2300" s="25" t="str">
        <f aca="false">IFERROR(__xludf.dummyfunction("SPLIT(J2300,"" "")"),"CIF")</f>
        <v>CIF</v>
      </c>
      <c r="L2300" s="28" t="str">
        <f aca="false">IFERROR(__xludf.dummyfunction("""COMPUTED_VALUE"""),"Turkey")</f>
        <v>Turkey</v>
      </c>
      <c r="M2300" s="27" t="str">
        <f aca="false">IFERROR(__xludf.dummyfunction("""COMPUTED_VALUE"""),"(Diff)")</f>
        <v>(Diff)</v>
      </c>
      <c r="N2300" s="25"/>
      <c r="O2300" s="25"/>
      <c r="P2300" s="25"/>
      <c r="Q2300" s="29" t="s">
        <v>306</v>
      </c>
      <c r="R2300" s="8" t="str">
        <f aca="false">B2300&amp;" "&amp;C2300&amp;" "&amp;D2300&amp;" "&amp;E2300&amp;" "&amp;G2300&amp;" "&amp;H2300&amp;" "&amp;J2300&amp;" "&amp;N2300</f>
        <v>Differentials Electrolyte     CIF Turkey (Diff) </v>
      </c>
      <c r="S2300" s="25"/>
      <c r="T2300" s="8"/>
      <c r="U2300" s="8"/>
      <c r="V2300" s="25"/>
      <c r="W2300" s="25"/>
      <c r="X2300" s="25"/>
      <c r="Y2300" s="25"/>
      <c r="Z2300" s="25"/>
      <c r="AA2300" s="25"/>
      <c r="AB2300" s="25"/>
      <c r="AC2300" s="25"/>
      <c r="AD2300" s="25"/>
    </row>
    <row r="2301" customFormat="false" ht="15.75" hidden="false" customHeight="false" outlineLevel="0" collapsed="false">
      <c r="A2301" s="28" t="s">
        <v>2715</v>
      </c>
      <c r="B2301" s="27" t="s">
        <v>438</v>
      </c>
      <c r="C2301" s="27" t="s">
        <v>289</v>
      </c>
      <c r="D2301" s="25"/>
      <c r="E2301" s="25"/>
      <c r="F2301" s="25"/>
      <c r="G2301" s="25"/>
      <c r="H2301" s="25"/>
      <c r="I2301" s="25"/>
      <c r="J2301" s="27" t="s">
        <v>2688</v>
      </c>
      <c r="K2301" s="25" t="str">
        <f aca="false">IFERROR(__xludf.dummyfunction("SPLIT(J2301,"" "")"),"CIF")</f>
        <v>CIF</v>
      </c>
      <c r="L2301" s="28" t="str">
        <f aca="false">IFERROR(__xludf.dummyfunction("""COMPUTED_VALUE"""),"Turkey")</f>
        <v>Turkey</v>
      </c>
      <c r="M2301" s="27" t="str">
        <f aca="false">IFERROR(__xludf.dummyfunction("""COMPUTED_VALUE"""),"(Diff)")</f>
        <v>(Diff)</v>
      </c>
      <c r="N2301" s="25"/>
      <c r="O2301" s="25"/>
      <c r="P2301" s="25"/>
      <c r="Q2301" s="29" t="s">
        <v>304</v>
      </c>
      <c r="R2301" s="8" t="str">
        <f aca="false">B2301&amp;" "&amp;C2301&amp;" "&amp;D2301&amp;" "&amp;E2301&amp;" "&amp;G2301&amp;" "&amp;H2301&amp;" "&amp;J2301&amp;" "&amp;N2301</f>
        <v>Differentials Electrolyte     CIF Turkey (Diff) </v>
      </c>
      <c r="S2301" s="25"/>
      <c r="T2301" s="8"/>
      <c r="U2301" s="8"/>
      <c r="V2301" s="25"/>
      <c r="W2301" s="25"/>
      <c r="X2301" s="25"/>
      <c r="Y2301" s="25"/>
      <c r="Z2301" s="25"/>
      <c r="AA2301" s="25"/>
      <c r="AB2301" s="25"/>
      <c r="AC2301" s="25"/>
      <c r="AD2301" s="25"/>
    </row>
    <row r="2302" customFormat="false" ht="15.75" hidden="false" customHeight="false" outlineLevel="0" collapsed="false">
      <c r="A2302" s="28" t="s">
        <v>2716</v>
      </c>
      <c r="B2302" s="27" t="s">
        <v>438</v>
      </c>
      <c r="C2302" s="27" t="s">
        <v>289</v>
      </c>
      <c r="D2302" s="25"/>
      <c r="E2302" s="25"/>
      <c r="F2302" s="25"/>
      <c r="G2302" s="25"/>
      <c r="H2302" s="25"/>
      <c r="I2302" s="25"/>
      <c r="J2302" s="27" t="s">
        <v>2688</v>
      </c>
      <c r="K2302" s="25" t="str">
        <f aca="false">IFERROR(__xludf.dummyfunction("SPLIT(J2302,"" "")"),"CIF")</f>
        <v>CIF</v>
      </c>
      <c r="L2302" s="28" t="str">
        <f aca="false">IFERROR(__xludf.dummyfunction("""COMPUTED_VALUE"""),"Turkey")</f>
        <v>Turkey</v>
      </c>
      <c r="M2302" s="27" t="str">
        <f aca="false">IFERROR(__xludf.dummyfunction("""COMPUTED_VALUE"""),"(Diff)")</f>
        <v>(Diff)</v>
      </c>
      <c r="N2302" s="25"/>
      <c r="O2302" s="25"/>
      <c r="P2302" s="25"/>
      <c r="Q2302" s="29" t="s">
        <v>302</v>
      </c>
      <c r="R2302" s="8" t="str">
        <f aca="false">B2302&amp;" "&amp;C2302&amp;" "&amp;D2302&amp;" "&amp;E2302&amp;" "&amp;G2302&amp;" "&amp;H2302&amp;" "&amp;J2302&amp;" "&amp;N2302</f>
        <v>Differentials Electrolyte     CIF Turkey (Diff) </v>
      </c>
      <c r="S2302" s="25"/>
      <c r="T2302" s="8"/>
      <c r="U2302" s="8"/>
      <c r="V2302" s="25"/>
      <c r="W2302" s="25"/>
      <c r="X2302" s="25"/>
      <c r="Y2302" s="25"/>
      <c r="Z2302" s="25"/>
      <c r="AA2302" s="25"/>
      <c r="AB2302" s="25"/>
      <c r="AC2302" s="25"/>
      <c r="AD2302" s="25"/>
    </row>
    <row r="2303" customFormat="false" ht="15.75" hidden="false" customHeight="false" outlineLevel="0" collapsed="false">
      <c r="A2303" s="28" t="s">
        <v>2717</v>
      </c>
      <c r="B2303" s="27" t="s">
        <v>438</v>
      </c>
      <c r="C2303" s="27" t="s">
        <v>289</v>
      </c>
      <c r="D2303" s="25"/>
      <c r="E2303" s="25"/>
      <c r="F2303" s="25"/>
      <c r="G2303" s="25"/>
      <c r="H2303" s="25"/>
      <c r="I2303" s="25"/>
      <c r="J2303" s="27" t="s">
        <v>2688</v>
      </c>
      <c r="K2303" s="25" t="str">
        <f aca="false">IFERROR(__xludf.dummyfunction("SPLIT(J2303,"" "")"),"CIF")</f>
        <v>CIF</v>
      </c>
      <c r="L2303" s="28" t="str">
        <f aca="false">IFERROR(__xludf.dummyfunction("""COMPUTED_VALUE"""),"Turkey")</f>
        <v>Turkey</v>
      </c>
      <c r="M2303" s="27" t="str">
        <f aca="false">IFERROR(__xludf.dummyfunction("""COMPUTED_VALUE"""),"(Diff)")</f>
        <v>(Diff)</v>
      </c>
      <c r="N2303" s="25"/>
      <c r="O2303" s="25"/>
      <c r="P2303" s="25"/>
      <c r="Q2303" s="29" t="s">
        <v>300</v>
      </c>
      <c r="R2303" s="8" t="str">
        <f aca="false">B2303&amp;" "&amp;C2303&amp;" "&amp;D2303&amp;" "&amp;E2303&amp;" "&amp;G2303&amp;" "&amp;H2303&amp;" "&amp;J2303&amp;" "&amp;N2303</f>
        <v>Differentials Electrolyte     CIF Turkey (Diff) </v>
      </c>
      <c r="S2303" s="25"/>
      <c r="T2303" s="8"/>
      <c r="U2303" s="8"/>
      <c r="V2303" s="25"/>
      <c r="W2303" s="25"/>
      <c r="X2303" s="25"/>
      <c r="Y2303" s="25"/>
      <c r="Z2303" s="25"/>
      <c r="AA2303" s="25"/>
      <c r="AB2303" s="25"/>
      <c r="AC2303" s="25"/>
      <c r="AD2303" s="25"/>
    </row>
    <row r="2304" customFormat="false" ht="15.75" hidden="false" customHeight="false" outlineLevel="0" collapsed="false">
      <c r="A2304" s="28" t="s">
        <v>2718</v>
      </c>
      <c r="B2304" s="27" t="s">
        <v>438</v>
      </c>
      <c r="C2304" s="27" t="s">
        <v>289</v>
      </c>
      <c r="D2304" s="25"/>
      <c r="E2304" s="25"/>
      <c r="F2304" s="25"/>
      <c r="G2304" s="25"/>
      <c r="H2304" s="25"/>
      <c r="I2304" s="25"/>
      <c r="J2304" s="27" t="s">
        <v>2688</v>
      </c>
      <c r="K2304" s="25" t="str">
        <f aca="false">IFERROR(__xludf.dummyfunction("SPLIT(J2304,"" "")"),"CIF")</f>
        <v>CIF</v>
      </c>
      <c r="L2304" s="28" t="str">
        <f aca="false">IFERROR(__xludf.dummyfunction("""COMPUTED_VALUE"""),"Turkey")</f>
        <v>Turkey</v>
      </c>
      <c r="M2304" s="27" t="str">
        <f aca="false">IFERROR(__xludf.dummyfunction("""COMPUTED_VALUE"""),"(Diff)")</f>
        <v>(Diff)</v>
      </c>
      <c r="N2304" s="25"/>
      <c r="O2304" s="25"/>
      <c r="P2304" s="25"/>
      <c r="Q2304" s="29" t="s">
        <v>298</v>
      </c>
      <c r="R2304" s="8" t="str">
        <f aca="false">B2304&amp;" "&amp;C2304&amp;" "&amp;D2304&amp;" "&amp;E2304&amp;" "&amp;G2304&amp;" "&amp;H2304&amp;" "&amp;J2304&amp;" "&amp;N2304</f>
        <v>Differentials Electrolyte     CIF Turkey (Diff) </v>
      </c>
      <c r="S2304" s="25"/>
      <c r="T2304" s="8"/>
      <c r="U2304" s="8"/>
      <c r="V2304" s="25"/>
      <c r="W2304" s="25"/>
      <c r="X2304" s="25"/>
      <c r="Y2304" s="25"/>
      <c r="Z2304" s="25"/>
      <c r="AA2304" s="25"/>
      <c r="AB2304" s="25"/>
      <c r="AC2304" s="25"/>
      <c r="AD2304" s="25"/>
    </row>
    <row r="2305" customFormat="false" ht="15.75" hidden="false" customHeight="false" outlineLevel="0" collapsed="false">
      <c r="A2305" s="28" t="s">
        <v>2719</v>
      </c>
      <c r="B2305" s="27" t="s">
        <v>438</v>
      </c>
      <c r="C2305" s="27" t="s">
        <v>289</v>
      </c>
      <c r="D2305" s="25"/>
      <c r="E2305" s="25"/>
      <c r="F2305" s="25"/>
      <c r="G2305" s="25"/>
      <c r="H2305" s="25"/>
      <c r="I2305" s="25"/>
      <c r="J2305" s="27" t="s">
        <v>2688</v>
      </c>
      <c r="K2305" s="25" t="str">
        <f aca="false">IFERROR(__xludf.dummyfunction("SPLIT(J2305,"" "")"),"CIF")</f>
        <v>CIF</v>
      </c>
      <c r="L2305" s="28" t="str">
        <f aca="false">IFERROR(__xludf.dummyfunction("""COMPUTED_VALUE"""),"Turkey")</f>
        <v>Turkey</v>
      </c>
      <c r="M2305" s="27" t="str">
        <f aca="false">IFERROR(__xludf.dummyfunction("""COMPUTED_VALUE"""),"(Diff)")</f>
        <v>(Diff)</v>
      </c>
      <c r="N2305" s="25"/>
      <c r="O2305" s="25"/>
      <c r="P2305" s="25"/>
      <c r="Q2305" s="29" t="s">
        <v>296</v>
      </c>
      <c r="R2305" s="8" t="str">
        <f aca="false">B2305&amp;" "&amp;C2305&amp;" "&amp;D2305&amp;" "&amp;E2305&amp;" "&amp;G2305&amp;" "&amp;H2305&amp;" "&amp;J2305&amp;" "&amp;N2305</f>
        <v>Differentials Electrolyte     CIF Turkey (Diff) </v>
      </c>
      <c r="S2305" s="25"/>
      <c r="T2305" s="8"/>
      <c r="U2305" s="8"/>
      <c r="V2305" s="25"/>
      <c r="W2305" s="25"/>
      <c r="X2305" s="25"/>
      <c r="Y2305" s="25"/>
      <c r="Z2305" s="25"/>
      <c r="AA2305" s="25"/>
      <c r="AB2305" s="25"/>
      <c r="AC2305" s="25"/>
      <c r="AD2305" s="25"/>
    </row>
    <row r="2306" customFormat="false" ht="15.75" hidden="false" customHeight="false" outlineLevel="0" collapsed="false">
      <c r="A2306" s="28" t="s">
        <v>2720</v>
      </c>
      <c r="B2306" s="27" t="s">
        <v>438</v>
      </c>
      <c r="C2306" s="27" t="s">
        <v>289</v>
      </c>
      <c r="D2306" s="25"/>
      <c r="E2306" s="25"/>
      <c r="F2306" s="25"/>
      <c r="G2306" s="25"/>
      <c r="H2306" s="25"/>
      <c r="I2306" s="25"/>
      <c r="J2306" s="27" t="s">
        <v>2688</v>
      </c>
      <c r="K2306" s="25" t="str">
        <f aca="false">IFERROR(__xludf.dummyfunction("SPLIT(J2306,"" "")"),"CIF")</f>
        <v>CIF</v>
      </c>
      <c r="L2306" s="28" t="str">
        <f aca="false">IFERROR(__xludf.dummyfunction("""COMPUTED_VALUE"""),"Turkey")</f>
        <v>Turkey</v>
      </c>
      <c r="M2306" s="27" t="str">
        <f aca="false">IFERROR(__xludf.dummyfunction("""COMPUTED_VALUE"""),"(Diff)")</f>
        <v>(Diff)</v>
      </c>
      <c r="N2306" s="25"/>
      <c r="O2306" s="25"/>
      <c r="P2306" s="25"/>
      <c r="Q2306" s="29" t="s">
        <v>294</v>
      </c>
      <c r="R2306" s="8" t="str">
        <f aca="false">B2306&amp;" "&amp;C2306&amp;" "&amp;D2306&amp;" "&amp;E2306&amp;" "&amp;G2306&amp;" "&amp;H2306&amp;" "&amp;J2306&amp;" "&amp;N2306</f>
        <v>Differentials Electrolyte     CIF Turkey (Diff) </v>
      </c>
      <c r="S2306" s="25"/>
      <c r="T2306" s="8"/>
      <c r="U2306" s="8"/>
      <c r="V2306" s="25"/>
      <c r="W2306" s="25"/>
      <c r="X2306" s="25"/>
      <c r="Y2306" s="25"/>
      <c r="Z2306" s="25"/>
      <c r="AA2306" s="25"/>
      <c r="AB2306" s="25"/>
      <c r="AC2306" s="25"/>
      <c r="AD2306" s="25"/>
    </row>
    <row r="2307" customFormat="false" ht="15.75" hidden="false" customHeight="false" outlineLevel="0" collapsed="false">
      <c r="A2307" s="28" t="s">
        <v>2721</v>
      </c>
      <c r="B2307" s="27" t="s">
        <v>438</v>
      </c>
      <c r="C2307" s="27" t="s">
        <v>289</v>
      </c>
      <c r="D2307" s="25"/>
      <c r="E2307" s="25"/>
      <c r="F2307" s="25"/>
      <c r="G2307" s="25"/>
      <c r="H2307" s="25"/>
      <c r="I2307" s="25"/>
      <c r="J2307" s="27" t="s">
        <v>2688</v>
      </c>
      <c r="K2307" s="25" t="str">
        <f aca="false">IFERROR(__xludf.dummyfunction("SPLIT(J2307,"" "")"),"CIF")</f>
        <v>CIF</v>
      </c>
      <c r="L2307" s="28" t="str">
        <f aca="false">IFERROR(__xludf.dummyfunction("""COMPUTED_VALUE"""),"Turkey")</f>
        <v>Turkey</v>
      </c>
      <c r="M2307" s="27" t="str">
        <f aca="false">IFERROR(__xludf.dummyfunction("""COMPUTED_VALUE"""),"(Diff)")</f>
        <v>(Diff)</v>
      </c>
      <c r="N2307" s="25"/>
      <c r="O2307" s="25"/>
      <c r="P2307" s="25"/>
      <c r="Q2307" s="29" t="s">
        <v>291</v>
      </c>
      <c r="R2307" s="8" t="str">
        <f aca="false">B2307&amp;" "&amp;C2307&amp;" "&amp;D2307&amp;" "&amp;E2307&amp;" "&amp;G2307&amp;" "&amp;H2307&amp;" "&amp;J2307&amp;" "&amp;N2307</f>
        <v>Differentials Electrolyte     CIF Turkey (Diff) </v>
      </c>
      <c r="S2307" s="25"/>
      <c r="T2307" s="8"/>
      <c r="U2307" s="8"/>
      <c r="V2307" s="25"/>
      <c r="W2307" s="25"/>
      <c r="X2307" s="25"/>
      <c r="Y2307" s="25"/>
      <c r="Z2307" s="25"/>
      <c r="AA2307" s="25"/>
      <c r="AB2307" s="25"/>
      <c r="AC2307" s="25"/>
      <c r="AD2307" s="25"/>
    </row>
    <row r="2308" customFormat="false" ht="15.75" hidden="false" customHeight="false" outlineLevel="0" collapsed="false">
      <c r="A2308" s="28" t="s">
        <v>2722</v>
      </c>
      <c r="B2308" s="27" t="s">
        <v>438</v>
      </c>
      <c r="C2308" s="27" t="s">
        <v>308</v>
      </c>
      <c r="D2308" s="25"/>
      <c r="E2308" s="25"/>
      <c r="F2308" s="25"/>
      <c r="G2308" s="25"/>
      <c r="H2308" s="25"/>
      <c r="I2308" s="25"/>
      <c r="J2308" s="27" t="s">
        <v>2688</v>
      </c>
      <c r="K2308" s="25" t="str">
        <f aca="false">IFERROR(__xludf.dummyfunction("SPLIT(J2308,"" "")"),"CIF")</f>
        <v>CIF</v>
      </c>
      <c r="L2308" s="28" t="str">
        <f aca="false">IFERROR(__xludf.dummyfunction("""COMPUTED_VALUE"""),"Turkey")</f>
        <v>Turkey</v>
      </c>
      <c r="M2308" s="27" t="str">
        <f aca="false">IFERROR(__xludf.dummyfunction("""COMPUTED_VALUE"""),"(Diff)")</f>
        <v>(Diff)</v>
      </c>
      <c r="N2308" s="25"/>
      <c r="O2308" s="25"/>
      <c r="P2308" s="25"/>
      <c r="Q2308" s="29" t="s">
        <v>358</v>
      </c>
      <c r="R2308" s="8" t="str">
        <f aca="false">B2308&amp;" "&amp;C2308&amp;" "&amp;D2308&amp;" "&amp;E2308&amp;" "&amp;G2308&amp;" "&amp;H2308&amp;" "&amp;J2308&amp;" "&amp;N2308</f>
        <v>Differentials Graphite     CIF Turkey (Diff) </v>
      </c>
      <c r="S2308" s="25"/>
      <c r="T2308" s="8"/>
      <c r="U2308" s="8"/>
      <c r="V2308" s="25"/>
      <c r="W2308" s="25"/>
      <c r="X2308" s="25"/>
      <c r="Y2308" s="25"/>
      <c r="Z2308" s="25"/>
      <c r="AA2308" s="25"/>
      <c r="AB2308" s="25"/>
      <c r="AC2308" s="25"/>
      <c r="AD2308" s="25"/>
    </row>
    <row r="2309" customFormat="false" ht="15.75" hidden="false" customHeight="false" outlineLevel="0" collapsed="false">
      <c r="A2309" s="28" t="s">
        <v>2723</v>
      </c>
      <c r="B2309" s="27" t="s">
        <v>438</v>
      </c>
      <c r="C2309" s="27" t="s">
        <v>308</v>
      </c>
      <c r="D2309" s="25"/>
      <c r="E2309" s="25"/>
      <c r="F2309" s="25"/>
      <c r="G2309" s="25"/>
      <c r="H2309" s="25"/>
      <c r="I2309" s="25"/>
      <c r="J2309" s="27" t="s">
        <v>2688</v>
      </c>
      <c r="K2309" s="25" t="str">
        <f aca="false">IFERROR(__xludf.dummyfunction("SPLIT(J2309,"" "")"),"CIF")</f>
        <v>CIF</v>
      </c>
      <c r="L2309" s="28" t="str">
        <f aca="false">IFERROR(__xludf.dummyfunction("""COMPUTED_VALUE"""),"Turkey")</f>
        <v>Turkey</v>
      </c>
      <c r="M2309" s="27" t="str">
        <f aca="false">IFERROR(__xludf.dummyfunction("""COMPUTED_VALUE"""),"(Diff)")</f>
        <v>(Diff)</v>
      </c>
      <c r="N2309" s="25"/>
      <c r="O2309" s="25"/>
      <c r="P2309" s="25"/>
      <c r="Q2309" s="29" t="s">
        <v>356</v>
      </c>
      <c r="R2309" s="8" t="str">
        <f aca="false">B2309&amp;" "&amp;C2309&amp;" "&amp;D2309&amp;" "&amp;E2309&amp;" "&amp;G2309&amp;" "&amp;H2309&amp;" "&amp;J2309&amp;" "&amp;N2309</f>
        <v>Differentials Graphite     CIF Turkey (Diff) </v>
      </c>
      <c r="S2309" s="25"/>
      <c r="T2309" s="8"/>
      <c r="U2309" s="8"/>
      <c r="V2309" s="25"/>
      <c r="W2309" s="25"/>
      <c r="X2309" s="25"/>
      <c r="Y2309" s="25"/>
      <c r="Z2309" s="25"/>
      <c r="AA2309" s="25"/>
      <c r="AB2309" s="25"/>
      <c r="AC2309" s="25"/>
      <c r="AD2309" s="25"/>
    </row>
    <row r="2310" customFormat="false" ht="15.75" hidden="false" customHeight="false" outlineLevel="0" collapsed="false">
      <c r="A2310" s="28" t="s">
        <v>2724</v>
      </c>
      <c r="B2310" s="27" t="s">
        <v>438</v>
      </c>
      <c r="C2310" s="27" t="s">
        <v>308</v>
      </c>
      <c r="D2310" s="25"/>
      <c r="E2310" s="25"/>
      <c r="F2310" s="25"/>
      <c r="G2310" s="25"/>
      <c r="H2310" s="25"/>
      <c r="I2310" s="25"/>
      <c r="J2310" s="27" t="s">
        <v>2688</v>
      </c>
      <c r="K2310" s="25" t="str">
        <f aca="false">IFERROR(__xludf.dummyfunction("SPLIT(J2310,"" "")"),"CIF")</f>
        <v>CIF</v>
      </c>
      <c r="L2310" s="28" t="str">
        <f aca="false">IFERROR(__xludf.dummyfunction("""COMPUTED_VALUE"""),"Turkey")</f>
        <v>Turkey</v>
      </c>
      <c r="M2310" s="27" t="str">
        <f aca="false">IFERROR(__xludf.dummyfunction("""COMPUTED_VALUE"""),"(Diff)")</f>
        <v>(Diff)</v>
      </c>
      <c r="N2310" s="25"/>
      <c r="O2310" s="25"/>
      <c r="P2310" s="25"/>
      <c r="Q2310" s="29" t="s">
        <v>354</v>
      </c>
      <c r="R2310" s="8" t="str">
        <f aca="false">B2310&amp;" "&amp;C2310&amp;" "&amp;D2310&amp;" "&amp;E2310&amp;" "&amp;G2310&amp;" "&amp;H2310&amp;" "&amp;J2310&amp;" "&amp;N2310</f>
        <v>Differentials Graphite     CIF Turkey (Diff) </v>
      </c>
      <c r="S2310" s="25"/>
      <c r="T2310" s="8"/>
      <c r="U2310" s="8"/>
      <c r="V2310" s="25"/>
      <c r="W2310" s="25"/>
      <c r="X2310" s="25"/>
      <c r="Y2310" s="25"/>
      <c r="Z2310" s="25"/>
      <c r="AA2310" s="25"/>
      <c r="AB2310" s="25"/>
      <c r="AC2310" s="25"/>
      <c r="AD2310" s="25"/>
    </row>
    <row r="2311" customFormat="false" ht="15.75" hidden="false" customHeight="false" outlineLevel="0" collapsed="false">
      <c r="A2311" s="28" t="s">
        <v>2725</v>
      </c>
      <c r="B2311" s="27" t="s">
        <v>438</v>
      </c>
      <c r="C2311" s="27" t="s">
        <v>308</v>
      </c>
      <c r="D2311" s="25"/>
      <c r="E2311" s="25"/>
      <c r="F2311" s="25"/>
      <c r="G2311" s="25"/>
      <c r="H2311" s="25"/>
      <c r="I2311" s="25"/>
      <c r="J2311" s="27" t="s">
        <v>2688</v>
      </c>
      <c r="K2311" s="25" t="str">
        <f aca="false">IFERROR(__xludf.dummyfunction("SPLIT(J2311,"" "")"),"CIF")</f>
        <v>CIF</v>
      </c>
      <c r="L2311" s="28" t="str">
        <f aca="false">IFERROR(__xludf.dummyfunction("""COMPUTED_VALUE"""),"Turkey")</f>
        <v>Turkey</v>
      </c>
      <c r="M2311" s="27" t="str">
        <f aca="false">IFERROR(__xludf.dummyfunction("""COMPUTED_VALUE"""),"(Diff)")</f>
        <v>(Diff)</v>
      </c>
      <c r="N2311" s="25"/>
      <c r="O2311" s="25"/>
      <c r="P2311" s="25"/>
      <c r="Q2311" s="29" t="s">
        <v>352</v>
      </c>
      <c r="R2311" s="8" t="str">
        <f aca="false">B2311&amp;" "&amp;C2311&amp;" "&amp;D2311&amp;" "&amp;E2311&amp;" "&amp;G2311&amp;" "&amp;H2311&amp;" "&amp;J2311&amp;" "&amp;N2311</f>
        <v>Differentials Graphite     CIF Turkey (Diff) </v>
      </c>
      <c r="S2311" s="25"/>
      <c r="T2311" s="8"/>
      <c r="U2311" s="8"/>
      <c r="V2311" s="25"/>
      <c r="W2311" s="25"/>
      <c r="X2311" s="25"/>
      <c r="Y2311" s="25"/>
      <c r="Z2311" s="25"/>
      <c r="AA2311" s="25"/>
      <c r="AB2311" s="25"/>
      <c r="AC2311" s="25"/>
      <c r="AD2311" s="25"/>
    </row>
    <row r="2312" customFormat="false" ht="15.75" hidden="false" customHeight="false" outlineLevel="0" collapsed="false">
      <c r="A2312" s="28" t="s">
        <v>2726</v>
      </c>
      <c r="B2312" s="27" t="s">
        <v>438</v>
      </c>
      <c r="C2312" s="27" t="s">
        <v>308</v>
      </c>
      <c r="D2312" s="25"/>
      <c r="E2312" s="25"/>
      <c r="F2312" s="25"/>
      <c r="G2312" s="25"/>
      <c r="H2312" s="25"/>
      <c r="I2312" s="25"/>
      <c r="J2312" s="27" t="s">
        <v>2688</v>
      </c>
      <c r="K2312" s="25" t="str">
        <f aca="false">IFERROR(__xludf.dummyfunction("SPLIT(J2312,"" "")"),"CIF")</f>
        <v>CIF</v>
      </c>
      <c r="L2312" s="28" t="str">
        <f aca="false">IFERROR(__xludf.dummyfunction("""COMPUTED_VALUE"""),"Turkey")</f>
        <v>Turkey</v>
      </c>
      <c r="M2312" s="27" t="str">
        <f aca="false">IFERROR(__xludf.dummyfunction("""COMPUTED_VALUE"""),"(Diff)")</f>
        <v>(Diff)</v>
      </c>
      <c r="N2312" s="25"/>
      <c r="O2312" s="25"/>
      <c r="P2312" s="25"/>
      <c r="Q2312" s="29" t="s">
        <v>350</v>
      </c>
      <c r="R2312" s="8" t="str">
        <f aca="false">B2312&amp;" "&amp;C2312&amp;" "&amp;D2312&amp;" "&amp;E2312&amp;" "&amp;G2312&amp;" "&amp;H2312&amp;" "&amp;J2312&amp;" "&amp;N2312</f>
        <v>Differentials Graphite     CIF Turkey (Diff) </v>
      </c>
      <c r="S2312" s="25"/>
      <c r="T2312" s="8"/>
      <c r="U2312" s="8"/>
      <c r="V2312" s="25"/>
      <c r="W2312" s="25"/>
      <c r="X2312" s="25"/>
      <c r="Y2312" s="25"/>
      <c r="Z2312" s="25"/>
      <c r="AA2312" s="25"/>
      <c r="AB2312" s="25"/>
      <c r="AC2312" s="25"/>
      <c r="AD2312" s="25"/>
    </row>
    <row r="2313" customFormat="false" ht="15.75" hidden="false" customHeight="false" outlineLevel="0" collapsed="false">
      <c r="A2313" s="28" t="s">
        <v>2727</v>
      </c>
      <c r="B2313" s="27" t="s">
        <v>438</v>
      </c>
      <c r="C2313" s="27" t="s">
        <v>308</v>
      </c>
      <c r="D2313" s="25"/>
      <c r="E2313" s="25"/>
      <c r="F2313" s="25"/>
      <c r="G2313" s="25"/>
      <c r="H2313" s="25"/>
      <c r="I2313" s="25"/>
      <c r="J2313" s="27" t="s">
        <v>2688</v>
      </c>
      <c r="K2313" s="25" t="str">
        <f aca="false">IFERROR(__xludf.dummyfunction("SPLIT(J2313,"" "")"),"CIF")</f>
        <v>CIF</v>
      </c>
      <c r="L2313" s="28" t="str">
        <f aca="false">IFERROR(__xludf.dummyfunction("""COMPUTED_VALUE"""),"Turkey")</f>
        <v>Turkey</v>
      </c>
      <c r="M2313" s="27" t="str">
        <f aca="false">IFERROR(__xludf.dummyfunction("""COMPUTED_VALUE"""),"(Diff)")</f>
        <v>(Diff)</v>
      </c>
      <c r="N2313" s="25"/>
      <c r="O2313" s="25"/>
      <c r="P2313" s="25"/>
      <c r="Q2313" s="29" t="s">
        <v>347</v>
      </c>
      <c r="R2313" s="8" t="str">
        <f aca="false">B2313&amp;" "&amp;C2313&amp;" "&amp;D2313&amp;" "&amp;E2313&amp;" "&amp;G2313&amp;" "&amp;H2313&amp;" "&amp;J2313&amp;" "&amp;N2313</f>
        <v>Differentials Graphite     CIF Turkey (Diff) </v>
      </c>
      <c r="S2313" s="25"/>
      <c r="T2313" s="8"/>
      <c r="U2313" s="8"/>
      <c r="V2313" s="25"/>
      <c r="W2313" s="25"/>
      <c r="X2313" s="25"/>
      <c r="Y2313" s="25"/>
      <c r="Z2313" s="25"/>
      <c r="AA2313" s="25"/>
      <c r="AB2313" s="25"/>
      <c r="AC2313" s="25"/>
      <c r="AD2313" s="25"/>
    </row>
    <row r="2314" customFormat="false" ht="15.75" hidden="false" customHeight="false" outlineLevel="0" collapsed="false">
      <c r="A2314" s="28" t="s">
        <v>2728</v>
      </c>
      <c r="B2314" s="27" t="s">
        <v>438</v>
      </c>
      <c r="C2314" s="27" t="s">
        <v>308</v>
      </c>
      <c r="D2314" s="25"/>
      <c r="E2314" s="25"/>
      <c r="F2314" s="25"/>
      <c r="G2314" s="25"/>
      <c r="H2314" s="25"/>
      <c r="I2314" s="25"/>
      <c r="J2314" s="27" t="s">
        <v>2688</v>
      </c>
      <c r="K2314" s="25" t="str">
        <f aca="false">IFERROR(__xludf.dummyfunction("SPLIT(J2314,"" "")"),"CIF")</f>
        <v>CIF</v>
      </c>
      <c r="L2314" s="28" t="str">
        <f aca="false">IFERROR(__xludf.dummyfunction("""COMPUTED_VALUE"""),"Turkey")</f>
        <v>Turkey</v>
      </c>
      <c r="M2314" s="27" t="str">
        <f aca="false">IFERROR(__xludf.dummyfunction("""COMPUTED_VALUE"""),"(Diff)")</f>
        <v>(Diff)</v>
      </c>
      <c r="N2314" s="25"/>
      <c r="O2314" s="25"/>
      <c r="P2314" s="25"/>
      <c r="Q2314" s="29" t="s">
        <v>344</v>
      </c>
      <c r="R2314" s="8" t="str">
        <f aca="false">B2314&amp;" "&amp;C2314&amp;" "&amp;D2314&amp;" "&amp;E2314&amp;" "&amp;G2314&amp;" "&amp;H2314&amp;" "&amp;J2314&amp;" "&amp;N2314</f>
        <v>Differentials Graphite     CIF Turkey (Diff) </v>
      </c>
      <c r="S2314" s="25"/>
      <c r="T2314" s="8"/>
      <c r="U2314" s="8"/>
      <c r="V2314" s="25"/>
      <c r="W2314" s="25"/>
      <c r="X2314" s="25"/>
      <c r="Y2314" s="25"/>
      <c r="Z2314" s="25"/>
      <c r="AA2314" s="25"/>
      <c r="AB2314" s="25"/>
      <c r="AC2314" s="25"/>
      <c r="AD2314" s="25"/>
    </row>
    <row r="2315" customFormat="false" ht="15.75" hidden="false" customHeight="false" outlineLevel="0" collapsed="false">
      <c r="A2315" s="28" t="s">
        <v>2729</v>
      </c>
      <c r="B2315" s="27" t="s">
        <v>438</v>
      </c>
      <c r="C2315" s="27" t="s">
        <v>308</v>
      </c>
      <c r="D2315" s="25"/>
      <c r="E2315" s="25"/>
      <c r="F2315" s="25"/>
      <c r="G2315" s="25"/>
      <c r="H2315" s="25"/>
      <c r="I2315" s="25"/>
      <c r="J2315" s="27" t="s">
        <v>2688</v>
      </c>
      <c r="K2315" s="25" t="str">
        <f aca="false">IFERROR(__xludf.dummyfunction("SPLIT(J2315,"" "")"),"CIF")</f>
        <v>CIF</v>
      </c>
      <c r="L2315" s="28" t="str">
        <f aca="false">IFERROR(__xludf.dummyfunction("""COMPUTED_VALUE"""),"Turkey")</f>
        <v>Turkey</v>
      </c>
      <c r="M2315" s="27" t="str">
        <f aca="false">IFERROR(__xludf.dummyfunction("""COMPUTED_VALUE"""),"(Diff)")</f>
        <v>(Diff)</v>
      </c>
      <c r="N2315" s="25"/>
      <c r="O2315" s="25"/>
      <c r="P2315" s="25"/>
      <c r="Q2315" s="29" t="s">
        <v>340</v>
      </c>
      <c r="R2315" s="8" t="str">
        <f aca="false">B2315&amp;" "&amp;C2315&amp;" "&amp;D2315&amp;" "&amp;E2315&amp;" "&amp;G2315&amp;" "&amp;H2315&amp;" "&amp;J2315&amp;" "&amp;N2315</f>
        <v>Differentials Graphite     CIF Turkey (Diff) </v>
      </c>
      <c r="S2315" s="25"/>
      <c r="T2315" s="8"/>
      <c r="U2315" s="8"/>
      <c r="V2315" s="25"/>
      <c r="W2315" s="25"/>
      <c r="X2315" s="25"/>
      <c r="Y2315" s="25"/>
      <c r="Z2315" s="25"/>
      <c r="AA2315" s="25"/>
      <c r="AB2315" s="25"/>
      <c r="AC2315" s="25"/>
      <c r="AD2315" s="25"/>
    </row>
    <row r="2316" customFormat="false" ht="15.75" hidden="false" customHeight="false" outlineLevel="0" collapsed="false">
      <c r="A2316" s="28" t="s">
        <v>2730</v>
      </c>
      <c r="B2316" s="27" t="s">
        <v>438</v>
      </c>
      <c r="C2316" s="27" t="s">
        <v>308</v>
      </c>
      <c r="D2316" s="25"/>
      <c r="E2316" s="25"/>
      <c r="F2316" s="25"/>
      <c r="G2316" s="25"/>
      <c r="H2316" s="25"/>
      <c r="I2316" s="25"/>
      <c r="J2316" s="27" t="s">
        <v>2688</v>
      </c>
      <c r="K2316" s="25" t="str">
        <f aca="false">IFERROR(__xludf.dummyfunction("SPLIT(J2316,"" "")"),"CIF")</f>
        <v>CIF</v>
      </c>
      <c r="L2316" s="28" t="str">
        <f aca="false">IFERROR(__xludf.dummyfunction("""COMPUTED_VALUE"""),"Turkey")</f>
        <v>Turkey</v>
      </c>
      <c r="M2316" s="27" t="str">
        <f aca="false">IFERROR(__xludf.dummyfunction("""COMPUTED_VALUE"""),"(Diff)")</f>
        <v>(Diff)</v>
      </c>
      <c r="N2316" s="25"/>
      <c r="O2316" s="25"/>
      <c r="P2316" s="25"/>
      <c r="Q2316" s="29" t="s">
        <v>338</v>
      </c>
      <c r="R2316" s="8" t="str">
        <f aca="false">B2316&amp;" "&amp;C2316&amp;" "&amp;D2316&amp;" "&amp;E2316&amp;" "&amp;G2316&amp;" "&amp;H2316&amp;" "&amp;J2316&amp;" "&amp;N2316</f>
        <v>Differentials Graphite     CIF Turkey (Diff) </v>
      </c>
      <c r="S2316" s="25"/>
      <c r="T2316" s="8"/>
      <c r="U2316" s="8"/>
      <c r="V2316" s="25"/>
      <c r="W2316" s="25"/>
      <c r="X2316" s="25"/>
      <c r="Y2316" s="25"/>
      <c r="Z2316" s="25"/>
      <c r="AA2316" s="25"/>
      <c r="AB2316" s="25"/>
      <c r="AC2316" s="25"/>
      <c r="AD2316" s="25"/>
    </row>
    <row r="2317" customFormat="false" ht="15.75" hidden="false" customHeight="false" outlineLevel="0" collapsed="false">
      <c r="A2317" s="28" t="s">
        <v>2731</v>
      </c>
      <c r="B2317" s="27" t="s">
        <v>438</v>
      </c>
      <c r="C2317" s="27" t="s">
        <v>308</v>
      </c>
      <c r="D2317" s="25"/>
      <c r="E2317" s="25"/>
      <c r="F2317" s="25"/>
      <c r="G2317" s="25"/>
      <c r="H2317" s="25"/>
      <c r="I2317" s="25"/>
      <c r="J2317" s="27" t="s">
        <v>2688</v>
      </c>
      <c r="K2317" s="25" t="str">
        <f aca="false">IFERROR(__xludf.dummyfunction("SPLIT(J2317,"" "")"),"CIF")</f>
        <v>CIF</v>
      </c>
      <c r="L2317" s="28" t="str">
        <f aca="false">IFERROR(__xludf.dummyfunction("""COMPUTED_VALUE"""),"Turkey")</f>
        <v>Turkey</v>
      </c>
      <c r="M2317" s="27" t="str">
        <f aca="false">IFERROR(__xludf.dummyfunction("""COMPUTED_VALUE"""),"(Diff)")</f>
        <v>(Diff)</v>
      </c>
      <c r="N2317" s="25"/>
      <c r="O2317" s="25"/>
      <c r="P2317" s="25"/>
      <c r="Q2317" s="29" t="s">
        <v>335</v>
      </c>
      <c r="R2317" s="8" t="str">
        <f aca="false">B2317&amp;" "&amp;C2317&amp;" "&amp;D2317&amp;" "&amp;E2317&amp;" "&amp;G2317&amp;" "&amp;H2317&amp;" "&amp;J2317&amp;" "&amp;N2317</f>
        <v>Differentials Graphite     CIF Turkey (Diff) </v>
      </c>
      <c r="S2317" s="25"/>
      <c r="T2317" s="8"/>
      <c r="U2317" s="8"/>
      <c r="V2317" s="25"/>
      <c r="W2317" s="25"/>
      <c r="X2317" s="25"/>
      <c r="Y2317" s="25"/>
      <c r="Z2317" s="25"/>
      <c r="AA2317" s="25"/>
      <c r="AB2317" s="25"/>
      <c r="AC2317" s="25"/>
      <c r="AD2317" s="25"/>
    </row>
    <row r="2318" customFormat="false" ht="15.75" hidden="false" customHeight="false" outlineLevel="0" collapsed="false">
      <c r="A2318" s="28" t="s">
        <v>2732</v>
      </c>
      <c r="B2318" s="27" t="s">
        <v>438</v>
      </c>
      <c r="C2318" s="27" t="s">
        <v>308</v>
      </c>
      <c r="D2318" s="25"/>
      <c r="E2318" s="25"/>
      <c r="F2318" s="25"/>
      <c r="G2318" s="25"/>
      <c r="H2318" s="25"/>
      <c r="I2318" s="25"/>
      <c r="J2318" s="27" t="s">
        <v>2688</v>
      </c>
      <c r="K2318" s="25" t="str">
        <f aca="false">IFERROR(__xludf.dummyfunction("SPLIT(J2318,"" "")"),"CIF")</f>
        <v>CIF</v>
      </c>
      <c r="L2318" s="28" t="str">
        <f aca="false">IFERROR(__xludf.dummyfunction("""COMPUTED_VALUE"""),"Turkey")</f>
        <v>Turkey</v>
      </c>
      <c r="M2318" s="27" t="str">
        <f aca="false">IFERROR(__xludf.dummyfunction("""COMPUTED_VALUE"""),"(Diff)")</f>
        <v>(Diff)</v>
      </c>
      <c r="N2318" s="25"/>
      <c r="O2318" s="25"/>
      <c r="P2318" s="25"/>
      <c r="Q2318" s="29" t="s">
        <v>332</v>
      </c>
      <c r="R2318" s="8" t="str">
        <f aca="false">B2318&amp;" "&amp;C2318&amp;" "&amp;D2318&amp;" "&amp;E2318&amp;" "&amp;G2318&amp;" "&amp;H2318&amp;" "&amp;J2318&amp;" "&amp;N2318</f>
        <v>Differentials Graphite     CIF Turkey (Diff) </v>
      </c>
      <c r="S2318" s="25"/>
      <c r="T2318" s="8"/>
      <c r="U2318" s="8"/>
      <c r="V2318" s="25"/>
      <c r="W2318" s="25"/>
      <c r="X2318" s="25"/>
      <c r="Y2318" s="25"/>
      <c r="Z2318" s="25"/>
      <c r="AA2318" s="25"/>
      <c r="AB2318" s="25"/>
      <c r="AC2318" s="25"/>
      <c r="AD2318" s="25"/>
    </row>
    <row r="2319" customFormat="false" ht="15.75" hidden="false" customHeight="false" outlineLevel="0" collapsed="false">
      <c r="A2319" s="28" t="s">
        <v>2733</v>
      </c>
      <c r="B2319" s="27" t="s">
        <v>438</v>
      </c>
      <c r="C2319" s="27" t="s">
        <v>308</v>
      </c>
      <c r="D2319" s="25"/>
      <c r="E2319" s="25"/>
      <c r="F2319" s="25"/>
      <c r="G2319" s="25"/>
      <c r="H2319" s="25"/>
      <c r="I2319" s="25"/>
      <c r="J2319" s="27" t="s">
        <v>2688</v>
      </c>
      <c r="K2319" s="25" t="str">
        <f aca="false">IFERROR(__xludf.dummyfunction("SPLIT(J2319,"" "")"),"CIF")</f>
        <v>CIF</v>
      </c>
      <c r="L2319" s="28" t="str">
        <f aca="false">IFERROR(__xludf.dummyfunction("""COMPUTED_VALUE"""),"Turkey")</f>
        <v>Turkey</v>
      </c>
      <c r="M2319" s="27" t="str">
        <f aca="false">IFERROR(__xludf.dummyfunction("""COMPUTED_VALUE"""),"(Diff)")</f>
        <v>(Diff)</v>
      </c>
      <c r="N2319" s="25"/>
      <c r="O2319" s="25"/>
      <c r="P2319" s="25"/>
      <c r="Q2319" s="29" t="s">
        <v>329</v>
      </c>
      <c r="R2319" s="8" t="str">
        <f aca="false">B2319&amp;" "&amp;C2319&amp;" "&amp;D2319&amp;" "&amp;E2319&amp;" "&amp;G2319&amp;" "&amp;H2319&amp;" "&amp;J2319&amp;" "&amp;N2319</f>
        <v>Differentials Graphite     CIF Turkey (Diff) </v>
      </c>
      <c r="S2319" s="25"/>
      <c r="T2319" s="8"/>
      <c r="U2319" s="8"/>
      <c r="V2319" s="25"/>
      <c r="W2319" s="25"/>
      <c r="X2319" s="25"/>
      <c r="Y2319" s="25"/>
      <c r="Z2319" s="25"/>
      <c r="AA2319" s="25"/>
      <c r="AB2319" s="25"/>
      <c r="AC2319" s="25"/>
      <c r="AD2319" s="25"/>
    </row>
    <row r="2320" customFormat="false" ht="15.75" hidden="false" customHeight="false" outlineLevel="0" collapsed="false">
      <c r="A2320" s="28" t="s">
        <v>2734</v>
      </c>
      <c r="B2320" s="27" t="s">
        <v>438</v>
      </c>
      <c r="C2320" s="27" t="s">
        <v>308</v>
      </c>
      <c r="D2320" s="25"/>
      <c r="E2320" s="25"/>
      <c r="F2320" s="25"/>
      <c r="G2320" s="25"/>
      <c r="H2320" s="25"/>
      <c r="I2320" s="25"/>
      <c r="J2320" s="27" t="s">
        <v>2688</v>
      </c>
      <c r="K2320" s="25" t="str">
        <f aca="false">IFERROR(__xludf.dummyfunction("SPLIT(J2320,"" "")"),"CIF")</f>
        <v>CIF</v>
      </c>
      <c r="L2320" s="28" t="str">
        <f aca="false">IFERROR(__xludf.dummyfunction("""COMPUTED_VALUE"""),"Turkey")</f>
        <v>Turkey</v>
      </c>
      <c r="M2320" s="27" t="str">
        <f aca="false">IFERROR(__xludf.dummyfunction("""COMPUTED_VALUE"""),"(Diff)")</f>
        <v>(Diff)</v>
      </c>
      <c r="N2320" s="25"/>
      <c r="O2320" s="25"/>
      <c r="P2320" s="25"/>
      <c r="Q2320" s="29" t="s">
        <v>326</v>
      </c>
      <c r="R2320" s="8" t="str">
        <f aca="false">B2320&amp;" "&amp;C2320&amp;" "&amp;D2320&amp;" "&amp;E2320&amp;" "&amp;G2320&amp;" "&amp;H2320&amp;" "&amp;J2320&amp;" "&amp;N2320</f>
        <v>Differentials Graphite     CIF Turkey (Diff) </v>
      </c>
      <c r="S2320" s="25"/>
      <c r="T2320" s="8"/>
      <c r="U2320" s="8"/>
      <c r="V2320" s="25"/>
      <c r="W2320" s="25"/>
      <c r="X2320" s="25"/>
      <c r="Y2320" s="25"/>
      <c r="Z2320" s="25"/>
      <c r="AA2320" s="25"/>
      <c r="AB2320" s="25"/>
      <c r="AC2320" s="25"/>
      <c r="AD2320" s="25"/>
    </row>
    <row r="2321" customFormat="false" ht="15.75" hidden="false" customHeight="false" outlineLevel="0" collapsed="false">
      <c r="A2321" s="28" t="s">
        <v>2735</v>
      </c>
      <c r="B2321" s="27" t="s">
        <v>438</v>
      </c>
      <c r="C2321" s="27" t="s">
        <v>308</v>
      </c>
      <c r="D2321" s="25"/>
      <c r="E2321" s="25"/>
      <c r="F2321" s="25"/>
      <c r="G2321" s="25"/>
      <c r="H2321" s="25"/>
      <c r="I2321" s="25"/>
      <c r="J2321" s="27" t="s">
        <v>2688</v>
      </c>
      <c r="K2321" s="25" t="str">
        <f aca="false">IFERROR(__xludf.dummyfunction("SPLIT(J2321,"" "")"),"CIF")</f>
        <v>CIF</v>
      </c>
      <c r="L2321" s="28" t="str">
        <f aca="false">IFERROR(__xludf.dummyfunction("""COMPUTED_VALUE"""),"Turkey")</f>
        <v>Turkey</v>
      </c>
      <c r="M2321" s="27" t="str">
        <f aca="false">IFERROR(__xludf.dummyfunction("""COMPUTED_VALUE"""),"(Diff)")</f>
        <v>(Diff)</v>
      </c>
      <c r="N2321" s="25"/>
      <c r="O2321" s="25"/>
      <c r="P2321" s="25"/>
      <c r="Q2321" s="29" t="s">
        <v>323</v>
      </c>
      <c r="R2321" s="8" t="str">
        <f aca="false">B2321&amp;" "&amp;C2321&amp;" "&amp;D2321&amp;" "&amp;E2321&amp;" "&amp;G2321&amp;" "&amp;H2321&amp;" "&amp;J2321&amp;" "&amp;N2321</f>
        <v>Differentials Graphite     CIF Turkey (Diff) </v>
      </c>
      <c r="S2321" s="25"/>
      <c r="T2321" s="8"/>
      <c r="U2321" s="8"/>
      <c r="V2321" s="25"/>
      <c r="W2321" s="25"/>
      <c r="X2321" s="25"/>
      <c r="Y2321" s="25"/>
      <c r="Z2321" s="25"/>
      <c r="AA2321" s="25"/>
      <c r="AB2321" s="25"/>
      <c r="AC2321" s="25"/>
      <c r="AD2321" s="25"/>
    </row>
    <row r="2322" customFormat="false" ht="15.75" hidden="false" customHeight="false" outlineLevel="0" collapsed="false">
      <c r="A2322" s="28" t="s">
        <v>2736</v>
      </c>
      <c r="B2322" s="27" t="s">
        <v>438</v>
      </c>
      <c r="C2322" s="27" t="s">
        <v>308</v>
      </c>
      <c r="D2322" s="25"/>
      <c r="E2322" s="25"/>
      <c r="F2322" s="25"/>
      <c r="G2322" s="25"/>
      <c r="H2322" s="25"/>
      <c r="I2322" s="25"/>
      <c r="J2322" s="27" t="s">
        <v>2688</v>
      </c>
      <c r="K2322" s="25" t="str">
        <f aca="false">IFERROR(__xludf.dummyfunction("SPLIT(J2322,"" "")"),"CIF")</f>
        <v>CIF</v>
      </c>
      <c r="L2322" s="28" t="str">
        <f aca="false">IFERROR(__xludf.dummyfunction("""COMPUTED_VALUE"""),"Turkey")</f>
        <v>Turkey</v>
      </c>
      <c r="M2322" s="27" t="str">
        <f aca="false">IFERROR(__xludf.dummyfunction("""COMPUTED_VALUE"""),"(Diff)")</f>
        <v>(Diff)</v>
      </c>
      <c r="N2322" s="25"/>
      <c r="O2322" s="25"/>
      <c r="P2322" s="25"/>
      <c r="Q2322" s="29" t="s">
        <v>319</v>
      </c>
      <c r="R2322" s="8" t="str">
        <f aca="false">B2322&amp;" "&amp;C2322&amp;" "&amp;D2322&amp;" "&amp;E2322&amp;" "&amp;G2322&amp;" "&amp;H2322&amp;" "&amp;J2322&amp;" "&amp;N2322</f>
        <v>Differentials Graphite     CIF Turkey (Diff) </v>
      </c>
      <c r="S2322" s="25"/>
      <c r="T2322" s="8"/>
      <c r="U2322" s="8"/>
      <c r="V2322" s="25"/>
      <c r="W2322" s="25"/>
      <c r="X2322" s="25"/>
      <c r="Y2322" s="25"/>
      <c r="Z2322" s="25"/>
      <c r="AA2322" s="25"/>
      <c r="AB2322" s="25"/>
      <c r="AC2322" s="25"/>
      <c r="AD2322" s="25"/>
    </row>
    <row r="2323" customFormat="false" ht="15.75" hidden="false" customHeight="false" outlineLevel="0" collapsed="false">
      <c r="A2323" s="28" t="s">
        <v>2737</v>
      </c>
      <c r="B2323" s="27" t="s">
        <v>438</v>
      </c>
      <c r="C2323" s="27" t="s">
        <v>308</v>
      </c>
      <c r="D2323" s="25"/>
      <c r="E2323" s="25"/>
      <c r="F2323" s="25"/>
      <c r="G2323" s="25"/>
      <c r="H2323" s="25"/>
      <c r="I2323" s="25"/>
      <c r="J2323" s="27" t="s">
        <v>2688</v>
      </c>
      <c r="K2323" s="25" t="str">
        <f aca="false">IFERROR(__xludf.dummyfunction("SPLIT(J2323,"" "")"),"CIF")</f>
        <v>CIF</v>
      </c>
      <c r="L2323" s="28" t="str">
        <f aca="false">IFERROR(__xludf.dummyfunction("""COMPUTED_VALUE"""),"Turkey")</f>
        <v>Turkey</v>
      </c>
      <c r="M2323" s="27" t="str">
        <f aca="false">IFERROR(__xludf.dummyfunction("""COMPUTED_VALUE"""),"(Diff)")</f>
        <v>(Diff)</v>
      </c>
      <c r="N2323" s="25"/>
      <c r="O2323" s="25"/>
      <c r="P2323" s="25"/>
      <c r="Q2323" s="29" t="s">
        <v>315</v>
      </c>
      <c r="R2323" s="8" t="str">
        <f aca="false">B2323&amp;" "&amp;C2323&amp;" "&amp;D2323&amp;" "&amp;E2323&amp;" "&amp;G2323&amp;" "&amp;H2323&amp;" "&amp;J2323&amp;" "&amp;N2323</f>
        <v>Differentials Graphite     CIF Turkey (Diff) </v>
      </c>
      <c r="S2323" s="25"/>
      <c r="T2323" s="8"/>
      <c r="U2323" s="8"/>
      <c r="V2323" s="25"/>
      <c r="W2323" s="25"/>
      <c r="X2323" s="25"/>
      <c r="Y2323" s="25"/>
      <c r="Z2323" s="25"/>
      <c r="AA2323" s="25"/>
      <c r="AB2323" s="25"/>
      <c r="AC2323" s="25"/>
      <c r="AD2323" s="25"/>
    </row>
    <row r="2324" customFormat="false" ht="15.75" hidden="false" customHeight="false" outlineLevel="0" collapsed="false">
      <c r="A2324" s="28" t="s">
        <v>2738</v>
      </c>
      <c r="B2324" s="27" t="s">
        <v>438</v>
      </c>
      <c r="C2324" s="27" t="s">
        <v>308</v>
      </c>
      <c r="D2324" s="25"/>
      <c r="E2324" s="25"/>
      <c r="F2324" s="25"/>
      <c r="G2324" s="25"/>
      <c r="H2324" s="25"/>
      <c r="I2324" s="25"/>
      <c r="J2324" s="27" t="s">
        <v>2688</v>
      </c>
      <c r="K2324" s="25" t="str">
        <f aca="false">IFERROR(__xludf.dummyfunction("SPLIT(J2324,"" "")"),"CIF")</f>
        <v>CIF</v>
      </c>
      <c r="L2324" s="28" t="str">
        <f aca="false">IFERROR(__xludf.dummyfunction("""COMPUTED_VALUE"""),"Turkey")</f>
        <v>Turkey</v>
      </c>
      <c r="M2324" s="27" t="str">
        <f aca="false">IFERROR(__xludf.dummyfunction("""COMPUTED_VALUE"""),"(Diff)")</f>
        <v>(Diff)</v>
      </c>
      <c r="N2324" s="25"/>
      <c r="O2324" s="25"/>
      <c r="P2324" s="25"/>
      <c r="Q2324" s="29" t="s">
        <v>311</v>
      </c>
      <c r="R2324" s="8" t="str">
        <f aca="false">B2324&amp;" "&amp;C2324&amp;" "&amp;D2324&amp;" "&amp;E2324&amp;" "&amp;G2324&amp;" "&amp;H2324&amp;" "&amp;J2324&amp;" "&amp;N2324</f>
        <v>Differentials Graphite     CIF Turkey (Diff) </v>
      </c>
      <c r="S2324" s="25"/>
      <c r="T2324" s="8"/>
      <c r="U2324" s="8"/>
      <c r="V2324" s="25"/>
      <c r="W2324" s="25"/>
      <c r="X2324" s="25"/>
      <c r="Y2324" s="25"/>
      <c r="Z2324" s="25"/>
      <c r="AA2324" s="25"/>
      <c r="AB2324" s="25"/>
      <c r="AC2324" s="25"/>
      <c r="AD2324" s="25"/>
    </row>
    <row r="2325" customFormat="false" ht="15.75" hidden="false" customHeight="false" outlineLevel="0" collapsed="false">
      <c r="A2325" s="28" t="s">
        <v>2739</v>
      </c>
      <c r="B2325" s="27" t="s">
        <v>438</v>
      </c>
      <c r="C2325" s="27" t="s">
        <v>417</v>
      </c>
      <c r="D2325" s="25"/>
      <c r="E2325" s="25"/>
      <c r="F2325" s="25"/>
      <c r="G2325" s="25"/>
      <c r="H2325" s="25"/>
      <c r="I2325" s="25"/>
      <c r="J2325" s="27" t="s">
        <v>2688</v>
      </c>
      <c r="K2325" s="25" t="str">
        <f aca="false">IFERROR(__xludf.dummyfunction("SPLIT(J2325,"" "")"),"CIF")</f>
        <v>CIF</v>
      </c>
      <c r="L2325" s="28" t="str">
        <f aca="false">IFERROR(__xludf.dummyfunction("""COMPUTED_VALUE"""),"Turkey")</f>
        <v>Turkey</v>
      </c>
      <c r="M2325" s="27" t="str">
        <f aca="false">IFERROR(__xludf.dummyfunction("""COMPUTED_VALUE"""),"(Diff)")</f>
        <v>(Diff)</v>
      </c>
      <c r="N2325" s="25"/>
      <c r="O2325" s="25"/>
      <c r="P2325" s="25"/>
      <c r="Q2325" s="29" t="s">
        <v>436</v>
      </c>
      <c r="R2325" s="8" t="str">
        <f aca="false">B2325&amp;" "&amp;C2325&amp;" "&amp;D2325&amp;" "&amp;E2325&amp;" "&amp;G2325&amp;" "&amp;H2325&amp;" "&amp;J2325&amp;" "&amp;N2325</f>
        <v>Differentials Solvent     CIF Turkey (Diff) </v>
      </c>
      <c r="S2325" s="25"/>
      <c r="T2325" s="8"/>
      <c r="U2325" s="8"/>
      <c r="V2325" s="25"/>
      <c r="W2325" s="25"/>
      <c r="X2325" s="25"/>
      <c r="Y2325" s="25"/>
      <c r="Z2325" s="25"/>
      <c r="AA2325" s="25"/>
      <c r="AB2325" s="25"/>
      <c r="AC2325" s="25"/>
      <c r="AD2325" s="25"/>
    </row>
    <row r="2326" customFormat="false" ht="15.75" hidden="false" customHeight="false" outlineLevel="0" collapsed="false">
      <c r="A2326" s="28" t="s">
        <v>2740</v>
      </c>
      <c r="B2326" s="27" t="s">
        <v>438</v>
      </c>
      <c r="C2326" s="27" t="s">
        <v>417</v>
      </c>
      <c r="D2326" s="25"/>
      <c r="E2326" s="25"/>
      <c r="F2326" s="25"/>
      <c r="G2326" s="25"/>
      <c r="H2326" s="25"/>
      <c r="I2326" s="25"/>
      <c r="J2326" s="27" t="s">
        <v>2688</v>
      </c>
      <c r="K2326" s="25" t="str">
        <f aca="false">IFERROR(__xludf.dummyfunction("SPLIT(J2326,"" "")"),"CIF")</f>
        <v>CIF</v>
      </c>
      <c r="L2326" s="28" t="str">
        <f aca="false">IFERROR(__xludf.dummyfunction("""COMPUTED_VALUE"""),"Turkey")</f>
        <v>Turkey</v>
      </c>
      <c r="M2326" s="27" t="str">
        <f aca="false">IFERROR(__xludf.dummyfunction("""COMPUTED_VALUE"""),"(Diff)")</f>
        <v>(Diff)</v>
      </c>
      <c r="N2326" s="25"/>
      <c r="O2326" s="25"/>
      <c r="P2326" s="25"/>
      <c r="Q2326" s="29" t="s">
        <v>434</v>
      </c>
      <c r="R2326" s="8" t="str">
        <f aca="false">B2326&amp;" "&amp;C2326&amp;" "&amp;D2326&amp;" "&amp;E2326&amp;" "&amp;G2326&amp;" "&amp;H2326&amp;" "&amp;J2326&amp;" "&amp;N2326</f>
        <v>Differentials Solvent     CIF Turkey (Diff) </v>
      </c>
      <c r="S2326" s="25"/>
      <c r="T2326" s="8"/>
      <c r="U2326" s="8"/>
      <c r="V2326" s="25"/>
      <c r="W2326" s="25"/>
      <c r="X2326" s="25"/>
      <c r="Y2326" s="25"/>
      <c r="Z2326" s="25"/>
      <c r="AA2326" s="25"/>
      <c r="AB2326" s="25"/>
      <c r="AC2326" s="25"/>
      <c r="AD2326" s="25"/>
    </row>
    <row r="2327" customFormat="false" ht="15.75" hidden="false" customHeight="false" outlineLevel="0" collapsed="false">
      <c r="A2327" s="28" t="s">
        <v>2741</v>
      </c>
      <c r="B2327" s="27" t="s">
        <v>438</v>
      </c>
      <c r="C2327" s="27" t="s">
        <v>417</v>
      </c>
      <c r="D2327" s="25"/>
      <c r="E2327" s="25"/>
      <c r="F2327" s="25"/>
      <c r="G2327" s="25"/>
      <c r="H2327" s="25"/>
      <c r="I2327" s="25"/>
      <c r="J2327" s="27" t="s">
        <v>2688</v>
      </c>
      <c r="K2327" s="25" t="str">
        <f aca="false">IFERROR(__xludf.dummyfunction("SPLIT(J2327,"" "")"),"CIF")</f>
        <v>CIF</v>
      </c>
      <c r="L2327" s="28" t="str">
        <f aca="false">IFERROR(__xludf.dummyfunction("""COMPUTED_VALUE"""),"Turkey")</f>
        <v>Turkey</v>
      </c>
      <c r="M2327" s="27" t="str">
        <f aca="false">IFERROR(__xludf.dummyfunction("""COMPUTED_VALUE"""),"(Diff)")</f>
        <v>(Diff)</v>
      </c>
      <c r="N2327" s="25"/>
      <c r="O2327" s="25"/>
      <c r="P2327" s="25"/>
      <c r="Q2327" s="29" t="s">
        <v>432</v>
      </c>
      <c r="R2327" s="8" t="str">
        <f aca="false">B2327&amp;" "&amp;C2327&amp;" "&amp;D2327&amp;" "&amp;E2327&amp;" "&amp;G2327&amp;" "&amp;H2327&amp;" "&amp;J2327&amp;" "&amp;N2327</f>
        <v>Differentials Solvent     CIF Turkey (Diff) </v>
      </c>
      <c r="S2327" s="25"/>
      <c r="T2327" s="8"/>
      <c r="U2327" s="8"/>
      <c r="V2327" s="25"/>
      <c r="W2327" s="25"/>
      <c r="X2327" s="25"/>
      <c r="Y2327" s="25"/>
      <c r="Z2327" s="25"/>
      <c r="AA2327" s="25"/>
      <c r="AB2327" s="25"/>
      <c r="AC2327" s="25"/>
      <c r="AD2327" s="25"/>
    </row>
    <row r="2328" customFormat="false" ht="15.75" hidden="false" customHeight="false" outlineLevel="0" collapsed="false">
      <c r="A2328" s="28" t="s">
        <v>2742</v>
      </c>
      <c r="B2328" s="27" t="s">
        <v>438</v>
      </c>
      <c r="C2328" s="27" t="s">
        <v>417</v>
      </c>
      <c r="D2328" s="25"/>
      <c r="E2328" s="25"/>
      <c r="F2328" s="25"/>
      <c r="G2328" s="25"/>
      <c r="H2328" s="25"/>
      <c r="I2328" s="25"/>
      <c r="J2328" s="27" t="s">
        <v>2688</v>
      </c>
      <c r="K2328" s="25" t="str">
        <f aca="false">IFERROR(__xludf.dummyfunction("SPLIT(J2328,"" "")"),"CIF")</f>
        <v>CIF</v>
      </c>
      <c r="L2328" s="28" t="str">
        <f aca="false">IFERROR(__xludf.dummyfunction("""COMPUTED_VALUE"""),"Turkey")</f>
        <v>Turkey</v>
      </c>
      <c r="M2328" s="27" t="str">
        <f aca="false">IFERROR(__xludf.dummyfunction("""COMPUTED_VALUE"""),"(Diff)")</f>
        <v>(Diff)</v>
      </c>
      <c r="N2328" s="25"/>
      <c r="O2328" s="25"/>
      <c r="P2328" s="25"/>
      <c r="Q2328" s="29" t="s">
        <v>430</v>
      </c>
      <c r="R2328" s="8" t="str">
        <f aca="false">B2328&amp;" "&amp;C2328&amp;" "&amp;D2328&amp;" "&amp;E2328&amp;" "&amp;G2328&amp;" "&amp;H2328&amp;" "&amp;J2328&amp;" "&amp;N2328</f>
        <v>Differentials Solvent     CIF Turkey (Diff) </v>
      </c>
      <c r="S2328" s="25"/>
      <c r="T2328" s="8"/>
      <c r="U2328" s="8"/>
      <c r="V2328" s="25"/>
      <c r="W2328" s="25"/>
      <c r="X2328" s="25"/>
      <c r="Y2328" s="25"/>
      <c r="Z2328" s="25"/>
      <c r="AA2328" s="25"/>
      <c r="AB2328" s="25"/>
      <c r="AC2328" s="25"/>
      <c r="AD2328" s="25"/>
    </row>
    <row r="2329" customFormat="false" ht="15.75" hidden="false" customHeight="false" outlineLevel="0" collapsed="false">
      <c r="A2329" s="28" t="s">
        <v>2743</v>
      </c>
      <c r="B2329" s="27" t="s">
        <v>438</v>
      </c>
      <c r="C2329" s="27" t="s">
        <v>417</v>
      </c>
      <c r="D2329" s="25"/>
      <c r="E2329" s="25"/>
      <c r="F2329" s="25"/>
      <c r="G2329" s="25"/>
      <c r="H2329" s="25"/>
      <c r="I2329" s="25"/>
      <c r="J2329" s="27" t="s">
        <v>2688</v>
      </c>
      <c r="K2329" s="25" t="str">
        <f aca="false">IFERROR(__xludf.dummyfunction("SPLIT(J2329,"" "")"),"CIF")</f>
        <v>CIF</v>
      </c>
      <c r="L2329" s="28" t="str">
        <f aca="false">IFERROR(__xludf.dummyfunction("""COMPUTED_VALUE"""),"Turkey")</f>
        <v>Turkey</v>
      </c>
      <c r="M2329" s="27" t="str">
        <f aca="false">IFERROR(__xludf.dummyfunction("""COMPUTED_VALUE"""),"(Diff)")</f>
        <v>(Diff)</v>
      </c>
      <c r="N2329" s="25"/>
      <c r="O2329" s="25"/>
      <c r="P2329" s="25"/>
      <c r="Q2329" s="29" t="s">
        <v>428</v>
      </c>
      <c r="R2329" s="8" t="str">
        <f aca="false">B2329&amp;" "&amp;C2329&amp;" "&amp;D2329&amp;" "&amp;E2329&amp;" "&amp;G2329&amp;" "&amp;H2329&amp;" "&amp;J2329&amp;" "&amp;N2329</f>
        <v>Differentials Solvent     CIF Turkey (Diff) </v>
      </c>
      <c r="S2329" s="25"/>
      <c r="T2329" s="8"/>
      <c r="U2329" s="8"/>
      <c r="V2329" s="25"/>
      <c r="W2329" s="25"/>
      <c r="X2329" s="25"/>
      <c r="Y2329" s="25"/>
      <c r="Z2329" s="25"/>
      <c r="AA2329" s="25"/>
      <c r="AB2329" s="25"/>
      <c r="AC2329" s="25"/>
      <c r="AD2329" s="25"/>
    </row>
    <row r="2330" customFormat="false" ht="15.75" hidden="false" customHeight="false" outlineLevel="0" collapsed="false">
      <c r="A2330" s="28" t="s">
        <v>2744</v>
      </c>
      <c r="B2330" s="27" t="s">
        <v>438</v>
      </c>
      <c r="C2330" s="27" t="s">
        <v>417</v>
      </c>
      <c r="D2330" s="25"/>
      <c r="E2330" s="25"/>
      <c r="F2330" s="25"/>
      <c r="G2330" s="25"/>
      <c r="H2330" s="25"/>
      <c r="I2330" s="25"/>
      <c r="J2330" s="27" t="s">
        <v>2688</v>
      </c>
      <c r="K2330" s="25" t="str">
        <f aca="false">IFERROR(__xludf.dummyfunction("SPLIT(J2330,"" "")"),"CIF")</f>
        <v>CIF</v>
      </c>
      <c r="L2330" s="28" t="str">
        <f aca="false">IFERROR(__xludf.dummyfunction("""COMPUTED_VALUE"""),"Turkey")</f>
        <v>Turkey</v>
      </c>
      <c r="M2330" s="27" t="str">
        <f aca="false">IFERROR(__xludf.dummyfunction("""COMPUTED_VALUE"""),"(Diff)")</f>
        <v>(Diff)</v>
      </c>
      <c r="N2330" s="25"/>
      <c r="O2330" s="25"/>
      <c r="P2330" s="25"/>
      <c r="Q2330" s="29" t="s">
        <v>426</v>
      </c>
      <c r="R2330" s="8" t="str">
        <f aca="false">B2330&amp;" "&amp;C2330&amp;" "&amp;D2330&amp;" "&amp;E2330&amp;" "&amp;G2330&amp;" "&amp;H2330&amp;" "&amp;J2330&amp;" "&amp;N2330</f>
        <v>Differentials Solvent     CIF Turkey (Diff) </v>
      </c>
      <c r="S2330" s="25"/>
      <c r="T2330" s="8"/>
      <c r="U2330" s="8"/>
      <c r="V2330" s="25"/>
      <c r="W2330" s="25"/>
      <c r="X2330" s="25"/>
      <c r="Y2330" s="25"/>
      <c r="Z2330" s="25"/>
      <c r="AA2330" s="25"/>
      <c r="AB2330" s="25"/>
      <c r="AC2330" s="25"/>
      <c r="AD2330" s="25"/>
    </row>
    <row r="2331" customFormat="false" ht="15.75" hidden="false" customHeight="false" outlineLevel="0" collapsed="false">
      <c r="A2331" s="28" t="s">
        <v>2745</v>
      </c>
      <c r="B2331" s="27" t="s">
        <v>438</v>
      </c>
      <c r="C2331" s="27" t="s">
        <v>417</v>
      </c>
      <c r="D2331" s="25"/>
      <c r="E2331" s="25"/>
      <c r="F2331" s="25"/>
      <c r="G2331" s="25"/>
      <c r="H2331" s="25"/>
      <c r="I2331" s="25"/>
      <c r="J2331" s="27" t="s">
        <v>2688</v>
      </c>
      <c r="K2331" s="25" t="str">
        <f aca="false">IFERROR(__xludf.dummyfunction("SPLIT(J2331,"" "")"),"CIF")</f>
        <v>CIF</v>
      </c>
      <c r="L2331" s="28" t="str">
        <f aca="false">IFERROR(__xludf.dummyfunction("""COMPUTED_VALUE"""),"Turkey")</f>
        <v>Turkey</v>
      </c>
      <c r="M2331" s="27" t="str">
        <f aca="false">IFERROR(__xludf.dummyfunction("""COMPUTED_VALUE"""),"(Diff)")</f>
        <v>(Diff)</v>
      </c>
      <c r="N2331" s="25"/>
      <c r="O2331" s="25"/>
      <c r="P2331" s="25"/>
      <c r="Q2331" s="29" t="s">
        <v>424</v>
      </c>
      <c r="R2331" s="8" t="str">
        <f aca="false">B2331&amp;" "&amp;C2331&amp;" "&amp;D2331&amp;" "&amp;E2331&amp;" "&amp;G2331&amp;" "&amp;H2331&amp;" "&amp;J2331&amp;" "&amp;N2331</f>
        <v>Differentials Solvent     CIF Turkey (Diff) </v>
      </c>
      <c r="S2331" s="25"/>
      <c r="T2331" s="8"/>
      <c r="U2331" s="8"/>
      <c r="V2331" s="25"/>
      <c r="W2331" s="25"/>
      <c r="X2331" s="25"/>
      <c r="Y2331" s="25"/>
      <c r="Z2331" s="25"/>
      <c r="AA2331" s="25"/>
      <c r="AB2331" s="25"/>
      <c r="AC2331" s="25"/>
      <c r="AD2331" s="25"/>
    </row>
    <row r="2332" customFormat="false" ht="15.75" hidden="false" customHeight="false" outlineLevel="0" collapsed="false">
      <c r="A2332" s="28" t="s">
        <v>2746</v>
      </c>
      <c r="B2332" s="27" t="s">
        <v>438</v>
      </c>
      <c r="C2332" s="27" t="s">
        <v>417</v>
      </c>
      <c r="D2332" s="25"/>
      <c r="E2332" s="25"/>
      <c r="F2332" s="25"/>
      <c r="G2332" s="25"/>
      <c r="H2332" s="25"/>
      <c r="I2332" s="25"/>
      <c r="J2332" s="27" t="s">
        <v>2688</v>
      </c>
      <c r="K2332" s="25" t="str">
        <f aca="false">IFERROR(__xludf.dummyfunction("SPLIT(J2332,"" "")"),"CIF")</f>
        <v>CIF</v>
      </c>
      <c r="L2332" s="28" t="str">
        <f aca="false">IFERROR(__xludf.dummyfunction("""COMPUTED_VALUE"""),"Turkey")</f>
        <v>Turkey</v>
      </c>
      <c r="M2332" s="27" t="str">
        <f aca="false">IFERROR(__xludf.dummyfunction("""COMPUTED_VALUE"""),"(Diff)")</f>
        <v>(Diff)</v>
      </c>
      <c r="N2332" s="25"/>
      <c r="O2332" s="25"/>
      <c r="P2332" s="25"/>
      <c r="Q2332" s="29" t="s">
        <v>422</v>
      </c>
      <c r="R2332" s="8" t="str">
        <f aca="false">B2332&amp;" "&amp;C2332&amp;" "&amp;D2332&amp;" "&amp;E2332&amp;" "&amp;G2332&amp;" "&amp;H2332&amp;" "&amp;J2332&amp;" "&amp;N2332</f>
        <v>Differentials Solvent     CIF Turkey (Diff) </v>
      </c>
      <c r="S2332" s="25"/>
      <c r="T2332" s="8"/>
      <c r="U2332" s="8"/>
      <c r="V2332" s="25"/>
      <c r="W2332" s="25"/>
      <c r="X2332" s="25"/>
      <c r="Y2332" s="25"/>
      <c r="Z2332" s="25"/>
      <c r="AA2332" s="25"/>
      <c r="AB2332" s="25"/>
      <c r="AC2332" s="25"/>
      <c r="AD2332" s="25"/>
    </row>
    <row r="2333" customFormat="false" ht="15.75" hidden="false" customHeight="false" outlineLevel="0" collapsed="false">
      <c r="A2333" s="28" t="s">
        <v>2747</v>
      </c>
      <c r="B2333" s="27" t="s">
        <v>438</v>
      </c>
      <c r="C2333" s="27" t="s">
        <v>417</v>
      </c>
      <c r="D2333" s="25"/>
      <c r="E2333" s="25"/>
      <c r="F2333" s="25"/>
      <c r="G2333" s="25"/>
      <c r="H2333" s="25"/>
      <c r="I2333" s="25"/>
      <c r="J2333" s="27" t="s">
        <v>2688</v>
      </c>
      <c r="K2333" s="25" t="str">
        <f aca="false">IFERROR(__xludf.dummyfunction("SPLIT(J2333,"" "")"),"CIF")</f>
        <v>CIF</v>
      </c>
      <c r="L2333" s="28" t="str">
        <f aca="false">IFERROR(__xludf.dummyfunction("""COMPUTED_VALUE"""),"Turkey")</f>
        <v>Turkey</v>
      </c>
      <c r="M2333" s="27" t="str">
        <f aca="false">IFERROR(__xludf.dummyfunction("""COMPUTED_VALUE"""),"(Diff)")</f>
        <v>(Diff)</v>
      </c>
      <c r="N2333" s="25"/>
      <c r="O2333" s="25"/>
      <c r="P2333" s="25"/>
      <c r="Q2333" s="29" t="s">
        <v>420</v>
      </c>
      <c r="R2333" s="8" t="str">
        <f aca="false">B2333&amp;" "&amp;C2333&amp;" "&amp;D2333&amp;" "&amp;E2333&amp;" "&amp;G2333&amp;" "&amp;H2333&amp;" "&amp;J2333&amp;" "&amp;N2333</f>
        <v>Differentials Solvent     CIF Turkey (Diff) </v>
      </c>
      <c r="S2333" s="25"/>
      <c r="T2333" s="8"/>
      <c r="U2333" s="8"/>
      <c r="V2333" s="25"/>
      <c r="W2333" s="25"/>
      <c r="X2333" s="25"/>
      <c r="Y2333" s="25"/>
      <c r="Z2333" s="25"/>
      <c r="AA2333" s="25"/>
      <c r="AB2333" s="25"/>
      <c r="AC2333" s="25"/>
      <c r="AD2333" s="25"/>
    </row>
    <row r="2334" customFormat="false" ht="15.75" hidden="false" customHeight="false" outlineLevel="0" collapsed="false">
      <c r="A2334" s="28" t="s">
        <v>2748</v>
      </c>
      <c r="B2334" s="27" t="s">
        <v>438</v>
      </c>
      <c r="C2334" s="27" t="s">
        <v>417</v>
      </c>
      <c r="D2334" s="25"/>
      <c r="E2334" s="25"/>
      <c r="F2334" s="25"/>
      <c r="G2334" s="25"/>
      <c r="H2334" s="25"/>
      <c r="I2334" s="25"/>
      <c r="J2334" s="27" t="s">
        <v>2688</v>
      </c>
      <c r="K2334" s="25" t="str">
        <f aca="false">IFERROR(__xludf.dummyfunction("SPLIT(J2334,"" "")"),"CIF")</f>
        <v>CIF</v>
      </c>
      <c r="L2334" s="28" t="str">
        <f aca="false">IFERROR(__xludf.dummyfunction("""COMPUTED_VALUE"""),"Turkey")</f>
        <v>Turkey</v>
      </c>
      <c r="M2334" s="27" t="str">
        <f aca="false">IFERROR(__xludf.dummyfunction("""COMPUTED_VALUE"""),"(Diff)")</f>
        <v>(Diff)</v>
      </c>
      <c r="N2334" s="25"/>
      <c r="O2334" s="25"/>
      <c r="P2334" s="25"/>
      <c r="Q2334" s="29" t="s">
        <v>418</v>
      </c>
      <c r="R2334" s="8" t="str">
        <f aca="false">B2334&amp;" "&amp;C2334&amp;" "&amp;D2334&amp;" "&amp;E2334&amp;" "&amp;G2334&amp;" "&amp;H2334&amp;" "&amp;J2334&amp;" "&amp;N2334</f>
        <v>Differentials Solvent     CIF Turkey (Diff) </v>
      </c>
      <c r="S2334" s="25"/>
      <c r="T2334" s="8"/>
      <c r="U2334" s="8"/>
      <c r="V2334" s="25"/>
      <c r="W2334" s="25"/>
      <c r="X2334" s="25"/>
      <c r="Y2334" s="25"/>
      <c r="Z2334" s="25"/>
      <c r="AA2334" s="25"/>
      <c r="AB2334" s="25"/>
      <c r="AC2334" s="25"/>
      <c r="AD2334" s="25"/>
    </row>
    <row r="2335" customFormat="false" ht="15.75" hidden="false" customHeight="false" outlineLevel="0" collapsed="false">
      <c r="A2335" s="28" t="s">
        <v>2749</v>
      </c>
      <c r="B2335" s="27" t="s">
        <v>438</v>
      </c>
      <c r="C2335" s="27" t="s">
        <v>177</v>
      </c>
      <c r="D2335" s="25"/>
      <c r="E2335" s="25"/>
      <c r="F2335" s="25"/>
      <c r="G2335" s="25"/>
      <c r="H2335" s="25"/>
      <c r="I2335" s="25"/>
      <c r="J2335" s="27" t="s">
        <v>2750</v>
      </c>
      <c r="K2335" s="25" t="str">
        <f aca="false">IFERROR(__xludf.dummyfunction("SPLIT(J2335,"" "")"),"CIF")</f>
        <v>CIF</v>
      </c>
      <c r="L2335" s="28" t="str">
        <f aca="false">IFERROR(__xludf.dummyfunction("""COMPUTED_VALUE"""),"UAE")</f>
        <v>UAE</v>
      </c>
      <c r="M2335" s="27" t="str">
        <f aca="false">IFERROR(__xludf.dummyfunction("""COMPUTED_VALUE"""),"(Diff)")</f>
        <v>(Diff)</v>
      </c>
      <c r="N2335" s="25"/>
      <c r="O2335" s="25"/>
      <c r="P2335" s="25"/>
      <c r="Q2335" s="29" t="s">
        <v>209</v>
      </c>
      <c r="R2335" s="8" t="str">
        <f aca="false">B2335&amp;" "&amp;C2335&amp;" "&amp;D2335&amp;" "&amp;E2335&amp;" "&amp;G2335&amp;" "&amp;H2335&amp;" "&amp;J2335&amp;" "&amp;N2335</f>
        <v>Differentials Anode     CIF UAE (Diff) </v>
      </c>
      <c r="S2335" s="25"/>
      <c r="T2335" s="8"/>
      <c r="U2335" s="8"/>
      <c r="V2335" s="25"/>
      <c r="W2335" s="25"/>
      <c r="X2335" s="25"/>
      <c r="Y2335" s="25"/>
      <c r="Z2335" s="25"/>
      <c r="AA2335" s="25"/>
      <c r="AB2335" s="25"/>
      <c r="AC2335" s="25"/>
      <c r="AD2335" s="25"/>
    </row>
    <row r="2336" customFormat="false" ht="15.75" hidden="false" customHeight="false" outlineLevel="0" collapsed="false">
      <c r="A2336" s="28" t="s">
        <v>2751</v>
      </c>
      <c r="B2336" s="27" t="s">
        <v>438</v>
      </c>
      <c r="C2336" s="27" t="s">
        <v>177</v>
      </c>
      <c r="D2336" s="25"/>
      <c r="E2336" s="25"/>
      <c r="F2336" s="25"/>
      <c r="G2336" s="25"/>
      <c r="H2336" s="25"/>
      <c r="I2336" s="25"/>
      <c r="J2336" s="27" t="s">
        <v>2750</v>
      </c>
      <c r="K2336" s="25" t="str">
        <f aca="false">IFERROR(__xludf.dummyfunction("SPLIT(J2336,"" "")"),"CIF")</f>
        <v>CIF</v>
      </c>
      <c r="L2336" s="28" t="str">
        <f aca="false">IFERROR(__xludf.dummyfunction("""COMPUTED_VALUE"""),"UAE")</f>
        <v>UAE</v>
      </c>
      <c r="M2336" s="27" t="str">
        <f aca="false">IFERROR(__xludf.dummyfunction("""COMPUTED_VALUE"""),"(Diff)")</f>
        <v>(Diff)</v>
      </c>
      <c r="N2336" s="25"/>
      <c r="O2336" s="25"/>
      <c r="P2336" s="25"/>
      <c r="Q2336" s="29" t="s">
        <v>205</v>
      </c>
      <c r="R2336" s="8" t="str">
        <f aca="false">B2336&amp;" "&amp;C2336&amp;" "&amp;D2336&amp;" "&amp;E2336&amp;" "&amp;G2336&amp;" "&amp;H2336&amp;" "&amp;J2336&amp;" "&amp;N2336</f>
        <v>Differentials Anode     CIF UAE (Diff) </v>
      </c>
      <c r="S2336" s="25"/>
      <c r="T2336" s="8"/>
      <c r="U2336" s="8"/>
      <c r="V2336" s="25"/>
      <c r="W2336" s="25"/>
      <c r="X2336" s="25"/>
      <c r="Y2336" s="25"/>
      <c r="Z2336" s="25"/>
      <c r="AA2336" s="25"/>
      <c r="AB2336" s="25"/>
      <c r="AC2336" s="25"/>
      <c r="AD2336" s="25"/>
    </row>
    <row r="2337" customFormat="false" ht="15.75" hidden="false" customHeight="false" outlineLevel="0" collapsed="false">
      <c r="A2337" s="28" t="s">
        <v>2752</v>
      </c>
      <c r="B2337" s="27" t="s">
        <v>438</v>
      </c>
      <c r="C2337" s="27" t="s">
        <v>177</v>
      </c>
      <c r="D2337" s="25"/>
      <c r="E2337" s="25"/>
      <c r="F2337" s="25"/>
      <c r="G2337" s="25"/>
      <c r="H2337" s="25"/>
      <c r="I2337" s="25"/>
      <c r="J2337" s="27" t="s">
        <v>2750</v>
      </c>
      <c r="K2337" s="25" t="str">
        <f aca="false">IFERROR(__xludf.dummyfunction("SPLIT(J2337,"" "")"),"CIF")</f>
        <v>CIF</v>
      </c>
      <c r="L2337" s="28" t="str">
        <f aca="false">IFERROR(__xludf.dummyfunction("""COMPUTED_VALUE"""),"UAE")</f>
        <v>UAE</v>
      </c>
      <c r="M2337" s="27" t="str">
        <f aca="false">IFERROR(__xludf.dummyfunction("""COMPUTED_VALUE"""),"(Diff)")</f>
        <v>(Diff)</v>
      </c>
      <c r="N2337" s="25"/>
      <c r="O2337" s="25"/>
      <c r="P2337" s="25"/>
      <c r="Q2337" s="29" t="s">
        <v>202</v>
      </c>
      <c r="R2337" s="8" t="str">
        <f aca="false">B2337&amp;" "&amp;C2337&amp;" "&amp;D2337&amp;" "&amp;E2337&amp;" "&amp;G2337&amp;" "&amp;H2337&amp;" "&amp;J2337&amp;" "&amp;N2337</f>
        <v>Differentials Anode     CIF UAE (Diff) </v>
      </c>
      <c r="S2337" s="25"/>
      <c r="T2337" s="8"/>
      <c r="U2337" s="8"/>
      <c r="V2337" s="25"/>
      <c r="W2337" s="25"/>
      <c r="X2337" s="25"/>
      <c r="Y2337" s="25"/>
      <c r="Z2337" s="25"/>
      <c r="AA2337" s="25"/>
      <c r="AB2337" s="25"/>
      <c r="AC2337" s="25"/>
      <c r="AD2337" s="25"/>
    </row>
    <row r="2338" customFormat="false" ht="15.75" hidden="false" customHeight="false" outlineLevel="0" collapsed="false">
      <c r="A2338" s="28" t="s">
        <v>2753</v>
      </c>
      <c r="B2338" s="27" t="s">
        <v>438</v>
      </c>
      <c r="C2338" s="27" t="s">
        <v>177</v>
      </c>
      <c r="D2338" s="25"/>
      <c r="E2338" s="25"/>
      <c r="F2338" s="25"/>
      <c r="G2338" s="25"/>
      <c r="H2338" s="25"/>
      <c r="I2338" s="25"/>
      <c r="J2338" s="27" t="s">
        <v>2750</v>
      </c>
      <c r="K2338" s="25" t="str">
        <f aca="false">IFERROR(__xludf.dummyfunction("SPLIT(J2338,"" "")"),"CIF")</f>
        <v>CIF</v>
      </c>
      <c r="L2338" s="28" t="str">
        <f aca="false">IFERROR(__xludf.dummyfunction("""COMPUTED_VALUE"""),"UAE")</f>
        <v>UAE</v>
      </c>
      <c r="M2338" s="27" t="str">
        <f aca="false">IFERROR(__xludf.dummyfunction("""COMPUTED_VALUE"""),"(Diff)")</f>
        <v>(Diff)</v>
      </c>
      <c r="N2338" s="25"/>
      <c r="O2338" s="25"/>
      <c r="P2338" s="25"/>
      <c r="Q2338" s="29" t="s">
        <v>197</v>
      </c>
      <c r="R2338" s="8" t="str">
        <f aca="false">B2338&amp;" "&amp;C2338&amp;" "&amp;D2338&amp;" "&amp;E2338&amp;" "&amp;G2338&amp;" "&amp;H2338&amp;" "&amp;J2338&amp;" "&amp;N2338</f>
        <v>Differentials Anode     CIF UAE (Diff) </v>
      </c>
      <c r="S2338" s="25"/>
      <c r="T2338" s="8"/>
      <c r="U2338" s="8"/>
      <c r="V2338" s="25"/>
      <c r="W2338" s="25"/>
      <c r="X2338" s="25"/>
      <c r="Y2338" s="25"/>
      <c r="Z2338" s="25"/>
      <c r="AA2338" s="25"/>
      <c r="AB2338" s="25"/>
      <c r="AC2338" s="25"/>
      <c r="AD2338" s="25"/>
    </row>
    <row r="2339" customFormat="false" ht="15.75" hidden="false" customHeight="false" outlineLevel="0" collapsed="false">
      <c r="A2339" s="28" t="s">
        <v>2754</v>
      </c>
      <c r="B2339" s="27" t="s">
        <v>438</v>
      </c>
      <c r="C2339" s="27" t="s">
        <v>177</v>
      </c>
      <c r="D2339" s="25"/>
      <c r="E2339" s="25"/>
      <c r="F2339" s="25"/>
      <c r="G2339" s="25"/>
      <c r="H2339" s="25"/>
      <c r="I2339" s="25"/>
      <c r="J2339" s="27" t="s">
        <v>2750</v>
      </c>
      <c r="K2339" s="25" t="str">
        <f aca="false">IFERROR(__xludf.dummyfunction("SPLIT(J2339,"" "")"),"CIF")</f>
        <v>CIF</v>
      </c>
      <c r="L2339" s="28" t="str">
        <f aca="false">IFERROR(__xludf.dummyfunction("""COMPUTED_VALUE"""),"UAE")</f>
        <v>UAE</v>
      </c>
      <c r="M2339" s="27" t="str">
        <f aca="false">IFERROR(__xludf.dummyfunction("""COMPUTED_VALUE"""),"(Diff)")</f>
        <v>(Diff)</v>
      </c>
      <c r="N2339" s="25"/>
      <c r="O2339" s="25"/>
      <c r="P2339" s="25"/>
      <c r="Q2339" s="29" t="s">
        <v>193</v>
      </c>
      <c r="R2339" s="8" t="str">
        <f aca="false">B2339&amp;" "&amp;C2339&amp;" "&amp;D2339&amp;" "&amp;E2339&amp;" "&amp;G2339&amp;" "&amp;H2339&amp;" "&amp;J2339&amp;" "&amp;N2339</f>
        <v>Differentials Anode     CIF UAE (Diff) </v>
      </c>
      <c r="S2339" s="25"/>
      <c r="T2339" s="8"/>
      <c r="U2339" s="8"/>
      <c r="V2339" s="25"/>
      <c r="W2339" s="25"/>
      <c r="X2339" s="25"/>
      <c r="Y2339" s="25"/>
      <c r="Z2339" s="25"/>
      <c r="AA2339" s="25"/>
      <c r="AB2339" s="25"/>
      <c r="AC2339" s="25"/>
      <c r="AD2339" s="25"/>
    </row>
    <row r="2340" customFormat="false" ht="15.75" hidden="false" customHeight="false" outlineLevel="0" collapsed="false">
      <c r="A2340" s="28" t="s">
        <v>2755</v>
      </c>
      <c r="B2340" s="27" t="s">
        <v>438</v>
      </c>
      <c r="C2340" s="27" t="s">
        <v>177</v>
      </c>
      <c r="D2340" s="25"/>
      <c r="E2340" s="25"/>
      <c r="F2340" s="25"/>
      <c r="G2340" s="25"/>
      <c r="H2340" s="25"/>
      <c r="I2340" s="25"/>
      <c r="J2340" s="27" t="s">
        <v>2750</v>
      </c>
      <c r="K2340" s="25" t="str">
        <f aca="false">IFERROR(__xludf.dummyfunction("SPLIT(J2340,"" "")"),"CIF")</f>
        <v>CIF</v>
      </c>
      <c r="L2340" s="28" t="str">
        <f aca="false">IFERROR(__xludf.dummyfunction("""COMPUTED_VALUE"""),"UAE")</f>
        <v>UAE</v>
      </c>
      <c r="M2340" s="27" t="str">
        <f aca="false">IFERROR(__xludf.dummyfunction("""COMPUTED_VALUE"""),"(Diff)")</f>
        <v>(Diff)</v>
      </c>
      <c r="N2340" s="25"/>
      <c r="O2340" s="25"/>
      <c r="P2340" s="25"/>
      <c r="Q2340" s="29" t="s">
        <v>188</v>
      </c>
      <c r="R2340" s="8" t="str">
        <f aca="false">B2340&amp;" "&amp;C2340&amp;" "&amp;D2340&amp;" "&amp;E2340&amp;" "&amp;G2340&amp;" "&amp;H2340&amp;" "&amp;J2340&amp;" "&amp;N2340</f>
        <v>Differentials Anode     CIF UAE (Diff) </v>
      </c>
      <c r="S2340" s="25"/>
      <c r="T2340" s="8"/>
      <c r="U2340" s="8"/>
      <c r="V2340" s="25"/>
      <c r="W2340" s="25"/>
      <c r="X2340" s="25"/>
      <c r="Y2340" s="25"/>
      <c r="Z2340" s="25"/>
      <c r="AA2340" s="25"/>
      <c r="AB2340" s="25"/>
      <c r="AC2340" s="25"/>
      <c r="AD2340" s="25"/>
    </row>
    <row r="2341" customFormat="false" ht="15.75" hidden="false" customHeight="false" outlineLevel="0" collapsed="false">
      <c r="A2341" s="28" t="s">
        <v>2756</v>
      </c>
      <c r="B2341" s="27" t="s">
        <v>438</v>
      </c>
      <c r="C2341" s="27" t="s">
        <v>177</v>
      </c>
      <c r="D2341" s="25"/>
      <c r="E2341" s="25"/>
      <c r="F2341" s="25"/>
      <c r="G2341" s="25"/>
      <c r="H2341" s="25"/>
      <c r="I2341" s="25"/>
      <c r="J2341" s="27" t="s">
        <v>2750</v>
      </c>
      <c r="K2341" s="25" t="str">
        <f aca="false">IFERROR(__xludf.dummyfunction("SPLIT(J2341,"" "")"),"CIF")</f>
        <v>CIF</v>
      </c>
      <c r="L2341" s="28" t="str">
        <f aca="false">IFERROR(__xludf.dummyfunction("""COMPUTED_VALUE"""),"UAE")</f>
        <v>UAE</v>
      </c>
      <c r="M2341" s="27" t="str">
        <f aca="false">IFERROR(__xludf.dummyfunction("""COMPUTED_VALUE"""),"(Diff)")</f>
        <v>(Diff)</v>
      </c>
      <c r="N2341" s="25"/>
      <c r="O2341" s="25"/>
      <c r="P2341" s="25"/>
      <c r="Q2341" s="29" t="s">
        <v>180</v>
      </c>
      <c r="R2341" s="8" t="str">
        <f aca="false">B2341&amp;" "&amp;C2341&amp;" "&amp;D2341&amp;" "&amp;E2341&amp;" "&amp;G2341&amp;" "&amp;H2341&amp;" "&amp;J2341&amp;" "&amp;N2341</f>
        <v>Differentials Anode     CIF UAE (Diff) </v>
      </c>
      <c r="S2341" s="25"/>
      <c r="T2341" s="8"/>
      <c r="U2341" s="8"/>
      <c r="V2341" s="25"/>
      <c r="W2341" s="25"/>
      <c r="X2341" s="25"/>
      <c r="Y2341" s="25"/>
      <c r="Z2341" s="25"/>
      <c r="AA2341" s="25"/>
      <c r="AB2341" s="25"/>
      <c r="AC2341" s="25"/>
      <c r="AD2341" s="25"/>
    </row>
    <row r="2342" customFormat="false" ht="15.75" hidden="false" customHeight="false" outlineLevel="0" collapsed="false">
      <c r="A2342" s="28" t="s">
        <v>2757</v>
      </c>
      <c r="B2342" s="27" t="s">
        <v>438</v>
      </c>
      <c r="C2342" s="27" t="s">
        <v>211</v>
      </c>
      <c r="D2342" s="25"/>
      <c r="E2342" s="25"/>
      <c r="F2342" s="25"/>
      <c r="G2342" s="25"/>
      <c r="H2342" s="25"/>
      <c r="I2342" s="25"/>
      <c r="J2342" s="27" t="s">
        <v>2750</v>
      </c>
      <c r="K2342" s="25" t="str">
        <f aca="false">IFERROR(__xludf.dummyfunction("SPLIT(J2342,"" "")"),"CIF")</f>
        <v>CIF</v>
      </c>
      <c r="L2342" s="28" t="str">
        <f aca="false">IFERROR(__xludf.dummyfunction("""COMPUTED_VALUE"""),"UAE")</f>
        <v>UAE</v>
      </c>
      <c r="M2342" s="27" t="str">
        <f aca="false">IFERROR(__xludf.dummyfunction("""COMPUTED_VALUE"""),"(Diff)")</f>
        <v>(Diff)</v>
      </c>
      <c r="N2342" s="25"/>
      <c r="O2342" s="25"/>
      <c r="P2342" s="25"/>
      <c r="Q2342" s="29" t="s">
        <v>234</v>
      </c>
      <c r="R2342" s="8" t="str">
        <f aca="false">B2342&amp;" "&amp;C2342&amp;" "&amp;D2342&amp;" "&amp;E2342&amp;" "&amp;G2342&amp;" "&amp;H2342&amp;" "&amp;J2342&amp;" "&amp;N2342</f>
        <v>Differentials Binders &amp; Additives     CIF UAE (Diff) </v>
      </c>
      <c r="S2342" s="25"/>
      <c r="T2342" s="8"/>
      <c r="U2342" s="8"/>
      <c r="V2342" s="25"/>
      <c r="W2342" s="25"/>
      <c r="X2342" s="25"/>
      <c r="Y2342" s="25"/>
      <c r="Z2342" s="25"/>
      <c r="AA2342" s="25"/>
      <c r="AB2342" s="25"/>
      <c r="AC2342" s="25"/>
      <c r="AD2342" s="25"/>
    </row>
    <row r="2343" customFormat="false" ht="15.75" hidden="false" customHeight="false" outlineLevel="0" collapsed="false">
      <c r="A2343" s="28" t="s">
        <v>2758</v>
      </c>
      <c r="B2343" s="27" t="s">
        <v>438</v>
      </c>
      <c r="C2343" s="27" t="s">
        <v>211</v>
      </c>
      <c r="D2343" s="25"/>
      <c r="E2343" s="25"/>
      <c r="F2343" s="25"/>
      <c r="G2343" s="25"/>
      <c r="H2343" s="25"/>
      <c r="I2343" s="25"/>
      <c r="J2343" s="27" t="s">
        <v>2750</v>
      </c>
      <c r="K2343" s="25" t="str">
        <f aca="false">IFERROR(__xludf.dummyfunction("SPLIT(J2343,"" "")"),"CIF")</f>
        <v>CIF</v>
      </c>
      <c r="L2343" s="28" t="str">
        <f aca="false">IFERROR(__xludf.dummyfunction("""COMPUTED_VALUE"""),"UAE")</f>
        <v>UAE</v>
      </c>
      <c r="M2343" s="27" t="str">
        <f aca="false">IFERROR(__xludf.dummyfunction("""COMPUTED_VALUE"""),"(Diff)")</f>
        <v>(Diff)</v>
      </c>
      <c r="N2343" s="25"/>
      <c r="O2343" s="25"/>
      <c r="P2343" s="25"/>
      <c r="Q2343" s="29" t="s">
        <v>232</v>
      </c>
      <c r="R2343" s="8" t="str">
        <f aca="false">B2343&amp;" "&amp;C2343&amp;" "&amp;D2343&amp;" "&amp;E2343&amp;" "&amp;G2343&amp;" "&amp;H2343&amp;" "&amp;J2343&amp;" "&amp;N2343</f>
        <v>Differentials Binders &amp; Additives     CIF UAE (Diff) </v>
      </c>
      <c r="S2343" s="25"/>
      <c r="T2343" s="8"/>
      <c r="U2343" s="8"/>
      <c r="V2343" s="25"/>
      <c r="W2343" s="25"/>
      <c r="X2343" s="25"/>
      <c r="Y2343" s="25"/>
      <c r="Z2343" s="25"/>
      <c r="AA2343" s="25"/>
      <c r="AB2343" s="25"/>
      <c r="AC2343" s="25"/>
      <c r="AD2343" s="25"/>
    </row>
    <row r="2344" customFormat="false" ht="15.75" hidden="false" customHeight="false" outlineLevel="0" collapsed="false">
      <c r="A2344" s="28" t="s">
        <v>2759</v>
      </c>
      <c r="B2344" s="27" t="s">
        <v>438</v>
      </c>
      <c r="C2344" s="27" t="s">
        <v>211</v>
      </c>
      <c r="D2344" s="25"/>
      <c r="E2344" s="25"/>
      <c r="F2344" s="25"/>
      <c r="G2344" s="25"/>
      <c r="H2344" s="25"/>
      <c r="I2344" s="25"/>
      <c r="J2344" s="27" t="s">
        <v>2750</v>
      </c>
      <c r="K2344" s="25" t="str">
        <f aca="false">IFERROR(__xludf.dummyfunction("SPLIT(J2344,"" "")"),"CIF")</f>
        <v>CIF</v>
      </c>
      <c r="L2344" s="28" t="str">
        <f aca="false">IFERROR(__xludf.dummyfunction("""COMPUTED_VALUE"""),"UAE")</f>
        <v>UAE</v>
      </c>
      <c r="M2344" s="27" t="str">
        <f aca="false">IFERROR(__xludf.dummyfunction("""COMPUTED_VALUE"""),"(Diff)")</f>
        <v>(Diff)</v>
      </c>
      <c r="N2344" s="25"/>
      <c r="O2344" s="25"/>
      <c r="P2344" s="25"/>
      <c r="Q2344" s="29" t="s">
        <v>230</v>
      </c>
      <c r="R2344" s="8" t="str">
        <f aca="false">B2344&amp;" "&amp;C2344&amp;" "&amp;D2344&amp;" "&amp;E2344&amp;" "&amp;G2344&amp;" "&amp;H2344&amp;" "&amp;J2344&amp;" "&amp;N2344</f>
        <v>Differentials Binders &amp; Additives     CIF UAE (Diff) </v>
      </c>
      <c r="S2344" s="25"/>
      <c r="T2344" s="8"/>
      <c r="U2344" s="8"/>
      <c r="V2344" s="25"/>
      <c r="W2344" s="25"/>
      <c r="X2344" s="25"/>
      <c r="Y2344" s="25"/>
      <c r="Z2344" s="25"/>
      <c r="AA2344" s="25"/>
      <c r="AB2344" s="25"/>
      <c r="AC2344" s="25"/>
      <c r="AD2344" s="25"/>
    </row>
    <row r="2345" customFormat="false" ht="15.75" hidden="false" customHeight="false" outlineLevel="0" collapsed="false">
      <c r="A2345" s="28" t="s">
        <v>2760</v>
      </c>
      <c r="B2345" s="27" t="s">
        <v>438</v>
      </c>
      <c r="C2345" s="27" t="s">
        <v>211</v>
      </c>
      <c r="D2345" s="25"/>
      <c r="E2345" s="25"/>
      <c r="F2345" s="25"/>
      <c r="G2345" s="25"/>
      <c r="H2345" s="25"/>
      <c r="I2345" s="25"/>
      <c r="J2345" s="27" t="s">
        <v>2750</v>
      </c>
      <c r="K2345" s="25" t="str">
        <f aca="false">IFERROR(__xludf.dummyfunction("SPLIT(J2345,"" "")"),"CIF")</f>
        <v>CIF</v>
      </c>
      <c r="L2345" s="28" t="str">
        <f aca="false">IFERROR(__xludf.dummyfunction("""COMPUTED_VALUE"""),"UAE")</f>
        <v>UAE</v>
      </c>
      <c r="M2345" s="27" t="str">
        <f aca="false">IFERROR(__xludf.dummyfunction("""COMPUTED_VALUE"""),"(Diff)")</f>
        <v>(Diff)</v>
      </c>
      <c r="N2345" s="25"/>
      <c r="O2345" s="25"/>
      <c r="P2345" s="25"/>
      <c r="Q2345" s="29" t="s">
        <v>228</v>
      </c>
      <c r="R2345" s="8" t="str">
        <f aca="false">B2345&amp;" "&amp;C2345&amp;" "&amp;D2345&amp;" "&amp;E2345&amp;" "&amp;G2345&amp;" "&amp;H2345&amp;" "&amp;J2345&amp;" "&amp;N2345</f>
        <v>Differentials Binders &amp; Additives     CIF UAE (Diff) </v>
      </c>
      <c r="S2345" s="25"/>
      <c r="T2345" s="8"/>
      <c r="U2345" s="8"/>
      <c r="V2345" s="25"/>
      <c r="W2345" s="25"/>
      <c r="X2345" s="25"/>
      <c r="Y2345" s="25"/>
      <c r="Z2345" s="25"/>
      <c r="AA2345" s="25"/>
      <c r="AB2345" s="25"/>
      <c r="AC2345" s="25"/>
      <c r="AD2345" s="25"/>
    </row>
    <row r="2346" customFormat="false" ht="15.75" hidden="false" customHeight="false" outlineLevel="0" collapsed="false">
      <c r="A2346" s="28" t="s">
        <v>2761</v>
      </c>
      <c r="B2346" s="27" t="s">
        <v>438</v>
      </c>
      <c r="C2346" s="27" t="s">
        <v>211</v>
      </c>
      <c r="D2346" s="25"/>
      <c r="E2346" s="25"/>
      <c r="F2346" s="25"/>
      <c r="G2346" s="25"/>
      <c r="H2346" s="25"/>
      <c r="I2346" s="25"/>
      <c r="J2346" s="27" t="s">
        <v>2750</v>
      </c>
      <c r="K2346" s="25" t="str">
        <f aca="false">IFERROR(__xludf.dummyfunction("SPLIT(J2346,"" "")"),"CIF")</f>
        <v>CIF</v>
      </c>
      <c r="L2346" s="28" t="str">
        <f aca="false">IFERROR(__xludf.dummyfunction("""COMPUTED_VALUE"""),"UAE")</f>
        <v>UAE</v>
      </c>
      <c r="M2346" s="27" t="str">
        <f aca="false">IFERROR(__xludf.dummyfunction("""COMPUTED_VALUE"""),"(Diff)")</f>
        <v>(Diff)</v>
      </c>
      <c r="N2346" s="25"/>
      <c r="O2346" s="25"/>
      <c r="P2346" s="25"/>
      <c r="Q2346" s="29" t="s">
        <v>226</v>
      </c>
      <c r="R2346" s="8" t="str">
        <f aca="false">B2346&amp;" "&amp;C2346&amp;" "&amp;D2346&amp;" "&amp;E2346&amp;" "&amp;G2346&amp;" "&amp;H2346&amp;" "&amp;J2346&amp;" "&amp;N2346</f>
        <v>Differentials Binders &amp; Additives     CIF UAE (Diff) </v>
      </c>
      <c r="S2346" s="25"/>
      <c r="T2346" s="8"/>
      <c r="U2346" s="8"/>
      <c r="V2346" s="25"/>
      <c r="W2346" s="25"/>
      <c r="X2346" s="25"/>
      <c r="Y2346" s="25"/>
      <c r="Z2346" s="25"/>
      <c r="AA2346" s="25"/>
      <c r="AB2346" s="25"/>
      <c r="AC2346" s="25"/>
      <c r="AD2346" s="25"/>
    </row>
    <row r="2347" customFormat="false" ht="15.75" hidden="false" customHeight="false" outlineLevel="0" collapsed="false">
      <c r="A2347" s="28" t="s">
        <v>2762</v>
      </c>
      <c r="B2347" s="27" t="s">
        <v>438</v>
      </c>
      <c r="C2347" s="27" t="s">
        <v>211</v>
      </c>
      <c r="D2347" s="25"/>
      <c r="E2347" s="25"/>
      <c r="F2347" s="25"/>
      <c r="G2347" s="25"/>
      <c r="H2347" s="25"/>
      <c r="I2347" s="25"/>
      <c r="J2347" s="27" t="s">
        <v>2750</v>
      </c>
      <c r="K2347" s="25" t="str">
        <f aca="false">IFERROR(__xludf.dummyfunction("SPLIT(J2347,"" "")"),"CIF")</f>
        <v>CIF</v>
      </c>
      <c r="L2347" s="28" t="str">
        <f aca="false">IFERROR(__xludf.dummyfunction("""COMPUTED_VALUE"""),"UAE")</f>
        <v>UAE</v>
      </c>
      <c r="M2347" s="27" t="str">
        <f aca="false">IFERROR(__xludf.dummyfunction("""COMPUTED_VALUE"""),"(Diff)")</f>
        <v>(Diff)</v>
      </c>
      <c r="N2347" s="25"/>
      <c r="O2347" s="25"/>
      <c r="P2347" s="25"/>
      <c r="Q2347" s="29" t="s">
        <v>224</v>
      </c>
      <c r="R2347" s="8" t="str">
        <f aca="false">B2347&amp;" "&amp;C2347&amp;" "&amp;D2347&amp;" "&amp;E2347&amp;" "&amp;G2347&amp;" "&amp;H2347&amp;" "&amp;J2347&amp;" "&amp;N2347</f>
        <v>Differentials Binders &amp; Additives     CIF UAE (Diff) </v>
      </c>
      <c r="S2347" s="25"/>
      <c r="T2347" s="8"/>
      <c r="U2347" s="8"/>
      <c r="V2347" s="25"/>
      <c r="W2347" s="25"/>
      <c r="X2347" s="25"/>
      <c r="Y2347" s="25"/>
      <c r="Z2347" s="25"/>
      <c r="AA2347" s="25"/>
      <c r="AB2347" s="25"/>
      <c r="AC2347" s="25"/>
      <c r="AD2347" s="25"/>
    </row>
    <row r="2348" customFormat="false" ht="15.75" hidden="false" customHeight="false" outlineLevel="0" collapsed="false">
      <c r="A2348" s="28" t="s">
        <v>2763</v>
      </c>
      <c r="B2348" s="27" t="s">
        <v>438</v>
      </c>
      <c r="C2348" s="27" t="s">
        <v>211</v>
      </c>
      <c r="D2348" s="25"/>
      <c r="E2348" s="25"/>
      <c r="F2348" s="25"/>
      <c r="G2348" s="25"/>
      <c r="H2348" s="25"/>
      <c r="I2348" s="25"/>
      <c r="J2348" s="27" t="s">
        <v>2750</v>
      </c>
      <c r="K2348" s="25" t="str">
        <f aca="false">IFERROR(__xludf.dummyfunction("SPLIT(J2348,"" "")"),"CIF")</f>
        <v>CIF</v>
      </c>
      <c r="L2348" s="28" t="str">
        <f aca="false">IFERROR(__xludf.dummyfunction("""COMPUTED_VALUE"""),"UAE")</f>
        <v>UAE</v>
      </c>
      <c r="M2348" s="27" t="str">
        <f aca="false">IFERROR(__xludf.dummyfunction("""COMPUTED_VALUE"""),"(Diff)")</f>
        <v>(Diff)</v>
      </c>
      <c r="N2348" s="25"/>
      <c r="O2348" s="25"/>
      <c r="P2348" s="25"/>
      <c r="Q2348" s="29" t="s">
        <v>222</v>
      </c>
      <c r="R2348" s="8" t="str">
        <f aca="false">B2348&amp;" "&amp;C2348&amp;" "&amp;D2348&amp;" "&amp;E2348&amp;" "&amp;G2348&amp;" "&amp;H2348&amp;" "&amp;J2348&amp;" "&amp;N2348</f>
        <v>Differentials Binders &amp; Additives     CIF UAE (Diff) </v>
      </c>
      <c r="S2348" s="25"/>
      <c r="T2348" s="8"/>
      <c r="U2348" s="8"/>
      <c r="V2348" s="25"/>
      <c r="W2348" s="25"/>
      <c r="X2348" s="25"/>
      <c r="Y2348" s="25"/>
      <c r="Z2348" s="25"/>
      <c r="AA2348" s="25"/>
      <c r="AB2348" s="25"/>
      <c r="AC2348" s="25"/>
      <c r="AD2348" s="25"/>
    </row>
    <row r="2349" customFormat="false" ht="15.75" hidden="false" customHeight="false" outlineLevel="0" collapsed="false">
      <c r="A2349" s="28" t="s">
        <v>2764</v>
      </c>
      <c r="B2349" s="27" t="s">
        <v>438</v>
      </c>
      <c r="C2349" s="27" t="s">
        <v>211</v>
      </c>
      <c r="D2349" s="25"/>
      <c r="E2349" s="25"/>
      <c r="F2349" s="25"/>
      <c r="G2349" s="25"/>
      <c r="H2349" s="25"/>
      <c r="I2349" s="25"/>
      <c r="J2349" s="27" t="s">
        <v>2750</v>
      </c>
      <c r="K2349" s="25" t="str">
        <f aca="false">IFERROR(__xludf.dummyfunction("SPLIT(J2349,"" "")"),"CIF")</f>
        <v>CIF</v>
      </c>
      <c r="L2349" s="28" t="str">
        <f aca="false">IFERROR(__xludf.dummyfunction("""COMPUTED_VALUE"""),"UAE")</f>
        <v>UAE</v>
      </c>
      <c r="M2349" s="27" t="str">
        <f aca="false">IFERROR(__xludf.dummyfunction("""COMPUTED_VALUE"""),"(Diff)")</f>
        <v>(Diff)</v>
      </c>
      <c r="N2349" s="25"/>
      <c r="O2349" s="25"/>
      <c r="P2349" s="25"/>
      <c r="Q2349" s="29" t="s">
        <v>220</v>
      </c>
      <c r="R2349" s="8" t="str">
        <f aca="false">B2349&amp;" "&amp;C2349&amp;" "&amp;D2349&amp;" "&amp;E2349&amp;" "&amp;G2349&amp;" "&amp;H2349&amp;" "&amp;J2349&amp;" "&amp;N2349</f>
        <v>Differentials Binders &amp; Additives     CIF UAE (Diff) </v>
      </c>
      <c r="S2349" s="25"/>
      <c r="T2349" s="8"/>
      <c r="U2349" s="8"/>
      <c r="V2349" s="25"/>
      <c r="W2349" s="25"/>
      <c r="X2349" s="25"/>
      <c r="Y2349" s="25"/>
      <c r="Z2349" s="25"/>
      <c r="AA2349" s="25"/>
      <c r="AB2349" s="25"/>
      <c r="AC2349" s="25"/>
      <c r="AD2349" s="25"/>
    </row>
    <row r="2350" customFormat="false" ht="15.75" hidden="false" customHeight="false" outlineLevel="0" collapsed="false">
      <c r="A2350" s="28" t="s">
        <v>2765</v>
      </c>
      <c r="B2350" s="27" t="s">
        <v>438</v>
      </c>
      <c r="C2350" s="27" t="s">
        <v>211</v>
      </c>
      <c r="D2350" s="25"/>
      <c r="E2350" s="25"/>
      <c r="F2350" s="25"/>
      <c r="G2350" s="25"/>
      <c r="H2350" s="25"/>
      <c r="I2350" s="25"/>
      <c r="J2350" s="27" t="s">
        <v>2750</v>
      </c>
      <c r="K2350" s="25" t="str">
        <f aca="false">IFERROR(__xludf.dummyfunction("SPLIT(J2350,"" "")"),"CIF")</f>
        <v>CIF</v>
      </c>
      <c r="L2350" s="28" t="str">
        <f aca="false">IFERROR(__xludf.dummyfunction("""COMPUTED_VALUE"""),"UAE")</f>
        <v>UAE</v>
      </c>
      <c r="M2350" s="27" t="str">
        <f aca="false">IFERROR(__xludf.dummyfunction("""COMPUTED_VALUE"""),"(Diff)")</f>
        <v>(Diff)</v>
      </c>
      <c r="N2350" s="25"/>
      <c r="O2350" s="25"/>
      <c r="P2350" s="25"/>
      <c r="Q2350" s="29" t="s">
        <v>218</v>
      </c>
      <c r="R2350" s="8" t="str">
        <f aca="false">B2350&amp;" "&amp;C2350&amp;" "&amp;D2350&amp;" "&amp;E2350&amp;" "&amp;G2350&amp;" "&amp;H2350&amp;" "&amp;J2350&amp;" "&amp;N2350</f>
        <v>Differentials Binders &amp; Additives     CIF UAE (Diff) </v>
      </c>
      <c r="S2350" s="25"/>
      <c r="T2350" s="8"/>
      <c r="U2350" s="8"/>
      <c r="V2350" s="25"/>
      <c r="W2350" s="25"/>
      <c r="X2350" s="25"/>
      <c r="Y2350" s="25"/>
      <c r="Z2350" s="25"/>
      <c r="AA2350" s="25"/>
      <c r="AB2350" s="25"/>
      <c r="AC2350" s="25"/>
      <c r="AD2350" s="25"/>
    </row>
    <row r="2351" customFormat="false" ht="15.75" hidden="false" customHeight="false" outlineLevel="0" collapsed="false">
      <c r="A2351" s="28" t="s">
        <v>2766</v>
      </c>
      <c r="B2351" s="27" t="s">
        <v>438</v>
      </c>
      <c r="C2351" s="27" t="s">
        <v>211</v>
      </c>
      <c r="D2351" s="25"/>
      <c r="E2351" s="25"/>
      <c r="F2351" s="25"/>
      <c r="G2351" s="25"/>
      <c r="H2351" s="25"/>
      <c r="I2351" s="25"/>
      <c r="J2351" s="27" t="s">
        <v>2750</v>
      </c>
      <c r="K2351" s="25" t="str">
        <f aca="false">IFERROR(__xludf.dummyfunction("SPLIT(J2351,"" "")"),"CIF")</f>
        <v>CIF</v>
      </c>
      <c r="L2351" s="28" t="str">
        <f aca="false">IFERROR(__xludf.dummyfunction("""COMPUTED_VALUE"""),"UAE")</f>
        <v>UAE</v>
      </c>
      <c r="M2351" s="27" t="str">
        <f aca="false">IFERROR(__xludf.dummyfunction("""COMPUTED_VALUE"""),"(Diff)")</f>
        <v>(Diff)</v>
      </c>
      <c r="N2351" s="25"/>
      <c r="O2351" s="25"/>
      <c r="P2351" s="25"/>
      <c r="Q2351" s="29" t="s">
        <v>215</v>
      </c>
      <c r="R2351" s="8" t="str">
        <f aca="false">B2351&amp;" "&amp;C2351&amp;" "&amp;D2351&amp;" "&amp;E2351&amp;" "&amp;G2351&amp;" "&amp;H2351&amp;" "&amp;J2351&amp;" "&amp;N2351</f>
        <v>Differentials Binders &amp; Additives     CIF UAE (Diff) </v>
      </c>
      <c r="S2351" s="25"/>
      <c r="T2351" s="8"/>
      <c r="U2351" s="8"/>
      <c r="V2351" s="25"/>
      <c r="W2351" s="25"/>
      <c r="X2351" s="25"/>
      <c r="Y2351" s="25"/>
      <c r="Z2351" s="25"/>
      <c r="AA2351" s="25"/>
      <c r="AB2351" s="25"/>
      <c r="AC2351" s="25"/>
      <c r="AD2351" s="25"/>
    </row>
    <row r="2352" customFormat="false" ht="15.75" hidden="false" customHeight="false" outlineLevel="0" collapsed="false">
      <c r="A2352" s="28" t="s">
        <v>2767</v>
      </c>
      <c r="B2352" s="27" t="s">
        <v>438</v>
      </c>
      <c r="C2352" s="27" t="s">
        <v>211</v>
      </c>
      <c r="D2352" s="25"/>
      <c r="E2352" s="25"/>
      <c r="F2352" s="25"/>
      <c r="G2352" s="25"/>
      <c r="H2352" s="25"/>
      <c r="I2352" s="25"/>
      <c r="J2352" s="27" t="s">
        <v>2750</v>
      </c>
      <c r="K2352" s="25" t="str">
        <f aca="false">IFERROR(__xludf.dummyfunction("SPLIT(J2352,"" "")"),"CIF")</f>
        <v>CIF</v>
      </c>
      <c r="L2352" s="28" t="str">
        <f aca="false">IFERROR(__xludf.dummyfunction("""COMPUTED_VALUE"""),"UAE")</f>
        <v>UAE</v>
      </c>
      <c r="M2352" s="27" t="str">
        <f aca="false">IFERROR(__xludf.dummyfunction("""COMPUTED_VALUE"""),"(Diff)")</f>
        <v>(Diff)</v>
      </c>
      <c r="N2352" s="25"/>
      <c r="O2352" s="25"/>
      <c r="P2352" s="25"/>
      <c r="Q2352" s="29" t="s">
        <v>213</v>
      </c>
      <c r="R2352" s="8" t="str">
        <f aca="false">B2352&amp;" "&amp;C2352&amp;" "&amp;D2352&amp;" "&amp;E2352&amp;" "&amp;G2352&amp;" "&amp;H2352&amp;" "&amp;J2352&amp;" "&amp;N2352</f>
        <v>Differentials Binders &amp; Additives     CIF UAE (Diff) </v>
      </c>
      <c r="S2352" s="25"/>
      <c r="T2352" s="8"/>
      <c r="U2352" s="8"/>
      <c r="V2352" s="25"/>
      <c r="W2352" s="25"/>
      <c r="X2352" s="25"/>
      <c r="Y2352" s="25"/>
      <c r="Z2352" s="25"/>
      <c r="AA2352" s="25"/>
      <c r="AB2352" s="25"/>
      <c r="AC2352" s="25"/>
      <c r="AD2352" s="25"/>
    </row>
    <row r="2353" customFormat="false" ht="15.75" hidden="false" customHeight="false" outlineLevel="0" collapsed="false">
      <c r="A2353" s="28" t="s">
        <v>2768</v>
      </c>
      <c r="B2353" s="27" t="s">
        <v>438</v>
      </c>
      <c r="C2353" s="27" t="s">
        <v>236</v>
      </c>
      <c r="D2353" s="25"/>
      <c r="E2353" s="25"/>
      <c r="F2353" s="25"/>
      <c r="G2353" s="25"/>
      <c r="H2353" s="25"/>
      <c r="I2353" s="25"/>
      <c r="J2353" s="27" t="s">
        <v>2750</v>
      </c>
      <c r="K2353" s="25" t="str">
        <f aca="false">IFERROR(__xludf.dummyfunction("SPLIT(J2353,"" "")"),"CIF")</f>
        <v>CIF</v>
      </c>
      <c r="L2353" s="28" t="str">
        <f aca="false">IFERROR(__xludf.dummyfunction("""COMPUTED_VALUE"""),"UAE")</f>
        <v>UAE</v>
      </c>
      <c r="M2353" s="27" t="str">
        <f aca="false">IFERROR(__xludf.dummyfunction("""COMPUTED_VALUE"""),"(Diff)")</f>
        <v>(Diff)</v>
      </c>
      <c r="N2353" s="25"/>
      <c r="O2353" s="25"/>
      <c r="P2353" s="25"/>
      <c r="Q2353" s="29" t="s">
        <v>271</v>
      </c>
      <c r="R2353" s="8" t="str">
        <f aca="false">B2353&amp;" "&amp;C2353&amp;" "&amp;D2353&amp;" "&amp;E2353&amp;" "&amp;G2353&amp;" "&amp;H2353&amp;" "&amp;J2353&amp;" "&amp;N2353</f>
        <v>Differentials Cathode     CIF UAE (Diff) </v>
      </c>
      <c r="S2353" s="25"/>
      <c r="T2353" s="8"/>
      <c r="U2353" s="8"/>
      <c r="V2353" s="25"/>
      <c r="W2353" s="25"/>
      <c r="X2353" s="25"/>
      <c r="Y2353" s="25"/>
      <c r="Z2353" s="25"/>
      <c r="AA2353" s="25"/>
      <c r="AB2353" s="25"/>
      <c r="AC2353" s="25"/>
      <c r="AD2353" s="25"/>
    </row>
    <row r="2354" customFormat="false" ht="15.75" hidden="false" customHeight="false" outlineLevel="0" collapsed="false">
      <c r="A2354" s="28" t="s">
        <v>2769</v>
      </c>
      <c r="B2354" s="27" t="s">
        <v>438</v>
      </c>
      <c r="C2354" s="27" t="s">
        <v>236</v>
      </c>
      <c r="D2354" s="25"/>
      <c r="E2354" s="25"/>
      <c r="F2354" s="25"/>
      <c r="G2354" s="25"/>
      <c r="H2354" s="25"/>
      <c r="I2354" s="25"/>
      <c r="J2354" s="27" t="s">
        <v>2750</v>
      </c>
      <c r="K2354" s="25" t="str">
        <f aca="false">IFERROR(__xludf.dummyfunction("SPLIT(J2354,"" "")"),"CIF")</f>
        <v>CIF</v>
      </c>
      <c r="L2354" s="28" t="str">
        <f aca="false">IFERROR(__xludf.dummyfunction("""COMPUTED_VALUE"""),"UAE")</f>
        <v>UAE</v>
      </c>
      <c r="M2354" s="27" t="str">
        <f aca="false">IFERROR(__xludf.dummyfunction("""COMPUTED_VALUE"""),"(Diff)")</f>
        <v>(Diff)</v>
      </c>
      <c r="N2354" s="25"/>
      <c r="O2354" s="25"/>
      <c r="P2354" s="25"/>
      <c r="Q2354" s="29" t="s">
        <v>266</v>
      </c>
      <c r="R2354" s="8" t="str">
        <f aca="false">B2354&amp;" "&amp;C2354&amp;" "&amp;D2354&amp;" "&amp;E2354&amp;" "&amp;G2354&amp;" "&amp;H2354&amp;" "&amp;J2354&amp;" "&amp;N2354</f>
        <v>Differentials Cathode     CIF UAE (Diff) </v>
      </c>
      <c r="S2354" s="25"/>
      <c r="T2354" s="8"/>
      <c r="U2354" s="8"/>
      <c r="V2354" s="25"/>
      <c r="W2354" s="25"/>
      <c r="X2354" s="25"/>
      <c r="Y2354" s="25"/>
      <c r="Z2354" s="25"/>
      <c r="AA2354" s="25"/>
      <c r="AB2354" s="25"/>
      <c r="AC2354" s="25"/>
      <c r="AD2354" s="25"/>
    </row>
    <row r="2355" customFormat="false" ht="15.75" hidden="false" customHeight="false" outlineLevel="0" collapsed="false">
      <c r="A2355" s="28" t="s">
        <v>2770</v>
      </c>
      <c r="B2355" s="27" t="s">
        <v>438</v>
      </c>
      <c r="C2355" s="27" t="s">
        <v>236</v>
      </c>
      <c r="D2355" s="25"/>
      <c r="E2355" s="25"/>
      <c r="F2355" s="25"/>
      <c r="G2355" s="25"/>
      <c r="H2355" s="25"/>
      <c r="I2355" s="25"/>
      <c r="J2355" s="27" t="s">
        <v>2750</v>
      </c>
      <c r="K2355" s="25" t="str">
        <f aca="false">IFERROR(__xludf.dummyfunction("SPLIT(J2355,"" "")"),"CIF")</f>
        <v>CIF</v>
      </c>
      <c r="L2355" s="28" t="str">
        <f aca="false">IFERROR(__xludf.dummyfunction("""COMPUTED_VALUE"""),"UAE")</f>
        <v>UAE</v>
      </c>
      <c r="M2355" s="27" t="str">
        <f aca="false">IFERROR(__xludf.dummyfunction("""COMPUTED_VALUE"""),"(Diff)")</f>
        <v>(Diff)</v>
      </c>
      <c r="N2355" s="25"/>
      <c r="O2355" s="25"/>
      <c r="P2355" s="25"/>
      <c r="Q2355" s="29" t="s">
        <v>261</v>
      </c>
      <c r="R2355" s="8" t="str">
        <f aca="false">B2355&amp;" "&amp;C2355&amp;" "&amp;D2355&amp;" "&amp;E2355&amp;" "&amp;G2355&amp;" "&amp;H2355&amp;" "&amp;J2355&amp;" "&amp;N2355</f>
        <v>Differentials Cathode     CIF UAE (Diff) </v>
      </c>
      <c r="S2355" s="25"/>
      <c r="T2355" s="8"/>
      <c r="U2355" s="8"/>
      <c r="V2355" s="25"/>
      <c r="W2355" s="25"/>
      <c r="X2355" s="25"/>
      <c r="Y2355" s="25"/>
      <c r="Z2355" s="25"/>
      <c r="AA2355" s="25"/>
      <c r="AB2355" s="25"/>
      <c r="AC2355" s="25"/>
      <c r="AD2355" s="25"/>
    </row>
    <row r="2356" customFormat="false" ht="15.75" hidden="false" customHeight="false" outlineLevel="0" collapsed="false">
      <c r="A2356" s="28" t="s">
        <v>2771</v>
      </c>
      <c r="B2356" s="27" t="s">
        <v>438</v>
      </c>
      <c r="C2356" s="27" t="s">
        <v>236</v>
      </c>
      <c r="D2356" s="25"/>
      <c r="E2356" s="25"/>
      <c r="F2356" s="25"/>
      <c r="G2356" s="25"/>
      <c r="H2356" s="25"/>
      <c r="I2356" s="25"/>
      <c r="J2356" s="27" t="s">
        <v>2750</v>
      </c>
      <c r="K2356" s="25" t="str">
        <f aca="false">IFERROR(__xludf.dummyfunction("SPLIT(J2356,"" "")"),"CIF")</f>
        <v>CIF</v>
      </c>
      <c r="L2356" s="28" t="str">
        <f aca="false">IFERROR(__xludf.dummyfunction("""COMPUTED_VALUE"""),"UAE")</f>
        <v>UAE</v>
      </c>
      <c r="M2356" s="27" t="str">
        <f aca="false">IFERROR(__xludf.dummyfunction("""COMPUTED_VALUE"""),"(Diff)")</f>
        <v>(Diff)</v>
      </c>
      <c r="N2356" s="25"/>
      <c r="O2356" s="25"/>
      <c r="P2356" s="25"/>
      <c r="Q2356" s="29" t="s">
        <v>256</v>
      </c>
      <c r="R2356" s="8" t="str">
        <f aca="false">B2356&amp;" "&amp;C2356&amp;" "&amp;D2356&amp;" "&amp;E2356&amp;" "&amp;G2356&amp;" "&amp;H2356&amp;" "&amp;J2356&amp;" "&amp;N2356</f>
        <v>Differentials Cathode     CIF UAE (Diff) </v>
      </c>
      <c r="S2356" s="25"/>
      <c r="T2356" s="8"/>
      <c r="U2356" s="8"/>
      <c r="V2356" s="25"/>
      <c r="W2356" s="25"/>
      <c r="X2356" s="25"/>
      <c r="Y2356" s="25"/>
      <c r="Z2356" s="25"/>
      <c r="AA2356" s="25"/>
      <c r="AB2356" s="25"/>
      <c r="AC2356" s="25"/>
      <c r="AD2356" s="25"/>
    </row>
    <row r="2357" customFormat="false" ht="15.75" hidden="false" customHeight="false" outlineLevel="0" collapsed="false">
      <c r="A2357" s="28" t="s">
        <v>2772</v>
      </c>
      <c r="B2357" s="27" t="s">
        <v>438</v>
      </c>
      <c r="C2357" s="27" t="s">
        <v>236</v>
      </c>
      <c r="D2357" s="25"/>
      <c r="E2357" s="25"/>
      <c r="F2357" s="25"/>
      <c r="G2357" s="25"/>
      <c r="H2357" s="25"/>
      <c r="I2357" s="25"/>
      <c r="J2357" s="27" t="s">
        <v>2750</v>
      </c>
      <c r="K2357" s="25" t="str">
        <f aca="false">IFERROR(__xludf.dummyfunction("SPLIT(J2357,"" "")"),"CIF")</f>
        <v>CIF</v>
      </c>
      <c r="L2357" s="28" t="str">
        <f aca="false">IFERROR(__xludf.dummyfunction("""COMPUTED_VALUE"""),"UAE")</f>
        <v>UAE</v>
      </c>
      <c r="M2357" s="27" t="str">
        <f aca="false">IFERROR(__xludf.dummyfunction("""COMPUTED_VALUE"""),"(Diff)")</f>
        <v>(Diff)</v>
      </c>
      <c r="N2357" s="25"/>
      <c r="O2357" s="25"/>
      <c r="P2357" s="25"/>
      <c r="Q2357" s="29" t="s">
        <v>251</v>
      </c>
      <c r="R2357" s="8" t="str">
        <f aca="false">B2357&amp;" "&amp;C2357&amp;" "&amp;D2357&amp;" "&amp;E2357&amp;" "&amp;G2357&amp;" "&amp;H2357&amp;" "&amp;J2357&amp;" "&amp;N2357</f>
        <v>Differentials Cathode     CIF UAE (Diff) </v>
      </c>
      <c r="S2357" s="25"/>
      <c r="T2357" s="8"/>
      <c r="U2357" s="8"/>
      <c r="V2357" s="25"/>
      <c r="W2357" s="25"/>
      <c r="X2357" s="25"/>
      <c r="Y2357" s="25"/>
      <c r="Z2357" s="25"/>
      <c r="AA2357" s="25"/>
      <c r="AB2357" s="25"/>
      <c r="AC2357" s="25"/>
      <c r="AD2357" s="25"/>
    </row>
    <row r="2358" customFormat="false" ht="15.75" hidden="false" customHeight="false" outlineLevel="0" collapsed="false">
      <c r="A2358" s="28" t="s">
        <v>2773</v>
      </c>
      <c r="B2358" s="27" t="s">
        <v>438</v>
      </c>
      <c r="C2358" s="27" t="s">
        <v>236</v>
      </c>
      <c r="D2358" s="25"/>
      <c r="E2358" s="25"/>
      <c r="F2358" s="25"/>
      <c r="G2358" s="25"/>
      <c r="H2358" s="25"/>
      <c r="I2358" s="25"/>
      <c r="J2358" s="27" t="s">
        <v>2750</v>
      </c>
      <c r="K2358" s="25" t="str">
        <f aca="false">IFERROR(__xludf.dummyfunction("SPLIT(J2358,"" "")"),"CIF")</f>
        <v>CIF</v>
      </c>
      <c r="L2358" s="28" t="str">
        <f aca="false">IFERROR(__xludf.dummyfunction("""COMPUTED_VALUE"""),"UAE")</f>
        <v>UAE</v>
      </c>
      <c r="M2358" s="27" t="str">
        <f aca="false">IFERROR(__xludf.dummyfunction("""COMPUTED_VALUE"""),"(Diff)")</f>
        <v>(Diff)</v>
      </c>
      <c r="N2358" s="25"/>
      <c r="O2358" s="25"/>
      <c r="P2358" s="25"/>
      <c r="Q2358" s="29" t="s">
        <v>247</v>
      </c>
      <c r="R2358" s="8" t="str">
        <f aca="false">B2358&amp;" "&amp;C2358&amp;" "&amp;D2358&amp;" "&amp;E2358&amp;" "&amp;G2358&amp;" "&amp;H2358&amp;" "&amp;J2358&amp;" "&amp;N2358</f>
        <v>Differentials Cathode     CIF UAE (Diff) </v>
      </c>
      <c r="S2358" s="25"/>
      <c r="T2358" s="8"/>
      <c r="U2358" s="8"/>
      <c r="V2358" s="25"/>
      <c r="W2358" s="25"/>
      <c r="X2358" s="25"/>
      <c r="Y2358" s="25"/>
      <c r="Z2358" s="25"/>
      <c r="AA2358" s="25"/>
      <c r="AB2358" s="25"/>
      <c r="AC2358" s="25"/>
      <c r="AD2358" s="25"/>
    </row>
    <row r="2359" customFormat="false" ht="15.75" hidden="false" customHeight="false" outlineLevel="0" collapsed="false">
      <c r="A2359" s="28" t="s">
        <v>2774</v>
      </c>
      <c r="B2359" s="27" t="s">
        <v>438</v>
      </c>
      <c r="C2359" s="27" t="s">
        <v>236</v>
      </c>
      <c r="D2359" s="25"/>
      <c r="E2359" s="25"/>
      <c r="F2359" s="25"/>
      <c r="G2359" s="25"/>
      <c r="H2359" s="25"/>
      <c r="I2359" s="25"/>
      <c r="J2359" s="27" t="s">
        <v>2750</v>
      </c>
      <c r="K2359" s="25" t="str">
        <f aca="false">IFERROR(__xludf.dummyfunction("SPLIT(J2359,"" "")"),"CIF")</f>
        <v>CIF</v>
      </c>
      <c r="L2359" s="28" t="str">
        <f aca="false">IFERROR(__xludf.dummyfunction("""COMPUTED_VALUE"""),"UAE")</f>
        <v>UAE</v>
      </c>
      <c r="M2359" s="27" t="str">
        <f aca="false">IFERROR(__xludf.dummyfunction("""COMPUTED_VALUE"""),"(Diff)")</f>
        <v>(Diff)</v>
      </c>
      <c r="N2359" s="25"/>
      <c r="O2359" s="25"/>
      <c r="P2359" s="25"/>
      <c r="Q2359" s="29" t="s">
        <v>243</v>
      </c>
      <c r="R2359" s="8" t="str">
        <f aca="false">B2359&amp;" "&amp;C2359&amp;" "&amp;D2359&amp;" "&amp;E2359&amp;" "&amp;G2359&amp;" "&amp;H2359&amp;" "&amp;J2359&amp;" "&amp;N2359</f>
        <v>Differentials Cathode     CIF UAE (Diff) </v>
      </c>
      <c r="S2359" s="25"/>
      <c r="T2359" s="8"/>
      <c r="U2359" s="8"/>
      <c r="V2359" s="25"/>
      <c r="W2359" s="25"/>
      <c r="X2359" s="25"/>
      <c r="Y2359" s="25"/>
      <c r="Z2359" s="25"/>
      <c r="AA2359" s="25"/>
      <c r="AB2359" s="25"/>
      <c r="AC2359" s="25"/>
      <c r="AD2359" s="25"/>
    </row>
    <row r="2360" customFormat="false" ht="15.75" hidden="false" customHeight="false" outlineLevel="0" collapsed="false">
      <c r="A2360" s="28" t="s">
        <v>2775</v>
      </c>
      <c r="B2360" s="27" t="s">
        <v>438</v>
      </c>
      <c r="C2360" s="27" t="s">
        <v>236</v>
      </c>
      <c r="D2360" s="25"/>
      <c r="E2360" s="25"/>
      <c r="F2360" s="25"/>
      <c r="G2360" s="25"/>
      <c r="H2360" s="25"/>
      <c r="I2360" s="25"/>
      <c r="J2360" s="27" t="s">
        <v>2750</v>
      </c>
      <c r="K2360" s="25" t="str">
        <f aca="false">IFERROR(__xludf.dummyfunction("SPLIT(J2360,"" "")"),"CIF")</f>
        <v>CIF</v>
      </c>
      <c r="L2360" s="28" t="str">
        <f aca="false">IFERROR(__xludf.dummyfunction("""COMPUTED_VALUE"""),"UAE")</f>
        <v>UAE</v>
      </c>
      <c r="M2360" s="27" t="str">
        <f aca="false">IFERROR(__xludf.dummyfunction("""COMPUTED_VALUE"""),"(Diff)")</f>
        <v>(Diff)</v>
      </c>
      <c r="N2360" s="25"/>
      <c r="O2360" s="25"/>
      <c r="P2360" s="25"/>
      <c r="Q2360" s="29" t="s">
        <v>239</v>
      </c>
      <c r="R2360" s="8" t="str">
        <f aca="false">B2360&amp;" "&amp;C2360&amp;" "&amp;D2360&amp;" "&amp;E2360&amp;" "&amp;G2360&amp;" "&amp;H2360&amp;" "&amp;J2360&amp;" "&amp;N2360</f>
        <v>Differentials Cathode     CIF UAE (Diff) </v>
      </c>
      <c r="S2360" s="25"/>
      <c r="T2360" s="8"/>
      <c r="U2360" s="8"/>
      <c r="V2360" s="25"/>
      <c r="W2360" s="25"/>
      <c r="X2360" s="25"/>
      <c r="Y2360" s="25"/>
      <c r="Z2360" s="25"/>
      <c r="AA2360" s="25"/>
      <c r="AB2360" s="25"/>
      <c r="AC2360" s="25"/>
      <c r="AD2360" s="25"/>
    </row>
    <row r="2361" customFormat="false" ht="15.75" hidden="false" customHeight="false" outlineLevel="0" collapsed="false">
      <c r="A2361" s="28" t="s">
        <v>2776</v>
      </c>
      <c r="B2361" s="27" t="s">
        <v>438</v>
      </c>
      <c r="C2361" s="27" t="s">
        <v>289</v>
      </c>
      <c r="D2361" s="25"/>
      <c r="E2361" s="25"/>
      <c r="F2361" s="25"/>
      <c r="G2361" s="25"/>
      <c r="H2361" s="25"/>
      <c r="I2361" s="25"/>
      <c r="J2361" s="27" t="s">
        <v>2750</v>
      </c>
      <c r="K2361" s="25" t="str">
        <f aca="false">IFERROR(__xludf.dummyfunction("SPLIT(J2361,"" "")"),"CIF")</f>
        <v>CIF</v>
      </c>
      <c r="L2361" s="28" t="str">
        <f aca="false">IFERROR(__xludf.dummyfunction("""COMPUTED_VALUE"""),"UAE")</f>
        <v>UAE</v>
      </c>
      <c r="M2361" s="27" t="str">
        <f aca="false">IFERROR(__xludf.dummyfunction("""COMPUTED_VALUE"""),"(Diff)")</f>
        <v>(Diff)</v>
      </c>
      <c r="N2361" s="25"/>
      <c r="O2361" s="25"/>
      <c r="P2361" s="25"/>
      <c r="Q2361" s="29" t="s">
        <v>306</v>
      </c>
      <c r="R2361" s="8" t="str">
        <f aca="false">B2361&amp;" "&amp;C2361&amp;" "&amp;D2361&amp;" "&amp;E2361&amp;" "&amp;G2361&amp;" "&amp;H2361&amp;" "&amp;J2361&amp;" "&amp;N2361</f>
        <v>Differentials Electrolyte     CIF UAE (Diff) </v>
      </c>
      <c r="S2361" s="25"/>
      <c r="T2361" s="8"/>
      <c r="U2361" s="8"/>
      <c r="V2361" s="25"/>
      <c r="W2361" s="25"/>
      <c r="X2361" s="25"/>
      <c r="Y2361" s="25"/>
      <c r="Z2361" s="25"/>
      <c r="AA2361" s="25"/>
      <c r="AB2361" s="25"/>
      <c r="AC2361" s="25"/>
      <c r="AD2361" s="25"/>
    </row>
    <row r="2362" customFormat="false" ht="15.75" hidden="false" customHeight="false" outlineLevel="0" collapsed="false">
      <c r="A2362" s="28" t="s">
        <v>2777</v>
      </c>
      <c r="B2362" s="27" t="s">
        <v>438</v>
      </c>
      <c r="C2362" s="27" t="s">
        <v>289</v>
      </c>
      <c r="D2362" s="25"/>
      <c r="E2362" s="25"/>
      <c r="F2362" s="25"/>
      <c r="G2362" s="25"/>
      <c r="H2362" s="25"/>
      <c r="I2362" s="25"/>
      <c r="J2362" s="27" t="s">
        <v>2750</v>
      </c>
      <c r="K2362" s="25" t="str">
        <f aca="false">IFERROR(__xludf.dummyfunction("SPLIT(J2362,"" "")"),"CIF")</f>
        <v>CIF</v>
      </c>
      <c r="L2362" s="28" t="str">
        <f aca="false">IFERROR(__xludf.dummyfunction("""COMPUTED_VALUE"""),"UAE")</f>
        <v>UAE</v>
      </c>
      <c r="M2362" s="27" t="str">
        <f aca="false">IFERROR(__xludf.dummyfunction("""COMPUTED_VALUE"""),"(Diff)")</f>
        <v>(Diff)</v>
      </c>
      <c r="N2362" s="25"/>
      <c r="O2362" s="25"/>
      <c r="P2362" s="25"/>
      <c r="Q2362" s="29" t="s">
        <v>304</v>
      </c>
      <c r="R2362" s="8" t="str">
        <f aca="false">B2362&amp;" "&amp;C2362&amp;" "&amp;D2362&amp;" "&amp;E2362&amp;" "&amp;G2362&amp;" "&amp;H2362&amp;" "&amp;J2362&amp;" "&amp;N2362</f>
        <v>Differentials Electrolyte     CIF UAE (Diff) </v>
      </c>
      <c r="S2362" s="25"/>
      <c r="T2362" s="8"/>
      <c r="U2362" s="8"/>
      <c r="V2362" s="25"/>
      <c r="W2362" s="25"/>
      <c r="X2362" s="25"/>
      <c r="Y2362" s="25"/>
      <c r="Z2362" s="25"/>
      <c r="AA2362" s="25"/>
      <c r="AB2362" s="25"/>
      <c r="AC2362" s="25"/>
      <c r="AD2362" s="25"/>
    </row>
    <row r="2363" customFormat="false" ht="15.75" hidden="false" customHeight="false" outlineLevel="0" collapsed="false">
      <c r="A2363" s="28" t="s">
        <v>2778</v>
      </c>
      <c r="B2363" s="27" t="s">
        <v>438</v>
      </c>
      <c r="C2363" s="27" t="s">
        <v>289</v>
      </c>
      <c r="D2363" s="25"/>
      <c r="E2363" s="25"/>
      <c r="F2363" s="25"/>
      <c r="G2363" s="25"/>
      <c r="H2363" s="25"/>
      <c r="I2363" s="25"/>
      <c r="J2363" s="27" t="s">
        <v>2750</v>
      </c>
      <c r="K2363" s="25" t="str">
        <f aca="false">IFERROR(__xludf.dummyfunction("SPLIT(J2363,"" "")"),"CIF")</f>
        <v>CIF</v>
      </c>
      <c r="L2363" s="28" t="str">
        <f aca="false">IFERROR(__xludf.dummyfunction("""COMPUTED_VALUE"""),"UAE")</f>
        <v>UAE</v>
      </c>
      <c r="M2363" s="27" t="str">
        <f aca="false">IFERROR(__xludf.dummyfunction("""COMPUTED_VALUE"""),"(Diff)")</f>
        <v>(Diff)</v>
      </c>
      <c r="N2363" s="25"/>
      <c r="O2363" s="25"/>
      <c r="P2363" s="25"/>
      <c r="Q2363" s="29" t="s">
        <v>302</v>
      </c>
      <c r="R2363" s="8" t="str">
        <f aca="false">B2363&amp;" "&amp;C2363&amp;" "&amp;D2363&amp;" "&amp;E2363&amp;" "&amp;G2363&amp;" "&amp;H2363&amp;" "&amp;J2363&amp;" "&amp;N2363</f>
        <v>Differentials Electrolyte     CIF UAE (Diff) </v>
      </c>
      <c r="S2363" s="25"/>
      <c r="T2363" s="8"/>
      <c r="U2363" s="8"/>
      <c r="V2363" s="25"/>
      <c r="W2363" s="25"/>
      <c r="X2363" s="25"/>
      <c r="Y2363" s="25"/>
      <c r="Z2363" s="25"/>
      <c r="AA2363" s="25"/>
      <c r="AB2363" s="25"/>
      <c r="AC2363" s="25"/>
      <c r="AD2363" s="25"/>
    </row>
    <row r="2364" customFormat="false" ht="15.75" hidden="false" customHeight="false" outlineLevel="0" collapsed="false">
      <c r="A2364" s="28" t="s">
        <v>2779</v>
      </c>
      <c r="B2364" s="27" t="s">
        <v>438</v>
      </c>
      <c r="C2364" s="27" t="s">
        <v>289</v>
      </c>
      <c r="D2364" s="25"/>
      <c r="E2364" s="25"/>
      <c r="F2364" s="25"/>
      <c r="G2364" s="25"/>
      <c r="H2364" s="25"/>
      <c r="I2364" s="25"/>
      <c r="J2364" s="27" t="s">
        <v>2750</v>
      </c>
      <c r="K2364" s="25" t="str">
        <f aca="false">IFERROR(__xludf.dummyfunction("SPLIT(J2364,"" "")"),"CIF")</f>
        <v>CIF</v>
      </c>
      <c r="L2364" s="28" t="str">
        <f aca="false">IFERROR(__xludf.dummyfunction("""COMPUTED_VALUE"""),"UAE")</f>
        <v>UAE</v>
      </c>
      <c r="M2364" s="27" t="str">
        <f aca="false">IFERROR(__xludf.dummyfunction("""COMPUTED_VALUE"""),"(Diff)")</f>
        <v>(Diff)</v>
      </c>
      <c r="N2364" s="25"/>
      <c r="O2364" s="25"/>
      <c r="P2364" s="25"/>
      <c r="Q2364" s="29" t="s">
        <v>300</v>
      </c>
      <c r="R2364" s="8" t="str">
        <f aca="false">B2364&amp;" "&amp;C2364&amp;" "&amp;D2364&amp;" "&amp;E2364&amp;" "&amp;G2364&amp;" "&amp;H2364&amp;" "&amp;J2364&amp;" "&amp;N2364</f>
        <v>Differentials Electrolyte     CIF UAE (Diff) </v>
      </c>
      <c r="S2364" s="25"/>
      <c r="T2364" s="8"/>
      <c r="U2364" s="8"/>
      <c r="V2364" s="25"/>
      <c r="W2364" s="25"/>
      <c r="X2364" s="25"/>
      <c r="Y2364" s="25"/>
      <c r="Z2364" s="25"/>
      <c r="AA2364" s="25"/>
      <c r="AB2364" s="25"/>
      <c r="AC2364" s="25"/>
      <c r="AD2364" s="25"/>
    </row>
    <row r="2365" customFormat="false" ht="15.75" hidden="false" customHeight="false" outlineLevel="0" collapsed="false">
      <c r="A2365" s="28" t="s">
        <v>2780</v>
      </c>
      <c r="B2365" s="27" t="s">
        <v>438</v>
      </c>
      <c r="C2365" s="27" t="s">
        <v>289</v>
      </c>
      <c r="D2365" s="25"/>
      <c r="E2365" s="25"/>
      <c r="F2365" s="25"/>
      <c r="G2365" s="25"/>
      <c r="H2365" s="25"/>
      <c r="I2365" s="25"/>
      <c r="J2365" s="27" t="s">
        <v>2750</v>
      </c>
      <c r="K2365" s="25" t="str">
        <f aca="false">IFERROR(__xludf.dummyfunction("SPLIT(J2365,"" "")"),"CIF")</f>
        <v>CIF</v>
      </c>
      <c r="L2365" s="28" t="str">
        <f aca="false">IFERROR(__xludf.dummyfunction("""COMPUTED_VALUE"""),"UAE")</f>
        <v>UAE</v>
      </c>
      <c r="M2365" s="27" t="str">
        <f aca="false">IFERROR(__xludf.dummyfunction("""COMPUTED_VALUE"""),"(Diff)")</f>
        <v>(Diff)</v>
      </c>
      <c r="N2365" s="25"/>
      <c r="O2365" s="25"/>
      <c r="P2365" s="25"/>
      <c r="Q2365" s="29" t="s">
        <v>298</v>
      </c>
      <c r="R2365" s="8" t="str">
        <f aca="false">B2365&amp;" "&amp;C2365&amp;" "&amp;D2365&amp;" "&amp;E2365&amp;" "&amp;G2365&amp;" "&amp;H2365&amp;" "&amp;J2365&amp;" "&amp;N2365</f>
        <v>Differentials Electrolyte     CIF UAE (Diff) </v>
      </c>
      <c r="S2365" s="25"/>
      <c r="T2365" s="8"/>
      <c r="U2365" s="8"/>
      <c r="V2365" s="25"/>
      <c r="W2365" s="25"/>
      <c r="X2365" s="25"/>
      <c r="Y2365" s="25"/>
      <c r="Z2365" s="25"/>
      <c r="AA2365" s="25"/>
      <c r="AB2365" s="25"/>
      <c r="AC2365" s="25"/>
      <c r="AD2365" s="25"/>
    </row>
    <row r="2366" customFormat="false" ht="15.75" hidden="false" customHeight="false" outlineLevel="0" collapsed="false">
      <c r="A2366" s="28" t="s">
        <v>2781</v>
      </c>
      <c r="B2366" s="27" t="s">
        <v>438</v>
      </c>
      <c r="C2366" s="27" t="s">
        <v>289</v>
      </c>
      <c r="D2366" s="25"/>
      <c r="E2366" s="25"/>
      <c r="F2366" s="25"/>
      <c r="G2366" s="25"/>
      <c r="H2366" s="25"/>
      <c r="I2366" s="25"/>
      <c r="J2366" s="27" t="s">
        <v>2750</v>
      </c>
      <c r="K2366" s="25" t="str">
        <f aca="false">IFERROR(__xludf.dummyfunction("SPLIT(J2366,"" "")"),"CIF")</f>
        <v>CIF</v>
      </c>
      <c r="L2366" s="28" t="str">
        <f aca="false">IFERROR(__xludf.dummyfunction("""COMPUTED_VALUE"""),"UAE")</f>
        <v>UAE</v>
      </c>
      <c r="M2366" s="27" t="str">
        <f aca="false">IFERROR(__xludf.dummyfunction("""COMPUTED_VALUE"""),"(Diff)")</f>
        <v>(Diff)</v>
      </c>
      <c r="N2366" s="25"/>
      <c r="O2366" s="25"/>
      <c r="P2366" s="25"/>
      <c r="Q2366" s="29" t="s">
        <v>296</v>
      </c>
      <c r="R2366" s="8" t="str">
        <f aca="false">B2366&amp;" "&amp;C2366&amp;" "&amp;D2366&amp;" "&amp;E2366&amp;" "&amp;G2366&amp;" "&amp;H2366&amp;" "&amp;J2366&amp;" "&amp;N2366</f>
        <v>Differentials Electrolyte     CIF UAE (Diff) </v>
      </c>
      <c r="S2366" s="25"/>
      <c r="T2366" s="8"/>
      <c r="U2366" s="8"/>
      <c r="V2366" s="25"/>
      <c r="W2366" s="25"/>
      <c r="X2366" s="25"/>
      <c r="Y2366" s="25"/>
      <c r="Z2366" s="25"/>
      <c r="AA2366" s="25"/>
      <c r="AB2366" s="25"/>
      <c r="AC2366" s="25"/>
      <c r="AD2366" s="25"/>
    </row>
    <row r="2367" customFormat="false" ht="15.75" hidden="false" customHeight="false" outlineLevel="0" collapsed="false">
      <c r="A2367" s="28" t="s">
        <v>2782</v>
      </c>
      <c r="B2367" s="27" t="s">
        <v>438</v>
      </c>
      <c r="C2367" s="27" t="s">
        <v>289</v>
      </c>
      <c r="D2367" s="25"/>
      <c r="E2367" s="25"/>
      <c r="F2367" s="25"/>
      <c r="G2367" s="25"/>
      <c r="H2367" s="25"/>
      <c r="I2367" s="25"/>
      <c r="J2367" s="27" t="s">
        <v>2750</v>
      </c>
      <c r="K2367" s="25" t="str">
        <f aca="false">IFERROR(__xludf.dummyfunction("SPLIT(J2367,"" "")"),"CIF")</f>
        <v>CIF</v>
      </c>
      <c r="L2367" s="28" t="str">
        <f aca="false">IFERROR(__xludf.dummyfunction("""COMPUTED_VALUE"""),"UAE")</f>
        <v>UAE</v>
      </c>
      <c r="M2367" s="27" t="str">
        <f aca="false">IFERROR(__xludf.dummyfunction("""COMPUTED_VALUE"""),"(Diff)")</f>
        <v>(Diff)</v>
      </c>
      <c r="N2367" s="25"/>
      <c r="O2367" s="25"/>
      <c r="P2367" s="25"/>
      <c r="Q2367" s="29" t="s">
        <v>294</v>
      </c>
      <c r="R2367" s="8" t="str">
        <f aca="false">B2367&amp;" "&amp;C2367&amp;" "&amp;D2367&amp;" "&amp;E2367&amp;" "&amp;G2367&amp;" "&amp;H2367&amp;" "&amp;J2367&amp;" "&amp;N2367</f>
        <v>Differentials Electrolyte     CIF UAE (Diff) </v>
      </c>
      <c r="S2367" s="25"/>
      <c r="T2367" s="8"/>
      <c r="U2367" s="8"/>
      <c r="V2367" s="25"/>
      <c r="W2367" s="25"/>
      <c r="X2367" s="25"/>
      <c r="Y2367" s="25"/>
      <c r="Z2367" s="25"/>
      <c r="AA2367" s="25"/>
      <c r="AB2367" s="25"/>
      <c r="AC2367" s="25"/>
      <c r="AD2367" s="25"/>
    </row>
    <row r="2368" customFormat="false" ht="15.75" hidden="false" customHeight="false" outlineLevel="0" collapsed="false">
      <c r="A2368" s="28" t="s">
        <v>2783</v>
      </c>
      <c r="B2368" s="27" t="s">
        <v>438</v>
      </c>
      <c r="C2368" s="27" t="s">
        <v>289</v>
      </c>
      <c r="D2368" s="25"/>
      <c r="E2368" s="25"/>
      <c r="F2368" s="25"/>
      <c r="G2368" s="25"/>
      <c r="H2368" s="25"/>
      <c r="I2368" s="25"/>
      <c r="J2368" s="27" t="s">
        <v>2750</v>
      </c>
      <c r="K2368" s="25" t="str">
        <f aca="false">IFERROR(__xludf.dummyfunction("SPLIT(J2368,"" "")"),"CIF")</f>
        <v>CIF</v>
      </c>
      <c r="L2368" s="28" t="str">
        <f aca="false">IFERROR(__xludf.dummyfunction("""COMPUTED_VALUE"""),"UAE")</f>
        <v>UAE</v>
      </c>
      <c r="M2368" s="27" t="str">
        <f aca="false">IFERROR(__xludf.dummyfunction("""COMPUTED_VALUE"""),"(Diff)")</f>
        <v>(Diff)</v>
      </c>
      <c r="N2368" s="25"/>
      <c r="O2368" s="25"/>
      <c r="P2368" s="25"/>
      <c r="Q2368" s="29" t="s">
        <v>291</v>
      </c>
      <c r="R2368" s="8" t="str">
        <f aca="false">B2368&amp;" "&amp;C2368&amp;" "&amp;D2368&amp;" "&amp;E2368&amp;" "&amp;G2368&amp;" "&amp;H2368&amp;" "&amp;J2368&amp;" "&amp;N2368</f>
        <v>Differentials Electrolyte     CIF UAE (Diff) </v>
      </c>
      <c r="S2368" s="25"/>
      <c r="T2368" s="8"/>
      <c r="U2368" s="8"/>
      <c r="V2368" s="25"/>
      <c r="W2368" s="25"/>
      <c r="X2368" s="25"/>
      <c r="Y2368" s="25"/>
      <c r="Z2368" s="25"/>
      <c r="AA2368" s="25"/>
      <c r="AB2368" s="25"/>
      <c r="AC2368" s="25"/>
      <c r="AD2368" s="25"/>
    </row>
    <row r="2369" customFormat="false" ht="15.75" hidden="false" customHeight="false" outlineLevel="0" collapsed="false">
      <c r="A2369" s="28" t="s">
        <v>2784</v>
      </c>
      <c r="B2369" s="27" t="s">
        <v>438</v>
      </c>
      <c r="C2369" s="27" t="s">
        <v>308</v>
      </c>
      <c r="D2369" s="25"/>
      <c r="E2369" s="25"/>
      <c r="F2369" s="25"/>
      <c r="G2369" s="25"/>
      <c r="H2369" s="25"/>
      <c r="I2369" s="25"/>
      <c r="J2369" s="27" t="s">
        <v>2750</v>
      </c>
      <c r="K2369" s="25" t="str">
        <f aca="false">IFERROR(__xludf.dummyfunction("SPLIT(J2369,"" "")"),"CIF")</f>
        <v>CIF</v>
      </c>
      <c r="L2369" s="28" t="str">
        <f aca="false">IFERROR(__xludf.dummyfunction("""COMPUTED_VALUE"""),"UAE")</f>
        <v>UAE</v>
      </c>
      <c r="M2369" s="27" t="str">
        <f aca="false">IFERROR(__xludf.dummyfunction("""COMPUTED_VALUE"""),"(Diff)")</f>
        <v>(Diff)</v>
      </c>
      <c r="N2369" s="25"/>
      <c r="O2369" s="25"/>
      <c r="P2369" s="25"/>
      <c r="Q2369" s="29" t="s">
        <v>358</v>
      </c>
      <c r="R2369" s="8" t="str">
        <f aca="false">B2369&amp;" "&amp;C2369&amp;" "&amp;D2369&amp;" "&amp;E2369&amp;" "&amp;G2369&amp;" "&amp;H2369&amp;" "&amp;J2369&amp;" "&amp;N2369</f>
        <v>Differentials Graphite     CIF UAE (Diff) </v>
      </c>
      <c r="S2369" s="25"/>
      <c r="T2369" s="8"/>
      <c r="U2369" s="8"/>
      <c r="V2369" s="25"/>
      <c r="W2369" s="25"/>
      <c r="X2369" s="25"/>
      <c r="Y2369" s="25"/>
      <c r="Z2369" s="25"/>
      <c r="AA2369" s="25"/>
      <c r="AB2369" s="25"/>
      <c r="AC2369" s="25"/>
      <c r="AD2369" s="25"/>
    </row>
    <row r="2370" customFormat="false" ht="15.75" hidden="false" customHeight="false" outlineLevel="0" collapsed="false">
      <c r="A2370" s="28" t="s">
        <v>2785</v>
      </c>
      <c r="B2370" s="27" t="s">
        <v>438</v>
      </c>
      <c r="C2370" s="27" t="s">
        <v>308</v>
      </c>
      <c r="D2370" s="25"/>
      <c r="E2370" s="25"/>
      <c r="F2370" s="25"/>
      <c r="G2370" s="25"/>
      <c r="H2370" s="25"/>
      <c r="I2370" s="25"/>
      <c r="J2370" s="27" t="s">
        <v>2750</v>
      </c>
      <c r="K2370" s="25" t="str">
        <f aca="false">IFERROR(__xludf.dummyfunction("SPLIT(J2370,"" "")"),"CIF")</f>
        <v>CIF</v>
      </c>
      <c r="L2370" s="28" t="str">
        <f aca="false">IFERROR(__xludf.dummyfunction("""COMPUTED_VALUE"""),"UAE")</f>
        <v>UAE</v>
      </c>
      <c r="M2370" s="27" t="str">
        <f aca="false">IFERROR(__xludf.dummyfunction("""COMPUTED_VALUE"""),"(Diff)")</f>
        <v>(Diff)</v>
      </c>
      <c r="N2370" s="25"/>
      <c r="O2370" s="25"/>
      <c r="P2370" s="25"/>
      <c r="Q2370" s="29" t="s">
        <v>356</v>
      </c>
      <c r="R2370" s="8" t="str">
        <f aca="false">B2370&amp;" "&amp;C2370&amp;" "&amp;D2370&amp;" "&amp;E2370&amp;" "&amp;G2370&amp;" "&amp;H2370&amp;" "&amp;J2370&amp;" "&amp;N2370</f>
        <v>Differentials Graphite     CIF UAE (Diff) </v>
      </c>
      <c r="S2370" s="25"/>
      <c r="T2370" s="8"/>
      <c r="U2370" s="8"/>
      <c r="V2370" s="25"/>
      <c r="W2370" s="25"/>
      <c r="X2370" s="25"/>
      <c r="Y2370" s="25"/>
      <c r="Z2370" s="25"/>
      <c r="AA2370" s="25"/>
      <c r="AB2370" s="25"/>
      <c r="AC2370" s="25"/>
      <c r="AD2370" s="25"/>
    </row>
    <row r="2371" customFormat="false" ht="15.75" hidden="false" customHeight="false" outlineLevel="0" collapsed="false">
      <c r="A2371" s="28" t="s">
        <v>2786</v>
      </c>
      <c r="B2371" s="27" t="s">
        <v>438</v>
      </c>
      <c r="C2371" s="27" t="s">
        <v>308</v>
      </c>
      <c r="D2371" s="25"/>
      <c r="E2371" s="25"/>
      <c r="F2371" s="25"/>
      <c r="G2371" s="25"/>
      <c r="H2371" s="25"/>
      <c r="I2371" s="25"/>
      <c r="J2371" s="27" t="s">
        <v>2750</v>
      </c>
      <c r="K2371" s="25" t="str">
        <f aca="false">IFERROR(__xludf.dummyfunction("SPLIT(J2371,"" "")"),"CIF")</f>
        <v>CIF</v>
      </c>
      <c r="L2371" s="28" t="str">
        <f aca="false">IFERROR(__xludf.dummyfunction("""COMPUTED_VALUE"""),"UAE")</f>
        <v>UAE</v>
      </c>
      <c r="M2371" s="27" t="str">
        <f aca="false">IFERROR(__xludf.dummyfunction("""COMPUTED_VALUE"""),"(Diff)")</f>
        <v>(Diff)</v>
      </c>
      <c r="N2371" s="25"/>
      <c r="O2371" s="25"/>
      <c r="P2371" s="25"/>
      <c r="Q2371" s="29" t="s">
        <v>354</v>
      </c>
      <c r="R2371" s="8" t="str">
        <f aca="false">B2371&amp;" "&amp;C2371&amp;" "&amp;D2371&amp;" "&amp;E2371&amp;" "&amp;G2371&amp;" "&amp;H2371&amp;" "&amp;J2371&amp;" "&amp;N2371</f>
        <v>Differentials Graphite     CIF UAE (Diff) </v>
      </c>
      <c r="S2371" s="25"/>
      <c r="T2371" s="8"/>
      <c r="U2371" s="8"/>
      <c r="V2371" s="25"/>
      <c r="W2371" s="25"/>
      <c r="X2371" s="25"/>
      <c r="Y2371" s="25"/>
      <c r="Z2371" s="25"/>
      <c r="AA2371" s="25"/>
      <c r="AB2371" s="25"/>
      <c r="AC2371" s="25"/>
      <c r="AD2371" s="25"/>
    </row>
    <row r="2372" customFormat="false" ht="15.75" hidden="false" customHeight="false" outlineLevel="0" collapsed="false">
      <c r="A2372" s="28" t="s">
        <v>2787</v>
      </c>
      <c r="B2372" s="27" t="s">
        <v>438</v>
      </c>
      <c r="C2372" s="27" t="s">
        <v>308</v>
      </c>
      <c r="D2372" s="25"/>
      <c r="E2372" s="25"/>
      <c r="F2372" s="25"/>
      <c r="G2372" s="25"/>
      <c r="H2372" s="25"/>
      <c r="I2372" s="25"/>
      <c r="J2372" s="27" t="s">
        <v>2750</v>
      </c>
      <c r="K2372" s="25" t="str">
        <f aca="false">IFERROR(__xludf.dummyfunction("SPLIT(J2372,"" "")"),"CIF")</f>
        <v>CIF</v>
      </c>
      <c r="L2372" s="28" t="str">
        <f aca="false">IFERROR(__xludf.dummyfunction("""COMPUTED_VALUE"""),"UAE")</f>
        <v>UAE</v>
      </c>
      <c r="M2372" s="27" t="str">
        <f aca="false">IFERROR(__xludf.dummyfunction("""COMPUTED_VALUE"""),"(Diff)")</f>
        <v>(Diff)</v>
      </c>
      <c r="N2372" s="25"/>
      <c r="O2372" s="25"/>
      <c r="P2372" s="25"/>
      <c r="Q2372" s="29" t="s">
        <v>352</v>
      </c>
      <c r="R2372" s="8" t="str">
        <f aca="false">B2372&amp;" "&amp;C2372&amp;" "&amp;D2372&amp;" "&amp;E2372&amp;" "&amp;G2372&amp;" "&amp;H2372&amp;" "&amp;J2372&amp;" "&amp;N2372</f>
        <v>Differentials Graphite     CIF UAE (Diff) </v>
      </c>
      <c r="S2372" s="25"/>
      <c r="T2372" s="8"/>
      <c r="U2372" s="8"/>
      <c r="V2372" s="25"/>
      <c r="W2372" s="25"/>
      <c r="X2372" s="25"/>
      <c r="Y2372" s="25"/>
      <c r="Z2372" s="25"/>
      <c r="AA2372" s="25"/>
      <c r="AB2372" s="25"/>
      <c r="AC2372" s="25"/>
      <c r="AD2372" s="25"/>
    </row>
    <row r="2373" customFormat="false" ht="15.75" hidden="false" customHeight="false" outlineLevel="0" collapsed="false">
      <c r="A2373" s="28" t="s">
        <v>2788</v>
      </c>
      <c r="B2373" s="27" t="s">
        <v>438</v>
      </c>
      <c r="C2373" s="27" t="s">
        <v>308</v>
      </c>
      <c r="D2373" s="25"/>
      <c r="E2373" s="25"/>
      <c r="F2373" s="25"/>
      <c r="G2373" s="25"/>
      <c r="H2373" s="25"/>
      <c r="I2373" s="25"/>
      <c r="J2373" s="27" t="s">
        <v>2750</v>
      </c>
      <c r="K2373" s="25" t="str">
        <f aca="false">IFERROR(__xludf.dummyfunction("SPLIT(J2373,"" "")"),"CIF")</f>
        <v>CIF</v>
      </c>
      <c r="L2373" s="28" t="str">
        <f aca="false">IFERROR(__xludf.dummyfunction("""COMPUTED_VALUE"""),"UAE")</f>
        <v>UAE</v>
      </c>
      <c r="M2373" s="27" t="str">
        <f aca="false">IFERROR(__xludf.dummyfunction("""COMPUTED_VALUE"""),"(Diff)")</f>
        <v>(Diff)</v>
      </c>
      <c r="N2373" s="25"/>
      <c r="O2373" s="25"/>
      <c r="P2373" s="25"/>
      <c r="Q2373" s="29" t="s">
        <v>350</v>
      </c>
      <c r="R2373" s="8" t="str">
        <f aca="false">B2373&amp;" "&amp;C2373&amp;" "&amp;D2373&amp;" "&amp;E2373&amp;" "&amp;G2373&amp;" "&amp;H2373&amp;" "&amp;J2373&amp;" "&amp;N2373</f>
        <v>Differentials Graphite     CIF UAE (Diff) </v>
      </c>
      <c r="S2373" s="25"/>
      <c r="T2373" s="8"/>
      <c r="U2373" s="8"/>
      <c r="V2373" s="25"/>
      <c r="W2373" s="25"/>
      <c r="X2373" s="25"/>
      <c r="Y2373" s="25"/>
      <c r="Z2373" s="25"/>
      <c r="AA2373" s="25"/>
      <c r="AB2373" s="25"/>
      <c r="AC2373" s="25"/>
      <c r="AD2373" s="25"/>
    </row>
    <row r="2374" customFormat="false" ht="15.75" hidden="false" customHeight="false" outlineLevel="0" collapsed="false">
      <c r="A2374" s="28" t="s">
        <v>2789</v>
      </c>
      <c r="B2374" s="27" t="s">
        <v>438</v>
      </c>
      <c r="C2374" s="27" t="s">
        <v>308</v>
      </c>
      <c r="D2374" s="25"/>
      <c r="E2374" s="25"/>
      <c r="F2374" s="25"/>
      <c r="G2374" s="25"/>
      <c r="H2374" s="25"/>
      <c r="I2374" s="25"/>
      <c r="J2374" s="27" t="s">
        <v>2750</v>
      </c>
      <c r="K2374" s="25" t="str">
        <f aca="false">IFERROR(__xludf.dummyfunction("SPLIT(J2374,"" "")"),"CIF")</f>
        <v>CIF</v>
      </c>
      <c r="L2374" s="28" t="str">
        <f aca="false">IFERROR(__xludf.dummyfunction("""COMPUTED_VALUE"""),"UAE")</f>
        <v>UAE</v>
      </c>
      <c r="M2374" s="27" t="str">
        <f aca="false">IFERROR(__xludf.dummyfunction("""COMPUTED_VALUE"""),"(Diff)")</f>
        <v>(Diff)</v>
      </c>
      <c r="N2374" s="25"/>
      <c r="O2374" s="25"/>
      <c r="P2374" s="25"/>
      <c r="Q2374" s="29" t="s">
        <v>347</v>
      </c>
      <c r="R2374" s="8" t="str">
        <f aca="false">B2374&amp;" "&amp;C2374&amp;" "&amp;D2374&amp;" "&amp;E2374&amp;" "&amp;G2374&amp;" "&amp;H2374&amp;" "&amp;J2374&amp;" "&amp;N2374</f>
        <v>Differentials Graphite     CIF UAE (Diff) </v>
      </c>
      <c r="S2374" s="25"/>
      <c r="T2374" s="8"/>
      <c r="U2374" s="8"/>
      <c r="V2374" s="25"/>
      <c r="W2374" s="25"/>
      <c r="X2374" s="25"/>
      <c r="Y2374" s="25"/>
      <c r="Z2374" s="25"/>
      <c r="AA2374" s="25"/>
      <c r="AB2374" s="25"/>
      <c r="AC2374" s="25"/>
      <c r="AD2374" s="25"/>
    </row>
    <row r="2375" customFormat="false" ht="15.75" hidden="false" customHeight="false" outlineLevel="0" collapsed="false">
      <c r="A2375" s="28" t="s">
        <v>2790</v>
      </c>
      <c r="B2375" s="27" t="s">
        <v>438</v>
      </c>
      <c r="C2375" s="27" t="s">
        <v>308</v>
      </c>
      <c r="D2375" s="25"/>
      <c r="E2375" s="25"/>
      <c r="F2375" s="25"/>
      <c r="G2375" s="25"/>
      <c r="H2375" s="25"/>
      <c r="I2375" s="25"/>
      <c r="J2375" s="27" t="s">
        <v>2750</v>
      </c>
      <c r="K2375" s="25" t="str">
        <f aca="false">IFERROR(__xludf.dummyfunction("SPLIT(J2375,"" "")"),"CIF")</f>
        <v>CIF</v>
      </c>
      <c r="L2375" s="28" t="str">
        <f aca="false">IFERROR(__xludf.dummyfunction("""COMPUTED_VALUE"""),"UAE")</f>
        <v>UAE</v>
      </c>
      <c r="M2375" s="27" t="str">
        <f aca="false">IFERROR(__xludf.dummyfunction("""COMPUTED_VALUE"""),"(Diff)")</f>
        <v>(Diff)</v>
      </c>
      <c r="N2375" s="25"/>
      <c r="O2375" s="25"/>
      <c r="P2375" s="25"/>
      <c r="Q2375" s="29" t="s">
        <v>344</v>
      </c>
      <c r="R2375" s="8" t="str">
        <f aca="false">B2375&amp;" "&amp;C2375&amp;" "&amp;D2375&amp;" "&amp;E2375&amp;" "&amp;G2375&amp;" "&amp;H2375&amp;" "&amp;J2375&amp;" "&amp;N2375</f>
        <v>Differentials Graphite     CIF UAE (Diff) </v>
      </c>
      <c r="S2375" s="25"/>
      <c r="T2375" s="8"/>
      <c r="U2375" s="8"/>
      <c r="V2375" s="25"/>
      <c r="W2375" s="25"/>
      <c r="X2375" s="25"/>
      <c r="Y2375" s="25"/>
      <c r="Z2375" s="25"/>
      <c r="AA2375" s="25"/>
      <c r="AB2375" s="25"/>
      <c r="AC2375" s="25"/>
      <c r="AD2375" s="25"/>
    </row>
    <row r="2376" customFormat="false" ht="15.75" hidden="false" customHeight="false" outlineLevel="0" collapsed="false">
      <c r="A2376" s="28" t="s">
        <v>2791</v>
      </c>
      <c r="B2376" s="27" t="s">
        <v>438</v>
      </c>
      <c r="C2376" s="27" t="s">
        <v>308</v>
      </c>
      <c r="D2376" s="25"/>
      <c r="E2376" s="25"/>
      <c r="F2376" s="25"/>
      <c r="G2376" s="25"/>
      <c r="H2376" s="25"/>
      <c r="I2376" s="25"/>
      <c r="J2376" s="27" t="s">
        <v>2750</v>
      </c>
      <c r="K2376" s="25" t="str">
        <f aca="false">IFERROR(__xludf.dummyfunction("SPLIT(J2376,"" "")"),"CIF")</f>
        <v>CIF</v>
      </c>
      <c r="L2376" s="28" t="str">
        <f aca="false">IFERROR(__xludf.dummyfunction("""COMPUTED_VALUE"""),"UAE")</f>
        <v>UAE</v>
      </c>
      <c r="M2376" s="27" t="str">
        <f aca="false">IFERROR(__xludf.dummyfunction("""COMPUTED_VALUE"""),"(Diff)")</f>
        <v>(Diff)</v>
      </c>
      <c r="N2376" s="25"/>
      <c r="O2376" s="25"/>
      <c r="P2376" s="25"/>
      <c r="Q2376" s="29" t="s">
        <v>340</v>
      </c>
      <c r="R2376" s="8" t="str">
        <f aca="false">B2376&amp;" "&amp;C2376&amp;" "&amp;D2376&amp;" "&amp;E2376&amp;" "&amp;G2376&amp;" "&amp;H2376&amp;" "&amp;J2376&amp;" "&amp;N2376</f>
        <v>Differentials Graphite     CIF UAE (Diff) </v>
      </c>
      <c r="S2376" s="25"/>
      <c r="T2376" s="8"/>
      <c r="U2376" s="8"/>
      <c r="V2376" s="25"/>
      <c r="W2376" s="25"/>
      <c r="X2376" s="25"/>
      <c r="Y2376" s="25"/>
      <c r="Z2376" s="25"/>
      <c r="AA2376" s="25"/>
      <c r="AB2376" s="25"/>
      <c r="AC2376" s="25"/>
      <c r="AD2376" s="25"/>
    </row>
    <row r="2377" customFormat="false" ht="15.75" hidden="false" customHeight="false" outlineLevel="0" collapsed="false">
      <c r="A2377" s="28" t="s">
        <v>2792</v>
      </c>
      <c r="B2377" s="27" t="s">
        <v>438</v>
      </c>
      <c r="C2377" s="27" t="s">
        <v>308</v>
      </c>
      <c r="D2377" s="25"/>
      <c r="E2377" s="25"/>
      <c r="F2377" s="25"/>
      <c r="G2377" s="25"/>
      <c r="H2377" s="25"/>
      <c r="I2377" s="25"/>
      <c r="J2377" s="27" t="s">
        <v>2750</v>
      </c>
      <c r="K2377" s="25" t="str">
        <f aca="false">IFERROR(__xludf.dummyfunction("SPLIT(J2377,"" "")"),"CIF")</f>
        <v>CIF</v>
      </c>
      <c r="L2377" s="28" t="str">
        <f aca="false">IFERROR(__xludf.dummyfunction("""COMPUTED_VALUE"""),"UAE")</f>
        <v>UAE</v>
      </c>
      <c r="M2377" s="27" t="str">
        <f aca="false">IFERROR(__xludf.dummyfunction("""COMPUTED_VALUE"""),"(Diff)")</f>
        <v>(Diff)</v>
      </c>
      <c r="N2377" s="25"/>
      <c r="O2377" s="25"/>
      <c r="P2377" s="25"/>
      <c r="Q2377" s="29" t="s">
        <v>338</v>
      </c>
      <c r="R2377" s="8" t="str">
        <f aca="false">B2377&amp;" "&amp;C2377&amp;" "&amp;D2377&amp;" "&amp;E2377&amp;" "&amp;G2377&amp;" "&amp;H2377&amp;" "&amp;J2377&amp;" "&amp;N2377</f>
        <v>Differentials Graphite     CIF UAE (Diff) </v>
      </c>
      <c r="S2377" s="25"/>
      <c r="T2377" s="8"/>
      <c r="U2377" s="8"/>
      <c r="V2377" s="25"/>
      <c r="W2377" s="25"/>
      <c r="X2377" s="25"/>
      <c r="Y2377" s="25"/>
      <c r="Z2377" s="25"/>
      <c r="AA2377" s="25"/>
      <c r="AB2377" s="25"/>
      <c r="AC2377" s="25"/>
      <c r="AD2377" s="25"/>
    </row>
    <row r="2378" customFormat="false" ht="15.75" hidden="false" customHeight="false" outlineLevel="0" collapsed="false">
      <c r="A2378" s="28" t="s">
        <v>2793</v>
      </c>
      <c r="B2378" s="27" t="s">
        <v>438</v>
      </c>
      <c r="C2378" s="27" t="s">
        <v>308</v>
      </c>
      <c r="D2378" s="25"/>
      <c r="E2378" s="25"/>
      <c r="F2378" s="25"/>
      <c r="G2378" s="25"/>
      <c r="H2378" s="25"/>
      <c r="I2378" s="25"/>
      <c r="J2378" s="27" t="s">
        <v>2750</v>
      </c>
      <c r="K2378" s="25" t="str">
        <f aca="false">IFERROR(__xludf.dummyfunction("SPLIT(J2378,"" "")"),"CIF")</f>
        <v>CIF</v>
      </c>
      <c r="L2378" s="28" t="str">
        <f aca="false">IFERROR(__xludf.dummyfunction("""COMPUTED_VALUE"""),"UAE")</f>
        <v>UAE</v>
      </c>
      <c r="M2378" s="27" t="str">
        <f aca="false">IFERROR(__xludf.dummyfunction("""COMPUTED_VALUE"""),"(Diff)")</f>
        <v>(Diff)</v>
      </c>
      <c r="N2378" s="25"/>
      <c r="O2378" s="25"/>
      <c r="P2378" s="25"/>
      <c r="Q2378" s="29" t="s">
        <v>335</v>
      </c>
      <c r="R2378" s="8" t="str">
        <f aca="false">B2378&amp;" "&amp;C2378&amp;" "&amp;D2378&amp;" "&amp;E2378&amp;" "&amp;G2378&amp;" "&amp;H2378&amp;" "&amp;J2378&amp;" "&amp;N2378</f>
        <v>Differentials Graphite     CIF UAE (Diff) </v>
      </c>
      <c r="S2378" s="25"/>
      <c r="T2378" s="8"/>
      <c r="U2378" s="8"/>
      <c r="V2378" s="25"/>
      <c r="W2378" s="25"/>
      <c r="X2378" s="25"/>
      <c r="Y2378" s="25"/>
      <c r="Z2378" s="25"/>
      <c r="AA2378" s="25"/>
      <c r="AB2378" s="25"/>
      <c r="AC2378" s="25"/>
      <c r="AD2378" s="25"/>
    </row>
    <row r="2379" customFormat="false" ht="15.75" hidden="false" customHeight="false" outlineLevel="0" collapsed="false">
      <c r="A2379" s="28" t="s">
        <v>2794</v>
      </c>
      <c r="B2379" s="27" t="s">
        <v>438</v>
      </c>
      <c r="C2379" s="27" t="s">
        <v>308</v>
      </c>
      <c r="D2379" s="25"/>
      <c r="E2379" s="25"/>
      <c r="F2379" s="25"/>
      <c r="G2379" s="25"/>
      <c r="H2379" s="25"/>
      <c r="I2379" s="25"/>
      <c r="J2379" s="27" t="s">
        <v>2750</v>
      </c>
      <c r="K2379" s="25" t="str">
        <f aca="false">IFERROR(__xludf.dummyfunction("SPLIT(J2379,"" "")"),"CIF")</f>
        <v>CIF</v>
      </c>
      <c r="L2379" s="28" t="str">
        <f aca="false">IFERROR(__xludf.dummyfunction("""COMPUTED_VALUE"""),"UAE")</f>
        <v>UAE</v>
      </c>
      <c r="M2379" s="27" t="str">
        <f aca="false">IFERROR(__xludf.dummyfunction("""COMPUTED_VALUE"""),"(Diff)")</f>
        <v>(Diff)</v>
      </c>
      <c r="N2379" s="25"/>
      <c r="O2379" s="25"/>
      <c r="P2379" s="25"/>
      <c r="Q2379" s="29" t="s">
        <v>332</v>
      </c>
      <c r="R2379" s="8" t="str">
        <f aca="false">B2379&amp;" "&amp;C2379&amp;" "&amp;D2379&amp;" "&amp;E2379&amp;" "&amp;G2379&amp;" "&amp;H2379&amp;" "&amp;J2379&amp;" "&amp;N2379</f>
        <v>Differentials Graphite     CIF UAE (Diff) </v>
      </c>
      <c r="S2379" s="25"/>
      <c r="T2379" s="8"/>
      <c r="U2379" s="8"/>
      <c r="V2379" s="25"/>
      <c r="W2379" s="25"/>
      <c r="X2379" s="25"/>
      <c r="Y2379" s="25"/>
      <c r="Z2379" s="25"/>
      <c r="AA2379" s="25"/>
      <c r="AB2379" s="25"/>
      <c r="AC2379" s="25"/>
      <c r="AD2379" s="25"/>
    </row>
    <row r="2380" customFormat="false" ht="15.75" hidden="false" customHeight="false" outlineLevel="0" collapsed="false">
      <c r="A2380" s="28" t="s">
        <v>2795</v>
      </c>
      <c r="B2380" s="27" t="s">
        <v>438</v>
      </c>
      <c r="C2380" s="27" t="s">
        <v>308</v>
      </c>
      <c r="D2380" s="25"/>
      <c r="E2380" s="25"/>
      <c r="F2380" s="25"/>
      <c r="G2380" s="25"/>
      <c r="H2380" s="25"/>
      <c r="I2380" s="25"/>
      <c r="J2380" s="27" t="s">
        <v>2750</v>
      </c>
      <c r="K2380" s="25" t="str">
        <f aca="false">IFERROR(__xludf.dummyfunction("SPLIT(J2380,"" "")"),"CIF")</f>
        <v>CIF</v>
      </c>
      <c r="L2380" s="28" t="str">
        <f aca="false">IFERROR(__xludf.dummyfunction("""COMPUTED_VALUE"""),"UAE")</f>
        <v>UAE</v>
      </c>
      <c r="M2380" s="27" t="str">
        <f aca="false">IFERROR(__xludf.dummyfunction("""COMPUTED_VALUE"""),"(Diff)")</f>
        <v>(Diff)</v>
      </c>
      <c r="N2380" s="25"/>
      <c r="O2380" s="25"/>
      <c r="P2380" s="25"/>
      <c r="Q2380" s="29" t="s">
        <v>329</v>
      </c>
      <c r="R2380" s="8" t="str">
        <f aca="false">B2380&amp;" "&amp;C2380&amp;" "&amp;D2380&amp;" "&amp;E2380&amp;" "&amp;G2380&amp;" "&amp;H2380&amp;" "&amp;J2380&amp;" "&amp;N2380</f>
        <v>Differentials Graphite     CIF UAE (Diff) </v>
      </c>
      <c r="S2380" s="25"/>
      <c r="T2380" s="8"/>
      <c r="U2380" s="8"/>
      <c r="V2380" s="25"/>
      <c r="W2380" s="25"/>
      <c r="X2380" s="25"/>
      <c r="Y2380" s="25"/>
      <c r="Z2380" s="25"/>
      <c r="AA2380" s="25"/>
      <c r="AB2380" s="25"/>
      <c r="AC2380" s="25"/>
      <c r="AD2380" s="25"/>
    </row>
    <row r="2381" customFormat="false" ht="15.75" hidden="false" customHeight="false" outlineLevel="0" collapsed="false">
      <c r="A2381" s="28" t="s">
        <v>2796</v>
      </c>
      <c r="B2381" s="27" t="s">
        <v>438</v>
      </c>
      <c r="C2381" s="27" t="s">
        <v>308</v>
      </c>
      <c r="D2381" s="25"/>
      <c r="E2381" s="25"/>
      <c r="F2381" s="25"/>
      <c r="G2381" s="25"/>
      <c r="H2381" s="25"/>
      <c r="I2381" s="25"/>
      <c r="J2381" s="27" t="s">
        <v>2750</v>
      </c>
      <c r="K2381" s="25" t="str">
        <f aca="false">IFERROR(__xludf.dummyfunction("SPLIT(J2381,"" "")"),"CIF")</f>
        <v>CIF</v>
      </c>
      <c r="L2381" s="28" t="str">
        <f aca="false">IFERROR(__xludf.dummyfunction("""COMPUTED_VALUE"""),"UAE")</f>
        <v>UAE</v>
      </c>
      <c r="M2381" s="27" t="str">
        <f aca="false">IFERROR(__xludf.dummyfunction("""COMPUTED_VALUE"""),"(Diff)")</f>
        <v>(Diff)</v>
      </c>
      <c r="N2381" s="25"/>
      <c r="O2381" s="25"/>
      <c r="P2381" s="25"/>
      <c r="Q2381" s="29" t="s">
        <v>326</v>
      </c>
      <c r="R2381" s="8" t="str">
        <f aca="false">B2381&amp;" "&amp;C2381&amp;" "&amp;D2381&amp;" "&amp;E2381&amp;" "&amp;G2381&amp;" "&amp;H2381&amp;" "&amp;J2381&amp;" "&amp;N2381</f>
        <v>Differentials Graphite     CIF UAE (Diff) </v>
      </c>
      <c r="S2381" s="25"/>
      <c r="T2381" s="8"/>
      <c r="U2381" s="8"/>
      <c r="V2381" s="25"/>
      <c r="W2381" s="25"/>
      <c r="X2381" s="25"/>
      <c r="Y2381" s="25"/>
      <c r="Z2381" s="25"/>
      <c r="AA2381" s="25"/>
      <c r="AB2381" s="25"/>
      <c r="AC2381" s="25"/>
      <c r="AD2381" s="25"/>
    </row>
    <row r="2382" customFormat="false" ht="15.75" hidden="false" customHeight="false" outlineLevel="0" collapsed="false">
      <c r="A2382" s="28" t="s">
        <v>2797</v>
      </c>
      <c r="B2382" s="27" t="s">
        <v>438</v>
      </c>
      <c r="C2382" s="27" t="s">
        <v>308</v>
      </c>
      <c r="D2382" s="25"/>
      <c r="E2382" s="25"/>
      <c r="F2382" s="25"/>
      <c r="G2382" s="25"/>
      <c r="H2382" s="25"/>
      <c r="I2382" s="25"/>
      <c r="J2382" s="27" t="s">
        <v>2750</v>
      </c>
      <c r="K2382" s="25" t="str">
        <f aca="false">IFERROR(__xludf.dummyfunction("SPLIT(J2382,"" "")"),"CIF")</f>
        <v>CIF</v>
      </c>
      <c r="L2382" s="28" t="str">
        <f aca="false">IFERROR(__xludf.dummyfunction("""COMPUTED_VALUE"""),"UAE")</f>
        <v>UAE</v>
      </c>
      <c r="M2382" s="27" t="str">
        <f aca="false">IFERROR(__xludf.dummyfunction("""COMPUTED_VALUE"""),"(Diff)")</f>
        <v>(Diff)</v>
      </c>
      <c r="N2382" s="25"/>
      <c r="O2382" s="25"/>
      <c r="P2382" s="25"/>
      <c r="Q2382" s="29" t="s">
        <v>323</v>
      </c>
      <c r="R2382" s="8" t="str">
        <f aca="false">B2382&amp;" "&amp;C2382&amp;" "&amp;D2382&amp;" "&amp;E2382&amp;" "&amp;G2382&amp;" "&amp;H2382&amp;" "&amp;J2382&amp;" "&amp;N2382</f>
        <v>Differentials Graphite     CIF UAE (Diff) </v>
      </c>
      <c r="S2382" s="25"/>
      <c r="T2382" s="8"/>
      <c r="U2382" s="8"/>
      <c r="V2382" s="25"/>
      <c r="W2382" s="25"/>
      <c r="X2382" s="25"/>
      <c r="Y2382" s="25"/>
      <c r="Z2382" s="25"/>
      <c r="AA2382" s="25"/>
      <c r="AB2382" s="25"/>
      <c r="AC2382" s="25"/>
      <c r="AD2382" s="25"/>
    </row>
    <row r="2383" customFormat="false" ht="15.75" hidden="false" customHeight="false" outlineLevel="0" collapsed="false">
      <c r="A2383" s="28" t="s">
        <v>2798</v>
      </c>
      <c r="B2383" s="27" t="s">
        <v>438</v>
      </c>
      <c r="C2383" s="27" t="s">
        <v>308</v>
      </c>
      <c r="D2383" s="25"/>
      <c r="E2383" s="25"/>
      <c r="F2383" s="25"/>
      <c r="G2383" s="25"/>
      <c r="H2383" s="25"/>
      <c r="I2383" s="25"/>
      <c r="J2383" s="27" t="s">
        <v>2750</v>
      </c>
      <c r="K2383" s="25" t="str">
        <f aca="false">IFERROR(__xludf.dummyfunction("SPLIT(J2383,"" "")"),"CIF")</f>
        <v>CIF</v>
      </c>
      <c r="L2383" s="28" t="str">
        <f aca="false">IFERROR(__xludf.dummyfunction("""COMPUTED_VALUE"""),"UAE")</f>
        <v>UAE</v>
      </c>
      <c r="M2383" s="27" t="str">
        <f aca="false">IFERROR(__xludf.dummyfunction("""COMPUTED_VALUE"""),"(Diff)")</f>
        <v>(Diff)</v>
      </c>
      <c r="N2383" s="25"/>
      <c r="O2383" s="25"/>
      <c r="P2383" s="25"/>
      <c r="Q2383" s="29" t="s">
        <v>319</v>
      </c>
      <c r="R2383" s="8" t="str">
        <f aca="false">B2383&amp;" "&amp;C2383&amp;" "&amp;D2383&amp;" "&amp;E2383&amp;" "&amp;G2383&amp;" "&amp;H2383&amp;" "&amp;J2383&amp;" "&amp;N2383</f>
        <v>Differentials Graphite     CIF UAE (Diff) </v>
      </c>
      <c r="S2383" s="25"/>
      <c r="T2383" s="8"/>
      <c r="U2383" s="8"/>
      <c r="V2383" s="25"/>
      <c r="W2383" s="25"/>
      <c r="X2383" s="25"/>
      <c r="Y2383" s="25"/>
      <c r="Z2383" s="25"/>
      <c r="AA2383" s="25"/>
      <c r="AB2383" s="25"/>
      <c r="AC2383" s="25"/>
      <c r="AD2383" s="25"/>
    </row>
    <row r="2384" customFormat="false" ht="15.75" hidden="false" customHeight="false" outlineLevel="0" collapsed="false">
      <c r="A2384" s="28" t="s">
        <v>2799</v>
      </c>
      <c r="B2384" s="27" t="s">
        <v>438</v>
      </c>
      <c r="C2384" s="27" t="s">
        <v>308</v>
      </c>
      <c r="D2384" s="25"/>
      <c r="E2384" s="25"/>
      <c r="F2384" s="25"/>
      <c r="G2384" s="25"/>
      <c r="H2384" s="25"/>
      <c r="I2384" s="25"/>
      <c r="J2384" s="27" t="s">
        <v>2750</v>
      </c>
      <c r="K2384" s="25" t="str">
        <f aca="false">IFERROR(__xludf.dummyfunction("SPLIT(J2384,"" "")"),"CIF")</f>
        <v>CIF</v>
      </c>
      <c r="L2384" s="28" t="str">
        <f aca="false">IFERROR(__xludf.dummyfunction("""COMPUTED_VALUE"""),"UAE")</f>
        <v>UAE</v>
      </c>
      <c r="M2384" s="27" t="str">
        <f aca="false">IFERROR(__xludf.dummyfunction("""COMPUTED_VALUE"""),"(Diff)")</f>
        <v>(Diff)</v>
      </c>
      <c r="N2384" s="25"/>
      <c r="O2384" s="25"/>
      <c r="P2384" s="25"/>
      <c r="Q2384" s="29" t="s">
        <v>315</v>
      </c>
      <c r="R2384" s="8" t="str">
        <f aca="false">B2384&amp;" "&amp;C2384&amp;" "&amp;D2384&amp;" "&amp;E2384&amp;" "&amp;G2384&amp;" "&amp;H2384&amp;" "&amp;J2384&amp;" "&amp;N2384</f>
        <v>Differentials Graphite     CIF UAE (Diff) </v>
      </c>
      <c r="S2384" s="25"/>
      <c r="T2384" s="8"/>
      <c r="U2384" s="8"/>
      <c r="V2384" s="25"/>
      <c r="W2384" s="25"/>
      <c r="X2384" s="25"/>
      <c r="Y2384" s="25"/>
      <c r="Z2384" s="25"/>
      <c r="AA2384" s="25"/>
      <c r="AB2384" s="25"/>
      <c r="AC2384" s="25"/>
      <c r="AD2384" s="25"/>
    </row>
    <row r="2385" customFormat="false" ht="15.75" hidden="false" customHeight="false" outlineLevel="0" collapsed="false">
      <c r="A2385" s="28" t="s">
        <v>2800</v>
      </c>
      <c r="B2385" s="27" t="s">
        <v>438</v>
      </c>
      <c r="C2385" s="27" t="s">
        <v>308</v>
      </c>
      <c r="D2385" s="25"/>
      <c r="E2385" s="25"/>
      <c r="F2385" s="25"/>
      <c r="G2385" s="25"/>
      <c r="H2385" s="25"/>
      <c r="I2385" s="25"/>
      <c r="J2385" s="27" t="s">
        <v>2750</v>
      </c>
      <c r="K2385" s="25" t="str">
        <f aca="false">IFERROR(__xludf.dummyfunction("SPLIT(J2385,"" "")"),"CIF")</f>
        <v>CIF</v>
      </c>
      <c r="L2385" s="28" t="str">
        <f aca="false">IFERROR(__xludf.dummyfunction("""COMPUTED_VALUE"""),"UAE")</f>
        <v>UAE</v>
      </c>
      <c r="M2385" s="27" t="str">
        <f aca="false">IFERROR(__xludf.dummyfunction("""COMPUTED_VALUE"""),"(Diff)")</f>
        <v>(Diff)</v>
      </c>
      <c r="N2385" s="25"/>
      <c r="O2385" s="25"/>
      <c r="P2385" s="25"/>
      <c r="Q2385" s="29" t="s">
        <v>311</v>
      </c>
      <c r="R2385" s="8" t="str">
        <f aca="false">B2385&amp;" "&amp;C2385&amp;" "&amp;D2385&amp;" "&amp;E2385&amp;" "&amp;G2385&amp;" "&amp;H2385&amp;" "&amp;J2385&amp;" "&amp;N2385</f>
        <v>Differentials Graphite     CIF UAE (Diff) </v>
      </c>
      <c r="S2385" s="25"/>
      <c r="T2385" s="8"/>
      <c r="U2385" s="8"/>
      <c r="V2385" s="25"/>
      <c r="W2385" s="25"/>
      <c r="X2385" s="25"/>
      <c r="Y2385" s="25"/>
      <c r="Z2385" s="25"/>
      <c r="AA2385" s="25"/>
      <c r="AB2385" s="25"/>
      <c r="AC2385" s="25"/>
      <c r="AD2385" s="25"/>
    </row>
    <row r="2386" customFormat="false" ht="15.75" hidden="false" customHeight="false" outlineLevel="0" collapsed="false">
      <c r="A2386" s="28" t="s">
        <v>2801</v>
      </c>
      <c r="B2386" s="27" t="s">
        <v>438</v>
      </c>
      <c r="C2386" s="27" t="s">
        <v>417</v>
      </c>
      <c r="D2386" s="25"/>
      <c r="E2386" s="25"/>
      <c r="F2386" s="25"/>
      <c r="G2386" s="25"/>
      <c r="H2386" s="25"/>
      <c r="I2386" s="25"/>
      <c r="J2386" s="27" t="s">
        <v>2750</v>
      </c>
      <c r="K2386" s="25" t="str">
        <f aca="false">IFERROR(__xludf.dummyfunction("SPLIT(J2386,"" "")"),"CIF")</f>
        <v>CIF</v>
      </c>
      <c r="L2386" s="28" t="str">
        <f aca="false">IFERROR(__xludf.dummyfunction("""COMPUTED_VALUE"""),"UAE")</f>
        <v>UAE</v>
      </c>
      <c r="M2386" s="27" t="str">
        <f aca="false">IFERROR(__xludf.dummyfunction("""COMPUTED_VALUE"""),"(Diff)")</f>
        <v>(Diff)</v>
      </c>
      <c r="N2386" s="25"/>
      <c r="O2386" s="25"/>
      <c r="P2386" s="25"/>
      <c r="Q2386" s="29" t="s">
        <v>436</v>
      </c>
      <c r="R2386" s="8" t="str">
        <f aca="false">B2386&amp;" "&amp;C2386&amp;" "&amp;D2386&amp;" "&amp;E2386&amp;" "&amp;G2386&amp;" "&amp;H2386&amp;" "&amp;J2386&amp;" "&amp;N2386</f>
        <v>Differentials Solvent     CIF UAE (Diff) </v>
      </c>
      <c r="S2386" s="25"/>
      <c r="T2386" s="8"/>
      <c r="U2386" s="8"/>
      <c r="V2386" s="25"/>
      <c r="W2386" s="25"/>
      <c r="X2386" s="25"/>
      <c r="Y2386" s="25"/>
      <c r="Z2386" s="25"/>
      <c r="AA2386" s="25"/>
      <c r="AB2386" s="25"/>
      <c r="AC2386" s="25"/>
      <c r="AD2386" s="25"/>
    </row>
    <row r="2387" customFormat="false" ht="15.75" hidden="false" customHeight="false" outlineLevel="0" collapsed="false">
      <c r="A2387" s="28" t="s">
        <v>2802</v>
      </c>
      <c r="B2387" s="27" t="s">
        <v>438</v>
      </c>
      <c r="C2387" s="27" t="s">
        <v>417</v>
      </c>
      <c r="D2387" s="25"/>
      <c r="E2387" s="25"/>
      <c r="F2387" s="25"/>
      <c r="G2387" s="25"/>
      <c r="H2387" s="25"/>
      <c r="I2387" s="25"/>
      <c r="J2387" s="27" t="s">
        <v>2750</v>
      </c>
      <c r="K2387" s="25" t="str">
        <f aca="false">IFERROR(__xludf.dummyfunction("SPLIT(J2387,"" "")"),"CIF")</f>
        <v>CIF</v>
      </c>
      <c r="L2387" s="28" t="str">
        <f aca="false">IFERROR(__xludf.dummyfunction("""COMPUTED_VALUE"""),"UAE")</f>
        <v>UAE</v>
      </c>
      <c r="M2387" s="27" t="str">
        <f aca="false">IFERROR(__xludf.dummyfunction("""COMPUTED_VALUE"""),"(Diff)")</f>
        <v>(Diff)</v>
      </c>
      <c r="N2387" s="25"/>
      <c r="O2387" s="25"/>
      <c r="P2387" s="25"/>
      <c r="Q2387" s="29" t="s">
        <v>434</v>
      </c>
      <c r="R2387" s="8" t="str">
        <f aca="false">B2387&amp;" "&amp;C2387&amp;" "&amp;D2387&amp;" "&amp;E2387&amp;" "&amp;G2387&amp;" "&amp;H2387&amp;" "&amp;J2387&amp;" "&amp;N2387</f>
        <v>Differentials Solvent     CIF UAE (Diff) </v>
      </c>
      <c r="S2387" s="25"/>
      <c r="T2387" s="8"/>
      <c r="U2387" s="8"/>
      <c r="V2387" s="25"/>
      <c r="W2387" s="25"/>
      <c r="X2387" s="25"/>
      <c r="Y2387" s="25"/>
      <c r="Z2387" s="25"/>
      <c r="AA2387" s="25"/>
      <c r="AB2387" s="25"/>
      <c r="AC2387" s="25"/>
      <c r="AD2387" s="25"/>
    </row>
    <row r="2388" customFormat="false" ht="15.75" hidden="false" customHeight="false" outlineLevel="0" collapsed="false">
      <c r="A2388" s="28" t="s">
        <v>2803</v>
      </c>
      <c r="B2388" s="27" t="s">
        <v>438</v>
      </c>
      <c r="C2388" s="27" t="s">
        <v>417</v>
      </c>
      <c r="D2388" s="25"/>
      <c r="E2388" s="25"/>
      <c r="F2388" s="25"/>
      <c r="G2388" s="25"/>
      <c r="H2388" s="25"/>
      <c r="I2388" s="25"/>
      <c r="J2388" s="27" t="s">
        <v>2750</v>
      </c>
      <c r="K2388" s="25" t="str">
        <f aca="false">IFERROR(__xludf.dummyfunction("SPLIT(J2388,"" "")"),"CIF")</f>
        <v>CIF</v>
      </c>
      <c r="L2388" s="28" t="str">
        <f aca="false">IFERROR(__xludf.dummyfunction("""COMPUTED_VALUE"""),"UAE")</f>
        <v>UAE</v>
      </c>
      <c r="M2388" s="27" t="str">
        <f aca="false">IFERROR(__xludf.dummyfunction("""COMPUTED_VALUE"""),"(Diff)")</f>
        <v>(Diff)</v>
      </c>
      <c r="N2388" s="25"/>
      <c r="O2388" s="25"/>
      <c r="P2388" s="25"/>
      <c r="Q2388" s="29" t="s">
        <v>432</v>
      </c>
      <c r="R2388" s="8" t="str">
        <f aca="false">B2388&amp;" "&amp;C2388&amp;" "&amp;D2388&amp;" "&amp;E2388&amp;" "&amp;G2388&amp;" "&amp;H2388&amp;" "&amp;J2388&amp;" "&amp;N2388</f>
        <v>Differentials Solvent     CIF UAE (Diff) </v>
      </c>
      <c r="S2388" s="25"/>
      <c r="T2388" s="8"/>
      <c r="U2388" s="8"/>
      <c r="V2388" s="25"/>
      <c r="W2388" s="25"/>
      <c r="X2388" s="25"/>
      <c r="Y2388" s="25"/>
      <c r="Z2388" s="25"/>
      <c r="AA2388" s="25"/>
      <c r="AB2388" s="25"/>
      <c r="AC2388" s="25"/>
      <c r="AD2388" s="25"/>
    </row>
    <row r="2389" customFormat="false" ht="15.75" hidden="false" customHeight="false" outlineLevel="0" collapsed="false">
      <c r="A2389" s="28" t="s">
        <v>2804</v>
      </c>
      <c r="B2389" s="27" t="s">
        <v>438</v>
      </c>
      <c r="C2389" s="27" t="s">
        <v>417</v>
      </c>
      <c r="D2389" s="25"/>
      <c r="E2389" s="25"/>
      <c r="F2389" s="25"/>
      <c r="G2389" s="25"/>
      <c r="H2389" s="25"/>
      <c r="I2389" s="25"/>
      <c r="J2389" s="27" t="s">
        <v>2750</v>
      </c>
      <c r="K2389" s="25" t="str">
        <f aca="false">IFERROR(__xludf.dummyfunction("SPLIT(J2389,"" "")"),"CIF")</f>
        <v>CIF</v>
      </c>
      <c r="L2389" s="28" t="str">
        <f aca="false">IFERROR(__xludf.dummyfunction("""COMPUTED_VALUE"""),"UAE")</f>
        <v>UAE</v>
      </c>
      <c r="M2389" s="27" t="str">
        <f aca="false">IFERROR(__xludf.dummyfunction("""COMPUTED_VALUE"""),"(Diff)")</f>
        <v>(Diff)</v>
      </c>
      <c r="N2389" s="25"/>
      <c r="O2389" s="25"/>
      <c r="P2389" s="25"/>
      <c r="Q2389" s="29" t="s">
        <v>430</v>
      </c>
      <c r="R2389" s="8" t="str">
        <f aca="false">B2389&amp;" "&amp;C2389&amp;" "&amp;D2389&amp;" "&amp;E2389&amp;" "&amp;G2389&amp;" "&amp;H2389&amp;" "&amp;J2389&amp;" "&amp;N2389</f>
        <v>Differentials Solvent     CIF UAE (Diff) </v>
      </c>
      <c r="S2389" s="25"/>
      <c r="T2389" s="8"/>
      <c r="U2389" s="8"/>
      <c r="V2389" s="25"/>
      <c r="W2389" s="25"/>
      <c r="X2389" s="25"/>
      <c r="Y2389" s="25"/>
      <c r="Z2389" s="25"/>
      <c r="AA2389" s="25"/>
      <c r="AB2389" s="25"/>
      <c r="AC2389" s="25"/>
      <c r="AD2389" s="25"/>
    </row>
    <row r="2390" customFormat="false" ht="15.75" hidden="false" customHeight="false" outlineLevel="0" collapsed="false">
      <c r="A2390" s="28" t="s">
        <v>2805</v>
      </c>
      <c r="B2390" s="27" t="s">
        <v>438</v>
      </c>
      <c r="C2390" s="27" t="s">
        <v>417</v>
      </c>
      <c r="D2390" s="25"/>
      <c r="E2390" s="25"/>
      <c r="F2390" s="25"/>
      <c r="G2390" s="25"/>
      <c r="H2390" s="25"/>
      <c r="I2390" s="25"/>
      <c r="J2390" s="27" t="s">
        <v>2750</v>
      </c>
      <c r="K2390" s="25" t="str">
        <f aca="false">IFERROR(__xludf.dummyfunction("SPLIT(J2390,"" "")"),"CIF")</f>
        <v>CIF</v>
      </c>
      <c r="L2390" s="28" t="str">
        <f aca="false">IFERROR(__xludf.dummyfunction("""COMPUTED_VALUE"""),"UAE")</f>
        <v>UAE</v>
      </c>
      <c r="M2390" s="27" t="str">
        <f aca="false">IFERROR(__xludf.dummyfunction("""COMPUTED_VALUE"""),"(Diff)")</f>
        <v>(Diff)</v>
      </c>
      <c r="N2390" s="25"/>
      <c r="O2390" s="25"/>
      <c r="P2390" s="25"/>
      <c r="Q2390" s="29" t="s">
        <v>428</v>
      </c>
      <c r="R2390" s="8" t="str">
        <f aca="false">B2390&amp;" "&amp;C2390&amp;" "&amp;D2390&amp;" "&amp;E2390&amp;" "&amp;G2390&amp;" "&amp;H2390&amp;" "&amp;J2390&amp;" "&amp;N2390</f>
        <v>Differentials Solvent     CIF UAE (Diff) </v>
      </c>
      <c r="S2390" s="25"/>
      <c r="T2390" s="8"/>
      <c r="U2390" s="8"/>
      <c r="V2390" s="25"/>
      <c r="W2390" s="25"/>
      <c r="X2390" s="25"/>
      <c r="Y2390" s="25"/>
      <c r="Z2390" s="25"/>
      <c r="AA2390" s="25"/>
      <c r="AB2390" s="25"/>
      <c r="AC2390" s="25"/>
      <c r="AD2390" s="25"/>
    </row>
    <row r="2391" customFormat="false" ht="15.75" hidden="false" customHeight="false" outlineLevel="0" collapsed="false">
      <c r="A2391" s="28" t="s">
        <v>2806</v>
      </c>
      <c r="B2391" s="27" t="s">
        <v>438</v>
      </c>
      <c r="C2391" s="27" t="s">
        <v>417</v>
      </c>
      <c r="D2391" s="25"/>
      <c r="E2391" s="25"/>
      <c r="F2391" s="25"/>
      <c r="G2391" s="25"/>
      <c r="H2391" s="25"/>
      <c r="I2391" s="25"/>
      <c r="J2391" s="27" t="s">
        <v>2750</v>
      </c>
      <c r="K2391" s="25" t="str">
        <f aca="false">IFERROR(__xludf.dummyfunction("SPLIT(J2391,"" "")"),"CIF")</f>
        <v>CIF</v>
      </c>
      <c r="L2391" s="28" t="str">
        <f aca="false">IFERROR(__xludf.dummyfunction("""COMPUTED_VALUE"""),"UAE")</f>
        <v>UAE</v>
      </c>
      <c r="M2391" s="27" t="str">
        <f aca="false">IFERROR(__xludf.dummyfunction("""COMPUTED_VALUE"""),"(Diff)")</f>
        <v>(Diff)</v>
      </c>
      <c r="N2391" s="25"/>
      <c r="O2391" s="25"/>
      <c r="P2391" s="25"/>
      <c r="Q2391" s="29" t="s">
        <v>426</v>
      </c>
      <c r="R2391" s="8" t="str">
        <f aca="false">B2391&amp;" "&amp;C2391&amp;" "&amp;D2391&amp;" "&amp;E2391&amp;" "&amp;G2391&amp;" "&amp;H2391&amp;" "&amp;J2391&amp;" "&amp;N2391</f>
        <v>Differentials Solvent     CIF UAE (Diff) </v>
      </c>
      <c r="S2391" s="25"/>
      <c r="T2391" s="8"/>
      <c r="U2391" s="8"/>
      <c r="V2391" s="25"/>
      <c r="W2391" s="25"/>
      <c r="X2391" s="25"/>
      <c r="Y2391" s="25"/>
      <c r="Z2391" s="25"/>
      <c r="AA2391" s="25"/>
      <c r="AB2391" s="25"/>
      <c r="AC2391" s="25"/>
      <c r="AD2391" s="25"/>
    </row>
    <row r="2392" customFormat="false" ht="15.75" hidden="false" customHeight="false" outlineLevel="0" collapsed="false">
      <c r="A2392" s="28" t="s">
        <v>2807</v>
      </c>
      <c r="B2392" s="27" t="s">
        <v>438</v>
      </c>
      <c r="C2392" s="27" t="s">
        <v>417</v>
      </c>
      <c r="D2392" s="25"/>
      <c r="E2392" s="25"/>
      <c r="F2392" s="25"/>
      <c r="G2392" s="25"/>
      <c r="H2392" s="25"/>
      <c r="I2392" s="25"/>
      <c r="J2392" s="27" t="s">
        <v>2750</v>
      </c>
      <c r="K2392" s="25" t="str">
        <f aca="false">IFERROR(__xludf.dummyfunction("SPLIT(J2392,"" "")"),"CIF")</f>
        <v>CIF</v>
      </c>
      <c r="L2392" s="28" t="str">
        <f aca="false">IFERROR(__xludf.dummyfunction("""COMPUTED_VALUE"""),"UAE")</f>
        <v>UAE</v>
      </c>
      <c r="M2392" s="27" t="str">
        <f aca="false">IFERROR(__xludf.dummyfunction("""COMPUTED_VALUE"""),"(Diff)")</f>
        <v>(Diff)</v>
      </c>
      <c r="N2392" s="25"/>
      <c r="O2392" s="25"/>
      <c r="P2392" s="25"/>
      <c r="Q2392" s="29" t="s">
        <v>424</v>
      </c>
      <c r="R2392" s="8" t="str">
        <f aca="false">B2392&amp;" "&amp;C2392&amp;" "&amp;D2392&amp;" "&amp;E2392&amp;" "&amp;G2392&amp;" "&amp;H2392&amp;" "&amp;J2392&amp;" "&amp;N2392</f>
        <v>Differentials Solvent     CIF UAE (Diff) </v>
      </c>
      <c r="S2392" s="25"/>
      <c r="T2392" s="8"/>
      <c r="U2392" s="8"/>
      <c r="V2392" s="25"/>
      <c r="W2392" s="25"/>
      <c r="X2392" s="25"/>
      <c r="Y2392" s="25"/>
      <c r="Z2392" s="25"/>
      <c r="AA2392" s="25"/>
      <c r="AB2392" s="25"/>
      <c r="AC2392" s="25"/>
      <c r="AD2392" s="25"/>
    </row>
    <row r="2393" customFormat="false" ht="15.75" hidden="false" customHeight="false" outlineLevel="0" collapsed="false">
      <c r="A2393" s="28" t="s">
        <v>2808</v>
      </c>
      <c r="B2393" s="27" t="s">
        <v>438</v>
      </c>
      <c r="C2393" s="27" t="s">
        <v>417</v>
      </c>
      <c r="D2393" s="25"/>
      <c r="E2393" s="25"/>
      <c r="F2393" s="25"/>
      <c r="G2393" s="25"/>
      <c r="H2393" s="25"/>
      <c r="I2393" s="25"/>
      <c r="J2393" s="27" t="s">
        <v>2750</v>
      </c>
      <c r="K2393" s="25" t="str">
        <f aca="false">IFERROR(__xludf.dummyfunction("SPLIT(J2393,"" "")"),"CIF")</f>
        <v>CIF</v>
      </c>
      <c r="L2393" s="28" t="str">
        <f aca="false">IFERROR(__xludf.dummyfunction("""COMPUTED_VALUE"""),"UAE")</f>
        <v>UAE</v>
      </c>
      <c r="M2393" s="27" t="str">
        <f aca="false">IFERROR(__xludf.dummyfunction("""COMPUTED_VALUE"""),"(Diff)")</f>
        <v>(Diff)</v>
      </c>
      <c r="N2393" s="25"/>
      <c r="O2393" s="25"/>
      <c r="P2393" s="25"/>
      <c r="Q2393" s="29" t="s">
        <v>422</v>
      </c>
      <c r="R2393" s="8" t="str">
        <f aca="false">B2393&amp;" "&amp;C2393&amp;" "&amp;D2393&amp;" "&amp;E2393&amp;" "&amp;G2393&amp;" "&amp;H2393&amp;" "&amp;J2393&amp;" "&amp;N2393</f>
        <v>Differentials Solvent     CIF UAE (Diff) </v>
      </c>
      <c r="S2393" s="25"/>
      <c r="T2393" s="8"/>
      <c r="U2393" s="8"/>
      <c r="V2393" s="25"/>
      <c r="W2393" s="25"/>
      <c r="X2393" s="25"/>
      <c r="Y2393" s="25"/>
      <c r="Z2393" s="25"/>
      <c r="AA2393" s="25"/>
      <c r="AB2393" s="25"/>
      <c r="AC2393" s="25"/>
      <c r="AD2393" s="25"/>
    </row>
    <row r="2394" customFormat="false" ht="15.75" hidden="false" customHeight="false" outlineLevel="0" collapsed="false">
      <c r="A2394" s="28" t="s">
        <v>2809</v>
      </c>
      <c r="B2394" s="27" t="s">
        <v>438</v>
      </c>
      <c r="C2394" s="27" t="s">
        <v>417</v>
      </c>
      <c r="D2394" s="25"/>
      <c r="E2394" s="25"/>
      <c r="F2394" s="25"/>
      <c r="G2394" s="25"/>
      <c r="H2394" s="25"/>
      <c r="I2394" s="25"/>
      <c r="J2394" s="27" t="s">
        <v>2750</v>
      </c>
      <c r="K2394" s="25" t="str">
        <f aca="false">IFERROR(__xludf.dummyfunction("SPLIT(J2394,"" "")"),"CIF")</f>
        <v>CIF</v>
      </c>
      <c r="L2394" s="28" t="str">
        <f aca="false">IFERROR(__xludf.dummyfunction("""COMPUTED_VALUE"""),"UAE")</f>
        <v>UAE</v>
      </c>
      <c r="M2394" s="27" t="str">
        <f aca="false">IFERROR(__xludf.dummyfunction("""COMPUTED_VALUE"""),"(Diff)")</f>
        <v>(Diff)</v>
      </c>
      <c r="N2394" s="25"/>
      <c r="O2394" s="25"/>
      <c r="P2394" s="25"/>
      <c r="Q2394" s="29" t="s">
        <v>420</v>
      </c>
      <c r="R2394" s="8" t="str">
        <f aca="false">B2394&amp;" "&amp;C2394&amp;" "&amp;D2394&amp;" "&amp;E2394&amp;" "&amp;G2394&amp;" "&amp;H2394&amp;" "&amp;J2394&amp;" "&amp;N2394</f>
        <v>Differentials Solvent     CIF UAE (Diff) </v>
      </c>
      <c r="S2394" s="25"/>
      <c r="T2394" s="8"/>
      <c r="U2394" s="8"/>
      <c r="V2394" s="25"/>
      <c r="W2394" s="25"/>
      <c r="X2394" s="25"/>
      <c r="Y2394" s="25"/>
      <c r="Z2394" s="25"/>
      <c r="AA2394" s="25"/>
      <c r="AB2394" s="25"/>
      <c r="AC2394" s="25"/>
      <c r="AD2394" s="25"/>
    </row>
    <row r="2395" customFormat="false" ht="15.75" hidden="false" customHeight="false" outlineLevel="0" collapsed="false">
      <c r="A2395" s="28" t="s">
        <v>2810</v>
      </c>
      <c r="B2395" s="27" t="s">
        <v>438</v>
      </c>
      <c r="C2395" s="27" t="s">
        <v>417</v>
      </c>
      <c r="D2395" s="25"/>
      <c r="E2395" s="25"/>
      <c r="F2395" s="25"/>
      <c r="G2395" s="25"/>
      <c r="H2395" s="25"/>
      <c r="I2395" s="25"/>
      <c r="J2395" s="27" t="s">
        <v>2750</v>
      </c>
      <c r="K2395" s="25" t="str">
        <f aca="false">IFERROR(__xludf.dummyfunction("SPLIT(J2395,"" "")"),"CIF")</f>
        <v>CIF</v>
      </c>
      <c r="L2395" s="28" t="str">
        <f aca="false">IFERROR(__xludf.dummyfunction("""COMPUTED_VALUE"""),"UAE")</f>
        <v>UAE</v>
      </c>
      <c r="M2395" s="27" t="str">
        <f aca="false">IFERROR(__xludf.dummyfunction("""COMPUTED_VALUE"""),"(Diff)")</f>
        <v>(Diff)</v>
      </c>
      <c r="N2395" s="25"/>
      <c r="O2395" s="25"/>
      <c r="P2395" s="25"/>
      <c r="Q2395" s="29" t="s">
        <v>418</v>
      </c>
      <c r="R2395" s="8" t="str">
        <f aca="false">B2395&amp;" "&amp;C2395&amp;" "&amp;D2395&amp;" "&amp;E2395&amp;" "&amp;G2395&amp;" "&amp;H2395&amp;" "&amp;J2395&amp;" "&amp;N2395</f>
        <v>Differentials Solvent     CIF UAE (Diff) </v>
      </c>
      <c r="S2395" s="25"/>
      <c r="T2395" s="8"/>
      <c r="U2395" s="8"/>
      <c r="V2395" s="25"/>
      <c r="W2395" s="25"/>
      <c r="X2395" s="25"/>
      <c r="Y2395" s="25"/>
      <c r="Z2395" s="25"/>
      <c r="AA2395" s="25"/>
      <c r="AB2395" s="25"/>
      <c r="AC2395" s="25"/>
      <c r="AD2395" s="25"/>
    </row>
    <row r="2396" customFormat="false" ht="15.75" hidden="false" customHeight="false" outlineLevel="0" collapsed="false">
      <c r="A2396" s="28" t="s">
        <v>2811</v>
      </c>
      <c r="B2396" s="27" t="s">
        <v>438</v>
      </c>
      <c r="C2396" s="27" t="s">
        <v>168</v>
      </c>
      <c r="D2396" s="25"/>
      <c r="E2396" s="25"/>
      <c r="F2396" s="25"/>
      <c r="G2396" s="25"/>
      <c r="H2396" s="25"/>
      <c r="I2396" s="25"/>
      <c r="J2396" s="27" t="s">
        <v>2812</v>
      </c>
      <c r="K2396" s="25" t="str">
        <f aca="false">IFERROR(__xludf.dummyfunction("SPLIT(J2396,"" "")"),"CIF")</f>
        <v>CIF</v>
      </c>
      <c r="L2396" s="28" t="str">
        <f aca="false">IFERROR(__xludf.dummyfunction("""COMPUTED_VALUE"""),"UK")</f>
        <v>UK</v>
      </c>
      <c r="M2396" s="27" t="str">
        <f aca="false">IFERROR(__xludf.dummyfunction("""COMPUTED_VALUE"""),"(Diff)")</f>
        <v>(Diff)</v>
      </c>
      <c r="N2396" s="25"/>
      <c r="O2396" s="25"/>
      <c r="P2396" s="25"/>
      <c r="Q2396" s="29" t="s">
        <v>175</v>
      </c>
      <c r="R2396" s="8" t="str">
        <f aca="false">B2396&amp;" "&amp;C2396&amp;" "&amp;D2396&amp;" "&amp;E2396&amp;" "&amp;G2396&amp;" "&amp;H2396&amp;" "&amp;J2396&amp;" "&amp;N2396</f>
        <v>Differentials Aluminium (Battery Grade)     CIF UK (Diff) </v>
      </c>
      <c r="S2396" s="25"/>
      <c r="T2396" s="8"/>
      <c r="U2396" s="8"/>
      <c r="V2396" s="25"/>
      <c r="W2396" s="25"/>
      <c r="X2396" s="25"/>
      <c r="Y2396" s="25"/>
      <c r="Z2396" s="25"/>
      <c r="AA2396" s="25"/>
      <c r="AB2396" s="25"/>
      <c r="AC2396" s="25"/>
      <c r="AD2396" s="25"/>
    </row>
    <row r="2397" customFormat="false" ht="15.75" hidden="false" customHeight="false" outlineLevel="0" collapsed="false">
      <c r="A2397" s="28" t="s">
        <v>2813</v>
      </c>
      <c r="B2397" s="27" t="s">
        <v>438</v>
      </c>
      <c r="C2397" s="27" t="s">
        <v>168</v>
      </c>
      <c r="D2397" s="25"/>
      <c r="E2397" s="25"/>
      <c r="F2397" s="25"/>
      <c r="G2397" s="25"/>
      <c r="H2397" s="25"/>
      <c r="I2397" s="25"/>
      <c r="J2397" s="27" t="s">
        <v>2812</v>
      </c>
      <c r="K2397" s="25" t="str">
        <f aca="false">IFERROR(__xludf.dummyfunction("SPLIT(J2397,"" "")"),"CIF")</f>
        <v>CIF</v>
      </c>
      <c r="L2397" s="28" t="str">
        <f aca="false">IFERROR(__xludf.dummyfunction("""COMPUTED_VALUE"""),"UK")</f>
        <v>UK</v>
      </c>
      <c r="M2397" s="27" t="str">
        <f aca="false">IFERROR(__xludf.dummyfunction("""COMPUTED_VALUE"""),"(Diff)")</f>
        <v>(Diff)</v>
      </c>
      <c r="N2397" s="25"/>
      <c r="O2397" s="25"/>
      <c r="P2397" s="25"/>
      <c r="Q2397" s="29" t="s">
        <v>173</v>
      </c>
      <c r="R2397" s="8" t="str">
        <f aca="false">B2397&amp;" "&amp;C2397&amp;" "&amp;D2397&amp;" "&amp;E2397&amp;" "&amp;G2397&amp;" "&amp;H2397&amp;" "&amp;J2397&amp;" "&amp;N2397</f>
        <v>Differentials Aluminium (Battery Grade)     CIF UK (Diff) </v>
      </c>
      <c r="S2397" s="25"/>
      <c r="T2397" s="8"/>
      <c r="U2397" s="8"/>
      <c r="V2397" s="25"/>
      <c r="W2397" s="25"/>
      <c r="X2397" s="25"/>
      <c r="Y2397" s="25"/>
      <c r="Z2397" s="25"/>
      <c r="AA2397" s="25"/>
      <c r="AB2397" s="25"/>
      <c r="AC2397" s="25"/>
      <c r="AD2397" s="25"/>
    </row>
    <row r="2398" customFormat="false" ht="15.75" hidden="false" customHeight="false" outlineLevel="0" collapsed="false">
      <c r="A2398" s="28" t="s">
        <v>2814</v>
      </c>
      <c r="B2398" s="27" t="s">
        <v>438</v>
      </c>
      <c r="C2398" s="27" t="s">
        <v>168</v>
      </c>
      <c r="D2398" s="25"/>
      <c r="E2398" s="25"/>
      <c r="F2398" s="25"/>
      <c r="G2398" s="25"/>
      <c r="H2398" s="25"/>
      <c r="I2398" s="25"/>
      <c r="J2398" s="27" t="s">
        <v>2812</v>
      </c>
      <c r="K2398" s="25" t="str">
        <f aca="false">IFERROR(__xludf.dummyfunction("SPLIT(J2398,"" "")"),"CIF")</f>
        <v>CIF</v>
      </c>
      <c r="L2398" s="28" t="str">
        <f aca="false">IFERROR(__xludf.dummyfunction("""COMPUTED_VALUE"""),"UK")</f>
        <v>UK</v>
      </c>
      <c r="M2398" s="27" t="str">
        <f aca="false">IFERROR(__xludf.dummyfunction("""COMPUTED_VALUE"""),"(Diff)")</f>
        <v>(Diff)</v>
      </c>
      <c r="N2398" s="25"/>
      <c r="O2398" s="25"/>
      <c r="P2398" s="25"/>
      <c r="Q2398" s="29" t="s">
        <v>169</v>
      </c>
      <c r="R2398" s="8" t="str">
        <f aca="false">B2398&amp;" "&amp;C2398&amp;" "&amp;D2398&amp;" "&amp;E2398&amp;" "&amp;G2398&amp;" "&amp;H2398&amp;" "&amp;J2398&amp;" "&amp;N2398</f>
        <v>Differentials Aluminium (Battery Grade)     CIF UK (Diff) </v>
      </c>
      <c r="S2398" s="25"/>
      <c r="T2398" s="8"/>
      <c r="U2398" s="8"/>
      <c r="V2398" s="25"/>
      <c r="W2398" s="25"/>
      <c r="X2398" s="25"/>
      <c r="Y2398" s="25"/>
      <c r="Z2398" s="25"/>
      <c r="AA2398" s="25"/>
      <c r="AB2398" s="25"/>
      <c r="AC2398" s="25"/>
      <c r="AD2398" s="25"/>
    </row>
    <row r="2399" customFormat="false" ht="15.75" hidden="false" customHeight="false" outlineLevel="0" collapsed="false">
      <c r="A2399" s="28" t="s">
        <v>2815</v>
      </c>
      <c r="B2399" s="27" t="s">
        <v>438</v>
      </c>
      <c r="C2399" s="27" t="s">
        <v>177</v>
      </c>
      <c r="D2399" s="25"/>
      <c r="E2399" s="25"/>
      <c r="F2399" s="25"/>
      <c r="G2399" s="25"/>
      <c r="H2399" s="25"/>
      <c r="I2399" s="25"/>
      <c r="J2399" s="27" t="s">
        <v>2812</v>
      </c>
      <c r="K2399" s="25" t="str">
        <f aca="false">IFERROR(__xludf.dummyfunction("SPLIT(J2399,"" "")"),"CIF")</f>
        <v>CIF</v>
      </c>
      <c r="L2399" s="28" t="str">
        <f aca="false">IFERROR(__xludf.dummyfunction("""COMPUTED_VALUE"""),"UK")</f>
        <v>UK</v>
      </c>
      <c r="M2399" s="27" t="str">
        <f aca="false">IFERROR(__xludf.dummyfunction("""COMPUTED_VALUE"""),"(Diff)")</f>
        <v>(Diff)</v>
      </c>
      <c r="N2399" s="25"/>
      <c r="O2399" s="25"/>
      <c r="P2399" s="25"/>
      <c r="Q2399" s="29" t="s">
        <v>209</v>
      </c>
      <c r="R2399" s="8" t="str">
        <f aca="false">B2399&amp;" "&amp;C2399&amp;" "&amp;D2399&amp;" "&amp;E2399&amp;" "&amp;G2399&amp;" "&amp;H2399&amp;" "&amp;J2399&amp;" "&amp;N2399</f>
        <v>Differentials Anode     CIF UK (Diff) </v>
      </c>
      <c r="S2399" s="25"/>
      <c r="T2399" s="8"/>
      <c r="U2399" s="8"/>
      <c r="V2399" s="25"/>
      <c r="W2399" s="25"/>
      <c r="X2399" s="25"/>
      <c r="Y2399" s="25"/>
      <c r="Z2399" s="25"/>
      <c r="AA2399" s="25"/>
      <c r="AB2399" s="25"/>
      <c r="AC2399" s="25"/>
      <c r="AD2399" s="25"/>
    </row>
    <row r="2400" customFormat="false" ht="15.75" hidden="false" customHeight="false" outlineLevel="0" collapsed="false">
      <c r="A2400" s="28" t="s">
        <v>2816</v>
      </c>
      <c r="B2400" s="27" t="s">
        <v>438</v>
      </c>
      <c r="C2400" s="27" t="s">
        <v>177</v>
      </c>
      <c r="D2400" s="25"/>
      <c r="E2400" s="25"/>
      <c r="F2400" s="25"/>
      <c r="G2400" s="25"/>
      <c r="H2400" s="25"/>
      <c r="I2400" s="25"/>
      <c r="J2400" s="27" t="s">
        <v>2812</v>
      </c>
      <c r="K2400" s="25" t="str">
        <f aca="false">IFERROR(__xludf.dummyfunction("SPLIT(J2400,"" "")"),"CIF")</f>
        <v>CIF</v>
      </c>
      <c r="L2400" s="28" t="str">
        <f aca="false">IFERROR(__xludf.dummyfunction("""COMPUTED_VALUE"""),"UK")</f>
        <v>UK</v>
      </c>
      <c r="M2400" s="27" t="str">
        <f aca="false">IFERROR(__xludf.dummyfunction("""COMPUTED_VALUE"""),"(Diff)")</f>
        <v>(Diff)</v>
      </c>
      <c r="N2400" s="25"/>
      <c r="O2400" s="25"/>
      <c r="P2400" s="25"/>
      <c r="Q2400" s="29" t="s">
        <v>205</v>
      </c>
      <c r="R2400" s="8" t="str">
        <f aca="false">B2400&amp;" "&amp;C2400&amp;" "&amp;D2400&amp;" "&amp;E2400&amp;" "&amp;G2400&amp;" "&amp;H2400&amp;" "&amp;J2400&amp;" "&amp;N2400</f>
        <v>Differentials Anode     CIF UK (Diff) </v>
      </c>
      <c r="S2400" s="25"/>
      <c r="T2400" s="8"/>
      <c r="U2400" s="8"/>
      <c r="V2400" s="25"/>
      <c r="W2400" s="25"/>
      <c r="X2400" s="25"/>
      <c r="Y2400" s="25"/>
      <c r="Z2400" s="25"/>
      <c r="AA2400" s="25"/>
      <c r="AB2400" s="25"/>
      <c r="AC2400" s="25"/>
      <c r="AD2400" s="25"/>
    </row>
    <row r="2401" customFormat="false" ht="15.75" hidden="false" customHeight="false" outlineLevel="0" collapsed="false">
      <c r="A2401" s="28" t="s">
        <v>2817</v>
      </c>
      <c r="B2401" s="27" t="s">
        <v>438</v>
      </c>
      <c r="C2401" s="27" t="s">
        <v>177</v>
      </c>
      <c r="D2401" s="25"/>
      <c r="E2401" s="25"/>
      <c r="F2401" s="25"/>
      <c r="G2401" s="25"/>
      <c r="H2401" s="25"/>
      <c r="I2401" s="25"/>
      <c r="J2401" s="27" t="s">
        <v>2812</v>
      </c>
      <c r="K2401" s="25" t="str">
        <f aca="false">IFERROR(__xludf.dummyfunction("SPLIT(J2401,"" "")"),"CIF")</f>
        <v>CIF</v>
      </c>
      <c r="L2401" s="28" t="str">
        <f aca="false">IFERROR(__xludf.dummyfunction("""COMPUTED_VALUE"""),"UK")</f>
        <v>UK</v>
      </c>
      <c r="M2401" s="27" t="str">
        <f aca="false">IFERROR(__xludf.dummyfunction("""COMPUTED_VALUE"""),"(Diff)")</f>
        <v>(Diff)</v>
      </c>
      <c r="N2401" s="25"/>
      <c r="O2401" s="25"/>
      <c r="P2401" s="25"/>
      <c r="Q2401" s="29" t="s">
        <v>202</v>
      </c>
      <c r="R2401" s="8" t="str">
        <f aca="false">B2401&amp;" "&amp;C2401&amp;" "&amp;D2401&amp;" "&amp;E2401&amp;" "&amp;G2401&amp;" "&amp;H2401&amp;" "&amp;J2401&amp;" "&amp;N2401</f>
        <v>Differentials Anode     CIF UK (Diff) </v>
      </c>
      <c r="S2401" s="25"/>
      <c r="T2401" s="8"/>
      <c r="U2401" s="8"/>
      <c r="V2401" s="25"/>
      <c r="W2401" s="25"/>
      <c r="X2401" s="25"/>
      <c r="Y2401" s="25"/>
      <c r="Z2401" s="25"/>
      <c r="AA2401" s="25"/>
      <c r="AB2401" s="25"/>
      <c r="AC2401" s="25"/>
      <c r="AD2401" s="25"/>
    </row>
    <row r="2402" customFormat="false" ht="15.75" hidden="false" customHeight="false" outlineLevel="0" collapsed="false">
      <c r="A2402" s="28" t="s">
        <v>2818</v>
      </c>
      <c r="B2402" s="27" t="s">
        <v>438</v>
      </c>
      <c r="C2402" s="27" t="s">
        <v>177</v>
      </c>
      <c r="D2402" s="25"/>
      <c r="E2402" s="25"/>
      <c r="F2402" s="25"/>
      <c r="G2402" s="25"/>
      <c r="H2402" s="25"/>
      <c r="I2402" s="25"/>
      <c r="J2402" s="27" t="s">
        <v>2812</v>
      </c>
      <c r="K2402" s="25" t="str">
        <f aca="false">IFERROR(__xludf.dummyfunction("SPLIT(J2402,"" "")"),"CIF")</f>
        <v>CIF</v>
      </c>
      <c r="L2402" s="28" t="str">
        <f aca="false">IFERROR(__xludf.dummyfunction("""COMPUTED_VALUE"""),"UK")</f>
        <v>UK</v>
      </c>
      <c r="M2402" s="27" t="str">
        <f aca="false">IFERROR(__xludf.dummyfunction("""COMPUTED_VALUE"""),"(Diff)")</f>
        <v>(Diff)</v>
      </c>
      <c r="N2402" s="25"/>
      <c r="O2402" s="25"/>
      <c r="P2402" s="25"/>
      <c r="Q2402" s="29" t="s">
        <v>197</v>
      </c>
      <c r="R2402" s="8" t="str">
        <f aca="false">B2402&amp;" "&amp;C2402&amp;" "&amp;D2402&amp;" "&amp;E2402&amp;" "&amp;G2402&amp;" "&amp;H2402&amp;" "&amp;J2402&amp;" "&amp;N2402</f>
        <v>Differentials Anode     CIF UK (Diff) </v>
      </c>
      <c r="S2402" s="25"/>
      <c r="T2402" s="8"/>
      <c r="U2402" s="8"/>
      <c r="V2402" s="25"/>
      <c r="W2402" s="25"/>
      <c r="X2402" s="25"/>
      <c r="Y2402" s="25"/>
      <c r="Z2402" s="25"/>
      <c r="AA2402" s="25"/>
      <c r="AB2402" s="25"/>
      <c r="AC2402" s="25"/>
      <c r="AD2402" s="25"/>
    </row>
    <row r="2403" customFormat="false" ht="15.75" hidden="false" customHeight="false" outlineLevel="0" collapsed="false">
      <c r="A2403" s="28" t="s">
        <v>2819</v>
      </c>
      <c r="B2403" s="27" t="s">
        <v>438</v>
      </c>
      <c r="C2403" s="27" t="s">
        <v>177</v>
      </c>
      <c r="D2403" s="25"/>
      <c r="E2403" s="25"/>
      <c r="F2403" s="25"/>
      <c r="G2403" s="25"/>
      <c r="H2403" s="25"/>
      <c r="I2403" s="25"/>
      <c r="J2403" s="27" t="s">
        <v>2812</v>
      </c>
      <c r="K2403" s="25" t="str">
        <f aca="false">IFERROR(__xludf.dummyfunction("SPLIT(J2403,"" "")"),"CIF")</f>
        <v>CIF</v>
      </c>
      <c r="L2403" s="28" t="str">
        <f aca="false">IFERROR(__xludf.dummyfunction("""COMPUTED_VALUE"""),"UK")</f>
        <v>UK</v>
      </c>
      <c r="M2403" s="27" t="str">
        <f aca="false">IFERROR(__xludf.dummyfunction("""COMPUTED_VALUE"""),"(Diff)")</f>
        <v>(Diff)</v>
      </c>
      <c r="N2403" s="25"/>
      <c r="O2403" s="25"/>
      <c r="P2403" s="25"/>
      <c r="Q2403" s="29" t="s">
        <v>193</v>
      </c>
      <c r="R2403" s="8" t="str">
        <f aca="false">B2403&amp;" "&amp;C2403&amp;" "&amp;D2403&amp;" "&amp;E2403&amp;" "&amp;G2403&amp;" "&amp;H2403&amp;" "&amp;J2403&amp;" "&amp;N2403</f>
        <v>Differentials Anode     CIF UK (Diff) </v>
      </c>
      <c r="S2403" s="25"/>
      <c r="T2403" s="8"/>
      <c r="U2403" s="8"/>
      <c r="V2403" s="25"/>
      <c r="W2403" s="25"/>
      <c r="X2403" s="25"/>
      <c r="Y2403" s="25"/>
      <c r="Z2403" s="25"/>
      <c r="AA2403" s="25"/>
      <c r="AB2403" s="25"/>
      <c r="AC2403" s="25"/>
      <c r="AD2403" s="25"/>
    </row>
    <row r="2404" customFormat="false" ht="15.75" hidden="false" customHeight="false" outlineLevel="0" collapsed="false">
      <c r="A2404" s="28" t="s">
        <v>2820</v>
      </c>
      <c r="B2404" s="27" t="s">
        <v>438</v>
      </c>
      <c r="C2404" s="27" t="s">
        <v>177</v>
      </c>
      <c r="D2404" s="25"/>
      <c r="E2404" s="25"/>
      <c r="F2404" s="25"/>
      <c r="G2404" s="25"/>
      <c r="H2404" s="25"/>
      <c r="I2404" s="25"/>
      <c r="J2404" s="27" t="s">
        <v>2812</v>
      </c>
      <c r="K2404" s="25" t="str">
        <f aca="false">IFERROR(__xludf.dummyfunction("SPLIT(J2404,"" "")"),"CIF")</f>
        <v>CIF</v>
      </c>
      <c r="L2404" s="28" t="str">
        <f aca="false">IFERROR(__xludf.dummyfunction("""COMPUTED_VALUE"""),"UK")</f>
        <v>UK</v>
      </c>
      <c r="M2404" s="27" t="str">
        <f aca="false">IFERROR(__xludf.dummyfunction("""COMPUTED_VALUE"""),"(Diff)")</f>
        <v>(Diff)</v>
      </c>
      <c r="N2404" s="25"/>
      <c r="O2404" s="25"/>
      <c r="P2404" s="25"/>
      <c r="Q2404" s="29" t="s">
        <v>188</v>
      </c>
      <c r="R2404" s="8" t="str">
        <f aca="false">B2404&amp;" "&amp;C2404&amp;" "&amp;D2404&amp;" "&amp;E2404&amp;" "&amp;G2404&amp;" "&amp;H2404&amp;" "&amp;J2404&amp;" "&amp;N2404</f>
        <v>Differentials Anode     CIF UK (Diff) </v>
      </c>
      <c r="S2404" s="25"/>
      <c r="T2404" s="8"/>
      <c r="U2404" s="8"/>
      <c r="V2404" s="25"/>
      <c r="W2404" s="25"/>
      <c r="X2404" s="25"/>
      <c r="Y2404" s="25"/>
      <c r="Z2404" s="25"/>
      <c r="AA2404" s="25"/>
      <c r="AB2404" s="25"/>
      <c r="AC2404" s="25"/>
      <c r="AD2404" s="25"/>
    </row>
    <row r="2405" customFormat="false" ht="15.75" hidden="false" customHeight="false" outlineLevel="0" collapsed="false">
      <c r="A2405" s="28" t="s">
        <v>2821</v>
      </c>
      <c r="B2405" s="27" t="s">
        <v>438</v>
      </c>
      <c r="C2405" s="27" t="s">
        <v>177</v>
      </c>
      <c r="D2405" s="25"/>
      <c r="E2405" s="25"/>
      <c r="F2405" s="25"/>
      <c r="G2405" s="25"/>
      <c r="H2405" s="25"/>
      <c r="I2405" s="25"/>
      <c r="J2405" s="27" t="s">
        <v>2812</v>
      </c>
      <c r="K2405" s="25" t="str">
        <f aca="false">IFERROR(__xludf.dummyfunction("SPLIT(J2405,"" "")"),"CIF")</f>
        <v>CIF</v>
      </c>
      <c r="L2405" s="28" t="str">
        <f aca="false">IFERROR(__xludf.dummyfunction("""COMPUTED_VALUE"""),"UK")</f>
        <v>UK</v>
      </c>
      <c r="M2405" s="27" t="str">
        <f aca="false">IFERROR(__xludf.dummyfunction("""COMPUTED_VALUE"""),"(Diff)")</f>
        <v>(Diff)</v>
      </c>
      <c r="N2405" s="25"/>
      <c r="O2405" s="25"/>
      <c r="P2405" s="25"/>
      <c r="Q2405" s="29" t="s">
        <v>180</v>
      </c>
      <c r="R2405" s="8" t="str">
        <f aca="false">B2405&amp;" "&amp;C2405&amp;" "&amp;D2405&amp;" "&amp;E2405&amp;" "&amp;G2405&amp;" "&amp;H2405&amp;" "&amp;J2405&amp;" "&amp;N2405</f>
        <v>Differentials Anode     CIF UK (Diff) </v>
      </c>
      <c r="S2405" s="25"/>
      <c r="T2405" s="8"/>
      <c r="U2405" s="8"/>
      <c r="V2405" s="25"/>
      <c r="W2405" s="25"/>
      <c r="X2405" s="25"/>
      <c r="Y2405" s="25"/>
      <c r="Z2405" s="25"/>
      <c r="AA2405" s="25"/>
      <c r="AB2405" s="25"/>
      <c r="AC2405" s="25"/>
      <c r="AD2405" s="25"/>
    </row>
    <row r="2406" customFormat="false" ht="15.75" hidden="false" customHeight="false" outlineLevel="0" collapsed="false">
      <c r="A2406" s="28" t="s">
        <v>2822</v>
      </c>
      <c r="B2406" s="27" t="s">
        <v>438</v>
      </c>
      <c r="C2406" s="27" t="s">
        <v>211</v>
      </c>
      <c r="D2406" s="25"/>
      <c r="E2406" s="25"/>
      <c r="F2406" s="25"/>
      <c r="G2406" s="25"/>
      <c r="H2406" s="25"/>
      <c r="I2406" s="25"/>
      <c r="J2406" s="27" t="s">
        <v>2812</v>
      </c>
      <c r="K2406" s="25" t="str">
        <f aca="false">IFERROR(__xludf.dummyfunction("SPLIT(J2406,"" "")"),"CIF")</f>
        <v>CIF</v>
      </c>
      <c r="L2406" s="28" t="str">
        <f aca="false">IFERROR(__xludf.dummyfunction("""COMPUTED_VALUE"""),"UK")</f>
        <v>UK</v>
      </c>
      <c r="M2406" s="27" t="str">
        <f aca="false">IFERROR(__xludf.dummyfunction("""COMPUTED_VALUE"""),"(Diff)")</f>
        <v>(Diff)</v>
      </c>
      <c r="N2406" s="25"/>
      <c r="O2406" s="25"/>
      <c r="P2406" s="25"/>
      <c r="Q2406" s="29" t="s">
        <v>234</v>
      </c>
      <c r="R2406" s="8" t="str">
        <f aca="false">B2406&amp;" "&amp;C2406&amp;" "&amp;D2406&amp;" "&amp;E2406&amp;" "&amp;G2406&amp;" "&amp;H2406&amp;" "&amp;J2406&amp;" "&amp;N2406</f>
        <v>Differentials Binders &amp; Additives     CIF UK (Diff) </v>
      </c>
      <c r="S2406" s="25"/>
      <c r="T2406" s="8"/>
      <c r="U2406" s="8"/>
      <c r="V2406" s="25"/>
      <c r="W2406" s="25"/>
      <c r="X2406" s="25"/>
      <c r="Y2406" s="25"/>
      <c r="Z2406" s="25"/>
      <c r="AA2406" s="25"/>
      <c r="AB2406" s="25"/>
      <c r="AC2406" s="25"/>
      <c r="AD2406" s="25"/>
    </row>
    <row r="2407" customFormat="false" ht="15.75" hidden="false" customHeight="false" outlineLevel="0" collapsed="false">
      <c r="A2407" s="28" t="s">
        <v>2823</v>
      </c>
      <c r="B2407" s="27" t="s">
        <v>438</v>
      </c>
      <c r="C2407" s="27" t="s">
        <v>211</v>
      </c>
      <c r="D2407" s="25"/>
      <c r="E2407" s="25"/>
      <c r="F2407" s="25"/>
      <c r="G2407" s="25"/>
      <c r="H2407" s="25"/>
      <c r="I2407" s="25"/>
      <c r="J2407" s="27" t="s">
        <v>2812</v>
      </c>
      <c r="K2407" s="25" t="str">
        <f aca="false">IFERROR(__xludf.dummyfunction("SPLIT(J2407,"" "")"),"CIF")</f>
        <v>CIF</v>
      </c>
      <c r="L2407" s="28" t="str">
        <f aca="false">IFERROR(__xludf.dummyfunction("""COMPUTED_VALUE"""),"UK")</f>
        <v>UK</v>
      </c>
      <c r="M2407" s="27" t="str">
        <f aca="false">IFERROR(__xludf.dummyfunction("""COMPUTED_VALUE"""),"(Diff)")</f>
        <v>(Diff)</v>
      </c>
      <c r="N2407" s="25"/>
      <c r="O2407" s="25"/>
      <c r="P2407" s="25"/>
      <c r="Q2407" s="29" t="s">
        <v>232</v>
      </c>
      <c r="R2407" s="8" t="str">
        <f aca="false">B2407&amp;" "&amp;C2407&amp;" "&amp;D2407&amp;" "&amp;E2407&amp;" "&amp;G2407&amp;" "&amp;H2407&amp;" "&amp;J2407&amp;" "&amp;N2407</f>
        <v>Differentials Binders &amp; Additives     CIF UK (Diff) </v>
      </c>
      <c r="S2407" s="25"/>
      <c r="T2407" s="8"/>
      <c r="U2407" s="8"/>
      <c r="V2407" s="25"/>
      <c r="W2407" s="25"/>
      <c r="X2407" s="25"/>
      <c r="Y2407" s="25"/>
      <c r="Z2407" s="25"/>
      <c r="AA2407" s="25"/>
      <c r="AB2407" s="25"/>
      <c r="AC2407" s="25"/>
      <c r="AD2407" s="25"/>
    </row>
    <row r="2408" customFormat="false" ht="15.75" hidden="false" customHeight="false" outlineLevel="0" collapsed="false">
      <c r="A2408" s="28" t="s">
        <v>2824</v>
      </c>
      <c r="B2408" s="27" t="s">
        <v>438</v>
      </c>
      <c r="C2408" s="27" t="s">
        <v>211</v>
      </c>
      <c r="D2408" s="25"/>
      <c r="E2408" s="25"/>
      <c r="F2408" s="25"/>
      <c r="G2408" s="25"/>
      <c r="H2408" s="25"/>
      <c r="I2408" s="25"/>
      <c r="J2408" s="27" t="s">
        <v>2812</v>
      </c>
      <c r="K2408" s="25" t="str">
        <f aca="false">IFERROR(__xludf.dummyfunction("SPLIT(J2408,"" "")"),"CIF")</f>
        <v>CIF</v>
      </c>
      <c r="L2408" s="28" t="str">
        <f aca="false">IFERROR(__xludf.dummyfunction("""COMPUTED_VALUE"""),"UK")</f>
        <v>UK</v>
      </c>
      <c r="M2408" s="27" t="str">
        <f aca="false">IFERROR(__xludf.dummyfunction("""COMPUTED_VALUE"""),"(Diff)")</f>
        <v>(Diff)</v>
      </c>
      <c r="N2408" s="25"/>
      <c r="O2408" s="25"/>
      <c r="P2408" s="25"/>
      <c r="Q2408" s="29" t="s">
        <v>230</v>
      </c>
      <c r="R2408" s="8" t="str">
        <f aca="false">B2408&amp;" "&amp;C2408&amp;" "&amp;D2408&amp;" "&amp;E2408&amp;" "&amp;G2408&amp;" "&amp;H2408&amp;" "&amp;J2408&amp;" "&amp;N2408</f>
        <v>Differentials Binders &amp; Additives     CIF UK (Diff) </v>
      </c>
      <c r="S2408" s="25"/>
      <c r="T2408" s="8"/>
      <c r="U2408" s="8"/>
      <c r="V2408" s="25"/>
      <c r="W2408" s="25"/>
      <c r="X2408" s="25"/>
      <c r="Y2408" s="25"/>
      <c r="Z2408" s="25"/>
      <c r="AA2408" s="25"/>
      <c r="AB2408" s="25"/>
      <c r="AC2408" s="25"/>
      <c r="AD2408" s="25"/>
    </row>
    <row r="2409" customFormat="false" ht="15.75" hidden="false" customHeight="false" outlineLevel="0" collapsed="false">
      <c r="A2409" s="28" t="s">
        <v>2825</v>
      </c>
      <c r="B2409" s="27" t="s">
        <v>438</v>
      </c>
      <c r="C2409" s="27" t="s">
        <v>211</v>
      </c>
      <c r="D2409" s="25"/>
      <c r="E2409" s="25"/>
      <c r="F2409" s="25"/>
      <c r="G2409" s="25"/>
      <c r="H2409" s="25"/>
      <c r="I2409" s="25"/>
      <c r="J2409" s="27" t="s">
        <v>2812</v>
      </c>
      <c r="K2409" s="25" t="str">
        <f aca="false">IFERROR(__xludf.dummyfunction("SPLIT(J2409,"" "")"),"CIF")</f>
        <v>CIF</v>
      </c>
      <c r="L2409" s="28" t="str">
        <f aca="false">IFERROR(__xludf.dummyfunction("""COMPUTED_VALUE"""),"UK")</f>
        <v>UK</v>
      </c>
      <c r="M2409" s="27" t="str">
        <f aca="false">IFERROR(__xludf.dummyfunction("""COMPUTED_VALUE"""),"(Diff)")</f>
        <v>(Diff)</v>
      </c>
      <c r="N2409" s="25"/>
      <c r="O2409" s="25"/>
      <c r="P2409" s="25"/>
      <c r="Q2409" s="29" t="s">
        <v>228</v>
      </c>
      <c r="R2409" s="8" t="str">
        <f aca="false">B2409&amp;" "&amp;C2409&amp;" "&amp;D2409&amp;" "&amp;E2409&amp;" "&amp;G2409&amp;" "&amp;H2409&amp;" "&amp;J2409&amp;" "&amp;N2409</f>
        <v>Differentials Binders &amp; Additives     CIF UK (Diff) </v>
      </c>
      <c r="S2409" s="25"/>
      <c r="T2409" s="8"/>
      <c r="U2409" s="8"/>
      <c r="V2409" s="25"/>
      <c r="W2409" s="25"/>
      <c r="X2409" s="25"/>
      <c r="Y2409" s="25"/>
      <c r="Z2409" s="25"/>
      <c r="AA2409" s="25"/>
      <c r="AB2409" s="25"/>
      <c r="AC2409" s="25"/>
      <c r="AD2409" s="25"/>
    </row>
    <row r="2410" customFormat="false" ht="15.75" hidden="false" customHeight="false" outlineLevel="0" collapsed="false">
      <c r="A2410" s="28" t="s">
        <v>2826</v>
      </c>
      <c r="B2410" s="27" t="s">
        <v>438</v>
      </c>
      <c r="C2410" s="27" t="s">
        <v>211</v>
      </c>
      <c r="D2410" s="25"/>
      <c r="E2410" s="25"/>
      <c r="F2410" s="25"/>
      <c r="G2410" s="25"/>
      <c r="H2410" s="25"/>
      <c r="I2410" s="25"/>
      <c r="J2410" s="27" t="s">
        <v>2812</v>
      </c>
      <c r="K2410" s="25" t="str">
        <f aca="false">IFERROR(__xludf.dummyfunction("SPLIT(J2410,"" "")"),"CIF")</f>
        <v>CIF</v>
      </c>
      <c r="L2410" s="28" t="str">
        <f aca="false">IFERROR(__xludf.dummyfunction("""COMPUTED_VALUE"""),"UK")</f>
        <v>UK</v>
      </c>
      <c r="M2410" s="27" t="str">
        <f aca="false">IFERROR(__xludf.dummyfunction("""COMPUTED_VALUE"""),"(Diff)")</f>
        <v>(Diff)</v>
      </c>
      <c r="N2410" s="25"/>
      <c r="O2410" s="25"/>
      <c r="P2410" s="25"/>
      <c r="Q2410" s="29" t="s">
        <v>226</v>
      </c>
      <c r="R2410" s="8" t="str">
        <f aca="false">B2410&amp;" "&amp;C2410&amp;" "&amp;D2410&amp;" "&amp;E2410&amp;" "&amp;G2410&amp;" "&amp;H2410&amp;" "&amp;J2410&amp;" "&amp;N2410</f>
        <v>Differentials Binders &amp; Additives     CIF UK (Diff) </v>
      </c>
      <c r="S2410" s="25"/>
      <c r="T2410" s="8"/>
      <c r="U2410" s="8"/>
      <c r="V2410" s="25"/>
      <c r="W2410" s="25"/>
      <c r="X2410" s="25"/>
      <c r="Y2410" s="25"/>
      <c r="Z2410" s="25"/>
      <c r="AA2410" s="25"/>
      <c r="AB2410" s="25"/>
      <c r="AC2410" s="25"/>
      <c r="AD2410" s="25"/>
    </row>
    <row r="2411" customFormat="false" ht="15.75" hidden="false" customHeight="false" outlineLevel="0" collapsed="false">
      <c r="A2411" s="28" t="s">
        <v>2827</v>
      </c>
      <c r="B2411" s="27" t="s">
        <v>438</v>
      </c>
      <c r="C2411" s="27" t="s">
        <v>211</v>
      </c>
      <c r="D2411" s="25"/>
      <c r="E2411" s="25"/>
      <c r="F2411" s="25"/>
      <c r="G2411" s="25"/>
      <c r="H2411" s="25"/>
      <c r="I2411" s="25"/>
      <c r="J2411" s="27" t="s">
        <v>2812</v>
      </c>
      <c r="K2411" s="25" t="str">
        <f aca="false">IFERROR(__xludf.dummyfunction("SPLIT(J2411,"" "")"),"CIF")</f>
        <v>CIF</v>
      </c>
      <c r="L2411" s="28" t="str">
        <f aca="false">IFERROR(__xludf.dummyfunction("""COMPUTED_VALUE"""),"UK")</f>
        <v>UK</v>
      </c>
      <c r="M2411" s="27" t="str">
        <f aca="false">IFERROR(__xludf.dummyfunction("""COMPUTED_VALUE"""),"(Diff)")</f>
        <v>(Diff)</v>
      </c>
      <c r="N2411" s="25"/>
      <c r="O2411" s="25"/>
      <c r="P2411" s="25"/>
      <c r="Q2411" s="29" t="s">
        <v>224</v>
      </c>
      <c r="R2411" s="8" t="str">
        <f aca="false">B2411&amp;" "&amp;C2411&amp;" "&amp;D2411&amp;" "&amp;E2411&amp;" "&amp;G2411&amp;" "&amp;H2411&amp;" "&amp;J2411&amp;" "&amp;N2411</f>
        <v>Differentials Binders &amp; Additives     CIF UK (Diff) </v>
      </c>
      <c r="S2411" s="25"/>
      <c r="T2411" s="8"/>
      <c r="U2411" s="8"/>
      <c r="V2411" s="25"/>
      <c r="W2411" s="25"/>
      <c r="X2411" s="25"/>
      <c r="Y2411" s="25"/>
      <c r="Z2411" s="25"/>
      <c r="AA2411" s="25"/>
      <c r="AB2411" s="25"/>
      <c r="AC2411" s="25"/>
      <c r="AD2411" s="25"/>
    </row>
    <row r="2412" customFormat="false" ht="15.75" hidden="false" customHeight="false" outlineLevel="0" collapsed="false">
      <c r="A2412" s="28" t="s">
        <v>2828</v>
      </c>
      <c r="B2412" s="27" t="s">
        <v>438</v>
      </c>
      <c r="C2412" s="27" t="s">
        <v>211</v>
      </c>
      <c r="D2412" s="25"/>
      <c r="E2412" s="25"/>
      <c r="F2412" s="25"/>
      <c r="G2412" s="25"/>
      <c r="H2412" s="25"/>
      <c r="I2412" s="25"/>
      <c r="J2412" s="27" t="s">
        <v>2812</v>
      </c>
      <c r="K2412" s="25" t="str">
        <f aca="false">IFERROR(__xludf.dummyfunction("SPLIT(J2412,"" "")"),"CIF")</f>
        <v>CIF</v>
      </c>
      <c r="L2412" s="28" t="str">
        <f aca="false">IFERROR(__xludf.dummyfunction("""COMPUTED_VALUE"""),"UK")</f>
        <v>UK</v>
      </c>
      <c r="M2412" s="27" t="str">
        <f aca="false">IFERROR(__xludf.dummyfunction("""COMPUTED_VALUE"""),"(Diff)")</f>
        <v>(Diff)</v>
      </c>
      <c r="N2412" s="25"/>
      <c r="O2412" s="25"/>
      <c r="P2412" s="25"/>
      <c r="Q2412" s="29" t="s">
        <v>222</v>
      </c>
      <c r="R2412" s="8" t="str">
        <f aca="false">B2412&amp;" "&amp;C2412&amp;" "&amp;D2412&amp;" "&amp;E2412&amp;" "&amp;G2412&amp;" "&amp;H2412&amp;" "&amp;J2412&amp;" "&amp;N2412</f>
        <v>Differentials Binders &amp; Additives     CIF UK (Diff) </v>
      </c>
      <c r="S2412" s="25"/>
      <c r="T2412" s="8"/>
      <c r="U2412" s="8"/>
      <c r="V2412" s="25"/>
      <c r="W2412" s="25"/>
      <c r="X2412" s="25"/>
      <c r="Y2412" s="25"/>
      <c r="Z2412" s="25"/>
      <c r="AA2412" s="25"/>
      <c r="AB2412" s="25"/>
      <c r="AC2412" s="25"/>
      <c r="AD2412" s="25"/>
    </row>
    <row r="2413" customFormat="false" ht="15.75" hidden="false" customHeight="false" outlineLevel="0" collapsed="false">
      <c r="A2413" s="28" t="s">
        <v>2829</v>
      </c>
      <c r="B2413" s="27" t="s">
        <v>438</v>
      </c>
      <c r="C2413" s="27" t="s">
        <v>211</v>
      </c>
      <c r="D2413" s="25"/>
      <c r="E2413" s="25"/>
      <c r="F2413" s="25"/>
      <c r="G2413" s="25"/>
      <c r="H2413" s="25"/>
      <c r="I2413" s="25"/>
      <c r="J2413" s="27" t="s">
        <v>2812</v>
      </c>
      <c r="K2413" s="25" t="str">
        <f aca="false">IFERROR(__xludf.dummyfunction("SPLIT(J2413,"" "")"),"CIF")</f>
        <v>CIF</v>
      </c>
      <c r="L2413" s="28" t="str">
        <f aca="false">IFERROR(__xludf.dummyfunction("""COMPUTED_VALUE"""),"UK")</f>
        <v>UK</v>
      </c>
      <c r="M2413" s="27" t="str">
        <f aca="false">IFERROR(__xludf.dummyfunction("""COMPUTED_VALUE"""),"(Diff)")</f>
        <v>(Diff)</v>
      </c>
      <c r="N2413" s="25"/>
      <c r="O2413" s="25"/>
      <c r="P2413" s="25"/>
      <c r="Q2413" s="29" t="s">
        <v>220</v>
      </c>
      <c r="R2413" s="8" t="str">
        <f aca="false">B2413&amp;" "&amp;C2413&amp;" "&amp;D2413&amp;" "&amp;E2413&amp;" "&amp;G2413&amp;" "&amp;H2413&amp;" "&amp;J2413&amp;" "&amp;N2413</f>
        <v>Differentials Binders &amp; Additives     CIF UK (Diff) </v>
      </c>
      <c r="S2413" s="25"/>
      <c r="T2413" s="8"/>
      <c r="U2413" s="8"/>
      <c r="V2413" s="25"/>
      <c r="W2413" s="25"/>
      <c r="X2413" s="25"/>
      <c r="Y2413" s="25"/>
      <c r="Z2413" s="25"/>
      <c r="AA2413" s="25"/>
      <c r="AB2413" s="25"/>
      <c r="AC2413" s="25"/>
      <c r="AD2413" s="25"/>
    </row>
    <row r="2414" customFormat="false" ht="15.75" hidden="false" customHeight="false" outlineLevel="0" collapsed="false">
      <c r="A2414" s="28" t="s">
        <v>2830</v>
      </c>
      <c r="B2414" s="27" t="s">
        <v>438</v>
      </c>
      <c r="C2414" s="27" t="s">
        <v>211</v>
      </c>
      <c r="D2414" s="25"/>
      <c r="E2414" s="25"/>
      <c r="F2414" s="25"/>
      <c r="G2414" s="25"/>
      <c r="H2414" s="25"/>
      <c r="I2414" s="25"/>
      <c r="J2414" s="27" t="s">
        <v>2812</v>
      </c>
      <c r="K2414" s="25" t="str">
        <f aca="false">IFERROR(__xludf.dummyfunction("SPLIT(J2414,"" "")"),"CIF")</f>
        <v>CIF</v>
      </c>
      <c r="L2414" s="28" t="str">
        <f aca="false">IFERROR(__xludf.dummyfunction("""COMPUTED_VALUE"""),"UK")</f>
        <v>UK</v>
      </c>
      <c r="M2414" s="27" t="str">
        <f aca="false">IFERROR(__xludf.dummyfunction("""COMPUTED_VALUE"""),"(Diff)")</f>
        <v>(Diff)</v>
      </c>
      <c r="N2414" s="25"/>
      <c r="O2414" s="25"/>
      <c r="P2414" s="25"/>
      <c r="Q2414" s="29" t="s">
        <v>218</v>
      </c>
      <c r="R2414" s="8" t="str">
        <f aca="false">B2414&amp;" "&amp;C2414&amp;" "&amp;D2414&amp;" "&amp;E2414&amp;" "&amp;G2414&amp;" "&amp;H2414&amp;" "&amp;J2414&amp;" "&amp;N2414</f>
        <v>Differentials Binders &amp; Additives     CIF UK (Diff) </v>
      </c>
      <c r="S2414" s="25"/>
      <c r="T2414" s="8"/>
      <c r="U2414" s="8"/>
      <c r="V2414" s="25"/>
      <c r="W2414" s="25"/>
      <c r="X2414" s="25"/>
      <c r="Y2414" s="25"/>
      <c r="Z2414" s="25"/>
      <c r="AA2414" s="25"/>
      <c r="AB2414" s="25"/>
      <c r="AC2414" s="25"/>
      <c r="AD2414" s="25"/>
    </row>
    <row r="2415" customFormat="false" ht="15.75" hidden="false" customHeight="false" outlineLevel="0" collapsed="false">
      <c r="A2415" s="28" t="s">
        <v>2831</v>
      </c>
      <c r="B2415" s="27" t="s">
        <v>438</v>
      </c>
      <c r="C2415" s="27" t="s">
        <v>211</v>
      </c>
      <c r="D2415" s="25"/>
      <c r="E2415" s="25"/>
      <c r="F2415" s="25"/>
      <c r="G2415" s="25"/>
      <c r="H2415" s="25"/>
      <c r="I2415" s="25"/>
      <c r="J2415" s="27" t="s">
        <v>2812</v>
      </c>
      <c r="K2415" s="25" t="str">
        <f aca="false">IFERROR(__xludf.dummyfunction("SPLIT(J2415,"" "")"),"CIF")</f>
        <v>CIF</v>
      </c>
      <c r="L2415" s="28" t="str">
        <f aca="false">IFERROR(__xludf.dummyfunction("""COMPUTED_VALUE"""),"UK")</f>
        <v>UK</v>
      </c>
      <c r="M2415" s="27" t="str">
        <f aca="false">IFERROR(__xludf.dummyfunction("""COMPUTED_VALUE"""),"(Diff)")</f>
        <v>(Diff)</v>
      </c>
      <c r="N2415" s="25"/>
      <c r="O2415" s="25"/>
      <c r="P2415" s="25"/>
      <c r="Q2415" s="29" t="s">
        <v>215</v>
      </c>
      <c r="R2415" s="8" t="str">
        <f aca="false">B2415&amp;" "&amp;C2415&amp;" "&amp;D2415&amp;" "&amp;E2415&amp;" "&amp;G2415&amp;" "&amp;H2415&amp;" "&amp;J2415&amp;" "&amp;N2415</f>
        <v>Differentials Binders &amp; Additives     CIF UK (Diff) </v>
      </c>
      <c r="S2415" s="25"/>
      <c r="T2415" s="8"/>
      <c r="U2415" s="8"/>
      <c r="V2415" s="25"/>
      <c r="W2415" s="25"/>
      <c r="X2415" s="25"/>
      <c r="Y2415" s="25"/>
      <c r="Z2415" s="25"/>
      <c r="AA2415" s="25"/>
      <c r="AB2415" s="25"/>
      <c r="AC2415" s="25"/>
      <c r="AD2415" s="25"/>
    </row>
    <row r="2416" customFormat="false" ht="15.75" hidden="false" customHeight="false" outlineLevel="0" collapsed="false">
      <c r="A2416" s="28" t="s">
        <v>2832</v>
      </c>
      <c r="B2416" s="27" t="s">
        <v>438</v>
      </c>
      <c r="C2416" s="27" t="s">
        <v>211</v>
      </c>
      <c r="D2416" s="25"/>
      <c r="E2416" s="25"/>
      <c r="F2416" s="25"/>
      <c r="G2416" s="25"/>
      <c r="H2416" s="25"/>
      <c r="I2416" s="25"/>
      <c r="J2416" s="27" t="s">
        <v>2812</v>
      </c>
      <c r="K2416" s="25" t="str">
        <f aca="false">IFERROR(__xludf.dummyfunction("SPLIT(J2416,"" "")"),"CIF")</f>
        <v>CIF</v>
      </c>
      <c r="L2416" s="28" t="str">
        <f aca="false">IFERROR(__xludf.dummyfunction("""COMPUTED_VALUE"""),"UK")</f>
        <v>UK</v>
      </c>
      <c r="M2416" s="27" t="str">
        <f aca="false">IFERROR(__xludf.dummyfunction("""COMPUTED_VALUE"""),"(Diff)")</f>
        <v>(Diff)</v>
      </c>
      <c r="N2416" s="25"/>
      <c r="O2416" s="25"/>
      <c r="P2416" s="25"/>
      <c r="Q2416" s="29" t="s">
        <v>213</v>
      </c>
      <c r="R2416" s="8" t="str">
        <f aca="false">B2416&amp;" "&amp;C2416&amp;" "&amp;D2416&amp;" "&amp;E2416&amp;" "&amp;G2416&amp;" "&amp;H2416&amp;" "&amp;J2416&amp;" "&amp;N2416</f>
        <v>Differentials Binders &amp; Additives     CIF UK (Diff) </v>
      </c>
      <c r="S2416" s="25"/>
      <c r="T2416" s="8"/>
      <c r="U2416" s="8"/>
      <c r="V2416" s="25"/>
      <c r="W2416" s="25"/>
      <c r="X2416" s="25"/>
      <c r="Y2416" s="25"/>
      <c r="Z2416" s="25"/>
      <c r="AA2416" s="25"/>
      <c r="AB2416" s="25"/>
      <c r="AC2416" s="25"/>
      <c r="AD2416" s="25"/>
    </row>
    <row r="2417" customFormat="false" ht="15.75" hidden="false" customHeight="false" outlineLevel="0" collapsed="false">
      <c r="A2417" s="28" t="s">
        <v>2833</v>
      </c>
      <c r="B2417" s="27" t="s">
        <v>438</v>
      </c>
      <c r="C2417" s="27" t="s">
        <v>236</v>
      </c>
      <c r="D2417" s="25"/>
      <c r="E2417" s="25"/>
      <c r="F2417" s="25"/>
      <c r="G2417" s="25"/>
      <c r="H2417" s="25"/>
      <c r="I2417" s="25"/>
      <c r="J2417" s="27" t="s">
        <v>2812</v>
      </c>
      <c r="K2417" s="25" t="str">
        <f aca="false">IFERROR(__xludf.dummyfunction("SPLIT(J2417,"" "")"),"CIF")</f>
        <v>CIF</v>
      </c>
      <c r="L2417" s="28" t="str">
        <f aca="false">IFERROR(__xludf.dummyfunction("""COMPUTED_VALUE"""),"UK")</f>
        <v>UK</v>
      </c>
      <c r="M2417" s="27" t="str">
        <f aca="false">IFERROR(__xludf.dummyfunction("""COMPUTED_VALUE"""),"(Diff)")</f>
        <v>(Diff)</v>
      </c>
      <c r="N2417" s="25"/>
      <c r="O2417" s="25"/>
      <c r="P2417" s="25"/>
      <c r="Q2417" s="29" t="s">
        <v>271</v>
      </c>
      <c r="R2417" s="8" t="str">
        <f aca="false">B2417&amp;" "&amp;C2417&amp;" "&amp;D2417&amp;" "&amp;E2417&amp;" "&amp;G2417&amp;" "&amp;H2417&amp;" "&amp;J2417&amp;" "&amp;N2417</f>
        <v>Differentials Cathode     CIF UK (Diff) </v>
      </c>
      <c r="S2417" s="25"/>
      <c r="T2417" s="8"/>
      <c r="U2417" s="8"/>
      <c r="V2417" s="25"/>
      <c r="W2417" s="25"/>
      <c r="X2417" s="25"/>
      <c r="Y2417" s="25"/>
      <c r="Z2417" s="25"/>
      <c r="AA2417" s="25"/>
      <c r="AB2417" s="25"/>
      <c r="AC2417" s="25"/>
      <c r="AD2417" s="25"/>
    </row>
    <row r="2418" customFormat="false" ht="15.75" hidden="false" customHeight="false" outlineLevel="0" collapsed="false">
      <c r="A2418" s="28" t="s">
        <v>2834</v>
      </c>
      <c r="B2418" s="27" t="s">
        <v>438</v>
      </c>
      <c r="C2418" s="27" t="s">
        <v>236</v>
      </c>
      <c r="D2418" s="25"/>
      <c r="E2418" s="25"/>
      <c r="F2418" s="25"/>
      <c r="G2418" s="25"/>
      <c r="H2418" s="25"/>
      <c r="I2418" s="25"/>
      <c r="J2418" s="27" t="s">
        <v>2812</v>
      </c>
      <c r="K2418" s="25" t="str">
        <f aca="false">IFERROR(__xludf.dummyfunction("SPLIT(J2418,"" "")"),"CIF")</f>
        <v>CIF</v>
      </c>
      <c r="L2418" s="28" t="str">
        <f aca="false">IFERROR(__xludf.dummyfunction("""COMPUTED_VALUE"""),"UK")</f>
        <v>UK</v>
      </c>
      <c r="M2418" s="27" t="str">
        <f aca="false">IFERROR(__xludf.dummyfunction("""COMPUTED_VALUE"""),"(Diff)")</f>
        <v>(Diff)</v>
      </c>
      <c r="N2418" s="25"/>
      <c r="O2418" s="25"/>
      <c r="P2418" s="25"/>
      <c r="Q2418" s="29" t="s">
        <v>266</v>
      </c>
      <c r="R2418" s="8" t="str">
        <f aca="false">B2418&amp;" "&amp;C2418&amp;" "&amp;D2418&amp;" "&amp;E2418&amp;" "&amp;G2418&amp;" "&amp;H2418&amp;" "&amp;J2418&amp;" "&amp;N2418</f>
        <v>Differentials Cathode     CIF UK (Diff) </v>
      </c>
      <c r="S2418" s="25"/>
      <c r="T2418" s="8"/>
      <c r="U2418" s="8"/>
      <c r="V2418" s="25"/>
      <c r="W2418" s="25"/>
      <c r="X2418" s="25"/>
      <c r="Y2418" s="25"/>
      <c r="Z2418" s="25"/>
      <c r="AA2418" s="25"/>
      <c r="AB2418" s="25"/>
      <c r="AC2418" s="25"/>
      <c r="AD2418" s="25"/>
    </row>
    <row r="2419" customFormat="false" ht="15.75" hidden="false" customHeight="false" outlineLevel="0" collapsed="false">
      <c r="A2419" s="28" t="s">
        <v>2835</v>
      </c>
      <c r="B2419" s="27" t="s">
        <v>438</v>
      </c>
      <c r="C2419" s="27" t="s">
        <v>236</v>
      </c>
      <c r="D2419" s="25"/>
      <c r="E2419" s="25"/>
      <c r="F2419" s="25"/>
      <c r="G2419" s="25"/>
      <c r="H2419" s="25"/>
      <c r="I2419" s="25"/>
      <c r="J2419" s="27" t="s">
        <v>2812</v>
      </c>
      <c r="K2419" s="25" t="str">
        <f aca="false">IFERROR(__xludf.dummyfunction("SPLIT(J2419,"" "")"),"CIF")</f>
        <v>CIF</v>
      </c>
      <c r="L2419" s="28" t="str">
        <f aca="false">IFERROR(__xludf.dummyfunction("""COMPUTED_VALUE"""),"UK")</f>
        <v>UK</v>
      </c>
      <c r="M2419" s="27" t="str">
        <f aca="false">IFERROR(__xludf.dummyfunction("""COMPUTED_VALUE"""),"(Diff)")</f>
        <v>(Diff)</v>
      </c>
      <c r="N2419" s="25"/>
      <c r="O2419" s="25"/>
      <c r="P2419" s="25"/>
      <c r="Q2419" s="29" t="s">
        <v>261</v>
      </c>
      <c r="R2419" s="8" t="str">
        <f aca="false">B2419&amp;" "&amp;C2419&amp;" "&amp;D2419&amp;" "&amp;E2419&amp;" "&amp;G2419&amp;" "&amp;H2419&amp;" "&amp;J2419&amp;" "&amp;N2419</f>
        <v>Differentials Cathode     CIF UK (Diff) </v>
      </c>
      <c r="S2419" s="25"/>
      <c r="T2419" s="8"/>
      <c r="U2419" s="8"/>
      <c r="V2419" s="25"/>
      <c r="W2419" s="25"/>
      <c r="X2419" s="25"/>
      <c r="Y2419" s="25"/>
      <c r="Z2419" s="25"/>
      <c r="AA2419" s="25"/>
      <c r="AB2419" s="25"/>
      <c r="AC2419" s="25"/>
      <c r="AD2419" s="25"/>
    </row>
    <row r="2420" customFormat="false" ht="15.75" hidden="false" customHeight="false" outlineLevel="0" collapsed="false">
      <c r="A2420" s="28" t="s">
        <v>2836</v>
      </c>
      <c r="B2420" s="27" t="s">
        <v>438</v>
      </c>
      <c r="C2420" s="27" t="s">
        <v>236</v>
      </c>
      <c r="D2420" s="25"/>
      <c r="E2420" s="25"/>
      <c r="F2420" s="25"/>
      <c r="G2420" s="25"/>
      <c r="H2420" s="25"/>
      <c r="I2420" s="25"/>
      <c r="J2420" s="27" t="s">
        <v>2812</v>
      </c>
      <c r="K2420" s="25" t="str">
        <f aca="false">IFERROR(__xludf.dummyfunction("SPLIT(J2420,"" "")"),"CIF")</f>
        <v>CIF</v>
      </c>
      <c r="L2420" s="28" t="str">
        <f aca="false">IFERROR(__xludf.dummyfunction("""COMPUTED_VALUE"""),"UK")</f>
        <v>UK</v>
      </c>
      <c r="M2420" s="27" t="str">
        <f aca="false">IFERROR(__xludf.dummyfunction("""COMPUTED_VALUE"""),"(Diff)")</f>
        <v>(Diff)</v>
      </c>
      <c r="N2420" s="25"/>
      <c r="O2420" s="25"/>
      <c r="P2420" s="25"/>
      <c r="Q2420" s="29" t="s">
        <v>256</v>
      </c>
      <c r="R2420" s="8" t="str">
        <f aca="false">B2420&amp;" "&amp;C2420&amp;" "&amp;D2420&amp;" "&amp;E2420&amp;" "&amp;G2420&amp;" "&amp;H2420&amp;" "&amp;J2420&amp;" "&amp;N2420</f>
        <v>Differentials Cathode     CIF UK (Diff) </v>
      </c>
      <c r="S2420" s="25"/>
      <c r="T2420" s="8"/>
      <c r="U2420" s="8"/>
      <c r="V2420" s="25"/>
      <c r="W2420" s="25"/>
      <c r="X2420" s="25"/>
      <c r="Y2420" s="25"/>
      <c r="Z2420" s="25"/>
      <c r="AA2420" s="25"/>
      <c r="AB2420" s="25"/>
      <c r="AC2420" s="25"/>
      <c r="AD2420" s="25"/>
    </row>
    <row r="2421" customFormat="false" ht="15.75" hidden="false" customHeight="false" outlineLevel="0" collapsed="false">
      <c r="A2421" s="28" t="s">
        <v>2837</v>
      </c>
      <c r="B2421" s="27" t="s">
        <v>438</v>
      </c>
      <c r="C2421" s="27" t="s">
        <v>236</v>
      </c>
      <c r="D2421" s="25"/>
      <c r="E2421" s="25"/>
      <c r="F2421" s="25"/>
      <c r="G2421" s="25"/>
      <c r="H2421" s="25"/>
      <c r="I2421" s="25"/>
      <c r="J2421" s="27" t="s">
        <v>2812</v>
      </c>
      <c r="K2421" s="25" t="str">
        <f aca="false">IFERROR(__xludf.dummyfunction("SPLIT(J2421,"" "")"),"CIF")</f>
        <v>CIF</v>
      </c>
      <c r="L2421" s="28" t="str">
        <f aca="false">IFERROR(__xludf.dummyfunction("""COMPUTED_VALUE"""),"UK")</f>
        <v>UK</v>
      </c>
      <c r="M2421" s="27" t="str">
        <f aca="false">IFERROR(__xludf.dummyfunction("""COMPUTED_VALUE"""),"(Diff)")</f>
        <v>(Diff)</v>
      </c>
      <c r="N2421" s="25"/>
      <c r="O2421" s="25"/>
      <c r="P2421" s="25"/>
      <c r="Q2421" s="29" t="s">
        <v>251</v>
      </c>
      <c r="R2421" s="8" t="str">
        <f aca="false">B2421&amp;" "&amp;C2421&amp;" "&amp;D2421&amp;" "&amp;E2421&amp;" "&amp;G2421&amp;" "&amp;H2421&amp;" "&amp;J2421&amp;" "&amp;N2421</f>
        <v>Differentials Cathode     CIF UK (Diff) </v>
      </c>
      <c r="S2421" s="25"/>
      <c r="T2421" s="8"/>
      <c r="U2421" s="8"/>
      <c r="V2421" s="25"/>
      <c r="W2421" s="25"/>
      <c r="X2421" s="25"/>
      <c r="Y2421" s="25"/>
      <c r="Z2421" s="25"/>
      <c r="AA2421" s="25"/>
      <c r="AB2421" s="25"/>
      <c r="AC2421" s="25"/>
      <c r="AD2421" s="25"/>
    </row>
    <row r="2422" customFormat="false" ht="15.75" hidden="false" customHeight="false" outlineLevel="0" collapsed="false">
      <c r="A2422" s="28" t="s">
        <v>2838</v>
      </c>
      <c r="B2422" s="27" t="s">
        <v>438</v>
      </c>
      <c r="C2422" s="27" t="s">
        <v>236</v>
      </c>
      <c r="D2422" s="25"/>
      <c r="E2422" s="25"/>
      <c r="F2422" s="25"/>
      <c r="G2422" s="25"/>
      <c r="H2422" s="25"/>
      <c r="I2422" s="25"/>
      <c r="J2422" s="27" t="s">
        <v>2812</v>
      </c>
      <c r="K2422" s="25" t="str">
        <f aca="false">IFERROR(__xludf.dummyfunction("SPLIT(J2422,"" "")"),"CIF")</f>
        <v>CIF</v>
      </c>
      <c r="L2422" s="28" t="str">
        <f aca="false">IFERROR(__xludf.dummyfunction("""COMPUTED_VALUE"""),"UK")</f>
        <v>UK</v>
      </c>
      <c r="M2422" s="27" t="str">
        <f aca="false">IFERROR(__xludf.dummyfunction("""COMPUTED_VALUE"""),"(Diff)")</f>
        <v>(Diff)</v>
      </c>
      <c r="N2422" s="25"/>
      <c r="O2422" s="25"/>
      <c r="P2422" s="25"/>
      <c r="Q2422" s="29" t="s">
        <v>247</v>
      </c>
      <c r="R2422" s="8" t="str">
        <f aca="false">B2422&amp;" "&amp;C2422&amp;" "&amp;D2422&amp;" "&amp;E2422&amp;" "&amp;G2422&amp;" "&amp;H2422&amp;" "&amp;J2422&amp;" "&amp;N2422</f>
        <v>Differentials Cathode     CIF UK (Diff) </v>
      </c>
      <c r="S2422" s="25"/>
      <c r="T2422" s="8"/>
      <c r="U2422" s="8"/>
      <c r="V2422" s="25"/>
      <c r="W2422" s="25"/>
      <c r="X2422" s="25"/>
      <c r="Y2422" s="25"/>
      <c r="Z2422" s="25"/>
      <c r="AA2422" s="25"/>
      <c r="AB2422" s="25"/>
      <c r="AC2422" s="25"/>
      <c r="AD2422" s="25"/>
    </row>
    <row r="2423" customFormat="false" ht="15.75" hidden="false" customHeight="false" outlineLevel="0" collapsed="false">
      <c r="A2423" s="28" t="s">
        <v>2839</v>
      </c>
      <c r="B2423" s="27" t="s">
        <v>438</v>
      </c>
      <c r="C2423" s="27" t="s">
        <v>236</v>
      </c>
      <c r="D2423" s="25"/>
      <c r="E2423" s="25"/>
      <c r="F2423" s="25"/>
      <c r="G2423" s="25"/>
      <c r="H2423" s="25"/>
      <c r="I2423" s="25"/>
      <c r="J2423" s="27" t="s">
        <v>2812</v>
      </c>
      <c r="K2423" s="25" t="str">
        <f aca="false">IFERROR(__xludf.dummyfunction("SPLIT(J2423,"" "")"),"CIF")</f>
        <v>CIF</v>
      </c>
      <c r="L2423" s="28" t="str">
        <f aca="false">IFERROR(__xludf.dummyfunction("""COMPUTED_VALUE"""),"UK")</f>
        <v>UK</v>
      </c>
      <c r="M2423" s="27" t="str">
        <f aca="false">IFERROR(__xludf.dummyfunction("""COMPUTED_VALUE"""),"(Diff)")</f>
        <v>(Diff)</v>
      </c>
      <c r="N2423" s="25"/>
      <c r="O2423" s="25"/>
      <c r="P2423" s="25"/>
      <c r="Q2423" s="29" t="s">
        <v>243</v>
      </c>
      <c r="R2423" s="8" t="str">
        <f aca="false">B2423&amp;" "&amp;C2423&amp;" "&amp;D2423&amp;" "&amp;E2423&amp;" "&amp;G2423&amp;" "&amp;H2423&amp;" "&amp;J2423&amp;" "&amp;N2423</f>
        <v>Differentials Cathode     CIF UK (Diff) </v>
      </c>
      <c r="S2423" s="25"/>
      <c r="T2423" s="8"/>
      <c r="U2423" s="8"/>
      <c r="V2423" s="25"/>
      <c r="W2423" s="25"/>
      <c r="X2423" s="25"/>
      <c r="Y2423" s="25"/>
      <c r="Z2423" s="25"/>
      <c r="AA2423" s="25"/>
      <c r="AB2423" s="25"/>
      <c r="AC2423" s="25"/>
      <c r="AD2423" s="25"/>
    </row>
    <row r="2424" customFormat="false" ht="15.75" hidden="false" customHeight="false" outlineLevel="0" collapsed="false">
      <c r="A2424" s="28" t="s">
        <v>2840</v>
      </c>
      <c r="B2424" s="27" t="s">
        <v>438</v>
      </c>
      <c r="C2424" s="27" t="s">
        <v>236</v>
      </c>
      <c r="D2424" s="25"/>
      <c r="E2424" s="25"/>
      <c r="F2424" s="25"/>
      <c r="G2424" s="25"/>
      <c r="H2424" s="25"/>
      <c r="I2424" s="25"/>
      <c r="J2424" s="27" t="s">
        <v>2812</v>
      </c>
      <c r="K2424" s="25" t="str">
        <f aca="false">IFERROR(__xludf.dummyfunction("SPLIT(J2424,"" "")"),"CIF")</f>
        <v>CIF</v>
      </c>
      <c r="L2424" s="28" t="str">
        <f aca="false">IFERROR(__xludf.dummyfunction("""COMPUTED_VALUE"""),"UK")</f>
        <v>UK</v>
      </c>
      <c r="M2424" s="27" t="str">
        <f aca="false">IFERROR(__xludf.dummyfunction("""COMPUTED_VALUE"""),"(Diff)")</f>
        <v>(Diff)</v>
      </c>
      <c r="N2424" s="25"/>
      <c r="O2424" s="25"/>
      <c r="P2424" s="25"/>
      <c r="Q2424" s="29" t="s">
        <v>239</v>
      </c>
      <c r="R2424" s="8" t="str">
        <f aca="false">B2424&amp;" "&amp;C2424&amp;" "&amp;D2424&amp;" "&amp;E2424&amp;" "&amp;G2424&amp;" "&amp;H2424&amp;" "&amp;J2424&amp;" "&amp;N2424</f>
        <v>Differentials Cathode     CIF UK (Diff) </v>
      </c>
      <c r="S2424" s="25"/>
      <c r="T2424" s="8"/>
      <c r="U2424" s="8"/>
      <c r="V2424" s="25"/>
      <c r="W2424" s="25"/>
      <c r="X2424" s="25"/>
      <c r="Y2424" s="25"/>
      <c r="Z2424" s="25"/>
      <c r="AA2424" s="25"/>
      <c r="AB2424" s="25"/>
      <c r="AC2424" s="25"/>
      <c r="AD2424" s="25"/>
    </row>
    <row r="2425" customFormat="false" ht="15.75" hidden="false" customHeight="false" outlineLevel="0" collapsed="false">
      <c r="A2425" s="28" t="s">
        <v>2841</v>
      </c>
      <c r="B2425" s="27" t="s">
        <v>438</v>
      </c>
      <c r="C2425" s="27" t="s">
        <v>284</v>
      </c>
      <c r="D2425" s="25"/>
      <c r="E2425" s="25"/>
      <c r="F2425" s="25"/>
      <c r="G2425" s="25"/>
      <c r="H2425" s="25"/>
      <c r="I2425" s="25"/>
      <c r="J2425" s="27" t="s">
        <v>2812</v>
      </c>
      <c r="K2425" s="25" t="str">
        <f aca="false">IFERROR(__xludf.dummyfunction("SPLIT(J2425,"" "")"),"CIF")</f>
        <v>CIF</v>
      </c>
      <c r="L2425" s="28" t="str">
        <f aca="false">IFERROR(__xludf.dummyfunction("""COMPUTED_VALUE"""),"UK")</f>
        <v>UK</v>
      </c>
      <c r="M2425" s="27" t="str">
        <f aca="false">IFERROR(__xludf.dummyfunction("""COMPUTED_VALUE"""),"(Diff)")</f>
        <v>(Diff)</v>
      </c>
      <c r="N2425" s="25"/>
      <c r="O2425" s="25"/>
      <c r="P2425" s="25"/>
      <c r="Q2425" s="29" t="s">
        <v>287</v>
      </c>
      <c r="R2425" s="8" t="str">
        <f aca="false">B2425&amp;" "&amp;C2425&amp;" "&amp;D2425&amp;" "&amp;E2425&amp;" "&amp;G2425&amp;" "&amp;H2425&amp;" "&amp;J2425&amp;" "&amp;N2425</f>
        <v>Differentials Copper (Battery Grade)     CIF UK (Diff) </v>
      </c>
      <c r="S2425" s="25"/>
      <c r="T2425" s="8"/>
      <c r="U2425" s="8"/>
      <c r="V2425" s="25"/>
      <c r="W2425" s="25"/>
      <c r="X2425" s="25"/>
      <c r="Y2425" s="25"/>
      <c r="Z2425" s="25"/>
      <c r="AA2425" s="25"/>
      <c r="AB2425" s="25"/>
      <c r="AC2425" s="25"/>
      <c r="AD2425" s="25"/>
    </row>
    <row r="2426" customFormat="false" ht="15.75" hidden="false" customHeight="false" outlineLevel="0" collapsed="false">
      <c r="A2426" s="28" t="s">
        <v>2842</v>
      </c>
      <c r="B2426" s="27" t="s">
        <v>438</v>
      </c>
      <c r="C2426" s="27" t="s">
        <v>284</v>
      </c>
      <c r="D2426" s="25"/>
      <c r="E2426" s="25"/>
      <c r="F2426" s="25"/>
      <c r="G2426" s="25"/>
      <c r="H2426" s="25"/>
      <c r="I2426" s="25"/>
      <c r="J2426" s="27" t="s">
        <v>2812</v>
      </c>
      <c r="K2426" s="25" t="str">
        <f aca="false">IFERROR(__xludf.dummyfunction("SPLIT(J2426,"" "")"),"CIF")</f>
        <v>CIF</v>
      </c>
      <c r="L2426" s="28" t="str">
        <f aca="false">IFERROR(__xludf.dummyfunction("""COMPUTED_VALUE"""),"UK")</f>
        <v>UK</v>
      </c>
      <c r="M2426" s="27" t="str">
        <f aca="false">IFERROR(__xludf.dummyfunction("""COMPUTED_VALUE"""),"(Diff)")</f>
        <v>(Diff)</v>
      </c>
      <c r="N2426" s="25"/>
      <c r="O2426" s="25"/>
      <c r="P2426" s="25"/>
      <c r="Q2426" s="29" t="s">
        <v>285</v>
      </c>
      <c r="R2426" s="8" t="str">
        <f aca="false">B2426&amp;" "&amp;C2426&amp;" "&amp;D2426&amp;" "&amp;E2426&amp;" "&amp;G2426&amp;" "&amp;H2426&amp;" "&amp;J2426&amp;" "&amp;N2426</f>
        <v>Differentials Copper (Battery Grade)     CIF UK (Diff) </v>
      </c>
      <c r="S2426" s="25"/>
      <c r="T2426" s="8"/>
      <c r="U2426" s="8"/>
      <c r="V2426" s="25"/>
      <c r="W2426" s="25"/>
      <c r="X2426" s="25"/>
      <c r="Y2426" s="25"/>
      <c r="Z2426" s="25"/>
      <c r="AA2426" s="25"/>
      <c r="AB2426" s="25"/>
      <c r="AC2426" s="25"/>
      <c r="AD2426" s="25"/>
    </row>
    <row r="2427" customFormat="false" ht="15.75" hidden="false" customHeight="false" outlineLevel="0" collapsed="false">
      <c r="A2427" s="28" t="s">
        <v>2843</v>
      </c>
      <c r="B2427" s="27" t="s">
        <v>438</v>
      </c>
      <c r="C2427" s="27" t="s">
        <v>289</v>
      </c>
      <c r="D2427" s="25"/>
      <c r="E2427" s="25"/>
      <c r="F2427" s="25"/>
      <c r="G2427" s="25"/>
      <c r="H2427" s="25"/>
      <c r="I2427" s="25"/>
      <c r="J2427" s="27" t="s">
        <v>2812</v>
      </c>
      <c r="K2427" s="25" t="str">
        <f aca="false">IFERROR(__xludf.dummyfunction("SPLIT(J2427,"" "")"),"CIF")</f>
        <v>CIF</v>
      </c>
      <c r="L2427" s="28" t="str">
        <f aca="false">IFERROR(__xludf.dummyfunction("""COMPUTED_VALUE"""),"UK")</f>
        <v>UK</v>
      </c>
      <c r="M2427" s="27" t="str">
        <f aca="false">IFERROR(__xludf.dummyfunction("""COMPUTED_VALUE"""),"(Diff)")</f>
        <v>(Diff)</v>
      </c>
      <c r="N2427" s="25"/>
      <c r="O2427" s="25"/>
      <c r="P2427" s="25"/>
      <c r="Q2427" s="29" t="s">
        <v>306</v>
      </c>
      <c r="R2427" s="8" t="str">
        <f aca="false">B2427&amp;" "&amp;C2427&amp;" "&amp;D2427&amp;" "&amp;E2427&amp;" "&amp;G2427&amp;" "&amp;H2427&amp;" "&amp;J2427&amp;" "&amp;N2427</f>
        <v>Differentials Electrolyte     CIF UK (Diff) </v>
      </c>
      <c r="S2427" s="25"/>
      <c r="T2427" s="8"/>
      <c r="U2427" s="8"/>
      <c r="V2427" s="25"/>
      <c r="W2427" s="25"/>
      <c r="X2427" s="25"/>
      <c r="Y2427" s="25"/>
      <c r="Z2427" s="25"/>
      <c r="AA2427" s="25"/>
      <c r="AB2427" s="25"/>
      <c r="AC2427" s="25"/>
      <c r="AD2427" s="25"/>
    </row>
    <row r="2428" customFormat="false" ht="15.75" hidden="false" customHeight="false" outlineLevel="0" collapsed="false">
      <c r="A2428" s="28" t="s">
        <v>2844</v>
      </c>
      <c r="B2428" s="27" t="s">
        <v>438</v>
      </c>
      <c r="C2428" s="27" t="s">
        <v>289</v>
      </c>
      <c r="D2428" s="25"/>
      <c r="E2428" s="25"/>
      <c r="F2428" s="25"/>
      <c r="G2428" s="25"/>
      <c r="H2428" s="25"/>
      <c r="I2428" s="25"/>
      <c r="J2428" s="27" t="s">
        <v>2812</v>
      </c>
      <c r="K2428" s="25" t="str">
        <f aca="false">IFERROR(__xludf.dummyfunction("SPLIT(J2428,"" "")"),"CIF")</f>
        <v>CIF</v>
      </c>
      <c r="L2428" s="28" t="str">
        <f aca="false">IFERROR(__xludf.dummyfunction("""COMPUTED_VALUE"""),"UK")</f>
        <v>UK</v>
      </c>
      <c r="M2428" s="27" t="str">
        <f aca="false">IFERROR(__xludf.dummyfunction("""COMPUTED_VALUE"""),"(Diff)")</f>
        <v>(Diff)</v>
      </c>
      <c r="N2428" s="25"/>
      <c r="O2428" s="25"/>
      <c r="P2428" s="25"/>
      <c r="Q2428" s="29" t="s">
        <v>304</v>
      </c>
      <c r="R2428" s="8" t="str">
        <f aca="false">B2428&amp;" "&amp;C2428&amp;" "&amp;D2428&amp;" "&amp;E2428&amp;" "&amp;G2428&amp;" "&amp;H2428&amp;" "&amp;J2428&amp;" "&amp;N2428</f>
        <v>Differentials Electrolyte     CIF UK (Diff) </v>
      </c>
      <c r="S2428" s="25"/>
      <c r="T2428" s="8"/>
      <c r="U2428" s="8"/>
      <c r="V2428" s="25"/>
      <c r="W2428" s="25"/>
      <c r="X2428" s="25"/>
      <c r="Y2428" s="25"/>
      <c r="Z2428" s="25"/>
      <c r="AA2428" s="25"/>
      <c r="AB2428" s="25"/>
      <c r="AC2428" s="25"/>
      <c r="AD2428" s="25"/>
    </row>
    <row r="2429" customFormat="false" ht="15.75" hidden="false" customHeight="false" outlineLevel="0" collapsed="false">
      <c r="A2429" s="28" t="s">
        <v>2845</v>
      </c>
      <c r="B2429" s="27" t="s">
        <v>438</v>
      </c>
      <c r="C2429" s="27" t="s">
        <v>289</v>
      </c>
      <c r="D2429" s="25"/>
      <c r="E2429" s="25"/>
      <c r="F2429" s="25"/>
      <c r="G2429" s="25"/>
      <c r="H2429" s="25"/>
      <c r="I2429" s="25"/>
      <c r="J2429" s="27" t="s">
        <v>2812</v>
      </c>
      <c r="K2429" s="25" t="str">
        <f aca="false">IFERROR(__xludf.dummyfunction("SPLIT(J2429,"" "")"),"CIF")</f>
        <v>CIF</v>
      </c>
      <c r="L2429" s="28" t="str">
        <f aca="false">IFERROR(__xludf.dummyfunction("""COMPUTED_VALUE"""),"UK")</f>
        <v>UK</v>
      </c>
      <c r="M2429" s="27" t="str">
        <f aca="false">IFERROR(__xludf.dummyfunction("""COMPUTED_VALUE"""),"(Diff)")</f>
        <v>(Diff)</v>
      </c>
      <c r="N2429" s="25"/>
      <c r="O2429" s="25"/>
      <c r="P2429" s="25"/>
      <c r="Q2429" s="29" t="s">
        <v>302</v>
      </c>
      <c r="R2429" s="8" t="str">
        <f aca="false">B2429&amp;" "&amp;C2429&amp;" "&amp;D2429&amp;" "&amp;E2429&amp;" "&amp;G2429&amp;" "&amp;H2429&amp;" "&amp;J2429&amp;" "&amp;N2429</f>
        <v>Differentials Electrolyte     CIF UK (Diff) </v>
      </c>
      <c r="S2429" s="25"/>
      <c r="T2429" s="8"/>
      <c r="U2429" s="8"/>
      <c r="V2429" s="25"/>
      <c r="W2429" s="25"/>
      <c r="X2429" s="25"/>
      <c r="Y2429" s="25"/>
      <c r="Z2429" s="25"/>
      <c r="AA2429" s="25"/>
      <c r="AB2429" s="25"/>
      <c r="AC2429" s="25"/>
      <c r="AD2429" s="25"/>
    </row>
    <row r="2430" customFormat="false" ht="15.75" hidden="false" customHeight="false" outlineLevel="0" collapsed="false">
      <c r="A2430" s="28" t="s">
        <v>2846</v>
      </c>
      <c r="B2430" s="27" t="s">
        <v>438</v>
      </c>
      <c r="C2430" s="27" t="s">
        <v>289</v>
      </c>
      <c r="D2430" s="25"/>
      <c r="E2430" s="25"/>
      <c r="F2430" s="25"/>
      <c r="G2430" s="25"/>
      <c r="H2430" s="25"/>
      <c r="I2430" s="25"/>
      <c r="J2430" s="27" t="s">
        <v>2812</v>
      </c>
      <c r="K2430" s="25" t="str">
        <f aca="false">IFERROR(__xludf.dummyfunction("SPLIT(J2430,"" "")"),"CIF")</f>
        <v>CIF</v>
      </c>
      <c r="L2430" s="28" t="str">
        <f aca="false">IFERROR(__xludf.dummyfunction("""COMPUTED_VALUE"""),"UK")</f>
        <v>UK</v>
      </c>
      <c r="M2430" s="27" t="str">
        <f aca="false">IFERROR(__xludf.dummyfunction("""COMPUTED_VALUE"""),"(Diff)")</f>
        <v>(Diff)</v>
      </c>
      <c r="N2430" s="25"/>
      <c r="O2430" s="25"/>
      <c r="P2430" s="25"/>
      <c r="Q2430" s="29" t="s">
        <v>300</v>
      </c>
      <c r="R2430" s="8" t="str">
        <f aca="false">B2430&amp;" "&amp;C2430&amp;" "&amp;D2430&amp;" "&amp;E2430&amp;" "&amp;G2430&amp;" "&amp;H2430&amp;" "&amp;J2430&amp;" "&amp;N2430</f>
        <v>Differentials Electrolyte     CIF UK (Diff) </v>
      </c>
      <c r="S2430" s="25"/>
      <c r="T2430" s="8"/>
      <c r="U2430" s="8"/>
      <c r="V2430" s="25"/>
      <c r="W2430" s="25"/>
      <c r="X2430" s="25"/>
      <c r="Y2430" s="25"/>
      <c r="Z2430" s="25"/>
      <c r="AA2430" s="25"/>
      <c r="AB2430" s="25"/>
      <c r="AC2430" s="25"/>
      <c r="AD2430" s="25"/>
    </row>
    <row r="2431" customFormat="false" ht="15.75" hidden="false" customHeight="false" outlineLevel="0" collapsed="false">
      <c r="A2431" s="28" t="s">
        <v>2847</v>
      </c>
      <c r="B2431" s="27" t="s">
        <v>438</v>
      </c>
      <c r="C2431" s="27" t="s">
        <v>289</v>
      </c>
      <c r="D2431" s="25"/>
      <c r="E2431" s="25"/>
      <c r="F2431" s="25"/>
      <c r="G2431" s="25"/>
      <c r="H2431" s="25"/>
      <c r="I2431" s="25"/>
      <c r="J2431" s="27" t="s">
        <v>2812</v>
      </c>
      <c r="K2431" s="25" t="str">
        <f aca="false">IFERROR(__xludf.dummyfunction("SPLIT(J2431,"" "")"),"CIF")</f>
        <v>CIF</v>
      </c>
      <c r="L2431" s="28" t="str">
        <f aca="false">IFERROR(__xludf.dummyfunction("""COMPUTED_VALUE"""),"UK")</f>
        <v>UK</v>
      </c>
      <c r="M2431" s="27" t="str">
        <f aca="false">IFERROR(__xludf.dummyfunction("""COMPUTED_VALUE"""),"(Diff)")</f>
        <v>(Diff)</v>
      </c>
      <c r="N2431" s="25"/>
      <c r="O2431" s="25"/>
      <c r="P2431" s="25"/>
      <c r="Q2431" s="29" t="s">
        <v>298</v>
      </c>
      <c r="R2431" s="8" t="str">
        <f aca="false">B2431&amp;" "&amp;C2431&amp;" "&amp;D2431&amp;" "&amp;E2431&amp;" "&amp;G2431&amp;" "&amp;H2431&amp;" "&amp;J2431&amp;" "&amp;N2431</f>
        <v>Differentials Electrolyte     CIF UK (Diff) </v>
      </c>
      <c r="S2431" s="25"/>
      <c r="T2431" s="8"/>
      <c r="U2431" s="8"/>
      <c r="V2431" s="25"/>
      <c r="W2431" s="25"/>
      <c r="X2431" s="25"/>
      <c r="Y2431" s="25"/>
      <c r="Z2431" s="25"/>
      <c r="AA2431" s="25"/>
      <c r="AB2431" s="25"/>
      <c r="AC2431" s="25"/>
      <c r="AD2431" s="25"/>
    </row>
    <row r="2432" customFormat="false" ht="15.75" hidden="false" customHeight="false" outlineLevel="0" collapsed="false">
      <c r="A2432" s="28" t="s">
        <v>2848</v>
      </c>
      <c r="B2432" s="27" t="s">
        <v>438</v>
      </c>
      <c r="C2432" s="27" t="s">
        <v>289</v>
      </c>
      <c r="D2432" s="25"/>
      <c r="E2432" s="25"/>
      <c r="F2432" s="25"/>
      <c r="G2432" s="25"/>
      <c r="H2432" s="25"/>
      <c r="I2432" s="25"/>
      <c r="J2432" s="27" t="s">
        <v>2812</v>
      </c>
      <c r="K2432" s="25" t="str">
        <f aca="false">IFERROR(__xludf.dummyfunction("SPLIT(J2432,"" "")"),"CIF")</f>
        <v>CIF</v>
      </c>
      <c r="L2432" s="28" t="str">
        <f aca="false">IFERROR(__xludf.dummyfunction("""COMPUTED_VALUE"""),"UK")</f>
        <v>UK</v>
      </c>
      <c r="M2432" s="27" t="str">
        <f aca="false">IFERROR(__xludf.dummyfunction("""COMPUTED_VALUE"""),"(Diff)")</f>
        <v>(Diff)</v>
      </c>
      <c r="N2432" s="25"/>
      <c r="O2432" s="25"/>
      <c r="P2432" s="25"/>
      <c r="Q2432" s="29" t="s">
        <v>296</v>
      </c>
      <c r="R2432" s="8" t="str">
        <f aca="false">B2432&amp;" "&amp;C2432&amp;" "&amp;D2432&amp;" "&amp;E2432&amp;" "&amp;G2432&amp;" "&amp;H2432&amp;" "&amp;J2432&amp;" "&amp;N2432</f>
        <v>Differentials Electrolyte     CIF UK (Diff) </v>
      </c>
      <c r="S2432" s="25"/>
      <c r="T2432" s="8"/>
      <c r="U2432" s="8"/>
      <c r="V2432" s="25"/>
      <c r="W2432" s="25"/>
      <c r="X2432" s="25"/>
      <c r="Y2432" s="25"/>
      <c r="Z2432" s="25"/>
      <c r="AA2432" s="25"/>
      <c r="AB2432" s="25"/>
      <c r="AC2432" s="25"/>
      <c r="AD2432" s="25"/>
    </row>
    <row r="2433" customFormat="false" ht="15.75" hidden="false" customHeight="false" outlineLevel="0" collapsed="false">
      <c r="A2433" s="28" t="s">
        <v>2849</v>
      </c>
      <c r="B2433" s="27" t="s">
        <v>438</v>
      </c>
      <c r="C2433" s="27" t="s">
        <v>289</v>
      </c>
      <c r="D2433" s="25"/>
      <c r="E2433" s="25"/>
      <c r="F2433" s="25"/>
      <c r="G2433" s="25"/>
      <c r="H2433" s="25"/>
      <c r="I2433" s="25"/>
      <c r="J2433" s="27" t="s">
        <v>2812</v>
      </c>
      <c r="K2433" s="25" t="str">
        <f aca="false">IFERROR(__xludf.dummyfunction("SPLIT(J2433,"" "")"),"CIF")</f>
        <v>CIF</v>
      </c>
      <c r="L2433" s="28" t="str">
        <f aca="false">IFERROR(__xludf.dummyfunction("""COMPUTED_VALUE"""),"UK")</f>
        <v>UK</v>
      </c>
      <c r="M2433" s="27" t="str">
        <f aca="false">IFERROR(__xludf.dummyfunction("""COMPUTED_VALUE"""),"(Diff)")</f>
        <v>(Diff)</v>
      </c>
      <c r="N2433" s="25"/>
      <c r="O2433" s="25"/>
      <c r="P2433" s="25"/>
      <c r="Q2433" s="29" t="s">
        <v>294</v>
      </c>
      <c r="R2433" s="8" t="str">
        <f aca="false">B2433&amp;" "&amp;C2433&amp;" "&amp;D2433&amp;" "&amp;E2433&amp;" "&amp;G2433&amp;" "&amp;H2433&amp;" "&amp;J2433&amp;" "&amp;N2433</f>
        <v>Differentials Electrolyte     CIF UK (Diff) </v>
      </c>
      <c r="S2433" s="25"/>
      <c r="T2433" s="8"/>
      <c r="U2433" s="8"/>
      <c r="V2433" s="25"/>
      <c r="W2433" s="25"/>
      <c r="X2433" s="25"/>
      <c r="Y2433" s="25"/>
      <c r="Z2433" s="25"/>
      <c r="AA2433" s="25"/>
      <c r="AB2433" s="25"/>
      <c r="AC2433" s="25"/>
      <c r="AD2433" s="25"/>
    </row>
    <row r="2434" customFormat="false" ht="15.75" hidden="false" customHeight="false" outlineLevel="0" collapsed="false">
      <c r="A2434" s="28" t="s">
        <v>2850</v>
      </c>
      <c r="B2434" s="27" t="s">
        <v>438</v>
      </c>
      <c r="C2434" s="27" t="s">
        <v>289</v>
      </c>
      <c r="D2434" s="25"/>
      <c r="E2434" s="25"/>
      <c r="F2434" s="25"/>
      <c r="G2434" s="25"/>
      <c r="H2434" s="25"/>
      <c r="I2434" s="25"/>
      <c r="J2434" s="27" t="s">
        <v>2812</v>
      </c>
      <c r="K2434" s="25" t="str">
        <f aca="false">IFERROR(__xludf.dummyfunction("SPLIT(J2434,"" "")"),"CIF")</f>
        <v>CIF</v>
      </c>
      <c r="L2434" s="28" t="str">
        <f aca="false">IFERROR(__xludf.dummyfunction("""COMPUTED_VALUE"""),"UK")</f>
        <v>UK</v>
      </c>
      <c r="M2434" s="27" t="str">
        <f aca="false">IFERROR(__xludf.dummyfunction("""COMPUTED_VALUE"""),"(Diff)")</f>
        <v>(Diff)</v>
      </c>
      <c r="N2434" s="25"/>
      <c r="O2434" s="25"/>
      <c r="P2434" s="25"/>
      <c r="Q2434" s="29" t="s">
        <v>291</v>
      </c>
      <c r="R2434" s="8" t="str">
        <f aca="false">B2434&amp;" "&amp;C2434&amp;" "&amp;D2434&amp;" "&amp;E2434&amp;" "&amp;G2434&amp;" "&amp;H2434&amp;" "&amp;J2434&amp;" "&amp;N2434</f>
        <v>Differentials Electrolyte     CIF UK (Diff) </v>
      </c>
      <c r="S2434" s="25"/>
      <c r="T2434" s="8"/>
      <c r="U2434" s="8"/>
      <c r="V2434" s="25"/>
      <c r="W2434" s="25"/>
      <c r="X2434" s="25"/>
      <c r="Y2434" s="25"/>
      <c r="Z2434" s="25"/>
      <c r="AA2434" s="25"/>
      <c r="AB2434" s="25"/>
      <c r="AC2434" s="25"/>
      <c r="AD2434" s="25"/>
    </row>
    <row r="2435" customFormat="false" ht="15.75" hidden="false" customHeight="false" outlineLevel="0" collapsed="false">
      <c r="A2435" s="28" t="s">
        <v>2851</v>
      </c>
      <c r="B2435" s="27" t="s">
        <v>438</v>
      </c>
      <c r="C2435" s="27" t="s">
        <v>308</v>
      </c>
      <c r="D2435" s="25"/>
      <c r="E2435" s="25"/>
      <c r="F2435" s="25"/>
      <c r="G2435" s="25"/>
      <c r="H2435" s="25"/>
      <c r="I2435" s="25"/>
      <c r="J2435" s="27" t="s">
        <v>2812</v>
      </c>
      <c r="K2435" s="25" t="str">
        <f aca="false">IFERROR(__xludf.dummyfunction("SPLIT(J2435,"" "")"),"CIF")</f>
        <v>CIF</v>
      </c>
      <c r="L2435" s="28" t="str">
        <f aca="false">IFERROR(__xludf.dummyfunction("""COMPUTED_VALUE"""),"UK")</f>
        <v>UK</v>
      </c>
      <c r="M2435" s="27" t="str">
        <f aca="false">IFERROR(__xludf.dummyfunction("""COMPUTED_VALUE"""),"(Diff)")</f>
        <v>(Diff)</v>
      </c>
      <c r="N2435" s="25"/>
      <c r="O2435" s="25"/>
      <c r="P2435" s="25"/>
      <c r="Q2435" s="29" t="s">
        <v>358</v>
      </c>
      <c r="R2435" s="8" t="str">
        <f aca="false">B2435&amp;" "&amp;C2435&amp;" "&amp;D2435&amp;" "&amp;E2435&amp;" "&amp;G2435&amp;" "&amp;H2435&amp;" "&amp;J2435&amp;" "&amp;N2435</f>
        <v>Differentials Graphite     CIF UK (Diff) </v>
      </c>
      <c r="S2435" s="25"/>
      <c r="T2435" s="8"/>
      <c r="U2435" s="8"/>
      <c r="V2435" s="25"/>
      <c r="W2435" s="25"/>
      <c r="X2435" s="25"/>
      <c r="Y2435" s="25"/>
      <c r="Z2435" s="25"/>
      <c r="AA2435" s="25"/>
      <c r="AB2435" s="25"/>
      <c r="AC2435" s="25"/>
      <c r="AD2435" s="25"/>
    </row>
    <row r="2436" customFormat="false" ht="15.75" hidden="false" customHeight="false" outlineLevel="0" collapsed="false">
      <c r="A2436" s="28" t="s">
        <v>2852</v>
      </c>
      <c r="B2436" s="27" t="s">
        <v>438</v>
      </c>
      <c r="C2436" s="27" t="s">
        <v>308</v>
      </c>
      <c r="D2436" s="25"/>
      <c r="E2436" s="25"/>
      <c r="F2436" s="25"/>
      <c r="G2436" s="25"/>
      <c r="H2436" s="25"/>
      <c r="I2436" s="25"/>
      <c r="J2436" s="27" t="s">
        <v>2812</v>
      </c>
      <c r="K2436" s="25" t="str">
        <f aca="false">IFERROR(__xludf.dummyfunction("SPLIT(J2436,"" "")"),"CIF")</f>
        <v>CIF</v>
      </c>
      <c r="L2436" s="28" t="str">
        <f aca="false">IFERROR(__xludf.dummyfunction("""COMPUTED_VALUE"""),"UK")</f>
        <v>UK</v>
      </c>
      <c r="M2436" s="27" t="str">
        <f aca="false">IFERROR(__xludf.dummyfunction("""COMPUTED_VALUE"""),"(Diff)")</f>
        <v>(Diff)</v>
      </c>
      <c r="N2436" s="25"/>
      <c r="O2436" s="25"/>
      <c r="P2436" s="25"/>
      <c r="Q2436" s="29" t="s">
        <v>356</v>
      </c>
      <c r="R2436" s="8" t="str">
        <f aca="false">B2436&amp;" "&amp;C2436&amp;" "&amp;D2436&amp;" "&amp;E2436&amp;" "&amp;G2436&amp;" "&amp;H2436&amp;" "&amp;J2436&amp;" "&amp;N2436</f>
        <v>Differentials Graphite     CIF UK (Diff) </v>
      </c>
      <c r="S2436" s="25"/>
      <c r="T2436" s="8"/>
      <c r="U2436" s="8"/>
      <c r="V2436" s="25"/>
      <c r="W2436" s="25"/>
      <c r="X2436" s="25"/>
      <c r="Y2436" s="25"/>
      <c r="Z2436" s="25"/>
      <c r="AA2436" s="25"/>
      <c r="AB2436" s="25"/>
      <c r="AC2436" s="25"/>
      <c r="AD2436" s="25"/>
    </row>
    <row r="2437" customFormat="false" ht="15.75" hidden="false" customHeight="false" outlineLevel="0" collapsed="false">
      <c r="A2437" s="28" t="s">
        <v>2853</v>
      </c>
      <c r="B2437" s="27" t="s">
        <v>438</v>
      </c>
      <c r="C2437" s="27" t="s">
        <v>308</v>
      </c>
      <c r="D2437" s="25"/>
      <c r="E2437" s="25"/>
      <c r="F2437" s="25"/>
      <c r="G2437" s="25"/>
      <c r="H2437" s="25"/>
      <c r="I2437" s="25"/>
      <c r="J2437" s="27" t="s">
        <v>2812</v>
      </c>
      <c r="K2437" s="25" t="str">
        <f aca="false">IFERROR(__xludf.dummyfunction("SPLIT(J2437,"" "")"),"CIF")</f>
        <v>CIF</v>
      </c>
      <c r="L2437" s="28" t="str">
        <f aca="false">IFERROR(__xludf.dummyfunction("""COMPUTED_VALUE"""),"UK")</f>
        <v>UK</v>
      </c>
      <c r="M2437" s="27" t="str">
        <f aca="false">IFERROR(__xludf.dummyfunction("""COMPUTED_VALUE"""),"(Diff)")</f>
        <v>(Diff)</v>
      </c>
      <c r="N2437" s="25"/>
      <c r="O2437" s="25"/>
      <c r="P2437" s="25"/>
      <c r="Q2437" s="29" t="s">
        <v>354</v>
      </c>
      <c r="R2437" s="8" t="str">
        <f aca="false">B2437&amp;" "&amp;C2437&amp;" "&amp;D2437&amp;" "&amp;E2437&amp;" "&amp;G2437&amp;" "&amp;H2437&amp;" "&amp;J2437&amp;" "&amp;N2437</f>
        <v>Differentials Graphite     CIF UK (Diff) </v>
      </c>
      <c r="S2437" s="25"/>
      <c r="T2437" s="8"/>
      <c r="U2437" s="8"/>
      <c r="V2437" s="25"/>
      <c r="W2437" s="25"/>
      <c r="X2437" s="25"/>
      <c r="Y2437" s="25"/>
      <c r="Z2437" s="25"/>
      <c r="AA2437" s="25"/>
      <c r="AB2437" s="25"/>
      <c r="AC2437" s="25"/>
      <c r="AD2437" s="25"/>
    </row>
    <row r="2438" customFormat="false" ht="15.75" hidden="false" customHeight="false" outlineLevel="0" collapsed="false">
      <c r="A2438" s="28" t="s">
        <v>2854</v>
      </c>
      <c r="B2438" s="27" t="s">
        <v>438</v>
      </c>
      <c r="C2438" s="27" t="s">
        <v>308</v>
      </c>
      <c r="D2438" s="25"/>
      <c r="E2438" s="25"/>
      <c r="F2438" s="25"/>
      <c r="G2438" s="25"/>
      <c r="H2438" s="25"/>
      <c r="I2438" s="25"/>
      <c r="J2438" s="27" t="s">
        <v>2812</v>
      </c>
      <c r="K2438" s="25" t="str">
        <f aca="false">IFERROR(__xludf.dummyfunction("SPLIT(J2438,"" "")"),"CIF")</f>
        <v>CIF</v>
      </c>
      <c r="L2438" s="28" t="str">
        <f aca="false">IFERROR(__xludf.dummyfunction("""COMPUTED_VALUE"""),"UK")</f>
        <v>UK</v>
      </c>
      <c r="M2438" s="27" t="str">
        <f aca="false">IFERROR(__xludf.dummyfunction("""COMPUTED_VALUE"""),"(Diff)")</f>
        <v>(Diff)</v>
      </c>
      <c r="N2438" s="25"/>
      <c r="O2438" s="25"/>
      <c r="P2438" s="25"/>
      <c r="Q2438" s="29" t="s">
        <v>352</v>
      </c>
      <c r="R2438" s="8" t="str">
        <f aca="false">B2438&amp;" "&amp;C2438&amp;" "&amp;D2438&amp;" "&amp;E2438&amp;" "&amp;G2438&amp;" "&amp;H2438&amp;" "&amp;J2438&amp;" "&amp;N2438</f>
        <v>Differentials Graphite     CIF UK (Diff) </v>
      </c>
      <c r="S2438" s="25"/>
      <c r="T2438" s="8"/>
      <c r="U2438" s="8"/>
      <c r="V2438" s="25"/>
      <c r="W2438" s="25"/>
      <c r="X2438" s="25"/>
      <c r="Y2438" s="25"/>
      <c r="Z2438" s="25"/>
      <c r="AA2438" s="25"/>
      <c r="AB2438" s="25"/>
      <c r="AC2438" s="25"/>
      <c r="AD2438" s="25"/>
    </row>
    <row r="2439" customFormat="false" ht="15.75" hidden="false" customHeight="false" outlineLevel="0" collapsed="false">
      <c r="A2439" s="28" t="s">
        <v>2855</v>
      </c>
      <c r="B2439" s="27" t="s">
        <v>438</v>
      </c>
      <c r="C2439" s="27" t="s">
        <v>308</v>
      </c>
      <c r="D2439" s="25"/>
      <c r="E2439" s="25"/>
      <c r="F2439" s="25"/>
      <c r="G2439" s="25"/>
      <c r="H2439" s="25"/>
      <c r="I2439" s="25"/>
      <c r="J2439" s="27" t="s">
        <v>2812</v>
      </c>
      <c r="K2439" s="25" t="str">
        <f aca="false">IFERROR(__xludf.dummyfunction("SPLIT(J2439,"" "")"),"CIF")</f>
        <v>CIF</v>
      </c>
      <c r="L2439" s="28" t="str">
        <f aca="false">IFERROR(__xludf.dummyfunction("""COMPUTED_VALUE"""),"UK")</f>
        <v>UK</v>
      </c>
      <c r="M2439" s="27" t="str">
        <f aca="false">IFERROR(__xludf.dummyfunction("""COMPUTED_VALUE"""),"(Diff)")</f>
        <v>(Diff)</v>
      </c>
      <c r="N2439" s="25"/>
      <c r="O2439" s="25"/>
      <c r="P2439" s="25"/>
      <c r="Q2439" s="29" t="s">
        <v>350</v>
      </c>
      <c r="R2439" s="8" t="str">
        <f aca="false">B2439&amp;" "&amp;C2439&amp;" "&amp;D2439&amp;" "&amp;E2439&amp;" "&amp;G2439&amp;" "&amp;H2439&amp;" "&amp;J2439&amp;" "&amp;N2439</f>
        <v>Differentials Graphite     CIF UK (Diff) </v>
      </c>
      <c r="S2439" s="25"/>
      <c r="T2439" s="8"/>
      <c r="U2439" s="8"/>
      <c r="V2439" s="25"/>
      <c r="W2439" s="25"/>
      <c r="X2439" s="25"/>
      <c r="Y2439" s="25"/>
      <c r="Z2439" s="25"/>
      <c r="AA2439" s="25"/>
      <c r="AB2439" s="25"/>
      <c r="AC2439" s="25"/>
      <c r="AD2439" s="25"/>
    </row>
    <row r="2440" customFormat="false" ht="15.75" hidden="false" customHeight="false" outlineLevel="0" collapsed="false">
      <c r="A2440" s="28" t="s">
        <v>2856</v>
      </c>
      <c r="B2440" s="27" t="s">
        <v>438</v>
      </c>
      <c r="C2440" s="27" t="s">
        <v>308</v>
      </c>
      <c r="D2440" s="25"/>
      <c r="E2440" s="25"/>
      <c r="F2440" s="25"/>
      <c r="G2440" s="25"/>
      <c r="H2440" s="25"/>
      <c r="I2440" s="25"/>
      <c r="J2440" s="27" t="s">
        <v>2812</v>
      </c>
      <c r="K2440" s="25" t="str">
        <f aca="false">IFERROR(__xludf.dummyfunction("SPLIT(J2440,"" "")"),"CIF")</f>
        <v>CIF</v>
      </c>
      <c r="L2440" s="28" t="str">
        <f aca="false">IFERROR(__xludf.dummyfunction("""COMPUTED_VALUE"""),"UK")</f>
        <v>UK</v>
      </c>
      <c r="M2440" s="27" t="str">
        <f aca="false">IFERROR(__xludf.dummyfunction("""COMPUTED_VALUE"""),"(Diff)")</f>
        <v>(Diff)</v>
      </c>
      <c r="N2440" s="25"/>
      <c r="O2440" s="25"/>
      <c r="P2440" s="25"/>
      <c r="Q2440" s="29" t="s">
        <v>347</v>
      </c>
      <c r="R2440" s="8" t="str">
        <f aca="false">B2440&amp;" "&amp;C2440&amp;" "&amp;D2440&amp;" "&amp;E2440&amp;" "&amp;G2440&amp;" "&amp;H2440&amp;" "&amp;J2440&amp;" "&amp;N2440</f>
        <v>Differentials Graphite     CIF UK (Diff) </v>
      </c>
      <c r="S2440" s="25"/>
      <c r="T2440" s="8"/>
      <c r="U2440" s="8"/>
      <c r="V2440" s="25"/>
      <c r="W2440" s="25"/>
      <c r="X2440" s="25"/>
      <c r="Y2440" s="25"/>
      <c r="Z2440" s="25"/>
      <c r="AA2440" s="25"/>
      <c r="AB2440" s="25"/>
      <c r="AC2440" s="25"/>
      <c r="AD2440" s="25"/>
    </row>
    <row r="2441" customFormat="false" ht="15.75" hidden="false" customHeight="false" outlineLevel="0" collapsed="false">
      <c r="A2441" s="28" t="s">
        <v>2857</v>
      </c>
      <c r="B2441" s="27" t="s">
        <v>438</v>
      </c>
      <c r="C2441" s="27" t="s">
        <v>308</v>
      </c>
      <c r="D2441" s="25"/>
      <c r="E2441" s="25"/>
      <c r="F2441" s="25"/>
      <c r="G2441" s="25"/>
      <c r="H2441" s="25"/>
      <c r="I2441" s="25"/>
      <c r="J2441" s="27" t="s">
        <v>2812</v>
      </c>
      <c r="K2441" s="25" t="str">
        <f aca="false">IFERROR(__xludf.dummyfunction("SPLIT(J2441,"" "")"),"CIF")</f>
        <v>CIF</v>
      </c>
      <c r="L2441" s="28" t="str">
        <f aca="false">IFERROR(__xludf.dummyfunction("""COMPUTED_VALUE"""),"UK")</f>
        <v>UK</v>
      </c>
      <c r="M2441" s="27" t="str">
        <f aca="false">IFERROR(__xludf.dummyfunction("""COMPUTED_VALUE"""),"(Diff)")</f>
        <v>(Diff)</v>
      </c>
      <c r="N2441" s="25"/>
      <c r="O2441" s="25"/>
      <c r="P2441" s="25"/>
      <c r="Q2441" s="29" t="s">
        <v>344</v>
      </c>
      <c r="R2441" s="8" t="str">
        <f aca="false">B2441&amp;" "&amp;C2441&amp;" "&amp;D2441&amp;" "&amp;E2441&amp;" "&amp;G2441&amp;" "&amp;H2441&amp;" "&amp;J2441&amp;" "&amp;N2441</f>
        <v>Differentials Graphite     CIF UK (Diff) </v>
      </c>
      <c r="S2441" s="25"/>
      <c r="T2441" s="8"/>
      <c r="U2441" s="8"/>
      <c r="V2441" s="25"/>
      <c r="W2441" s="25"/>
      <c r="X2441" s="25"/>
      <c r="Y2441" s="25"/>
      <c r="Z2441" s="25"/>
      <c r="AA2441" s="25"/>
      <c r="AB2441" s="25"/>
      <c r="AC2441" s="25"/>
      <c r="AD2441" s="25"/>
    </row>
    <row r="2442" customFormat="false" ht="15.75" hidden="false" customHeight="false" outlineLevel="0" collapsed="false">
      <c r="A2442" s="28" t="s">
        <v>2858</v>
      </c>
      <c r="B2442" s="27" t="s">
        <v>438</v>
      </c>
      <c r="C2442" s="27" t="s">
        <v>308</v>
      </c>
      <c r="D2442" s="25"/>
      <c r="E2442" s="25"/>
      <c r="F2442" s="25"/>
      <c r="G2442" s="25"/>
      <c r="H2442" s="25"/>
      <c r="I2442" s="25"/>
      <c r="J2442" s="27" t="s">
        <v>2812</v>
      </c>
      <c r="K2442" s="25" t="str">
        <f aca="false">IFERROR(__xludf.dummyfunction("SPLIT(J2442,"" "")"),"CIF")</f>
        <v>CIF</v>
      </c>
      <c r="L2442" s="28" t="str">
        <f aca="false">IFERROR(__xludf.dummyfunction("""COMPUTED_VALUE"""),"UK")</f>
        <v>UK</v>
      </c>
      <c r="M2442" s="27" t="str">
        <f aca="false">IFERROR(__xludf.dummyfunction("""COMPUTED_VALUE"""),"(Diff)")</f>
        <v>(Diff)</v>
      </c>
      <c r="N2442" s="25"/>
      <c r="O2442" s="25"/>
      <c r="P2442" s="25"/>
      <c r="Q2442" s="29" t="s">
        <v>340</v>
      </c>
      <c r="R2442" s="8" t="str">
        <f aca="false">B2442&amp;" "&amp;C2442&amp;" "&amp;D2442&amp;" "&amp;E2442&amp;" "&amp;G2442&amp;" "&amp;H2442&amp;" "&amp;J2442&amp;" "&amp;N2442</f>
        <v>Differentials Graphite     CIF UK (Diff) </v>
      </c>
      <c r="S2442" s="25"/>
      <c r="T2442" s="8"/>
      <c r="U2442" s="8"/>
      <c r="V2442" s="25"/>
      <c r="W2442" s="25"/>
      <c r="X2442" s="25"/>
      <c r="Y2442" s="25"/>
      <c r="Z2442" s="25"/>
      <c r="AA2442" s="25"/>
      <c r="AB2442" s="25"/>
      <c r="AC2442" s="25"/>
      <c r="AD2442" s="25"/>
    </row>
    <row r="2443" customFormat="false" ht="15.75" hidden="false" customHeight="false" outlineLevel="0" collapsed="false">
      <c r="A2443" s="28" t="s">
        <v>2859</v>
      </c>
      <c r="B2443" s="27" t="s">
        <v>438</v>
      </c>
      <c r="C2443" s="27" t="s">
        <v>308</v>
      </c>
      <c r="D2443" s="25"/>
      <c r="E2443" s="25"/>
      <c r="F2443" s="25"/>
      <c r="G2443" s="25"/>
      <c r="H2443" s="25"/>
      <c r="I2443" s="25"/>
      <c r="J2443" s="27" t="s">
        <v>2812</v>
      </c>
      <c r="K2443" s="25" t="str">
        <f aca="false">IFERROR(__xludf.dummyfunction("SPLIT(J2443,"" "")"),"CIF")</f>
        <v>CIF</v>
      </c>
      <c r="L2443" s="28" t="str">
        <f aca="false">IFERROR(__xludf.dummyfunction("""COMPUTED_VALUE"""),"UK")</f>
        <v>UK</v>
      </c>
      <c r="M2443" s="27" t="str">
        <f aca="false">IFERROR(__xludf.dummyfunction("""COMPUTED_VALUE"""),"(Diff)")</f>
        <v>(Diff)</v>
      </c>
      <c r="N2443" s="25"/>
      <c r="O2443" s="25"/>
      <c r="P2443" s="25"/>
      <c r="Q2443" s="29" t="s">
        <v>338</v>
      </c>
      <c r="R2443" s="8" t="str">
        <f aca="false">B2443&amp;" "&amp;C2443&amp;" "&amp;D2443&amp;" "&amp;E2443&amp;" "&amp;G2443&amp;" "&amp;H2443&amp;" "&amp;J2443&amp;" "&amp;N2443</f>
        <v>Differentials Graphite     CIF UK (Diff) </v>
      </c>
      <c r="S2443" s="25"/>
      <c r="T2443" s="8"/>
      <c r="U2443" s="8"/>
      <c r="V2443" s="25"/>
      <c r="W2443" s="25"/>
      <c r="X2443" s="25"/>
      <c r="Y2443" s="25"/>
      <c r="Z2443" s="25"/>
      <c r="AA2443" s="25"/>
      <c r="AB2443" s="25"/>
      <c r="AC2443" s="25"/>
      <c r="AD2443" s="25"/>
    </row>
    <row r="2444" customFormat="false" ht="15.75" hidden="false" customHeight="false" outlineLevel="0" collapsed="false">
      <c r="A2444" s="28" t="s">
        <v>2860</v>
      </c>
      <c r="B2444" s="27" t="s">
        <v>438</v>
      </c>
      <c r="C2444" s="27" t="s">
        <v>308</v>
      </c>
      <c r="D2444" s="25"/>
      <c r="E2444" s="25"/>
      <c r="F2444" s="25"/>
      <c r="G2444" s="25"/>
      <c r="H2444" s="25"/>
      <c r="I2444" s="25"/>
      <c r="J2444" s="27" t="s">
        <v>2812</v>
      </c>
      <c r="K2444" s="25" t="str">
        <f aca="false">IFERROR(__xludf.dummyfunction("SPLIT(J2444,"" "")"),"CIF")</f>
        <v>CIF</v>
      </c>
      <c r="L2444" s="28" t="str">
        <f aca="false">IFERROR(__xludf.dummyfunction("""COMPUTED_VALUE"""),"UK")</f>
        <v>UK</v>
      </c>
      <c r="M2444" s="27" t="str">
        <f aca="false">IFERROR(__xludf.dummyfunction("""COMPUTED_VALUE"""),"(Diff)")</f>
        <v>(Diff)</v>
      </c>
      <c r="N2444" s="25"/>
      <c r="O2444" s="25"/>
      <c r="P2444" s="25"/>
      <c r="Q2444" s="29" t="s">
        <v>335</v>
      </c>
      <c r="R2444" s="8" t="str">
        <f aca="false">B2444&amp;" "&amp;C2444&amp;" "&amp;D2444&amp;" "&amp;E2444&amp;" "&amp;G2444&amp;" "&amp;H2444&amp;" "&amp;J2444&amp;" "&amp;N2444</f>
        <v>Differentials Graphite     CIF UK (Diff) </v>
      </c>
      <c r="S2444" s="25"/>
      <c r="T2444" s="8"/>
      <c r="U2444" s="8"/>
      <c r="V2444" s="25"/>
      <c r="W2444" s="25"/>
      <c r="X2444" s="25"/>
      <c r="Y2444" s="25"/>
      <c r="Z2444" s="25"/>
      <c r="AA2444" s="25"/>
      <c r="AB2444" s="25"/>
      <c r="AC2444" s="25"/>
      <c r="AD2444" s="25"/>
    </row>
    <row r="2445" customFormat="false" ht="15.75" hidden="false" customHeight="false" outlineLevel="0" collapsed="false">
      <c r="A2445" s="28" t="s">
        <v>2861</v>
      </c>
      <c r="B2445" s="27" t="s">
        <v>438</v>
      </c>
      <c r="C2445" s="27" t="s">
        <v>308</v>
      </c>
      <c r="D2445" s="25"/>
      <c r="E2445" s="25"/>
      <c r="F2445" s="25"/>
      <c r="G2445" s="25"/>
      <c r="H2445" s="25"/>
      <c r="I2445" s="25"/>
      <c r="J2445" s="27" t="s">
        <v>2812</v>
      </c>
      <c r="K2445" s="25" t="str">
        <f aca="false">IFERROR(__xludf.dummyfunction("SPLIT(J2445,"" "")"),"CIF")</f>
        <v>CIF</v>
      </c>
      <c r="L2445" s="28" t="str">
        <f aca="false">IFERROR(__xludf.dummyfunction("""COMPUTED_VALUE"""),"UK")</f>
        <v>UK</v>
      </c>
      <c r="M2445" s="27" t="str">
        <f aca="false">IFERROR(__xludf.dummyfunction("""COMPUTED_VALUE"""),"(Diff)")</f>
        <v>(Diff)</v>
      </c>
      <c r="N2445" s="25"/>
      <c r="O2445" s="25"/>
      <c r="P2445" s="25"/>
      <c r="Q2445" s="29" t="s">
        <v>332</v>
      </c>
      <c r="R2445" s="8" t="str">
        <f aca="false">B2445&amp;" "&amp;C2445&amp;" "&amp;D2445&amp;" "&amp;E2445&amp;" "&amp;G2445&amp;" "&amp;H2445&amp;" "&amp;J2445&amp;" "&amp;N2445</f>
        <v>Differentials Graphite     CIF UK (Diff) </v>
      </c>
      <c r="S2445" s="25"/>
      <c r="T2445" s="8"/>
      <c r="U2445" s="8"/>
      <c r="V2445" s="25"/>
      <c r="W2445" s="25"/>
      <c r="X2445" s="25"/>
      <c r="Y2445" s="25"/>
      <c r="Z2445" s="25"/>
      <c r="AA2445" s="25"/>
      <c r="AB2445" s="25"/>
      <c r="AC2445" s="25"/>
      <c r="AD2445" s="25"/>
    </row>
    <row r="2446" customFormat="false" ht="15.75" hidden="false" customHeight="false" outlineLevel="0" collapsed="false">
      <c r="A2446" s="28" t="s">
        <v>2862</v>
      </c>
      <c r="B2446" s="27" t="s">
        <v>438</v>
      </c>
      <c r="C2446" s="27" t="s">
        <v>308</v>
      </c>
      <c r="D2446" s="25"/>
      <c r="E2446" s="25"/>
      <c r="F2446" s="25"/>
      <c r="G2446" s="25"/>
      <c r="H2446" s="25"/>
      <c r="I2446" s="25"/>
      <c r="J2446" s="27" t="s">
        <v>2812</v>
      </c>
      <c r="K2446" s="25" t="str">
        <f aca="false">IFERROR(__xludf.dummyfunction("SPLIT(J2446,"" "")"),"CIF")</f>
        <v>CIF</v>
      </c>
      <c r="L2446" s="28" t="str">
        <f aca="false">IFERROR(__xludf.dummyfunction("""COMPUTED_VALUE"""),"UK")</f>
        <v>UK</v>
      </c>
      <c r="M2446" s="27" t="str">
        <f aca="false">IFERROR(__xludf.dummyfunction("""COMPUTED_VALUE"""),"(Diff)")</f>
        <v>(Diff)</v>
      </c>
      <c r="N2446" s="25"/>
      <c r="O2446" s="25"/>
      <c r="P2446" s="25"/>
      <c r="Q2446" s="29" t="s">
        <v>329</v>
      </c>
      <c r="R2446" s="8" t="str">
        <f aca="false">B2446&amp;" "&amp;C2446&amp;" "&amp;D2446&amp;" "&amp;E2446&amp;" "&amp;G2446&amp;" "&amp;H2446&amp;" "&amp;J2446&amp;" "&amp;N2446</f>
        <v>Differentials Graphite     CIF UK (Diff) </v>
      </c>
      <c r="S2446" s="25"/>
      <c r="T2446" s="8"/>
      <c r="U2446" s="8"/>
      <c r="V2446" s="25"/>
      <c r="W2446" s="25"/>
      <c r="X2446" s="25"/>
      <c r="Y2446" s="25"/>
      <c r="Z2446" s="25"/>
      <c r="AA2446" s="25"/>
      <c r="AB2446" s="25"/>
      <c r="AC2446" s="25"/>
      <c r="AD2446" s="25"/>
    </row>
    <row r="2447" customFormat="false" ht="15.75" hidden="false" customHeight="false" outlineLevel="0" collapsed="false">
      <c r="A2447" s="28" t="s">
        <v>2863</v>
      </c>
      <c r="B2447" s="27" t="s">
        <v>438</v>
      </c>
      <c r="C2447" s="27" t="s">
        <v>308</v>
      </c>
      <c r="D2447" s="25"/>
      <c r="E2447" s="25"/>
      <c r="F2447" s="25"/>
      <c r="G2447" s="25"/>
      <c r="H2447" s="25"/>
      <c r="I2447" s="25"/>
      <c r="J2447" s="27" t="s">
        <v>2812</v>
      </c>
      <c r="K2447" s="25" t="str">
        <f aca="false">IFERROR(__xludf.dummyfunction("SPLIT(J2447,"" "")"),"CIF")</f>
        <v>CIF</v>
      </c>
      <c r="L2447" s="28" t="str">
        <f aca="false">IFERROR(__xludf.dummyfunction("""COMPUTED_VALUE"""),"UK")</f>
        <v>UK</v>
      </c>
      <c r="M2447" s="27" t="str">
        <f aca="false">IFERROR(__xludf.dummyfunction("""COMPUTED_VALUE"""),"(Diff)")</f>
        <v>(Diff)</v>
      </c>
      <c r="N2447" s="25"/>
      <c r="O2447" s="25"/>
      <c r="P2447" s="25"/>
      <c r="Q2447" s="29" t="s">
        <v>326</v>
      </c>
      <c r="R2447" s="8" t="str">
        <f aca="false">B2447&amp;" "&amp;C2447&amp;" "&amp;D2447&amp;" "&amp;E2447&amp;" "&amp;G2447&amp;" "&amp;H2447&amp;" "&amp;J2447&amp;" "&amp;N2447</f>
        <v>Differentials Graphite     CIF UK (Diff) </v>
      </c>
      <c r="S2447" s="25"/>
      <c r="T2447" s="8"/>
      <c r="U2447" s="8"/>
      <c r="V2447" s="25"/>
      <c r="W2447" s="25"/>
      <c r="X2447" s="25"/>
      <c r="Y2447" s="25"/>
      <c r="Z2447" s="25"/>
      <c r="AA2447" s="25"/>
      <c r="AB2447" s="25"/>
      <c r="AC2447" s="25"/>
      <c r="AD2447" s="25"/>
    </row>
    <row r="2448" customFormat="false" ht="15.75" hidden="false" customHeight="false" outlineLevel="0" collapsed="false">
      <c r="A2448" s="28" t="s">
        <v>2864</v>
      </c>
      <c r="B2448" s="27" t="s">
        <v>438</v>
      </c>
      <c r="C2448" s="27" t="s">
        <v>308</v>
      </c>
      <c r="D2448" s="25"/>
      <c r="E2448" s="25"/>
      <c r="F2448" s="25"/>
      <c r="G2448" s="25"/>
      <c r="H2448" s="25"/>
      <c r="I2448" s="25"/>
      <c r="J2448" s="27" t="s">
        <v>2812</v>
      </c>
      <c r="K2448" s="25" t="str">
        <f aca="false">IFERROR(__xludf.dummyfunction("SPLIT(J2448,"" "")"),"CIF")</f>
        <v>CIF</v>
      </c>
      <c r="L2448" s="28" t="str">
        <f aca="false">IFERROR(__xludf.dummyfunction("""COMPUTED_VALUE"""),"UK")</f>
        <v>UK</v>
      </c>
      <c r="M2448" s="27" t="str">
        <f aca="false">IFERROR(__xludf.dummyfunction("""COMPUTED_VALUE"""),"(Diff)")</f>
        <v>(Diff)</v>
      </c>
      <c r="N2448" s="25"/>
      <c r="O2448" s="25"/>
      <c r="P2448" s="25"/>
      <c r="Q2448" s="29" t="s">
        <v>323</v>
      </c>
      <c r="R2448" s="8" t="str">
        <f aca="false">B2448&amp;" "&amp;C2448&amp;" "&amp;D2448&amp;" "&amp;E2448&amp;" "&amp;G2448&amp;" "&amp;H2448&amp;" "&amp;J2448&amp;" "&amp;N2448</f>
        <v>Differentials Graphite     CIF UK (Diff) </v>
      </c>
      <c r="S2448" s="25"/>
      <c r="T2448" s="8"/>
      <c r="U2448" s="8"/>
      <c r="V2448" s="25"/>
      <c r="W2448" s="25"/>
      <c r="X2448" s="25"/>
      <c r="Y2448" s="25"/>
      <c r="Z2448" s="25"/>
      <c r="AA2448" s="25"/>
      <c r="AB2448" s="25"/>
      <c r="AC2448" s="25"/>
      <c r="AD2448" s="25"/>
    </row>
    <row r="2449" customFormat="false" ht="15.75" hidden="false" customHeight="false" outlineLevel="0" collapsed="false">
      <c r="A2449" s="28" t="s">
        <v>2865</v>
      </c>
      <c r="B2449" s="27" t="s">
        <v>438</v>
      </c>
      <c r="C2449" s="27" t="s">
        <v>308</v>
      </c>
      <c r="D2449" s="25"/>
      <c r="E2449" s="25"/>
      <c r="F2449" s="25"/>
      <c r="G2449" s="25"/>
      <c r="H2449" s="25"/>
      <c r="I2449" s="25"/>
      <c r="J2449" s="27" t="s">
        <v>2812</v>
      </c>
      <c r="K2449" s="25" t="str">
        <f aca="false">IFERROR(__xludf.dummyfunction("SPLIT(J2449,"" "")"),"CIF")</f>
        <v>CIF</v>
      </c>
      <c r="L2449" s="28" t="str">
        <f aca="false">IFERROR(__xludf.dummyfunction("""COMPUTED_VALUE"""),"UK")</f>
        <v>UK</v>
      </c>
      <c r="M2449" s="27" t="str">
        <f aca="false">IFERROR(__xludf.dummyfunction("""COMPUTED_VALUE"""),"(Diff)")</f>
        <v>(Diff)</v>
      </c>
      <c r="N2449" s="25"/>
      <c r="O2449" s="25"/>
      <c r="P2449" s="25"/>
      <c r="Q2449" s="29" t="s">
        <v>319</v>
      </c>
      <c r="R2449" s="8" t="str">
        <f aca="false">B2449&amp;" "&amp;C2449&amp;" "&amp;D2449&amp;" "&amp;E2449&amp;" "&amp;G2449&amp;" "&amp;H2449&amp;" "&amp;J2449&amp;" "&amp;N2449</f>
        <v>Differentials Graphite     CIF UK (Diff) </v>
      </c>
      <c r="S2449" s="25"/>
      <c r="T2449" s="8"/>
      <c r="U2449" s="8"/>
      <c r="V2449" s="25"/>
      <c r="W2449" s="25"/>
      <c r="X2449" s="25"/>
      <c r="Y2449" s="25"/>
      <c r="Z2449" s="25"/>
      <c r="AA2449" s="25"/>
      <c r="AB2449" s="25"/>
      <c r="AC2449" s="25"/>
      <c r="AD2449" s="25"/>
    </row>
    <row r="2450" customFormat="false" ht="15.75" hidden="false" customHeight="false" outlineLevel="0" collapsed="false">
      <c r="A2450" s="28" t="s">
        <v>2866</v>
      </c>
      <c r="B2450" s="27" t="s">
        <v>438</v>
      </c>
      <c r="C2450" s="27" t="s">
        <v>308</v>
      </c>
      <c r="D2450" s="25"/>
      <c r="E2450" s="25"/>
      <c r="F2450" s="25"/>
      <c r="G2450" s="25"/>
      <c r="H2450" s="25"/>
      <c r="I2450" s="25"/>
      <c r="J2450" s="27" t="s">
        <v>2812</v>
      </c>
      <c r="K2450" s="25" t="str">
        <f aca="false">IFERROR(__xludf.dummyfunction("SPLIT(J2450,"" "")"),"CIF")</f>
        <v>CIF</v>
      </c>
      <c r="L2450" s="28" t="str">
        <f aca="false">IFERROR(__xludf.dummyfunction("""COMPUTED_VALUE"""),"UK")</f>
        <v>UK</v>
      </c>
      <c r="M2450" s="27" t="str">
        <f aca="false">IFERROR(__xludf.dummyfunction("""COMPUTED_VALUE"""),"(Diff)")</f>
        <v>(Diff)</v>
      </c>
      <c r="N2450" s="25"/>
      <c r="O2450" s="25"/>
      <c r="P2450" s="25"/>
      <c r="Q2450" s="29" t="s">
        <v>315</v>
      </c>
      <c r="R2450" s="8" t="str">
        <f aca="false">B2450&amp;" "&amp;C2450&amp;" "&amp;D2450&amp;" "&amp;E2450&amp;" "&amp;G2450&amp;" "&amp;H2450&amp;" "&amp;J2450&amp;" "&amp;N2450</f>
        <v>Differentials Graphite     CIF UK (Diff) </v>
      </c>
      <c r="S2450" s="25"/>
      <c r="T2450" s="8"/>
      <c r="U2450" s="8"/>
      <c r="V2450" s="25"/>
      <c r="W2450" s="25"/>
      <c r="X2450" s="25"/>
      <c r="Y2450" s="25"/>
      <c r="Z2450" s="25"/>
      <c r="AA2450" s="25"/>
      <c r="AB2450" s="25"/>
      <c r="AC2450" s="25"/>
      <c r="AD2450" s="25"/>
    </row>
    <row r="2451" customFormat="false" ht="15.75" hidden="false" customHeight="false" outlineLevel="0" collapsed="false">
      <c r="A2451" s="28" t="s">
        <v>2867</v>
      </c>
      <c r="B2451" s="27" t="s">
        <v>438</v>
      </c>
      <c r="C2451" s="27" t="s">
        <v>308</v>
      </c>
      <c r="D2451" s="25"/>
      <c r="E2451" s="25"/>
      <c r="F2451" s="25"/>
      <c r="G2451" s="25"/>
      <c r="H2451" s="25"/>
      <c r="I2451" s="25"/>
      <c r="J2451" s="27" t="s">
        <v>2812</v>
      </c>
      <c r="K2451" s="25" t="str">
        <f aca="false">IFERROR(__xludf.dummyfunction("SPLIT(J2451,"" "")"),"CIF")</f>
        <v>CIF</v>
      </c>
      <c r="L2451" s="28" t="str">
        <f aca="false">IFERROR(__xludf.dummyfunction("""COMPUTED_VALUE"""),"UK")</f>
        <v>UK</v>
      </c>
      <c r="M2451" s="27" t="str">
        <f aca="false">IFERROR(__xludf.dummyfunction("""COMPUTED_VALUE"""),"(Diff)")</f>
        <v>(Diff)</v>
      </c>
      <c r="N2451" s="25"/>
      <c r="O2451" s="25"/>
      <c r="P2451" s="25"/>
      <c r="Q2451" s="29" t="s">
        <v>311</v>
      </c>
      <c r="R2451" s="8" t="str">
        <f aca="false">B2451&amp;" "&amp;C2451&amp;" "&amp;D2451&amp;" "&amp;E2451&amp;" "&amp;G2451&amp;" "&amp;H2451&amp;" "&amp;J2451&amp;" "&amp;N2451</f>
        <v>Differentials Graphite     CIF UK (Diff) </v>
      </c>
      <c r="S2451" s="25"/>
      <c r="T2451" s="8"/>
      <c r="U2451" s="8"/>
      <c r="V2451" s="25"/>
      <c r="W2451" s="25"/>
      <c r="X2451" s="25"/>
      <c r="Y2451" s="25"/>
      <c r="Z2451" s="25"/>
      <c r="AA2451" s="25"/>
      <c r="AB2451" s="25"/>
      <c r="AC2451" s="25"/>
      <c r="AD2451" s="25"/>
    </row>
    <row r="2452" customFormat="false" ht="15.75" hidden="false" customHeight="false" outlineLevel="0" collapsed="false">
      <c r="A2452" s="28" t="s">
        <v>2868</v>
      </c>
      <c r="B2452" s="27" t="s">
        <v>438</v>
      </c>
      <c r="C2452" s="27" t="s">
        <v>360</v>
      </c>
      <c r="D2452" s="25"/>
      <c r="E2452" s="25"/>
      <c r="F2452" s="25"/>
      <c r="G2452" s="25"/>
      <c r="H2452" s="25"/>
      <c r="I2452" s="25"/>
      <c r="J2452" s="27" t="s">
        <v>2812</v>
      </c>
      <c r="K2452" s="25" t="str">
        <f aca="false">IFERROR(__xludf.dummyfunction("SPLIT(J2452,"" "")"),"CIF")</f>
        <v>CIF</v>
      </c>
      <c r="L2452" s="28" t="str">
        <f aca="false">IFERROR(__xludf.dummyfunction("""COMPUTED_VALUE"""),"UK")</f>
        <v>UK</v>
      </c>
      <c r="M2452" s="27" t="str">
        <f aca="false">IFERROR(__xludf.dummyfunction("""COMPUTED_VALUE"""),"(Diff)")</f>
        <v>(Diff)</v>
      </c>
      <c r="N2452" s="25"/>
      <c r="O2452" s="25"/>
      <c r="P2452" s="25"/>
      <c r="Q2452" s="29" t="s">
        <v>368</v>
      </c>
      <c r="R2452" s="8" t="str">
        <f aca="false">B2452&amp;" "&amp;C2452&amp;" "&amp;D2452&amp;" "&amp;E2452&amp;" "&amp;G2452&amp;" "&amp;H2452&amp;" "&amp;J2452&amp;" "&amp;N2452</f>
        <v>Differentials Lithium     CIF UK (Diff) </v>
      </c>
      <c r="S2452" s="25"/>
      <c r="T2452" s="8"/>
      <c r="U2452" s="8"/>
      <c r="V2452" s="25"/>
      <c r="W2452" s="25"/>
      <c r="X2452" s="25"/>
      <c r="Y2452" s="25"/>
      <c r="Z2452" s="25"/>
      <c r="AA2452" s="25"/>
      <c r="AB2452" s="25"/>
      <c r="AC2452" s="25"/>
      <c r="AD2452" s="25"/>
    </row>
    <row r="2453" customFormat="false" ht="15.75" hidden="false" customHeight="false" outlineLevel="0" collapsed="false">
      <c r="A2453" s="28" t="s">
        <v>2869</v>
      </c>
      <c r="B2453" s="27" t="s">
        <v>438</v>
      </c>
      <c r="C2453" s="27" t="s">
        <v>360</v>
      </c>
      <c r="D2453" s="25"/>
      <c r="E2453" s="25"/>
      <c r="F2453" s="25"/>
      <c r="G2453" s="25"/>
      <c r="H2453" s="25"/>
      <c r="I2453" s="25"/>
      <c r="J2453" s="27" t="s">
        <v>2812</v>
      </c>
      <c r="K2453" s="25" t="str">
        <f aca="false">IFERROR(__xludf.dummyfunction("SPLIT(J2453,"" "")"),"CIF")</f>
        <v>CIF</v>
      </c>
      <c r="L2453" s="28" t="str">
        <f aca="false">IFERROR(__xludf.dummyfunction("""COMPUTED_VALUE"""),"UK")</f>
        <v>UK</v>
      </c>
      <c r="M2453" s="27" t="str">
        <f aca="false">IFERROR(__xludf.dummyfunction("""COMPUTED_VALUE"""),"(Diff)")</f>
        <v>(Diff)</v>
      </c>
      <c r="N2453" s="25"/>
      <c r="O2453" s="25"/>
      <c r="P2453" s="25"/>
      <c r="Q2453" s="29" t="s">
        <v>366</v>
      </c>
      <c r="R2453" s="8" t="str">
        <f aca="false">B2453&amp;" "&amp;C2453&amp;" "&amp;D2453&amp;" "&amp;E2453&amp;" "&amp;G2453&amp;" "&amp;H2453&amp;" "&amp;J2453&amp;" "&amp;N2453</f>
        <v>Differentials Lithium     CIF UK (Diff) </v>
      </c>
      <c r="S2453" s="25"/>
      <c r="T2453" s="8"/>
      <c r="U2453" s="8"/>
      <c r="V2453" s="25"/>
      <c r="W2453" s="25"/>
      <c r="X2453" s="25"/>
      <c r="Y2453" s="25"/>
      <c r="Z2453" s="25"/>
      <c r="AA2453" s="25"/>
      <c r="AB2453" s="25"/>
      <c r="AC2453" s="25"/>
      <c r="AD2453" s="25"/>
    </row>
    <row r="2454" customFormat="false" ht="15.75" hidden="false" customHeight="false" outlineLevel="0" collapsed="false">
      <c r="A2454" s="28" t="s">
        <v>2870</v>
      </c>
      <c r="B2454" s="27" t="s">
        <v>438</v>
      </c>
      <c r="C2454" s="27" t="s">
        <v>360</v>
      </c>
      <c r="D2454" s="25"/>
      <c r="E2454" s="25"/>
      <c r="F2454" s="25"/>
      <c r="G2454" s="25"/>
      <c r="H2454" s="25"/>
      <c r="I2454" s="25"/>
      <c r="J2454" s="27" t="s">
        <v>2812</v>
      </c>
      <c r="K2454" s="25" t="str">
        <f aca="false">IFERROR(__xludf.dummyfunction("SPLIT(J2454,"" "")"),"CIF")</f>
        <v>CIF</v>
      </c>
      <c r="L2454" s="28" t="str">
        <f aca="false">IFERROR(__xludf.dummyfunction("""COMPUTED_VALUE"""),"UK")</f>
        <v>UK</v>
      </c>
      <c r="M2454" s="27" t="str">
        <f aca="false">IFERROR(__xludf.dummyfunction("""COMPUTED_VALUE"""),"(Diff)")</f>
        <v>(Diff)</v>
      </c>
      <c r="N2454" s="25"/>
      <c r="O2454" s="25"/>
      <c r="P2454" s="25"/>
      <c r="Q2454" s="29" t="s">
        <v>361</v>
      </c>
      <c r="R2454" s="8" t="str">
        <f aca="false">B2454&amp;" "&amp;C2454&amp;" "&amp;D2454&amp;" "&amp;E2454&amp;" "&amp;G2454&amp;" "&amp;H2454&amp;" "&amp;J2454&amp;" "&amp;N2454</f>
        <v>Differentials Lithium     CIF UK (Diff) </v>
      </c>
      <c r="S2454" s="25"/>
      <c r="T2454" s="8"/>
      <c r="U2454" s="8"/>
      <c r="V2454" s="25"/>
      <c r="W2454" s="25"/>
      <c r="X2454" s="25"/>
      <c r="Y2454" s="25"/>
      <c r="Z2454" s="25"/>
      <c r="AA2454" s="25"/>
      <c r="AB2454" s="25"/>
      <c r="AC2454" s="25"/>
      <c r="AD2454" s="25"/>
    </row>
    <row r="2455" customFormat="false" ht="15.75" hidden="false" customHeight="false" outlineLevel="0" collapsed="false">
      <c r="A2455" s="28" t="s">
        <v>2871</v>
      </c>
      <c r="B2455" s="27" t="s">
        <v>438</v>
      </c>
      <c r="C2455" s="27" t="s">
        <v>360</v>
      </c>
      <c r="D2455" s="25"/>
      <c r="E2455" s="25"/>
      <c r="F2455" s="25"/>
      <c r="G2455" s="25"/>
      <c r="H2455" s="25"/>
      <c r="I2455" s="25"/>
      <c r="J2455" s="27" t="s">
        <v>2812</v>
      </c>
      <c r="K2455" s="25" t="str">
        <f aca="false">IFERROR(__xludf.dummyfunction("SPLIT(J2455,"" "")"),"CIF")</f>
        <v>CIF</v>
      </c>
      <c r="L2455" s="28" t="str">
        <f aca="false">IFERROR(__xludf.dummyfunction("""COMPUTED_VALUE"""),"UK")</f>
        <v>UK</v>
      </c>
      <c r="M2455" s="27" t="str">
        <f aca="false">IFERROR(__xludf.dummyfunction("""COMPUTED_VALUE"""),"(Diff)")</f>
        <v>(Diff)</v>
      </c>
      <c r="N2455" s="25"/>
      <c r="O2455" s="25"/>
      <c r="P2455" s="25"/>
      <c r="Q2455" s="29" t="s">
        <v>363</v>
      </c>
      <c r="R2455" s="8" t="str">
        <f aca="false">B2455&amp;" "&amp;C2455&amp;" "&amp;D2455&amp;" "&amp;E2455&amp;" "&amp;G2455&amp;" "&amp;H2455&amp;" "&amp;J2455&amp;" "&amp;N2455</f>
        <v>Differentials Lithium     CIF UK (Diff) </v>
      </c>
      <c r="S2455" s="25"/>
      <c r="T2455" s="8"/>
      <c r="U2455" s="8"/>
      <c r="V2455" s="25"/>
      <c r="W2455" s="25"/>
      <c r="X2455" s="25"/>
      <c r="Y2455" s="25"/>
      <c r="Z2455" s="25"/>
      <c r="AA2455" s="25"/>
      <c r="AB2455" s="25"/>
      <c r="AC2455" s="25"/>
      <c r="AD2455" s="25"/>
    </row>
    <row r="2456" customFormat="false" ht="15.75" hidden="false" customHeight="false" outlineLevel="0" collapsed="false">
      <c r="A2456" s="28" t="s">
        <v>2872</v>
      </c>
      <c r="B2456" s="27" t="s">
        <v>438</v>
      </c>
      <c r="C2456" s="27" t="s">
        <v>360</v>
      </c>
      <c r="D2456" s="25"/>
      <c r="E2456" s="25"/>
      <c r="F2456" s="25"/>
      <c r="G2456" s="25"/>
      <c r="H2456" s="25"/>
      <c r="I2456" s="25"/>
      <c r="J2456" s="27" t="s">
        <v>2812</v>
      </c>
      <c r="K2456" s="25" t="str">
        <f aca="false">IFERROR(__xludf.dummyfunction("SPLIT(J2456,"" "")"),"CIF")</f>
        <v>CIF</v>
      </c>
      <c r="L2456" s="28" t="str">
        <f aca="false">IFERROR(__xludf.dummyfunction("""COMPUTED_VALUE"""),"UK")</f>
        <v>UK</v>
      </c>
      <c r="M2456" s="27" t="str">
        <f aca="false">IFERROR(__xludf.dummyfunction("""COMPUTED_VALUE"""),"(Diff)")</f>
        <v>(Diff)</v>
      </c>
      <c r="N2456" s="25"/>
      <c r="O2456" s="25"/>
      <c r="P2456" s="25"/>
      <c r="Q2456" s="29" t="s">
        <v>361</v>
      </c>
      <c r="R2456" s="8" t="str">
        <f aca="false">B2456&amp;" "&amp;C2456&amp;" "&amp;D2456&amp;" "&amp;E2456&amp;" "&amp;G2456&amp;" "&amp;H2456&amp;" "&amp;J2456&amp;" "&amp;N2456</f>
        <v>Differentials Lithium     CIF UK (Diff) </v>
      </c>
      <c r="S2456" s="25"/>
      <c r="T2456" s="8"/>
      <c r="U2456" s="8"/>
      <c r="V2456" s="25"/>
      <c r="W2456" s="25"/>
      <c r="X2456" s="25"/>
      <c r="Y2456" s="25"/>
      <c r="Z2456" s="25"/>
      <c r="AA2456" s="25"/>
      <c r="AB2456" s="25"/>
      <c r="AC2456" s="25"/>
      <c r="AD2456" s="25"/>
    </row>
    <row r="2457" customFormat="false" ht="15.75" hidden="false" customHeight="false" outlineLevel="0" collapsed="false">
      <c r="A2457" s="28" t="s">
        <v>2873</v>
      </c>
      <c r="B2457" s="27" t="s">
        <v>438</v>
      </c>
      <c r="C2457" s="27" t="s">
        <v>383</v>
      </c>
      <c r="D2457" s="25"/>
      <c r="E2457" s="25"/>
      <c r="F2457" s="25"/>
      <c r="G2457" s="25"/>
      <c r="H2457" s="25"/>
      <c r="I2457" s="25"/>
      <c r="J2457" s="27" t="s">
        <v>2812</v>
      </c>
      <c r="K2457" s="25" t="str">
        <f aca="false">IFERROR(__xludf.dummyfunction("SPLIT(J2457,"" "")"),"CIF")</f>
        <v>CIF</v>
      </c>
      <c r="L2457" s="28" t="str">
        <f aca="false">IFERROR(__xludf.dummyfunction("""COMPUTED_VALUE"""),"UK")</f>
        <v>UK</v>
      </c>
      <c r="M2457" s="27" t="str">
        <f aca="false">IFERROR(__xludf.dummyfunction("""COMPUTED_VALUE"""),"(Diff)")</f>
        <v>(Diff)</v>
      </c>
      <c r="N2457" s="25"/>
      <c r="O2457" s="25"/>
      <c r="P2457" s="25"/>
      <c r="Q2457" s="29" t="s">
        <v>406</v>
      </c>
      <c r="R2457" s="8" t="str">
        <f aca="false">B2457&amp;" "&amp;C2457&amp;" "&amp;D2457&amp;" "&amp;E2457&amp;" "&amp;G2457&amp;" "&amp;H2457&amp;" "&amp;J2457&amp;" "&amp;N2457</f>
        <v>Differentials Precursor     CIF UK (Diff) </v>
      </c>
      <c r="S2457" s="25"/>
      <c r="T2457" s="8"/>
      <c r="U2457" s="8"/>
      <c r="V2457" s="25"/>
      <c r="W2457" s="25"/>
      <c r="X2457" s="25"/>
      <c r="Y2457" s="25"/>
      <c r="Z2457" s="25"/>
      <c r="AA2457" s="25"/>
      <c r="AB2457" s="25"/>
      <c r="AC2457" s="25"/>
      <c r="AD2457" s="25"/>
    </row>
    <row r="2458" customFormat="false" ht="15.75" hidden="false" customHeight="false" outlineLevel="0" collapsed="false">
      <c r="A2458" s="28" t="s">
        <v>2874</v>
      </c>
      <c r="B2458" s="27" t="s">
        <v>438</v>
      </c>
      <c r="C2458" s="27" t="s">
        <v>383</v>
      </c>
      <c r="D2458" s="25"/>
      <c r="E2458" s="25"/>
      <c r="F2458" s="25"/>
      <c r="G2458" s="25"/>
      <c r="H2458" s="25"/>
      <c r="I2458" s="25"/>
      <c r="J2458" s="27" t="s">
        <v>2812</v>
      </c>
      <c r="K2458" s="25" t="str">
        <f aca="false">IFERROR(__xludf.dummyfunction("SPLIT(J2458,"" "")"),"CIF")</f>
        <v>CIF</v>
      </c>
      <c r="L2458" s="28" t="str">
        <f aca="false">IFERROR(__xludf.dummyfunction("""COMPUTED_VALUE"""),"UK")</f>
        <v>UK</v>
      </c>
      <c r="M2458" s="27" t="str">
        <f aca="false">IFERROR(__xludf.dummyfunction("""COMPUTED_VALUE"""),"(Diff)")</f>
        <v>(Diff)</v>
      </c>
      <c r="N2458" s="25"/>
      <c r="O2458" s="25"/>
      <c r="P2458" s="25"/>
      <c r="Q2458" s="29" t="s">
        <v>404</v>
      </c>
      <c r="R2458" s="8" t="str">
        <f aca="false">B2458&amp;" "&amp;C2458&amp;" "&amp;D2458&amp;" "&amp;E2458&amp;" "&amp;G2458&amp;" "&amp;H2458&amp;" "&amp;J2458&amp;" "&amp;N2458</f>
        <v>Differentials Precursor     CIF UK (Diff) </v>
      </c>
      <c r="S2458" s="25"/>
      <c r="T2458" s="8"/>
      <c r="U2458" s="8"/>
      <c r="V2458" s="25"/>
      <c r="W2458" s="25"/>
      <c r="X2458" s="25"/>
      <c r="Y2458" s="25"/>
      <c r="Z2458" s="25"/>
      <c r="AA2458" s="25"/>
      <c r="AB2458" s="25"/>
      <c r="AC2458" s="25"/>
      <c r="AD2458" s="25"/>
    </row>
    <row r="2459" customFormat="false" ht="15.75" hidden="false" customHeight="false" outlineLevel="0" collapsed="false">
      <c r="A2459" s="28" t="s">
        <v>2875</v>
      </c>
      <c r="B2459" s="27" t="s">
        <v>438</v>
      </c>
      <c r="C2459" s="27" t="s">
        <v>383</v>
      </c>
      <c r="D2459" s="25"/>
      <c r="E2459" s="25"/>
      <c r="F2459" s="25"/>
      <c r="G2459" s="25"/>
      <c r="H2459" s="25"/>
      <c r="I2459" s="25"/>
      <c r="J2459" s="27" t="s">
        <v>2812</v>
      </c>
      <c r="K2459" s="25" t="str">
        <f aca="false">IFERROR(__xludf.dummyfunction("SPLIT(J2459,"" "")"),"CIF")</f>
        <v>CIF</v>
      </c>
      <c r="L2459" s="28" t="str">
        <f aca="false">IFERROR(__xludf.dummyfunction("""COMPUTED_VALUE"""),"UK")</f>
        <v>UK</v>
      </c>
      <c r="M2459" s="27" t="str">
        <f aca="false">IFERROR(__xludf.dummyfunction("""COMPUTED_VALUE"""),"(Diff)")</f>
        <v>(Diff)</v>
      </c>
      <c r="N2459" s="25"/>
      <c r="O2459" s="25"/>
      <c r="P2459" s="25"/>
      <c r="Q2459" s="29" t="s">
        <v>402</v>
      </c>
      <c r="R2459" s="8" t="str">
        <f aca="false">B2459&amp;" "&amp;C2459&amp;" "&amp;D2459&amp;" "&amp;E2459&amp;" "&amp;G2459&amp;" "&amp;H2459&amp;" "&amp;J2459&amp;" "&amp;N2459</f>
        <v>Differentials Precursor     CIF UK (Diff) </v>
      </c>
      <c r="S2459" s="25"/>
      <c r="T2459" s="8"/>
      <c r="U2459" s="8"/>
      <c r="V2459" s="25"/>
      <c r="W2459" s="25"/>
      <c r="X2459" s="25"/>
      <c r="Y2459" s="25"/>
      <c r="Z2459" s="25"/>
      <c r="AA2459" s="25"/>
      <c r="AB2459" s="25"/>
      <c r="AC2459" s="25"/>
      <c r="AD2459" s="25"/>
    </row>
    <row r="2460" customFormat="false" ht="15.75" hidden="false" customHeight="false" outlineLevel="0" collapsed="false">
      <c r="A2460" s="28" t="s">
        <v>2876</v>
      </c>
      <c r="B2460" s="27" t="s">
        <v>438</v>
      </c>
      <c r="C2460" s="27" t="s">
        <v>383</v>
      </c>
      <c r="D2460" s="25"/>
      <c r="E2460" s="25"/>
      <c r="F2460" s="25"/>
      <c r="G2460" s="25"/>
      <c r="H2460" s="25"/>
      <c r="I2460" s="25"/>
      <c r="J2460" s="27" t="s">
        <v>2812</v>
      </c>
      <c r="K2460" s="25" t="str">
        <f aca="false">IFERROR(__xludf.dummyfunction("SPLIT(J2460,"" "")"),"CIF")</f>
        <v>CIF</v>
      </c>
      <c r="L2460" s="28" t="str">
        <f aca="false">IFERROR(__xludf.dummyfunction("""COMPUTED_VALUE"""),"UK")</f>
        <v>UK</v>
      </c>
      <c r="M2460" s="27" t="str">
        <f aca="false">IFERROR(__xludf.dummyfunction("""COMPUTED_VALUE"""),"(Diff)")</f>
        <v>(Diff)</v>
      </c>
      <c r="N2460" s="25"/>
      <c r="O2460" s="25"/>
      <c r="P2460" s="25"/>
      <c r="Q2460" s="29" t="s">
        <v>400</v>
      </c>
      <c r="R2460" s="8" t="str">
        <f aca="false">B2460&amp;" "&amp;C2460&amp;" "&amp;D2460&amp;" "&amp;E2460&amp;" "&amp;G2460&amp;" "&amp;H2460&amp;" "&amp;J2460&amp;" "&amp;N2460</f>
        <v>Differentials Precursor     CIF UK (Diff) </v>
      </c>
      <c r="S2460" s="25"/>
      <c r="T2460" s="8"/>
      <c r="U2460" s="8"/>
      <c r="V2460" s="25"/>
      <c r="W2460" s="25"/>
      <c r="X2460" s="25"/>
      <c r="Y2460" s="25"/>
      <c r="Z2460" s="25"/>
      <c r="AA2460" s="25"/>
      <c r="AB2460" s="25"/>
      <c r="AC2460" s="25"/>
      <c r="AD2460" s="25"/>
    </row>
    <row r="2461" customFormat="false" ht="15.75" hidden="false" customHeight="false" outlineLevel="0" collapsed="false">
      <c r="A2461" s="28" t="s">
        <v>2877</v>
      </c>
      <c r="B2461" s="27" t="s">
        <v>438</v>
      </c>
      <c r="C2461" s="27" t="s">
        <v>383</v>
      </c>
      <c r="D2461" s="25"/>
      <c r="E2461" s="25"/>
      <c r="F2461" s="25"/>
      <c r="G2461" s="25"/>
      <c r="H2461" s="25"/>
      <c r="I2461" s="25"/>
      <c r="J2461" s="27" t="s">
        <v>2812</v>
      </c>
      <c r="K2461" s="25" t="str">
        <f aca="false">IFERROR(__xludf.dummyfunction("SPLIT(J2461,"" "")"),"CIF")</f>
        <v>CIF</v>
      </c>
      <c r="L2461" s="28" t="str">
        <f aca="false">IFERROR(__xludf.dummyfunction("""COMPUTED_VALUE"""),"UK")</f>
        <v>UK</v>
      </c>
      <c r="M2461" s="27" t="str">
        <f aca="false">IFERROR(__xludf.dummyfunction("""COMPUTED_VALUE"""),"(Diff)")</f>
        <v>(Diff)</v>
      </c>
      <c r="N2461" s="25"/>
      <c r="O2461" s="25"/>
      <c r="P2461" s="25"/>
      <c r="Q2461" s="29" t="s">
        <v>398</v>
      </c>
      <c r="R2461" s="8" t="str">
        <f aca="false">B2461&amp;" "&amp;C2461&amp;" "&amp;D2461&amp;" "&amp;E2461&amp;" "&amp;G2461&amp;" "&amp;H2461&amp;" "&amp;J2461&amp;" "&amp;N2461</f>
        <v>Differentials Precursor     CIF UK (Diff) </v>
      </c>
      <c r="S2461" s="25"/>
      <c r="T2461" s="8"/>
      <c r="U2461" s="8"/>
      <c r="V2461" s="25"/>
      <c r="W2461" s="25"/>
      <c r="X2461" s="25"/>
      <c r="Y2461" s="25"/>
      <c r="Z2461" s="25"/>
      <c r="AA2461" s="25"/>
      <c r="AB2461" s="25"/>
      <c r="AC2461" s="25"/>
      <c r="AD2461" s="25"/>
    </row>
    <row r="2462" customFormat="false" ht="15.75" hidden="false" customHeight="false" outlineLevel="0" collapsed="false">
      <c r="A2462" s="28" t="s">
        <v>2878</v>
      </c>
      <c r="B2462" s="27" t="s">
        <v>438</v>
      </c>
      <c r="C2462" s="27" t="s">
        <v>383</v>
      </c>
      <c r="D2462" s="25"/>
      <c r="E2462" s="25"/>
      <c r="F2462" s="25"/>
      <c r="G2462" s="25"/>
      <c r="H2462" s="25"/>
      <c r="I2462" s="25"/>
      <c r="J2462" s="27" t="s">
        <v>2812</v>
      </c>
      <c r="K2462" s="25" t="str">
        <f aca="false">IFERROR(__xludf.dummyfunction("SPLIT(J2462,"" "")"),"CIF")</f>
        <v>CIF</v>
      </c>
      <c r="L2462" s="28" t="str">
        <f aca="false">IFERROR(__xludf.dummyfunction("""COMPUTED_VALUE"""),"UK")</f>
        <v>UK</v>
      </c>
      <c r="M2462" s="27" t="str">
        <f aca="false">IFERROR(__xludf.dummyfunction("""COMPUTED_VALUE"""),"(Diff)")</f>
        <v>(Diff)</v>
      </c>
      <c r="N2462" s="25"/>
      <c r="O2462" s="25"/>
      <c r="P2462" s="25"/>
      <c r="Q2462" s="29" t="s">
        <v>259</v>
      </c>
      <c r="R2462" s="8" t="str">
        <f aca="false">B2462&amp;" "&amp;C2462&amp;" "&amp;D2462&amp;" "&amp;E2462&amp;" "&amp;G2462&amp;" "&amp;H2462&amp;" "&amp;J2462&amp;" "&amp;N2462</f>
        <v>Differentials Precursor     CIF UK (Diff) </v>
      </c>
      <c r="S2462" s="25"/>
      <c r="T2462" s="8"/>
      <c r="U2462" s="8"/>
      <c r="V2462" s="25"/>
      <c r="W2462" s="25"/>
      <c r="X2462" s="25"/>
      <c r="Y2462" s="25"/>
      <c r="Z2462" s="25"/>
      <c r="AA2462" s="25"/>
      <c r="AB2462" s="25"/>
      <c r="AC2462" s="25"/>
      <c r="AD2462" s="25"/>
    </row>
    <row r="2463" customFormat="false" ht="15.75" hidden="false" customHeight="false" outlineLevel="0" collapsed="false">
      <c r="A2463" s="28" t="s">
        <v>2879</v>
      </c>
      <c r="B2463" s="27" t="s">
        <v>438</v>
      </c>
      <c r="C2463" s="27" t="s">
        <v>383</v>
      </c>
      <c r="D2463" s="25"/>
      <c r="E2463" s="25"/>
      <c r="F2463" s="25"/>
      <c r="G2463" s="25"/>
      <c r="H2463" s="25"/>
      <c r="I2463" s="25"/>
      <c r="J2463" s="27" t="s">
        <v>2812</v>
      </c>
      <c r="K2463" s="25" t="str">
        <f aca="false">IFERROR(__xludf.dummyfunction("SPLIT(J2463,"" "")"),"CIF")</f>
        <v>CIF</v>
      </c>
      <c r="L2463" s="28" t="str">
        <f aca="false">IFERROR(__xludf.dummyfunction("""COMPUTED_VALUE"""),"UK")</f>
        <v>UK</v>
      </c>
      <c r="M2463" s="27" t="str">
        <f aca="false">IFERROR(__xludf.dummyfunction("""COMPUTED_VALUE"""),"(Diff)")</f>
        <v>(Diff)</v>
      </c>
      <c r="N2463" s="25"/>
      <c r="O2463" s="25"/>
      <c r="P2463" s="25"/>
      <c r="Q2463" s="29" t="s">
        <v>395</v>
      </c>
      <c r="R2463" s="8" t="str">
        <f aca="false">B2463&amp;" "&amp;C2463&amp;" "&amp;D2463&amp;" "&amp;E2463&amp;" "&amp;G2463&amp;" "&amp;H2463&amp;" "&amp;J2463&amp;" "&amp;N2463</f>
        <v>Differentials Precursor     CIF UK (Diff) </v>
      </c>
      <c r="S2463" s="25"/>
      <c r="T2463" s="8"/>
      <c r="U2463" s="8"/>
      <c r="V2463" s="25"/>
      <c r="W2463" s="25"/>
      <c r="X2463" s="25"/>
      <c r="Y2463" s="25"/>
      <c r="Z2463" s="25"/>
      <c r="AA2463" s="25"/>
      <c r="AB2463" s="25"/>
      <c r="AC2463" s="25"/>
      <c r="AD2463" s="25"/>
    </row>
    <row r="2464" customFormat="false" ht="15.75" hidden="false" customHeight="false" outlineLevel="0" collapsed="false">
      <c r="A2464" s="28" t="s">
        <v>2880</v>
      </c>
      <c r="B2464" s="27" t="s">
        <v>438</v>
      </c>
      <c r="C2464" s="27" t="s">
        <v>383</v>
      </c>
      <c r="D2464" s="25"/>
      <c r="E2464" s="25"/>
      <c r="F2464" s="25"/>
      <c r="G2464" s="25"/>
      <c r="H2464" s="25"/>
      <c r="I2464" s="25"/>
      <c r="J2464" s="27" t="s">
        <v>2812</v>
      </c>
      <c r="K2464" s="25" t="str">
        <f aca="false">IFERROR(__xludf.dummyfunction("SPLIT(J2464,"" "")"),"CIF")</f>
        <v>CIF</v>
      </c>
      <c r="L2464" s="28" t="str">
        <f aca="false">IFERROR(__xludf.dummyfunction("""COMPUTED_VALUE"""),"UK")</f>
        <v>UK</v>
      </c>
      <c r="M2464" s="27" t="str">
        <f aca="false">IFERROR(__xludf.dummyfunction("""COMPUTED_VALUE"""),"(Diff)")</f>
        <v>(Diff)</v>
      </c>
      <c r="N2464" s="25"/>
      <c r="O2464" s="25"/>
      <c r="P2464" s="25"/>
      <c r="Q2464" s="29" t="s">
        <v>393</v>
      </c>
      <c r="R2464" s="8" t="str">
        <f aca="false">B2464&amp;" "&amp;C2464&amp;" "&amp;D2464&amp;" "&amp;E2464&amp;" "&amp;G2464&amp;" "&amp;H2464&amp;" "&amp;J2464&amp;" "&amp;N2464</f>
        <v>Differentials Precursor     CIF UK (Diff) </v>
      </c>
      <c r="S2464" s="25"/>
      <c r="T2464" s="8"/>
      <c r="U2464" s="8"/>
      <c r="V2464" s="25"/>
      <c r="W2464" s="25"/>
      <c r="X2464" s="25"/>
      <c r="Y2464" s="25"/>
      <c r="Z2464" s="25"/>
      <c r="AA2464" s="25"/>
      <c r="AB2464" s="25"/>
      <c r="AC2464" s="25"/>
      <c r="AD2464" s="25"/>
    </row>
    <row r="2465" customFormat="false" ht="15.75" hidden="false" customHeight="false" outlineLevel="0" collapsed="false">
      <c r="A2465" s="28" t="s">
        <v>2881</v>
      </c>
      <c r="B2465" s="27" t="s">
        <v>438</v>
      </c>
      <c r="C2465" s="27" t="s">
        <v>383</v>
      </c>
      <c r="D2465" s="25"/>
      <c r="E2465" s="25"/>
      <c r="F2465" s="25"/>
      <c r="G2465" s="25"/>
      <c r="H2465" s="25"/>
      <c r="I2465" s="25"/>
      <c r="J2465" s="27" t="s">
        <v>2812</v>
      </c>
      <c r="K2465" s="25" t="str">
        <f aca="false">IFERROR(__xludf.dummyfunction("SPLIT(J2465,"" "")"),"CIF")</f>
        <v>CIF</v>
      </c>
      <c r="L2465" s="28" t="str">
        <f aca="false">IFERROR(__xludf.dummyfunction("""COMPUTED_VALUE"""),"UK")</f>
        <v>UK</v>
      </c>
      <c r="M2465" s="27" t="str">
        <f aca="false">IFERROR(__xludf.dummyfunction("""COMPUTED_VALUE"""),"(Diff)")</f>
        <v>(Diff)</v>
      </c>
      <c r="N2465" s="25"/>
      <c r="O2465" s="25"/>
      <c r="P2465" s="25"/>
      <c r="Q2465" s="29" t="s">
        <v>391</v>
      </c>
      <c r="R2465" s="8" t="str">
        <f aca="false">B2465&amp;" "&amp;C2465&amp;" "&amp;D2465&amp;" "&amp;E2465&amp;" "&amp;G2465&amp;" "&amp;H2465&amp;" "&amp;J2465&amp;" "&amp;N2465</f>
        <v>Differentials Precursor     CIF UK (Diff) </v>
      </c>
      <c r="S2465" s="25"/>
      <c r="T2465" s="8"/>
      <c r="U2465" s="8"/>
      <c r="V2465" s="25"/>
      <c r="W2465" s="25"/>
      <c r="X2465" s="25"/>
      <c r="Y2465" s="25"/>
      <c r="Z2465" s="25"/>
      <c r="AA2465" s="25"/>
      <c r="AB2465" s="25"/>
      <c r="AC2465" s="25"/>
      <c r="AD2465" s="25"/>
    </row>
    <row r="2466" customFormat="false" ht="15.75" hidden="false" customHeight="false" outlineLevel="0" collapsed="false">
      <c r="A2466" s="28" t="s">
        <v>2882</v>
      </c>
      <c r="B2466" s="27" t="s">
        <v>438</v>
      </c>
      <c r="C2466" s="27" t="s">
        <v>383</v>
      </c>
      <c r="D2466" s="25"/>
      <c r="E2466" s="25"/>
      <c r="F2466" s="25"/>
      <c r="G2466" s="25"/>
      <c r="H2466" s="25"/>
      <c r="I2466" s="25"/>
      <c r="J2466" s="27" t="s">
        <v>2812</v>
      </c>
      <c r="K2466" s="25" t="str">
        <f aca="false">IFERROR(__xludf.dummyfunction("SPLIT(J2466,"" "")"),"CIF")</f>
        <v>CIF</v>
      </c>
      <c r="L2466" s="28" t="str">
        <f aca="false">IFERROR(__xludf.dummyfunction("""COMPUTED_VALUE"""),"UK")</f>
        <v>UK</v>
      </c>
      <c r="M2466" s="27" t="str">
        <f aca="false">IFERROR(__xludf.dummyfunction("""COMPUTED_VALUE"""),"(Diff)")</f>
        <v>(Diff)</v>
      </c>
      <c r="N2466" s="25"/>
      <c r="O2466" s="25"/>
      <c r="P2466" s="25"/>
      <c r="Q2466" s="29" t="s">
        <v>389</v>
      </c>
      <c r="R2466" s="8" t="str">
        <f aca="false">B2466&amp;" "&amp;C2466&amp;" "&amp;D2466&amp;" "&amp;E2466&amp;" "&amp;G2466&amp;" "&amp;H2466&amp;" "&amp;J2466&amp;" "&amp;N2466</f>
        <v>Differentials Precursor     CIF UK (Diff) </v>
      </c>
      <c r="S2466" s="25"/>
      <c r="T2466" s="8"/>
      <c r="U2466" s="8"/>
      <c r="V2466" s="25"/>
      <c r="W2466" s="25"/>
      <c r="X2466" s="25"/>
      <c r="Y2466" s="25"/>
      <c r="Z2466" s="25"/>
      <c r="AA2466" s="25"/>
      <c r="AB2466" s="25"/>
      <c r="AC2466" s="25"/>
      <c r="AD2466" s="25"/>
    </row>
    <row r="2467" customFormat="false" ht="15.75" hidden="false" customHeight="false" outlineLevel="0" collapsed="false">
      <c r="A2467" s="28" t="s">
        <v>2883</v>
      </c>
      <c r="B2467" s="27" t="s">
        <v>438</v>
      </c>
      <c r="C2467" s="27" t="s">
        <v>383</v>
      </c>
      <c r="D2467" s="25"/>
      <c r="E2467" s="25"/>
      <c r="F2467" s="25"/>
      <c r="G2467" s="25"/>
      <c r="H2467" s="25"/>
      <c r="I2467" s="25"/>
      <c r="J2467" s="27" t="s">
        <v>2812</v>
      </c>
      <c r="K2467" s="25" t="str">
        <f aca="false">IFERROR(__xludf.dummyfunction("SPLIT(J2467,"" "")"),"CIF")</f>
        <v>CIF</v>
      </c>
      <c r="L2467" s="28" t="str">
        <f aca="false">IFERROR(__xludf.dummyfunction("""COMPUTED_VALUE"""),"UK")</f>
        <v>UK</v>
      </c>
      <c r="M2467" s="27" t="str">
        <f aca="false">IFERROR(__xludf.dummyfunction("""COMPUTED_VALUE"""),"(Diff)")</f>
        <v>(Diff)</v>
      </c>
      <c r="N2467" s="25"/>
      <c r="O2467" s="25"/>
      <c r="P2467" s="25"/>
      <c r="Q2467" s="29" t="s">
        <v>387</v>
      </c>
      <c r="R2467" s="8" t="str">
        <f aca="false">B2467&amp;" "&amp;C2467&amp;" "&amp;D2467&amp;" "&amp;E2467&amp;" "&amp;G2467&amp;" "&amp;H2467&amp;" "&amp;J2467&amp;" "&amp;N2467</f>
        <v>Differentials Precursor     CIF UK (Diff) </v>
      </c>
      <c r="S2467" s="25"/>
      <c r="T2467" s="8"/>
      <c r="U2467" s="8"/>
      <c r="V2467" s="25"/>
      <c r="W2467" s="25"/>
      <c r="X2467" s="25"/>
      <c r="Y2467" s="25"/>
      <c r="Z2467" s="25"/>
      <c r="AA2467" s="25"/>
      <c r="AB2467" s="25"/>
      <c r="AC2467" s="25"/>
      <c r="AD2467" s="25"/>
    </row>
    <row r="2468" customFormat="false" ht="15.75" hidden="false" customHeight="false" outlineLevel="0" collapsed="false">
      <c r="A2468" s="28" t="s">
        <v>2884</v>
      </c>
      <c r="B2468" s="27" t="s">
        <v>438</v>
      </c>
      <c r="C2468" s="27" t="s">
        <v>383</v>
      </c>
      <c r="D2468" s="25"/>
      <c r="E2468" s="25"/>
      <c r="F2468" s="25"/>
      <c r="G2468" s="25"/>
      <c r="H2468" s="25"/>
      <c r="I2468" s="25"/>
      <c r="J2468" s="27" t="s">
        <v>2812</v>
      </c>
      <c r="K2468" s="25" t="str">
        <f aca="false">IFERROR(__xludf.dummyfunction("SPLIT(J2468,"" "")"),"CIF")</f>
        <v>CIF</v>
      </c>
      <c r="L2468" s="28" t="str">
        <f aca="false">IFERROR(__xludf.dummyfunction("""COMPUTED_VALUE"""),"UK")</f>
        <v>UK</v>
      </c>
      <c r="M2468" s="27" t="str">
        <f aca="false">IFERROR(__xludf.dummyfunction("""COMPUTED_VALUE"""),"(Diff)")</f>
        <v>(Diff)</v>
      </c>
      <c r="N2468" s="25"/>
      <c r="O2468" s="25"/>
      <c r="P2468" s="25"/>
      <c r="Q2468" s="29" t="s">
        <v>385</v>
      </c>
      <c r="R2468" s="8" t="str">
        <f aca="false">B2468&amp;" "&amp;C2468&amp;" "&amp;D2468&amp;" "&amp;E2468&amp;" "&amp;G2468&amp;" "&amp;H2468&amp;" "&amp;J2468&amp;" "&amp;N2468</f>
        <v>Differentials Precursor     CIF UK (Diff) </v>
      </c>
      <c r="S2468" s="25"/>
      <c r="T2468" s="8"/>
      <c r="U2468" s="8"/>
      <c r="V2468" s="25"/>
      <c r="W2468" s="25"/>
      <c r="X2468" s="25"/>
      <c r="Y2468" s="25"/>
      <c r="Z2468" s="25"/>
      <c r="AA2468" s="25"/>
      <c r="AB2468" s="25"/>
      <c r="AC2468" s="25"/>
      <c r="AD2468" s="25"/>
    </row>
    <row r="2469" customFormat="false" ht="15.75" hidden="false" customHeight="false" outlineLevel="0" collapsed="false">
      <c r="A2469" s="28" t="s">
        <v>2885</v>
      </c>
      <c r="B2469" s="27" t="s">
        <v>438</v>
      </c>
      <c r="C2469" s="27" t="s">
        <v>408</v>
      </c>
      <c r="D2469" s="25"/>
      <c r="E2469" s="25"/>
      <c r="F2469" s="25"/>
      <c r="G2469" s="25"/>
      <c r="H2469" s="25"/>
      <c r="I2469" s="25"/>
      <c r="J2469" s="27" t="s">
        <v>2812</v>
      </c>
      <c r="K2469" s="25" t="str">
        <f aca="false">IFERROR(__xludf.dummyfunction("SPLIT(J2469,"" "")"),"CIF")</f>
        <v>CIF</v>
      </c>
      <c r="L2469" s="28" t="str">
        <f aca="false">IFERROR(__xludf.dummyfunction("""COMPUTED_VALUE"""),"UK")</f>
        <v>UK</v>
      </c>
      <c r="M2469" s="27" t="str">
        <f aca="false">IFERROR(__xludf.dummyfunction("""COMPUTED_VALUE"""),"(Diff)")</f>
        <v>(Diff)</v>
      </c>
      <c r="N2469" s="25"/>
      <c r="O2469" s="25"/>
      <c r="P2469" s="25"/>
      <c r="Q2469" s="29" t="s">
        <v>415</v>
      </c>
      <c r="R2469" s="8" t="str">
        <f aca="false">B2469&amp;" "&amp;C2469&amp;" "&amp;D2469&amp;" "&amp;E2469&amp;" "&amp;G2469&amp;" "&amp;H2469&amp;" "&amp;J2469&amp;" "&amp;N2469</f>
        <v>Differentials Rare Earths     CIF UK (Diff) </v>
      </c>
      <c r="S2469" s="25"/>
      <c r="T2469" s="8"/>
      <c r="U2469" s="8"/>
      <c r="V2469" s="25"/>
      <c r="W2469" s="25"/>
      <c r="X2469" s="25"/>
      <c r="Y2469" s="25"/>
      <c r="Z2469" s="25"/>
      <c r="AA2469" s="25"/>
      <c r="AB2469" s="25"/>
      <c r="AC2469" s="25"/>
      <c r="AD2469" s="25"/>
    </row>
    <row r="2470" customFormat="false" ht="15.75" hidden="false" customHeight="false" outlineLevel="0" collapsed="false">
      <c r="A2470" s="28" t="s">
        <v>2886</v>
      </c>
      <c r="B2470" s="27" t="s">
        <v>438</v>
      </c>
      <c r="C2470" s="27" t="s">
        <v>408</v>
      </c>
      <c r="D2470" s="25"/>
      <c r="E2470" s="25"/>
      <c r="F2470" s="25"/>
      <c r="G2470" s="25"/>
      <c r="H2470" s="25"/>
      <c r="I2470" s="25"/>
      <c r="J2470" s="27" t="s">
        <v>2812</v>
      </c>
      <c r="K2470" s="25" t="str">
        <f aca="false">IFERROR(__xludf.dummyfunction("SPLIT(J2470,"" "")"),"CIF")</f>
        <v>CIF</v>
      </c>
      <c r="L2470" s="28" t="str">
        <f aca="false">IFERROR(__xludf.dummyfunction("""COMPUTED_VALUE"""),"UK")</f>
        <v>UK</v>
      </c>
      <c r="M2470" s="27" t="str">
        <f aca="false">IFERROR(__xludf.dummyfunction("""COMPUTED_VALUE"""),"(Diff)")</f>
        <v>(Diff)</v>
      </c>
      <c r="N2470" s="25"/>
      <c r="O2470" s="25"/>
      <c r="P2470" s="25"/>
      <c r="Q2470" s="29" t="s">
        <v>413</v>
      </c>
      <c r="R2470" s="8" t="str">
        <f aca="false">B2470&amp;" "&amp;C2470&amp;" "&amp;D2470&amp;" "&amp;E2470&amp;" "&amp;G2470&amp;" "&amp;H2470&amp;" "&amp;J2470&amp;" "&amp;N2470</f>
        <v>Differentials Rare Earths     CIF UK (Diff) </v>
      </c>
      <c r="S2470" s="25"/>
      <c r="T2470" s="8"/>
      <c r="U2470" s="8"/>
      <c r="V2470" s="25"/>
      <c r="W2470" s="25"/>
      <c r="X2470" s="25"/>
      <c r="Y2470" s="25"/>
      <c r="Z2470" s="25"/>
      <c r="AA2470" s="25"/>
      <c r="AB2470" s="25"/>
      <c r="AC2470" s="25"/>
      <c r="AD2470" s="25"/>
    </row>
    <row r="2471" customFormat="false" ht="15.75" hidden="false" customHeight="false" outlineLevel="0" collapsed="false">
      <c r="A2471" s="28" t="s">
        <v>2887</v>
      </c>
      <c r="B2471" s="27" t="s">
        <v>438</v>
      </c>
      <c r="C2471" s="27" t="s">
        <v>408</v>
      </c>
      <c r="D2471" s="25"/>
      <c r="E2471" s="25"/>
      <c r="F2471" s="25"/>
      <c r="G2471" s="25"/>
      <c r="H2471" s="25"/>
      <c r="I2471" s="25"/>
      <c r="J2471" s="27" t="s">
        <v>2812</v>
      </c>
      <c r="K2471" s="25" t="str">
        <f aca="false">IFERROR(__xludf.dummyfunction("SPLIT(J2471,"" "")"),"CIF")</f>
        <v>CIF</v>
      </c>
      <c r="L2471" s="28" t="str">
        <f aca="false">IFERROR(__xludf.dummyfunction("""COMPUTED_VALUE"""),"UK")</f>
        <v>UK</v>
      </c>
      <c r="M2471" s="27" t="str">
        <f aca="false">IFERROR(__xludf.dummyfunction("""COMPUTED_VALUE"""),"(Diff)")</f>
        <v>(Diff)</v>
      </c>
      <c r="N2471" s="25"/>
      <c r="O2471" s="25"/>
      <c r="P2471" s="25"/>
      <c r="Q2471" s="29" t="s">
        <v>411</v>
      </c>
      <c r="R2471" s="8" t="str">
        <f aca="false">B2471&amp;" "&amp;C2471&amp;" "&amp;D2471&amp;" "&amp;E2471&amp;" "&amp;G2471&amp;" "&amp;H2471&amp;" "&amp;J2471&amp;" "&amp;N2471</f>
        <v>Differentials Rare Earths     CIF UK (Diff) </v>
      </c>
      <c r="S2471" s="25"/>
      <c r="T2471" s="8"/>
      <c r="U2471" s="8"/>
      <c r="V2471" s="25"/>
      <c r="W2471" s="25"/>
      <c r="X2471" s="25"/>
      <c r="Y2471" s="25"/>
      <c r="Z2471" s="25"/>
      <c r="AA2471" s="25"/>
      <c r="AB2471" s="25"/>
      <c r="AC2471" s="25"/>
      <c r="AD2471" s="25"/>
    </row>
    <row r="2472" customFormat="false" ht="15.75" hidden="false" customHeight="false" outlineLevel="0" collapsed="false">
      <c r="A2472" s="28" t="s">
        <v>2888</v>
      </c>
      <c r="B2472" s="27" t="s">
        <v>438</v>
      </c>
      <c r="C2472" s="27" t="s">
        <v>408</v>
      </c>
      <c r="D2472" s="25"/>
      <c r="E2472" s="25"/>
      <c r="F2472" s="25"/>
      <c r="G2472" s="25"/>
      <c r="H2472" s="25"/>
      <c r="I2472" s="25"/>
      <c r="J2472" s="27" t="s">
        <v>2812</v>
      </c>
      <c r="K2472" s="25" t="str">
        <f aca="false">IFERROR(__xludf.dummyfunction("SPLIT(J2472,"" "")"),"CIF")</f>
        <v>CIF</v>
      </c>
      <c r="L2472" s="28" t="str">
        <f aca="false">IFERROR(__xludf.dummyfunction("""COMPUTED_VALUE"""),"UK")</f>
        <v>UK</v>
      </c>
      <c r="M2472" s="27" t="str">
        <f aca="false">IFERROR(__xludf.dummyfunction("""COMPUTED_VALUE"""),"(Diff)")</f>
        <v>(Diff)</v>
      </c>
      <c r="N2472" s="25"/>
      <c r="O2472" s="25"/>
      <c r="P2472" s="25"/>
      <c r="Q2472" s="29" t="s">
        <v>409</v>
      </c>
      <c r="R2472" s="8" t="str">
        <f aca="false">B2472&amp;" "&amp;C2472&amp;" "&amp;D2472&amp;" "&amp;E2472&amp;" "&amp;G2472&amp;" "&amp;H2472&amp;" "&amp;J2472&amp;" "&amp;N2472</f>
        <v>Differentials Rare Earths     CIF UK (Diff) </v>
      </c>
      <c r="S2472" s="25"/>
      <c r="T2472" s="8"/>
      <c r="U2472" s="8"/>
      <c r="V2472" s="25"/>
      <c r="W2472" s="25"/>
      <c r="X2472" s="25"/>
      <c r="Y2472" s="25"/>
      <c r="Z2472" s="25"/>
      <c r="AA2472" s="25"/>
      <c r="AB2472" s="25"/>
      <c r="AC2472" s="25"/>
      <c r="AD2472" s="25"/>
    </row>
    <row r="2473" customFormat="false" ht="15.75" hidden="false" customHeight="false" outlineLevel="0" collapsed="false">
      <c r="A2473" s="28" t="s">
        <v>2889</v>
      </c>
      <c r="B2473" s="27" t="s">
        <v>438</v>
      </c>
      <c r="C2473" s="27" t="s">
        <v>417</v>
      </c>
      <c r="D2473" s="25"/>
      <c r="E2473" s="25"/>
      <c r="F2473" s="25"/>
      <c r="G2473" s="25"/>
      <c r="H2473" s="25"/>
      <c r="I2473" s="25"/>
      <c r="J2473" s="27" t="s">
        <v>2812</v>
      </c>
      <c r="K2473" s="25" t="str">
        <f aca="false">IFERROR(__xludf.dummyfunction("SPLIT(J2473,"" "")"),"CIF")</f>
        <v>CIF</v>
      </c>
      <c r="L2473" s="28" t="str">
        <f aca="false">IFERROR(__xludf.dummyfunction("""COMPUTED_VALUE"""),"UK")</f>
        <v>UK</v>
      </c>
      <c r="M2473" s="27" t="str">
        <f aca="false">IFERROR(__xludf.dummyfunction("""COMPUTED_VALUE"""),"(Diff)")</f>
        <v>(Diff)</v>
      </c>
      <c r="N2473" s="25"/>
      <c r="O2473" s="25"/>
      <c r="P2473" s="25"/>
      <c r="Q2473" s="29" t="s">
        <v>436</v>
      </c>
      <c r="R2473" s="8" t="str">
        <f aca="false">B2473&amp;" "&amp;C2473&amp;" "&amp;D2473&amp;" "&amp;E2473&amp;" "&amp;G2473&amp;" "&amp;H2473&amp;" "&amp;J2473&amp;" "&amp;N2473</f>
        <v>Differentials Solvent     CIF UK (Diff) </v>
      </c>
      <c r="S2473" s="25"/>
      <c r="T2473" s="8"/>
      <c r="U2473" s="8"/>
      <c r="V2473" s="25"/>
      <c r="W2473" s="25"/>
      <c r="X2473" s="25"/>
      <c r="Y2473" s="25"/>
      <c r="Z2473" s="25"/>
      <c r="AA2473" s="25"/>
      <c r="AB2473" s="25"/>
      <c r="AC2473" s="25"/>
      <c r="AD2473" s="25"/>
    </row>
    <row r="2474" customFormat="false" ht="15.75" hidden="false" customHeight="false" outlineLevel="0" collapsed="false">
      <c r="A2474" s="28" t="s">
        <v>2890</v>
      </c>
      <c r="B2474" s="27" t="s">
        <v>438</v>
      </c>
      <c r="C2474" s="27" t="s">
        <v>417</v>
      </c>
      <c r="D2474" s="25"/>
      <c r="E2474" s="25"/>
      <c r="F2474" s="25"/>
      <c r="G2474" s="25"/>
      <c r="H2474" s="25"/>
      <c r="I2474" s="25"/>
      <c r="J2474" s="27" t="s">
        <v>2812</v>
      </c>
      <c r="K2474" s="25" t="str">
        <f aca="false">IFERROR(__xludf.dummyfunction("SPLIT(J2474,"" "")"),"CIF")</f>
        <v>CIF</v>
      </c>
      <c r="L2474" s="28" t="str">
        <f aca="false">IFERROR(__xludf.dummyfunction("""COMPUTED_VALUE"""),"UK")</f>
        <v>UK</v>
      </c>
      <c r="M2474" s="27" t="str">
        <f aca="false">IFERROR(__xludf.dummyfunction("""COMPUTED_VALUE"""),"(Diff)")</f>
        <v>(Diff)</v>
      </c>
      <c r="N2474" s="25"/>
      <c r="O2474" s="25"/>
      <c r="P2474" s="25"/>
      <c r="Q2474" s="29" t="s">
        <v>434</v>
      </c>
      <c r="R2474" s="8" t="str">
        <f aca="false">B2474&amp;" "&amp;C2474&amp;" "&amp;D2474&amp;" "&amp;E2474&amp;" "&amp;G2474&amp;" "&amp;H2474&amp;" "&amp;J2474&amp;" "&amp;N2474</f>
        <v>Differentials Solvent     CIF UK (Diff) </v>
      </c>
      <c r="S2474" s="25"/>
      <c r="T2474" s="8"/>
      <c r="U2474" s="8"/>
      <c r="V2474" s="25"/>
      <c r="W2474" s="25"/>
      <c r="X2474" s="25"/>
      <c r="Y2474" s="25"/>
      <c r="Z2474" s="25"/>
      <c r="AA2474" s="25"/>
      <c r="AB2474" s="25"/>
      <c r="AC2474" s="25"/>
      <c r="AD2474" s="25"/>
    </row>
    <row r="2475" customFormat="false" ht="15.75" hidden="false" customHeight="false" outlineLevel="0" collapsed="false">
      <c r="A2475" s="28" t="s">
        <v>2891</v>
      </c>
      <c r="B2475" s="27" t="s">
        <v>438</v>
      </c>
      <c r="C2475" s="27" t="s">
        <v>417</v>
      </c>
      <c r="D2475" s="25"/>
      <c r="E2475" s="25"/>
      <c r="F2475" s="25"/>
      <c r="G2475" s="25"/>
      <c r="H2475" s="25"/>
      <c r="I2475" s="25"/>
      <c r="J2475" s="27" t="s">
        <v>2812</v>
      </c>
      <c r="K2475" s="25" t="str">
        <f aca="false">IFERROR(__xludf.dummyfunction("SPLIT(J2475,"" "")"),"CIF")</f>
        <v>CIF</v>
      </c>
      <c r="L2475" s="28" t="str">
        <f aca="false">IFERROR(__xludf.dummyfunction("""COMPUTED_VALUE"""),"UK")</f>
        <v>UK</v>
      </c>
      <c r="M2475" s="27" t="str">
        <f aca="false">IFERROR(__xludf.dummyfunction("""COMPUTED_VALUE"""),"(Diff)")</f>
        <v>(Diff)</v>
      </c>
      <c r="N2475" s="25"/>
      <c r="O2475" s="25"/>
      <c r="P2475" s="25"/>
      <c r="Q2475" s="29" t="s">
        <v>432</v>
      </c>
      <c r="R2475" s="8" t="str">
        <f aca="false">B2475&amp;" "&amp;C2475&amp;" "&amp;D2475&amp;" "&amp;E2475&amp;" "&amp;G2475&amp;" "&amp;H2475&amp;" "&amp;J2475&amp;" "&amp;N2475</f>
        <v>Differentials Solvent     CIF UK (Diff) </v>
      </c>
      <c r="S2475" s="25"/>
      <c r="T2475" s="8"/>
      <c r="U2475" s="8"/>
      <c r="V2475" s="25"/>
      <c r="W2475" s="25"/>
      <c r="X2475" s="25"/>
      <c r="Y2475" s="25"/>
      <c r="Z2475" s="25"/>
      <c r="AA2475" s="25"/>
      <c r="AB2475" s="25"/>
      <c r="AC2475" s="25"/>
      <c r="AD2475" s="25"/>
    </row>
    <row r="2476" customFormat="false" ht="15.75" hidden="false" customHeight="false" outlineLevel="0" collapsed="false">
      <c r="A2476" s="28" t="s">
        <v>2892</v>
      </c>
      <c r="B2476" s="27" t="s">
        <v>438</v>
      </c>
      <c r="C2476" s="27" t="s">
        <v>417</v>
      </c>
      <c r="D2476" s="25"/>
      <c r="E2476" s="25"/>
      <c r="F2476" s="25"/>
      <c r="G2476" s="25"/>
      <c r="H2476" s="25"/>
      <c r="I2476" s="25"/>
      <c r="J2476" s="27" t="s">
        <v>2812</v>
      </c>
      <c r="K2476" s="25" t="str">
        <f aca="false">IFERROR(__xludf.dummyfunction("SPLIT(J2476,"" "")"),"CIF")</f>
        <v>CIF</v>
      </c>
      <c r="L2476" s="28" t="str">
        <f aca="false">IFERROR(__xludf.dummyfunction("""COMPUTED_VALUE"""),"UK")</f>
        <v>UK</v>
      </c>
      <c r="M2476" s="27" t="str">
        <f aca="false">IFERROR(__xludf.dummyfunction("""COMPUTED_VALUE"""),"(Diff)")</f>
        <v>(Diff)</v>
      </c>
      <c r="N2476" s="25"/>
      <c r="O2476" s="25"/>
      <c r="P2476" s="25"/>
      <c r="Q2476" s="29" t="s">
        <v>430</v>
      </c>
      <c r="R2476" s="8" t="str">
        <f aca="false">B2476&amp;" "&amp;C2476&amp;" "&amp;D2476&amp;" "&amp;E2476&amp;" "&amp;G2476&amp;" "&amp;H2476&amp;" "&amp;J2476&amp;" "&amp;N2476</f>
        <v>Differentials Solvent     CIF UK (Diff) </v>
      </c>
      <c r="S2476" s="25"/>
      <c r="T2476" s="8"/>
      <c r="U2476" s="8"/>
      <c r="V2476" s="25"/>
      <c r="W2476" s="25"/>
      <c r="X2476" s="25"/>
      <c r="Y2476" s="25"/>
      <c r="Z2476" s="25"/>
      <c r="AA2476" s="25"/>
      <c r="AB2476" s="25"/>
      <c r="AC2476" s="25"/>
      <c r="AD2476" s="25"/>
    </row>
    <row r="2477" customFormat="false" ht="15.75" hidden="false" customHeight="false" outlineLevel="0" collapsed="false">
      <c r="A2477" s="28" t="s">
        <v>2893</v>
      </c>
      <c r="B2477" s="27" t="s">
        <v>438</v>
      </c>
      <c r="C2477" s="27" t="s">
        <v>417</v>
      </c>
      <c r="D2477" s="25"/>
      <c r="E2477" s="25"/>
      <c r="F2477" s="25"/>
      <c r="G2477" s="25"/>
      <c r="H2477" s="25"/>
      <c r="I2477" s="25"/>
      <c r="J2477" s="27" t="s">
        <v>2812</v>
      </c>
      <c r="K2477" s="25" t="str">
        <f aca="false">IFERROR(__xludf.dummyfunction("SPLIT(J2477,"" "")"),"CIF")</f>
        <v>CIF</v>
      </c>
      <c r="L2477" s="28" t="str">
        <f aca="false">IFERROR(__xludf.dummyfunction("""COMPUTED_VALUE"""),"UK")</f>
        <v>UK</v>
      </c>
      <c r="M2477" s="27" t="str">
        <f aca="false">IFERROR(__xludf.dummyfunction("""COMPUTED_VALUE"""),"(Diff)")</f>
        <v>(Diff)</v>
      </c>
      <c r="N2477" s="25"/>
      <c r="O2477" s="25"/>
      <c r="P2477" s="25"/>
      <c r="Q2477" s="29" t="s">
        <v>428</v>
      </c>
      <c r="R2477" s="8" t="str">
        <f aca="false">B2477&amp;" "&amp;C2477&amp;" "&amp;D2477&amp;" "&amp;E2477&amp;" "&amp;G2477&amp;" "&amp;H2477&amp;" "&amp;J2477&amp;" "&amp;N2477</f>
        <v>Differentials Solvent     CIF UK (Diff) </v>
      </c>
      <c r="S2477" s="25"/>
      <c r="T2477" s="8"/>
      <c r="U2477" s="8"/>
      <c r="V2477" s="25"/>
      <c r="W2477" s="25"/>
      <c r="X2477" s="25"/>
      <c r="Y2477" s="25"/>
      <c r="Z2477" s="25"/>
      <c r="AA2477" s="25"/>
      <c r="AB2477" s="25"/>
      <c r="AC2477" s="25"/>
      <c r="AD2477" s="25"/>
    </row>
    <row r="2478" customFormat="false" ht="15.75" hidden="false" customHeight="false" outlineLevel="0" collapsed="false">
      <c r="A2478" s="28" t="s">
        <v>2894</v>
      </c>
      <c r="B2478" s="27" t="s">
        <v>438</v>
      </c>
      <c r="C2478" s="27" t="s">
        <v>417</v>
      </c>
      <c r="D2478" s="25"/>
      <c r="E2478" s="25"/>
      <c r="F2478" s="25"/>
      <c r="G2478" s="25"/>
      <c r="H2478" s="25"/>
      <c r="I2478" s="25"/>
      <c r="J2478" s="27" t="s">
        <v>2812</v>
      </c>
      <c r="K2478" s="25" t="str">
        <f aca="false">IFERROR(__xludf.dummyfunction("SPLIT(J2478,"" "")"),"CIF")</f>
        <v>CIF</v>
      </c>
      <c r="L2478" s="28" t="str">
        <f aca="false">IFERROR(__xludf.dummyfunction("""COMPUTED_VALUE"""),"UK")</f>
        <v>UK</v>
      </c>
      <c r="M2478" s="27" t="str">
        <f aca="false">IFERROR(__xludf.dummyfunction("""COMPUTED_VALUE"""),"(Diff)")</f>
        <v>(Diff)</v>
      </c>
      <c r="N2478" s="25"/>
      <c r="O2478" s="25"/>
      <c r="P2478" s="25"/>
      <c r="Q2478" s="29" t="s">
        <v>426</v>
      </c>
      <c r="R2478" s="8" t="str">
        <f aca="false">B2478&amp;" "&amp;C2478&amp;" "&amp;D2478&amp;" "&amp;E2478&amp;" "&amp;G2478&amp;" "&amp;H2478&amp;" "&amp;J2478&amp;" "&amp;N2478</f>
        <v>Differentials Solvent     CIF UK (Diff) </v>
      </c>
      <c r="S2478" s="25"/>
      <c r="T2478" s="8"/>
      <c r="U2478" s="8"/>
      <c r="V2478" s="25"/>
      <c r="W2478" s="25"/>
      <c r="X2478" s="25"/>
      <c r="Y2478" s="25"/>
      <c r="Z2478" s="25"/>
      <c r="AA2478" s="25"/>
      <c r="AB2478" s="25"/>
      <c r="AC2478" s="25"/>
      <c r="AD2478" s="25"/>
    </row>
    <row r="2479" customFormat="false" ht="15.75" hidden="false" customHeight="false" outlineLevel="0" collapsed="false">
      <c r="A2479" s="28" t="s">
        <v>2895</v>
      </c>
      <c r="B2479" s="27" t="s">
        <v>438</v>
      </c>
      <c r="C2479" s="27" t="s">
        <v>417</v>
      </c>
      <c r="D2479" s="25"/>
      <c r="E2479" s="25"/>
      <c r="F2479" s="25"/>
      <c r="G2479" s="25"/>
      <c r="H2479" s="25"/>
      <c r="I2479" s="25"/>
      <c r="J2479" s="27" t="s">
        <v>2812</v>
      </c>
      <c r="K2479" s="25" t="str">
        <f aca="false">IFERROR(__xludf.dummyfunction("SPLIT(J2479,"" "")"),"CIF")</f>
        <v>CIF</v>
      </c>
      <c r="L2479" s="28" t="str">
        <f aca="false">IFERROR(__xludf.dummyfunction("""COMPUTED_VALUE"""),"UK")</f>
        <v>UK</v>
      </c>
      <c r="M2479" s="27" t="str">
        <f aca="false">IFERROR(__xludf.dummyfunction("""COMPUTED_VALUE"""),"(Diff)")</f>
        <v>(Diff)</v>
      </c>
      <c r="N2479" s="25"/>
      <c r="O2479" s="25"/>
      <c r="P2479" s="25"/>
      <c r="Q2479" s="29" t="s">
        <v>424</v>
      </c>
      <c r="R2479" s="8" t="str">
        <f aca="false">B2479&amp;" "&amp;C2479&amp;" "&amp;D2479&amp;" "&amp;E2479&amp;" "&amp;G2479&amp;" "&amp;H2479&amp;" "&amp;J2479&amp;" "&amp;N2479</f>
        <v>Differentials Solvent     CIF UK (Diff) </v>
      </c>
      <c r="S2479" s="25"/>
      <c r="T2479" s="8"/>
      <c r="U2479" s="8"/>
      <c r="V2479" s="25"/>
      <c r="W2479" s="25"/>
      <c r="X2479" s="25"/>
      <c r="Y2479" s="25"/>
      <c r="Z2479" s="25"/>
      <c r="AA2479" s="25"/>
      <c r="AB2479" s="25"/>
      <c r="AC2479" s="25"/>
      <c r="AD2479" s="25"/>
    </row>
    <row r="2480" customFormat="false" ht="15.75" hidden="false" customHeight="false" outlineLevel="0" collapsed="false">
      <c r="A2480" s="28" t="s">
        <v>2896</v>
      </c>
      <c r="B2480" s="27" t="s">
        <v>438</v>
      </c>
      <c r="C2480" s="27" t="s">
        <v>417</v>
      </c>
      <c r="D2480" s="25"/>
      <c r="E2480" s="25"/>
      <c r="F2480" s="25"/>
      <c r="G2480" s="25"/>
      <c r="H2480" s="25"/>
      <c r="I2480" s="25"/>
      <c r="J2480" s="27" t="s">
        <v>2812</v>
      </c>
      <c r="K2480" s="25" t="str">
        <f aca="false">IFERROR(__xludf.dummyfunction("SPLIT(J2480,"" "")"),"CIF")</f>
        <v>CIF</v>
      </c>
      <c r="L2480" s="28" t="str">
        <f aca="false">IFERROR(__xludf.dummyfunction("""COMPUTED_VALUE"""),"UK")</f>
        <v>UK</v>
      </c>
      <c r="M2480" s="27" t="str">
        <f aca="false">IFERROR(__xludf.dummyfunction("""COMPUTED_VALUE"""),"(Diff)")</f>
        <v>(Diff)</v>
      </c>
      <c r="N2480" s="25"/>
      <c r="O2480" s="25"/>
      <c r="P2480" s="25"/>
      <c r="Q2480" s="29" t="s">
        <v>422</v>
      </c>
      <c r="R2480" s="8" t="str">
        <f aca="false">B2480&amp;" "&amp;C2480&amp;" "&amp;D2480&amp;" "&amp;E2480&amp;" "&amp;G2480&amp;" "&amp;H2480&amp;" "&amp;J2480&amp;" "&amp;N2480</f>
        <v>Differentials Solvent     CIF UK (Diff) </v>
      </c>
      <c r="S2480" s="25"/>
      <c r="T2480" s="8"/>
      <c r="U2480" s="8"/>
      <c r="V2480" s="25"/>
      <c r="W2480" s="25"/>
      <c r="X2480" s="25"/>
      <c r="Y2480" s="25"/>
      <c r="Z2480" s="25"/>
      <c r="AA2480" s="25"/>
      <c r="AB2480" s="25"/>
      <c r="AC2480" s="25"/>
      <c r="AD2480" s="25"/>
    </row>
    <row r="2481" customFormat="false" ht="15.75" hidden="false" customHeight="false" outlineLevel="0" collapsed="false">
      <c r="A2481" s="28" t="s">
        <v>2897</v>
      </c>
      <c r="B2481" s="27" t="s">
        <v>438</v>
      </c>
      <c r="C2481" s="27" t="s">
        <v>417</v>
      </c>
      <c r="D2481" s="25"/>
      <c r="E2481" s="25"/>
      <c r="F2481" s="25"/>
      <c r="G2481" s="25"/>
      <c r="H2481" s="25"/>
      <c r="I2481" s="25"/>
      <c r="J2481" s="27" t="s">
        <v>2812</v>
      </c>
      <c r="K2481" s="25" t="str">
        <f aca="false">IFERROR(__xludf.dummyfunction("SPLIT(J2481,"" "")"),"CIF")</f>
        <v>CIF</v>
      </c>
      <c r="L2481" s="28" t="str">
        <f aca="false">IFERROR(__xludf.dummyfunction("""COMPUTED_VALUE"""),"UK")</f>
        <v>UK</v>
      </c>
      <c r="M2481" s="27" t="str">
        <f aca="false">IFERROR(__xludf.dummyfunction("""COMPUTED_VALUE"""),"(Diff)")</f>
        <v>(Diff)</v>
      </c>
      <c r="N2481" s="25"/>
      <c r="O2481" s="25"/>
      <c r="P2481" s="25"/>
      <c r="Q2481" s="29" t="s">
        <v>420</v>
      </c>
      <c r="R2481" s="8" t="str">
        <f aca="false">B2481&amp;" "&amp;C2481&amp;" "&amp;D2481&amp;" "&amp;E2481&amp;" "&amp;G2481&amp;" "&amp;H2481&amp;" "&amp;J2481&amp;" "&amp;N2481</f>
        <v>Differentials Solvent     CIF UK (Diff) </v>
      </c>
      <c r="S2481" s="25"/>
      <c r="T2481" s="8"/>
      <c r="U2481" s="8"/>
      <c r="V2481" s="25"/>
      <c r="W2481" s="25"/>
      <c r="X2481" s="25"/>
      <c r="Y2481" s="25"/>
      <c r="Z2481" s="25"/>
      <c r="AA2481" s="25"/>
      <c r="AB2481" s="25"/>
      <c r="AC2481" s="25"/>
      <c r="AD2481" s="25"/>
    </row>
    <row r="2482" customFormat="false" ht="15.75" hidden="false" customHeight="false" outlineLevel="0" collapsed="false">
      <c r="A2482" s="28" t="s">
        <v>2898</v>
      </c>
      <c r="B2482" s="27" t="s">
        <v>438</v>
      </c>
      <c r="C2482" s="27" t="s">
        <v>417</v>
      </c>
      <c r="D2482" s="25"/>
      <c r="E2482" s="25"/>
      <c r="F2482" s="25"/>
      <c r="G2482" s="25"/>
      <c r="H2482" s="25"/>
      <c r="I2482" s="25"/>
      <c r="J2482" s="27" t="s">
        <v>2812</v>
      </c>
      <c r="K2482" s="25" t="str">
        <f aca="false">IFERROR(__xludf.dummyfunction("SPLIT(J2482,"" "")"),"CIF")</f>
        <v>CIF</v>
      </c>
      <c r="L2482" s="28" t="str">
        <f aca="false">IFERROR(__xludf.dummyfunction("""COMPUTED_VALUE"""),"UK")</f>
        <v>UK</v>
      </c>
      <c r="M2482" s="27" t="str">
        <f aca="false">IFERROR(__xludf.dummyfunction("""COMPUTED_VALUE"""),"(Diff)")</f>
        <v>(Diff)</v>
      </c>
      <c r="N2482" s="25"/>
      <c r="O2482" s="25"/>
      <c r="P2482" s="25"/>
      <c r="Q2482" s="29" t="s">
        <v>418</v>
      </c>
      <c r="R2482" s="8" t="str">
        <f aca="false">B2482&amp;" "&amp;C2482&amp;" "&amp;D2482&amp;" "&amp;E2482&amp;" "&amp;G2482&amp;" "&amp;H2482&amp;" "&amp;J2482&amp;" "&amp;N2482</f>
        <v>Differentials Solvent     CIF UK (Diff) </v>
      </c>
      <c r="S2482" s="25"/>
      <c r="T2482" s="8"/>
      <c r="U2482" s="8"/>
      <c r="V2482" s="25"/>
      <c r="W2482" s="25"/>
      <c r="X2482" s="25"/>
      <c r="Y2482" s="25"/>
      <c r="Z2482" s="25"/>
      <c r="AA2482" s="25"/>
      <c r="AB2482" s="25"/>
      <c r="AC2482" s="25"/>
      <c r="AD2482" s="25"/>
    </row>
    <row r="2483" customFormat="false" ht="15.75" hidden="false" customHeight="false" outlineLevel="0" collapsed="false">
      <c r="A2483" s="28" t="s">
        <v>2899</v>
      </c>
      <c r="B2483" s="27" t="s">
        <v>438</v>
      </c>
      <c r="C2483" s="27" t="s">
        <v>177</v>
      </c>
      <c r="D2483" s="25"/>
      <c r="E2483" s="25"/>
      <c r="F2483" s="25"/>
      <c r="G2483" s="25"/>
      <c r="H2483" s="25"/>
      <c r="I2483" s="25"/>
      <c r="J2483" s="27" t="s">
        <v>2900</v>
      </c>
      <c r="K2483" s="25" t="str">
        <f aca="false">IFERROR(__xludf.dummyfunction("SPLIT(J2483,"" "")"),"CIF")</f>
        <v>CIF</v>
      </c>
      <c r="L2483" s="28" t="str">
        <f aca="false">IFERROR(__xludf.dummyfunction("""COMPUTED_VALUE"""),"United")</f>
        <v>United</v>
      </c>
      <c r="M2483" s="27" t="str">
        <f aca="false">IFERROR(__xludf.dummyfunction("""COMPUTED_VALUE"""),"States")</f>
        <v>States</v>
      </c>
      <c r="N2483" s="25" t="str">
        <f aca="false">IFERROR(__xludf.dummyfunction("""COMPUTED_VALUE"""),"(East")</f>
        <v>(East</v>
      </c>
      <c r="O2483" s="25" t="str">
        <f aca="false">IFERROR(__xludf.dummyfunction("""COMPUTED_VALUE"""),"Coast)")</f>
        <v>Coast)</v>
      </c>
      <c r="P2483" s="25" t="str">
        <f aca="false">IFERROR(__xludf.dummyfunction("""COMPUTED_VALUE"""),"(Diff)")</f>
        <v>(Diff)</v>
      </c>
      <c r="Q2483" s="29" t="s">
        <v>209</v>
      </c>
      <c r="R2483" s="8" t="str">
        <f aca="false">B2483&amp;" "&amp;C2483&amp;" "&amp;D2483&amp;" "&amp;E2483&amp;" "&amp;G2483&amp;" "&amp;H2483&amp;" "&amp;J2483&amp;" "&amp;N2483</f>
        <v>Differentials Anode     CIF United States (East Coast) (Diff) (East</v>
      </c>
      <c r="S2483" s="25"/>
      <c r="T2483" s="8"/>
      <c r="U2483" s="8"/>
      <c r="V2483" s="25"/>
      <c r="W2483" s="25"/>
      <c r="X2483" s="25"/>
      <c r="Y2483" s="25"/>
      <c r="Z2483" s="25"/>
      <c r="AA2483" s="25"/>
      <c r="AB2483" s="25"/>
      <c r="AC2483" s="25"/>
      <c r="AD2483" s="25"/>
    </row>
    <row r="2484" customFormat="false" ht="15.75" hidden="false" customHeight="false" outlineLevel="0" collapsed="false">
      <c r="A2484" s="28" t="s">
        <v>2901</v>
      </c>
      <c r="B2484" s="27" t="s">
        <v>438</v>
      </c>
      <c r="C2484" s="27" t="s">
        <v>177</v>
      </c>
      <c r="D2484" s="25"/>
      <c r="E2484" s="25"/>
      <c r="F2484" s="25"/>
      <c r="G2484" s="25"/>
      <c r="H2484" s="25"/>
      <c r="I2484" s="25"/>
      <c r="J2484" s="27" t="s">
        <v>2900</v>
      </c>
      <c r="K2484" s="25" t="str">
        <f aca="false">IFERROR(__xludf.dummyfunction("SPLIT(J2484,"" "")"),"CIF")</f>
        <v>CIF</v>
      </c>
      <c r="L2484" s="28" t="str">
        <f aca="false">IFERROR(__xludf.dummyfunction("""COMPUTED_VALUE"""),"United")</f>
        <v>United</v>
      </c>
      <c r="M2484" s="27" t="str">
        <f aca="false">IFERROR(__xludf.dummyfunction("""COMPUTED_VALUE"""),"States")</f>
        <v>States</v>
      </c>
      <c r="N2484" s="25" t="str">
        <f aca="false">IFERROR(__xludf.dummyfunction("""COMPUTED_VALUE"""),"(East")</f>
        <v>(East</v>
      </c>
      <c r="O2484" s="25" t="str">
        <f aca="false">IFERROR(__xludf.dummyfunction("""COMPUTED_VALUE"""),"Coast)")</f>
        <v>Coast)</v>
      </c>
      <c r="P2484" s="25" t="str">
        <f aca="false">IFERROR(__xludf.dummyfunction("""COMPUTED_VALUE"""),"(Diff)")</f>
        <v>(Diff)</v>
      </c>
      <c r="Q2484" s="29" t="s">
        <v>205</v>
      </c>
      <c r="R2484" s="8" t="str">
        <f aca="false">B2484&amp;" "&amp;C2484&amp;" "&amp;D2484&amp;" "&amp;E2484&amp;" "&amp;G2484&amp;" "&amp;H2484&amp;" "&amp;J2484&amp;" "&amp;N2484</f>
        <v>Differentials Anode     CIF United States (East Coast) (Diff) (East</v>
      </c>
      <c r="S2484" s="25"/>
      <c r="T2484" s="8"/>
      <c r="U2484" s="8"/>
      <c r="V2484" s="25"/>
      <c r="W2484" s="25"/>
      <c r="X2484" s="25"/>
      <c r="Y2484" s="25"/>
      <c r="Z2484" s="25"/>
      <c r="AA2484" s="25"/>
      <c r="AB2484" s="25"/>
      <c r="AC2484" s="25"/>
      <c r="AD2484" s="25"/>
    </row>
    <row r="2485" customFormat="false" ht="15.75" hidden="false" customHeight="false" outlineLevel="0" collapsed="false">
      <c r="A2485" s="28" t="s">
        <v>2902</v>
      </c>
      <c r="B2485" s="27" t="s">
        <v>438</v>
      </c>
      <c r="C2485" s="27" t="s">
        <v>177</v>
      </c>
      <c r="D2485" s="25"/>
      <c r="E2485" s="25"/>
      <c r="F2485" s="25"/>
      <c r="G2485" s="25"/>
      <c r="H2485" s="25"/>
      <c r="I2485" s="25"/>
      <c r="J2485" s="27" t="s">
        <v>2900</v>
      </c>
      <c r="K2485" s="25" t="str">
        <f aca="false">IFERROR(__xludf.dummyfunction("SPLIT(J2485,"" "")"),"CIF")</f>
        <v>CIF</v>
      </c>
      <c r="L2485" s="28" t="str">
        <f aca="false">IFERROR(__xludf.dummyfunction("""COMPUTED_VALUE"""),"United")</f>
        <v>United</v>
      </c>
      <c r="M2485" s="27" t="str">
        <f aca="false">IFERROR(__xludf.dummyfunction("""COMPUTED_VALUE"""),"States")</f>
        <v>States</v>
      </c>
      <c r="N2485" s="25" t="str">
        <f aca="false">IFERROR(__xludf.dummyfunction("""COMPUTED_VALUE"""),"(East")</f>
        <v>(East</v>
      </c>
      <c r="O2485" s="25" t="str">
        <f aca="false">IFERROR(__xludf.dummyfunction("""COMPUTED_VALUE"""),"Coast)")</f>
        <v>Coast)</v>
      </c>
      <c r="P2485" s="25" t="str">
        <f aca="false">IFERROR(__xludf.dummyfunction("""COMPUTED_VALUE"""),"(Diff)")</f>
        <v>(Diff)</v>
      </c>
      <c r="Q2485" s="29" t="s">
        <v>202</v>
      </c>
      <c r="R2485" s="8" t="str">
        <f aca="false">B2485&amp;" "&amp;C2485&amp;" "&amp;D2485&amp;" "&amp;E2485&amp;" "&amp;G2485&amp;" "&amp;H2485&amp;" "&amp;J2485&amp;" "&amp;N2485</f>
        <v>Differentials Anode     CIF United States (East Coast) (Diff) (East</v>
      </c>
      <c r="S2485" s="25"/>
      <c r="T2485" s="8"/>
      <c r="U2485" s="8"/>
      <c r="V2485" s="25"/>
      <c r="W2485" s="25"/>
      <c r="X2485" s="25"/>
      <c r="Y2485" s="25"/>
      <c r="Z2485" s="25"/>
      <c r="AA2485" s="25"/>
      <c r="AB2485" s="25"/>
      <c r="AC2485" s="25"/>
      <c r="AD2485" s="25"/>
    </row>
    <row r="2486" customFormat="false" ht="15.75" hidden="false" customHeight="false" outlineLevel="0" collapsed="false">
      <c r="A2486" s="28" t="s">
        <v>2903</v>
      </c>
      <c r="B2486" s="27" t="s">
        <v>438</v>
      </c>
      <c r="C2486" s="27" t="s">
        <v>177</v>
      </c>
      <c r="D2486" s="25"/>
      <c r="E2486" s="25"/>
      <c r="F2486" s="25"/>
      <c r="G2486" s="25"/>
      <c r="H2486" s="25"/>
      <c r="I2486" s="25"/>
      <c r="J2486" s="27" t="s">
        <v>2900</v>
      </c>
      <c r="K2486" s="25" t="str">
        <f aca="false">IFERROR(__xludf.dummyfunction("SPLIT(J2486,"" "")"),"CIF")</f>
        <v>CIF</v>
      </c>
      <c r="L2486" s="28" t="str">
        <f aca="false">IFERROR(__xludf.dummyfunction("""COMPUTED_VALUE"""),"United")</f>
        <v>United</v>
      </c>
      <c r="M2486" s="27" t="str">
        <f aca="false">IFERROR(__xludf.dummyfunction("""COMPUTED_VALUE"""),"States")</f>
        <v>States</v>
      </c>
      <c r="N2486" s="25" t="str">
        <f aca="false">IFERROR(__xludf.dummyfunction("""COMPUTED_VALUE"""),"(East")</f>
        <v>(East</v>
      </c>
      <c r="O2486" s="25" t="str">
        <f aca="false">IFERROR(__xludf.dummyfunction("""COMPUTED_VALUE"""),"Coast)")</f>
        <v>Coast)</v>
      </c>
      <c r="P2486" s="25" t="str">
        <f aca="false">IFERROR(__xludf.dummyfunction("""COMPUTED_VALUE"""),"(Diff)")</f>
        <v>(Diff)</v>
      </c>
      <c r="Q2486" s="29" t="s">
        <v>197</v>
      </c>
      <c r="R2486" s="8" t="str">
        <f aca="false">B2486&amp;" "&amp;C2486&amp;" "&amp;D2486&amp;" "&amp;E2486&amp;" "&amp;G2486&amp;" "&amp;H2486&amp;" "&amp;J2486&amp;" "&amp;N2486</f>
        <v>Differentials Anode     CIF United States (East Coast) (Diff) (East</v>
      </c>
      <c r="S2486" s="25"/>
      <c r="T2486" s="8"/>
      <c r="U2486" s="8"/>
      <c r="V2486" s="25"/>
      <c r="W2486" s="25"/>
      <c r="X2486" s="25"/>
      <c r="Y2486" s="25"/>
      <c r="Z2486" s="25"/>
      <c r="AA2486" s="25"/>
      <c r="AB2486" s="25"/>
      <c r="AC2486" s="25"/>
      <c r="AD2486" s="25"/>
    </row>
    <row r="2487" customFormat="false" ht="15.75" hidden="false" customHeight="false" outlineLevel="0" collapsed="false">
      <c r="A2487" s="28" t="s">
        <v>2904</v>
      </c>
      <c r="B2487" s="27" t="s">
        <v>438</v>
      </c>
      <c r="C2487" s="27" t="s">
        <v>177</v>
      </c>
      <c r="D2487" s="25"/>
      <c r="E2487" s="25"/>
      <c r="F2487" s="25"/>
      <c r="G2487" s="25"/>
      <c r="H2487" s="25"/>
      <c r="I2487" s="25"/>
      <c r="J2487" s="27" t="s">
        <v>2900</v>
      </c>
      <c r="K2487" s="25" t="str">
        <f aca="false">IFERROR(__xludf.dummyfunction("SPLIT(J2487,"" "")"),"CIF")</f>
        <v>CIF</v>
      </c>
      <c r="L2487" s="28" t="str">
        <f aca="false">IFERROR(__xludf.dummyfunction("""COMPUTED_VALUE"""),"United")</f>
        <v>United</v>
      </c>
      <c r="M2487" s="27" t="str">
        <f aca="false">IFERROR(__xludf.dummyfunction("""COMPUTED_VALUE"""),"States")</f>
        <v>States</v>
      </c>
      <c r="N2487" s="25" t="str">
        <f aca="false">IFERROR(__xludf.dummyfunction("""COMPUTED_VALUE"""),"(East")</f>
        <v>(East</v>
      </c>
      <c r="O2487" s="25" t="str">
        <f aca="false">IFERROR(__xludf.dummyfunction("""COMPUTED_VALUE"""),"Coast)")</f>
        <v>Coast)</v>
      </c>
      <c r="P2487" s="25" t="str">
        <f aca="false">IFERROR(__xludf.dummyfunction("""COMPUTED_VALUE"""),"(Diff)")</f>
        <v>(Diff)</v>
      </c>
      <c r="Q2487" s="29" t="s">
        <v>193</v>
      </c>
      <c r="R2487" s="8" t="str">
        <f aca="false">B2487&amp;" "&amp;C2487&amp;" "&amp;D2487&amp;" "&amp;E2487&amp;" "&amp;G2487&amp;" "&amp;H2487&amp;" "&amp;J2487&amp;" "&amp;N2487</f>
        <v>Differentials Anode     CIF United States (East Coast) (Diff) (East</v>
      </c>
      <c r="S2487" s="25"/>
      <c r="T2487" s="8"/>
      <c r="U2487" s="8"/>
      <c r="V2487" s="25"/>
      <c r="W2487" s="25"/>
      <c r="X2487" s="25"/>
      <c r="Y2487" s="25"/>
      <c r="Z2487" s="25"/>
      <c r="AA2487" s="25"/>
      <c r="AB2487" s="25"/>
      <c r="AC2487" s="25"/>
      <c r="AD2487" s="25"/>
    </row>
    <row r="2488" customFormat="false" ht="15.75" hidden="false" customHeight="false" outlineLevel="0" collapsed="false">
      <c r="A2488" s="28" t="s">
        <v>2905</v>
      </c>
      <c r="B2488" s="27" t="s">
        <v>438</v>
      </c>
      <c r="C2488" s="27" t="s">
        <v>177</v>
      </c>
      <c r="D2488" s="25"/>
      <c r="E2488" s="25"/>
      <c r="F2488" s="25"/>
      <c r="G2488" s="25"/>
      <c r="H2488" s="25"/>
      <c r="I2488" s="25"/>
      <c r="J2488" s="27" t="s">
        <v>2900</v>
      </c>
      <c r="K2488" s="25" t="str">
        <f aca="false">IFERROR(__xludf.dummyfunction("SPLIT(J2488,"" "")"),"CIF")</f>
        <v>CIF</v>
      </c>
      <c r="L2488" s="28" t="str">
        <f aca="false">IFERROR(__xludf.dummyfunction("""COMPUTED_VALUE"""),"United")</f>
        <v>United</v>
      </c>
      <c r="M2488" s="27" t="str">
        <f aca="false">IFERROR(__xludf.dummyfunction("""COMPUTED_VALUE"""),"States")</f>
        <v>States</v>
      </c>
      <c r="N2488" s="25" t="str">
        <f aca="false">IFERROR(__xludf.dummyfunction("""COMPUTED_VALUE"""),"(East")</f>
        <v>(East</v>
      </c>
      <c r="O2488" s="25" t="str">
        <f aca="false">IFERROR(__xludf.dummyfunction("""COMPUTED_VALUE"""),"Coast)")</f>
        <v>Coast)</v>
      </c>
      <c r="P2488" s="25" t="str">
        <f aca="false">IFERROR(__xludf.dummyfunction("""COMPUTED_VALUE"""),"(Diff)")</f>
        <v>(Diff)</v>
      </c>
      <c r="Q2488" s="29" t="s">
        <v>188</v>
      </c>
      <c r="R2488" s="8" t="str">
        <f aca="false">B2488&amp;" "&amp;C2488&amp;" "&amp;D2488&amp;" "&amp;E2488&amp;" "&amp;G2488&amp;" "&amp;H2488&amp;" "&amp;J2488&amp;" "&amp;N2488</f>
        <v>Differentials Anode     CIF United States (East Coast) (Diff) (East</v>
      </c>
      <c r="S2488" s="25"/>
      <c r="T2488" s="8"/>
      <c r="U2488" s="8"/>
      <c r="V2488" s="25"/>
      <c r="W2488" s="25"/>
      <c r="X2488" s="25"/>
      <c r="Y2488" s="25"/>
      <c r="Z2488" s="25"/>
      <c r="AA2488" s="25"/>
      <c r="AB2488" s="25"/>
      <c r="AC2488" s="25"/>
      <c r="AD2488" s="25"/>
    </row>
    <row r="2489" customFormat="false" ht="15.75" hidden="false" customHeight="false" outlineLevel="0" collapsed="false">
      <c r="A2489" s="28" t="s">
        <v>2906</v>
      </c>
      <c r="B2489" s="27" t="s">
        <v>438</v>
      </c>
      <c r="C2489" s="27" t="s">
        <v>177</v>
      </c>
      <c r="D2489" s="25"/>
      <c r="E2489" s="25"/>
      <c r="F2489" s="25"/>
      <c r="G2489" s="25"/>
      <c r="H2489" s="25"/>
      <c r="I2489" s="25"/>
      <c r="J2489" s="27" t="s">
        <v>2900</v>
      </c>
      <c r="K2489" s="25" t="str">
        <f aca="false">IFERROR(__xludf.dummyfunction("SPLIT(J2489,"" "")"),"CIF")</f>
        <v>CIF</v>
      </c>
      <c r="L2489" s="28" t="str">
        <f aca="false">IFERROR(__xludf.dummyfunction("""COMPUTED_VALUE"""),"United")</f>
        <v>United</v>
      </c>
      <c r="M2489" s="27" t="str">
        <f aca="false">IFERROR(__xludf.dummyfunction("""COMPUTED_VALUE"""),"States")</f>
        <v>States</v>
      </c>
      <c r="N2489" s="25" t="str">
        <f aca="false">IFERROR(__xludf.dummyfunction("""COMPUTED_VALUE"""),"(East")</f>
        <v>(East</v>
      </c>
      <c r="O2489" s="25" t="str">
        <f aca="false">IFERROR(__xludf.dummyfunction("""COMPUTED_VALUE"""),"Coast)")</f>
        <v>Coast)</v>
      </c>
      <c r="P2489" s="25" t="str">
        <f aca="false">IFERROR(__xludf.dummyfunction("""COMPUTED_VALUE"""),"(Diff)")</f>
        <v>(Diff)</v>
      </c>
      <c r="Q2489" s="29" t="s">
        <v>180</v>
      </c>
      <c r="R2489" s="8" t="str">
        <f aca="false">B2489&amp;" "&amp;C2489&amp;" "&amp;D2489&amp;" "&amp;E2489&amp;" "&amp;G2489&amp;" "&amp;H2489&amp;" "&amp;J2489&amp;" "&amp;N2489</f>
        <v>Differentials Anode     CIF United States (East Coast) (Diff) (East</v>
      </c>
      <c r="S2489" s="25"/>
      <c r="T2489" s="8"/>
      <c r="U2489" s="8"/>
      <c r="V2489" s="25"/>
      <c r="W2489" s="25"/>
      <c r="X2489" s="25"/>
      <c r="Y2489" s="25"/>
      <c r="Z2489" s="25"/>
      <c r="AA2489" s="25"/>
      <c r="AB2489" s="25"/>
      <c r="AC2489" s="25"/>
      <c r="AD2489" s="25"/>
    </row>
    <row r="2490" customFormat="false" ht="15.75" hidden="false" customHeight="false" outlineLevel="0" collapsed="false">
      <c r="A2490" s="28" t="s">
        <v>2907</v>
      </c>
      <c r="B2490" s="27" t="s">
        <v>438</v>
      </c>
      <c r="C2490" s="27" t="s">
        <v>211</v>
      </c>
      <c r="D2490" s="25"/>
      <c r="E2490" s="25"/>
      <c r="F2490" s="25"/>
      <c r="G2490" s="25"/>
      <c r="H2490" s="25"/>
      <c r="I2490" s="25"/>
      <c r="J2490" s="27" t="s">
        <v>2900</v>
      </c>
      <c r="K2490" s="25" t="str">
        <f aca="false">IFERROR(__xludf.dummyfunction("SPLIT(J2490,"" "")"),"CIF")</f>
        <v>CIF</v>
      </c>
      <c r="L2490" s="28" t="str">
        <f aca="false">IFERROR(__xludf.dummyfunction("""COMPUTED_VALUE"""),"United")</f>
        <v>United</v>
      </c>
      <c r="M2490" s="27" t="str">
        <f aca="false">IFERROR(__xludf.dummyfunction("""COMPUTED_VALUE"""),"States")</f>
        <v>States</v>
      </c>
      <c r="N2490" s="25" t="str">
        <f aca="false">IFERROR(__xludf.dummyfunction("""COMPUTED_VALUE"""),"(East")</f>
        <v>(East</v>
      </c>
      <c r="O2490" s="25" t="str">
        <f aca="false">IFERROR(__xludf.dummyfunction("""COMPUTED_VALUE"""),"Coast)")</f>
        <v>Coast)</v>
      </c>
      <c r="P2490" s="25" t="str">
        <f aca="false">IFERROR(__xludf.dummyfunction("""COMPUTED_VALUE"""),"(Diff)")</f>
        <v>(Diff)</v>
      </c>
      <c r="Q2490" s="29" t="s">
        <v>234</v>
      </c>
      <c r="R2490" s="8" t="str">
        <f aca="false">B2490&amp;" "&amp;C2490&amp;" "&amp;D2490&amp;" "&amp;E2490&amp;" "&amp;G2490&amp;" "&amp;H2490&amp;" "&amp;J2490&amp;" "&amp;N2490</f>
        <v>Differentials Binders &amp; Additives     CIF United States (East Coast) (Diff) (East</v>
      </c>
      <c r="S2490" s="25"/>
      <c r="T2490" s="8"/>
      <c r="U2490" s="8"/>
      <c r="V2490" s="25"/>
      <c r="W2490" s="25"/>
      <c r="X2490" s="25"/>
      <c r="Y2490" s="25"/>
      <c r="Z2490" s="25"/>
      <c r="AA2490" s="25"/>
      <c r="AB2490" s="25"/>
      <c r="AC2490" s="25"/>
      <c r="AD2490" s="25"/>
    </row>
    <row r="2491" customFormat="false" ht="15.75" hidden="false" customHeight="false" outlineLevel="0" collapsed="false">
      <c r="A2491" s="28" t="s">
        <v>2908</v>
      </c>
      <c r="B2491" s="27" t="s">
        <v>438</v>
      </c>
      <c r="C2491" s="27" t="s">
        <v>211</v>
      </c>
      <c r="D2491" s="25"/>
      <c r="E2491" s="25"/>
      <c r="F2491" s="25"/>
      <c r="G2491" s="25"/>
      <c r="H2491" s="25"/>
      <c r="I2491" s="25"/>
      <c r="J2491" s="27" t="s">
        <v>2900</v>
      </c>
      <c r="K2491" s="25" t="str">
        <f aca="false">IFERROR(__xludf.dummyfunction("SPLIT(J2491,"" "")"),"CIF")</f>
        <v>CIF</v>
      </c>
      <c r="L2491" s="28" t="str">
        <f aca="false">IFERROR(__xludf.dummyfunction("""COMPUTED_VALUE"""),"United")</f>
        <v>United</v>
      </c>
      <c r="M2491" s="27" t="str">
        <f aca="false">IFERROR(__xludf.dummyfunction("""COMPUTED_VALUE"""),"States")</f>
        <v>States</v>
      </c>
      <c r="N2491" s="25" t="str">
        <f aca="false">IFERROR(__xludf.dummyfunction("""COMPUTED_VALUE"""),"(East")</f>
        <v>(East</v>
      </c>
      <c r="O2491" s="25" t="str">
        <f aca="false">IFERROR(__xludf.dummyfunction("""COMPUTED_VALUE"""),"Coast)")</f>
        <v>Coast)</v>
      </c>
      <c r="P2491" s="25" t="str">
        <f aca="false">IFERROR(__xludf.dummyfunction("""COMPUTED_VALUE"""),"(Diff)")</f>
        <v>(Diff)</v>
      </c>
      <c r="Q2491" s="29" t="s">
        <v>232</v>
      </c>
      <c r="R2491" s="8" t="str">
        <f aca="false">B2491&amp;" "&amp;C2491&amp;" "&amp;D2491&amp;" "&amp;E2491&amp;" "&amp;G2491&amp;" "&amp;H2491&amp;" "&amp;J2491&amp;" "&amp;N2491</f>
        <v>Differentials Binders &amp; Additives     CIF United States (East Coast) (Diff) (East</v>
      </c>
      <c r="S2491" s="25"/>
      <c r="T2491" s="8"/>
      <c r="U2491" s="8"/>
      <c r="V2491" s="25"/>
      <c r="W2491" s="25"/>
      <c r="X2491" s="25"/>
      <c r="Y2491" s="25"/>
      <c r="Z2491" s="25"/>
      <c r="AA2491" s="25"/>
      <c r="AB2491" s="25"/>
      <c r="AC2491" s="25"/>
      <c r="AD2491" s="25"/>
    </row>
    <row r="2492" customFormat="false" ht="15.75" hidden="false" customHeight="false" outlineLevel="0" collapsed="false">
      <c r="A2492" s="28" t="s">
        <v>2909</v>
      </c>
      <c r="B2492" s="27" t="s">
        <v>438</v>
      </c>
      <c r="C2492" s="27" t="s">
        <v>211</v>
      </c>
      <c r="D2492" s="25"/>
      <c r="E2492" s="25"/>
      <c r="F2492" s="25"/>
      <c r="G2492" s="25"/>
      <c r="H2492" s="25"/>
      <c r="I2492" s="25"/>
      <c r="J2492" s="27" t="s">
        <v>2900</v>
      </c>
      <c r="K2492" s="25" t="str">
        <f aca="false">IFERROR(__xludf.dummyfunction("SPLIT(J2492,"" "")"),"CIF")</f>
        <v>CIF</v>
      </c>
      <c r="L2492" s="28" t="str">
        <f aca="false">IFERROR(__xludf.dummyfunction("""COMPUTED_VALUE"""),"United")</f>
        <v>United</v>
      </c>
      <c r="M2492" s="27" t="str">
        <f aca="false">IFERROR(__xludf.dummyfunction("""COMPUTED_VALUE"""),"States")</f>
        <v>States</v>
      </c>
      <c r="N2492" s="25" t="str">
        <f aca="false">IFERROR(__xludf.dummyfunction("""COMPUTED_VALUE"""),"(East")</f>
        <v>(East</v>
      </c>
      <c r="O2492" s="25" t="str">
        <f aca="false">IFERROR(__xludf.dummyfunction("""COMPUTED_VALUE"""),"Coast)")</f>
        <v>Coast)</v>
      </c>
      <c r="P2492" s="25" t="str">
        <f aca="false">IFERROR(__xludf.dummyfunction("""COMPUTED_VALUE"""),"(Diff)")</f>
        <v>(Diff)</v>
      </c>
      <c r="Q2492" s="29" t="s">
        <v>230</v>
      </c>
      <c r="R2492" s="8" t="str">
        <f aca="false">B2492&amp;" "&amp;C2492&amp;" "&amp;D2492&amp;" "&amp;E2492&amp;" "&amp;G2492&amp;" "&amp;H2492&amp;" "&amp;J2492&amp;" "&amp;N2492</f>
        <v>Differentials Binders &amp; Additives     CIF United States (East Coast) (Diff) (East</v>
      </c>
      <c r="S2492" s="25"/>
      <c r="T2492" s="8"/>
      <c r="U2492" s="8"/>
      <c r="V2492" s="25"/>
      <c r="W2492" s="25"/>
      <c r="X2492" s="25"/>
      <c r="Y2492" s="25"/>
      <c r="Z2492" s="25"/>
      <c r="AA2492" s="25"/>
      <c r="AB2492" s="25"/>
      <c r="AC2492" s="25"/>
      <c r="AD2492" s="25"/>
    </row>
    <row r="2493" customFormat="false" ht="15.75" hidden="false" customHeight="false" outlineLevel="0" collapsed="false">
      <c r="A2493" s="28" t="s">
        <v>2910</v>
      </c>
      <c r="B2493" s="27" t="s">
        <v>438</v>
      </c>
      <c r="C2493" s="27" t="s">
        <v>211</v>
      </c>
      <c r="D2493" s="25"/>
      <c r="E2493" s="25"/>
      <c r="F2493" s="25"/>
      <c r="G2493" s="25"/>
      <c r="H2493" s="25"/>
      <c r="I2493" s="25"/>
      <c r="J2493" s="27" t="s">
        <v>2900</v>
      </c>
      <c r="K2493" s="25" t="str">
        <f aca="false">IFERROR(__xludf.dummyfunction("SPLIT(J2493,"" "")"),"CIF")</f>
        <v>CIF</v>
      </c>
      <c r="L2493" s="28" t="str">
        <f aca="false">IFERROR(__xludf.dummyfunction("""COMPUTED_VALUE"""),"United")</f>
        <v>United</v>
      </c>
      <c r="M2493" s="27" t="str">
        <f aca="false">IFERROR(__xludf.dummyfunction("""COMPUTED_VALUE"""),"States")</f>
        <v>States</v>
      </c>
      <c r="N2493" s="25" t="str">
        <f aca="false">IFERROR(__xludf.dummyfunction("""COMPUTED_VALUE"""),"(East")</f>
        <v>(East</v>
      </c>
      <c r="O2493" s="25" t="str">
        <f aca="false">IFERROR(__xludf.dummyfunction("""COMPUTED_VALUE"""),"Coast)")</f>
        <v>Coast)</v>
      </c>
      <c r="P2493" s="25" t="str">
        <f aca="false">IFERROR(__xludf.dummyfunction("""COMPUTED_VALUE"""),"(Diff)")</f>
        <v>(Diff)</v>
      </c>
      <c r="Q2493" s="29" t="s">
        <v>228</v>
      </c>
      <c r="R2493" s="8" t="str">
        <f aca="false">B2493&amp;" "&amp;C2493&amp;" "&amp;D2493&amp;" "&amp;E2493&amp;" "&amp;G2493&amp;" "&amp;H2493&amp;" "&amp;J2493&amp;" "&amp;N2493</f>
        <v>Differentials Binders &amp; Additives     CIF United States (East Coast) (Diff) (East</v>
      </c>
      <c r="S2493" s="25"/>
      <c r="T2493" s="8"/>
      <c r="U2493" s="8"/>
      <c r="V2493" s="25"/>
      <c r="W2493" s="25"/>
      <c r="X2493" s="25"/>
      <c r="Y2493" s="25"/>
      <c r="Z2493" s="25"/>
      <c r="AA2493" s="25"/>
      <c r="AB2493" s="25"/>
      <c r="AC2493" s="25"/>
      <c r="AD2493" s="25"/>
    </row>
    <row r="2494" customFormat="false" ht="15.75" hidden="false" customHeight="false" outlineLevel="0" collapsed="false">
      <c r="A2494" s="28" t="s">
        <v>2911</v>
      </c>
      <c r="B2494" s="27" t="s">
        <v>438</v>
      </c>
      <c r="C2494" s="27" t="s">
        <v>211</v>
      </c>
      <c r="D2494" s="25"/>
      <c r="E2494" s="25"/>
      <c r="F2494" s="25"/>
      <c r="G2494" s="25"/>
      <c r="H2494" s="25"/>
      <c r="I2494" s="25"/>
      <c r="J2494" s="27" t="s">
        <v>2900</v>
      </c>
      <c r="K2494" s="25" t="str">
        <f aca="false">IFERROR(__xludf.dummyfunction("SPLIT(J2494,"" "")"),"CIF")</f>
        <v>CIF</v>
      </c>
      <c r="L2494" s="28" t="str">
        <f aca="false">IFERROR(__xludf.dummyfunction("""COMPUTED_VALUE"""),"United")</f>
        <v>United</v>
      </c>
      <c r="M2494" s="27" t="str">
        <f aca="false">IFERROR(__xludf.dummyfunction("""COMPUTED_VALUE"""),"States")</f>
        <v>States</v>
      </c>
      <c r="N2494" s="25" t="str">
        <f aca="false">IFERROR(__xludf.dummyfunction("""COMPUTED_VALUE"""),"(East")</f>
        <v>(East</v>
      </c>
      <c r="O2494" s="25" t="str">
        <f aca="false">IFERROR(__xludf.dummyfunction("""COMPUTED_VALUE"""),"Coast)")</f>
        <v>Coast)</v>
      </c>
      <c r="P2494" s="25" t="str">
        <f aca="false">IFERROR(__xludf.dummyfunction("""COMPUTED_VALUE"""),"(Diff)")</f>
        <v>(Diff)</v>
      </c>
      <c r="Q2494" s="29" t="s">
        <v>226</v>
      </c>
      <c r="R2494" s="8" t="str">
        <f aca="false">B2494&amp;" "&amp;C2494&amp;" "&amp;D2494&amp;" "&amp;E2494&amp;" "&amp;G2494&amp;" "&amp;H2494&amp;" "&amp;J2494&amp;" "&amp;N2494</f>
        <v>Differentials Binders &amp; Additives     CIF United States (East Coast) (Diff) (East</v>
      </c>
      <c r="S2494" s="25"/>
      <c r="T2494" s="8"/>
      <c r="U2494" s="8"/>
      <c r="V2494" s="25"/>
      <c r="W2494" s="25"/>
      <c r="X2494" s="25"/>
      <c r="Y2494" s="25"/>
      <c r="Z2494" s="25"/>
      <c r="AA2494" s="25"/>
      <c r="AB2494" s="25"/>
      <c r="AC2494" s="25"/>
      <c r="AD2494" s="25"/>
    </row>
    <row r="2495" customFormat="false" ht="15.75" hidden="false" customHeight="false" outlineLevel="0" collapsed="false">
      <c r="A2495" s="28" t="s">
        <v>2912</v>
      </c>
      <c r="B2495" s="27" t="s">
        <v>438</v>
      </c>
      <c r="C2495" s="27" t="s">
        <v>211</v>
      </c>
      <c r="D2495" s="25"/>
      <c r="E2495" s="25"/>
      <c r="F2495" s="25"/>
      <c r="G2495" s="25"/>
      <c r="H2495" s="25"/>
      <c r="I2495" s="25"/>
      <c r="J2495" s="27" t="s">
        <v>2900</v>
      </c>
      <c r="K2495" s="25" t="str">
        <f aca="false">IFERROR(__xludf.dummyfunction("SPLIT(J2495,"" "")"),"CIF")</f>
        <v>CIF</v>
      </c>
      <c r="L2495" s="28" t="str">
        <f aca="false">IFERROR(__xludf.dummyfunction("""COMPUTED_VALUE"""),"United")</f>
        <v>United</v>
      </c>
      <c r="M2495" s="27" t="str">
        <f aca="false">IFERROR(__xludf.dummyfunction("""COMPUTED_VALUE"""),"States")</f>
        <v>States</v>
      </c>
      <c r="N2495" s="25" t="str">
        <f aca="false">IFERROR(__xludf.dummyfunction("""COMPUTED_VALUE"""),"(East")</f>
        <v>(East</v>
      </c>
      <c r="O2495" s="25" t="str">
        <f aca="false">IFERROR(__xludf.dummyfunction("""COMPUTED_VALUE"""),"Coast)")</f>
        <v>Coast)</v>
      </c>
      <c r="P2495" s="25" t="str">
        <f aca="false">IFERROR(__xludf.dummyfunction("""COMPUTED_VALUE"""),"(Diff)")</f>
        <v>(Diff)</v>
      </c>
      <c r="Q2495" s="29" t="s">
        <v>224</v>
      </c>
      <c r="R2495" s="8" t="str">
        <f aca="false">B2495&amp;" "&amp;C2495&amp;" "&amp;D2495&amp;" "&amp;E2495&amp;" "&amp;G2495&amp;" "&amp;H2495&amp;" "&amp;J2495&amp;" "&amp;N2495</f>
        <v>Differentials Binders &amp; Additives     CIF United States (East Coast) (Diff) (East</v>
      </c>
      <c r="S2495" s="25"/>
      <c r="T2495" s="8"/>
      <c r="U2495" s="8"/>
      <c r="V2495" s="25"/>
      <c r="W2495" s="25"/>
      <c r="X2495" s="25"/>
      <c r="Y2495" s="25"/>
      <c r="Z2495" s="25"/>
      <c r="AA2495" s="25"/>
      <c r="AB2495" s="25"/>
      <c r="AC2495" s="25"/>
      <c r="AD2495" s="25"/>
    </row>
    <row r="2496" customFormat="false" ht="15.75" hidden="false" customHeight="false" outlineLevel="0" collapsed="false">
      <c r="A2496" s="28" t="s">
        <v>2913</v>
      </c>
      <c r="B2496" s="27" t="s">
        <v>438</v>
      </c>
      <c r="C2496" s="27" t="s">
        <v>211</v>
      </c>
      <c r="D2496" s="25"/>
      <c r="E2496" s="25"/>
      <c r="F2496" s="25"/>
      <c r="G2496" s="25"/>
      <c r="H2496" s="25"/>
      <c r="I2496" s="25"/>
      <c r="J2496" s="27" t="s">
        <v>2900</v>
      </c>
      <c r="K2496" s="25" t="str">
        <f aca="false">IFERROR(__xludf.dummyfunction("SPLIT(J2496,"" "")"),"CIF")</f>
        <v>CIF</v>
      </c>
      <c r="L2496" s="28" t="str">
        <f aca="false">IFERROR(__xludf.dummyfunction("""COMPUTED_VALUE"""),"United")</f>
        <v>United</v>
      </c>
      <c r="M2496" s="27" t="str">
        <f aca="false">IFERROR(__xludf.dummyfunction("""COMPUTED_VALUE"""),"States")</f>
        <v>States</v>
      </c>
      <c r="N2496" s="25" t="str">
        <f aca="false">IFERROR(__xludf.dummyfunction("""COMPUTED_VALUE"""),"(East")</f>
        <v>(East</v>
      </c>
      <c r="O2496" s="25" t="str">
        <f aca="false">IFERROR(__xludf.dummyfunction("""COMPUTED_VALUE"""),"Coast)")</f>
        <v>Coast)</v>
      </c>
      <c r="P2496" s="25" t="str">
        <f aca="false">IFERROR(__xludf.dummyfunction("""COMPUTED_VALUE"""),"(Diff)")</f>
        <v>(Diff)</v>
      </c>
      <c r="Q2496" s="29" t="s">
        <v>222</v>
      </c>
      <c r="R2496" s="8" t="str">
        <f aca="false">B2496&amp;" "&amp;C2496&amp;" "&amp;D2496&amp;" "&amp;E2496&amp;" "&amp;G2496&amp;" "&amp;H2496&amp;" "&amp;J2496&amp;" "&amp;N2496</f>
        <v>Differentials Binders &amp; Additives     CIF United States (East Coast) (Diff) (East</v>
      </c>
      <c r="S2496" s="25"/>
      <c r="T2496" s="8"/>
      <c r="U2496" s="8"/>
      <c r="V2496" s="25"/>
      <c r="W2496" s="25"/>
      <c r="X2496" s="25"/>
      <c r="Y2496" s="25"/>
      <c r="Z2496" s="25"/>
      <c r="AA2496" s="25"/>
      <c r="AB2496" s="25"/>
      <c r="AC2496" s="25"/>
      <c r="AD2496" s="25"/>
    </row>
    <row r="2497" customFormat="false" ht="15.75" hidden="false" customHeight="false" outlineLevel="0" collapsed="false">
      <c r="A2497" s="28" t="s">
        <v>2914</v>
      </c>
      <c r="B2497" s="27" t="s">
        <v>438</v>
      </c>
      <c r="C2497" s="27" t="s">
        <v>211</v>
      </c>
      <c r="D2497" s="25"/>
      <c r="E2497" s="25"/>
      <c r="F2497" s="25"/>
      <c r="G2497" s="25"/>
      <c r="H2497" s="25"/>
      <c r="I2497" s="25"/>
      <c r="J2497" s="27" t="s">
        <v>2900</v>
      </c>
      <c r="K2497" s="25" t="str">
        <f aca="false">IFERROR(__xludf.dummyfunction("SPLIT(J2497,"" "")"),"CIF")</f>
        <v>CIF</v>
      </c>
      <c r="L2497" s="28" t="str">
        <f aca="false">IFERROR(__xludf.dummyfunction("""COMPUTED_VALUE"""),"United")</f>
        <v>United</v>
      </c>
      <c r="M2497" s="27" t="str">
        <f aca="false">IFERROR(__xludf.dummyfunction("""COMPUTED_VALUE"""),"States")</f>
        <v>States</v>
      </c>
      <c r="N2497" s="25" t="str">
        <f aca="false">IFERROR(__xludf.dummyfunction("""COMPUTED_VALUE"""),"(East")</f>
        <v>(East</v>
      </c>
      <c r="O2497" s="25" t="str">
        <f aca="false">IFERROR(__xludf.dummyfunction("""COMPUTED_VALUE"""),"Coast)")</f>
        <v>Coast)</v>
      </c>
      <c r="P2497" s="25" t="str">
        <f aca="false">IFERROR(__xludf.dummyfunction("""COMPUTED_VALUE"""),"(Diff)")</f>
        <v>(Diff)</v>
      </c>
      <c r="Q2497" s="29" t="s">
        <v>220</v>
      </c>
      <c r="R2497" s="8" t="str">
        <f aca="false">B2497&amp;" "&amp;C2497&amp;" "&amp;D2497&amp;" "&amp;E2497&amp;" "&amp;G2497&amp;" "&amp;H2497&amp;" "&amp;J2497&amp;" "&amp;N2497</f>
        <v>Differentials Binders &amp; Additives     CIF United States (East Coast) (Diff) (East</v>
      </c>
      <c r="S2497" s="25"/>
      <c r="T2497" s="8"/>
      <c r="U2497" s="8"/>
      <c r="V2497" s="25"/>
      <c r="W2497" s="25"/>
      <c r="X2497" s="25"/>
      <c r="Y2497" s="25"/>
      <c r="Z2497" s="25"/>
      <c r="AA2497" s="25"/>
      <c r="AB2497" s="25"/>
      <c r="AC2497" s="25"/>
      <c r="AD2497" s="25"/>
    </row>
    <row r="2498" customFormat="false" ht="15.75" hidden="false" customHeight="false" outlineLevel="0" collapsed="false">
      <c r="A2498" s="28" t="s">
        <v>2915</v>
      </c>
      <c r="B2498" s="27" t="s">
        <v>438</v>
      </c>
      <c r="C2498" s="27" t="s">
        <v>211</v>
      </c>
      <c r="D2498" s="25"/>
      <c r="E2498" s="25"/>
      <c r="F2498" s="25"/>
      <c r="G2498" s="25"/>
      <c r="H2498" s="25"/>
      <c r="I2498" s="25"/>
      <c r="J2498" s="27" t="s">
        <v>2900</v>
      </c>
      <c r="K2498" s="25" t="str">
        <f aca="false">IFERROR(__xludf.dummyfunction("SPLIT(J2498,"" "")"),"CIF")</f>
        <v>CIF</v>
      </c>
      <c r="L2498" s="28" t="str">
        <f aca="false">IFERROR(__xludf.dummyfunction("""COMPUTED_VALUE"""),"United")</f>
        <v>United</v>
      </c>
      <c r="M2498" s="27" t="str">
        <f aca="false">IFERROR(__xludf.dummyfunction("""COMPUTED_VALUE"""),"States")</f>
        <v>States</v>
      </c>
      <c r="N2498" s="25" t="str">
        <f aca="false">IFERROR(__xludf.dummyfunction("""COMPUTED_VALUE"""),"(East")</f>
        <v>(East</v>
      </c>
      <c r="O2498" s="25" t="str">
        <f aca="false">IFERROR(__xludf.dummyfunction("""COMPUTED_VALUE"""),"Coast)")</f>
        <v>Coast)</v>
      </c>
      <c r="P2498" s="25" t="str">
        <f aca="false">IFERROR(__xludf.dummyfunction("""COMPUTED_VALUE"""),"(Diff)")</f>
        <v>(Diff)</v>
      </c>
      <c r="Q2498" s="29" t="s">
        <v>218</v>
      </c>
      <c r="R2498" s="8" t="str">
        <f aca="false">B2498&amp;" "&amp;C2498&amp;" "&amp;D2498&amp;" "&amp;E2498&amp;" "&amp;G2498&amp;" "&amp;H2498&amp;" "&amp;J2498&amp;" "&amp;N2498</f>
        <v>Differentials Binders &amp; Additives     CIF United States (East Coast) (Diff) (East</v>
      </c>
      <c r="S2498" s="25"/>
      <c r="T2498" s="8"/>
      <c r="U2498" s="8"/>
      <c r="V2498" s="25"/>
      <c r="W2498" s="25"/>
      <c r="X2498" s="25"/>
      <c r="Y2498" s="25"/>
      <c r="Z2498" s="25"/>
      <c r="AA2498" s="25"/>
      <c r="AB2498" s="25"/>
      <c r="AC2498" s="25"/>
      <c r="AD2498" s="25"/>
    </row>
    <row r="2499" customFormat="false" ht="15.75" hidden="false" customHeight="false" outlineLevel="0" collapsed="false">
      <c r="A2499" s="28" t="s">
        <v>2916</v>
      </c>
      <c r="B2499" s="27" t="s">
        <v>438</v>
      </c>
      <c r="C2499" s="27" t="s">
        <v>211</v>
      </c>
      <c r="D2499" s="25"/>
      <c r="E2499" s="25"/>
      <c r="F2499" s="25"/>
      <c r="G2499" s="25"/>
      <c r="H2499" s="25"/>
      <c r="I2499" s="25"/>
      <c r="J2499" s="27" t="s">
        <v>2900</v>
      </c>
      <c r="K2499" s="25" t="str">
        <f aca="false">IFERROR(__xludf.dummyfunction("SPLIT(J2499,"" "")"),"CIF")</f>
        <v>CIF</v>
      </c>
      <c r="L2499" s="28" t="str">
        <f aca="false">IFERROR(__xludf.dummyfunction("""COMPUTED_VALUE"""),"United")</f>
        <v>United</v>
      </c>
      <c r="M2499" s="27" t="str">
        <f aca="false">IFERROR(__xludf.dummyfunction("""COMPUTED_VALUE"""),"States")</f>
        <v>States</v>
      </c>
      <c r="N2499" s="25" t="str">
        <f aca="false">IFERROR(__xludf.dummyfunction("""COMPUTED_VALUE"""),"(East")</f>
        <v>(East</v>
      </c>
      <c r="O2499" s="25" t="str">
        <f aca="false">IFERROR(__xludf.dummyfunction("""COMPUTED_VALUE"""),"Coast)")</f>
        <v>Coast)</v>
      </c>
      <c r="P2499" s="25" t="str">
        <f aca="false">IFERROR(__xludf.dummyfunction("""COMPUTED_VALUE"""),"(Diff)")</f>
        <v>(Diff)</v>
      </c>
      <c r="Q2499" s="29" t="s">
        <v>215</v>
      </c>
      <c r="R2499" s="8" t="str">
        <f aca="false">B2499&amp;" "&amp;C2499&amp;" "&amp;D2499&amp;" "&amp;E2499&amp;" "&amp;G2499&amp;" "&amp;H2499&amp;" "&amp;J2499&amp;" "&amp;N2499</f>
        <v>Differentials Binders &amp; Additives     CIF United States (East Coast) (Diff) (East</v>
      </c>
      <c r="S2499" s="25"/>
      <c r="T2499" s="8"/>
      <c r="U2499" s="8"/>
      <c r="V2499" s="25"/>
      <c r="W2499" s="25"/>
      <c r="X2499" s="25"/>
      <c r="Y2499" s="25"/>
      <c r="Z2499" s="25"/>
      <c r="AA2499" s="25"/>
      <c r="AB2499" s="25"/>
      <c r="AC2499" s="25"/>
      <c r="AD2499" s="25"/>
    </row>
    <row r="2500" customFormat="false" ht="15.75" hidden="false" customHeight="false" outlineLevel="0" collapsed="false">
      <c r="A2500" s="28" t="s">
        <v>2917</v>
      </c>
      <c r="B2500" s="27" t="s">
        <v>438</v>
      </c>
      <c r="C2500" s="27" t="s">
        <v>211</v>
      </c>
      <c r="D2500" s="25"/>
      <c r="E2500" s="25"/>
      <c r="F2500" s="25"/>
      <c r="G2500" s="25"/>
      <c r="H2500" s="25"/>
      <c r="I2500" s="25"/>
      <c r="J2500" s="27" t="s">
        <v>2900</v>
      </c>
      <c r="K2500" s="25" t="str">
        <f aca="false">IFERROR(__xludf.dummyfunction("SPLIT(J2500,"" "")"),"CIF")</f>
        <v>CIF</v>
      </c>
      <c r="L2500" s="28" t="str">
        <f aca="false">IFERROR(__xludf.dummyfunction("""COMPUTED_VALUE"""),"United")</f>
        <v>United</v>
      </c>
      <c r="M2500" s="27" t="str">
        <f aca="false">IFERROR(__xludf.dummyfunction("""COMPUTED_VALUE"""),"States")</f>
        <v>States</v>
      </c>
      <c r="N2500" s="25" t="str">
        <f aca="false">IFERROR(__xludf.dummyfunction("""COMPUTED_VALUE"""),"(East")</f>
        <v>(East</v>
      </c>
      <c r="O2500" s="25" t="str">
        <f aca="false">IFERROR(__xludf.dummyfunction("""COMPUTED_VALUE"""),"Coast)")</f>
        <v>Coast)</v>
      </c>
      <c r="P2500" s="25" t="str">
        <f aca="false">IFERROR(__xludf.dummyfunction("""COMPUTED_VALUE"""),"(Diff)")</f>
        <v>(Diff)</v>
      </c>
      <c r="Q2500" s="29" t="s">
        <v>213</v>
      </c>
      <c r="R2500" s="8" t="str">
        <f aca="false">B2500&amp;" "&amp;C2500&amp;" "&amp;D2500&amp;" "&amp;E2500&amp;" "&amp;G2500&amp;" "&amp;H2500&amp;" "&amp;J2500&amp;" "&amp;N2500</f>
        <v>Differentials Binders &amp; Additives     CIF United States (East Coast) (Diff) (East</v>
      </c>
      <c r="S2500" s="25"/>
      <c r="T2500" s="8"/>
      <c r="U2500" s="8"/>
      <c r="V2500" s="25"/>
      <c r="W2500" s="25"/>
      <c r="X2500" s="25"/>
      <c r="Y2500" s="25"/>
      <c r="Z2500" s="25"/>
      <c r="AA2500" s="25"/>
      <c r="AB2500" s="25"/>
      <c r="AC2500" s="25"/>
      <c r="AD2500" s="25"/>
    </row>
    <row r="2501" customFormat="false" ht="15.75" hidden="false" customHeight="false" outlineLevel="0" collapsed="false">
      <c r="A2501" s="28" t="s">
        <v>2918</v>
      </c>
      <c r="B2501" s="27" t="s">
        <v>438</v>
      </c>
      <c r="C2501" s="27" t="s">
        <v>236</v>
      </c>
      <c r="D2501" s="25"/>
      <c r="E2501" s="25"/>
      <c r="F2501" s="25"/>
      <c r="G2501" s="25"/>
      <c r="H2501" s="25"/>
      <c r="I2501" s="25"/>
      <c r="J2501" s="27" t="s">
        <v>2900</v>
      </c>
      <c r="K2501" s="25" t="str">
        <f aca="false">IFERROR(__xludf.dummyfunction("SPLIT(J2501,"" "")"),"CIF")</f>
        <v>CIF</v>
      </c>
      <c r="L2501" s="28" t="str">
        <f aca="false">IFERROR(__xludf.dummyfunction("""COMPUTED_VALUE"""),"United")</f>
        <v>United</v>
      </c>
      <c r="M2501" s="27" t="str">
        <f aca="false">IFERROR(__xludf.dummyfunction("""COMPUTED_VALUE"""),"States")</f>
        <v>States</v>
      </c>
      <c r="N2501" s="25" t="str">
        <f aca="false">IFERROR(__xludf.dummyfunction("""COMPUTED_VALUE"""),"(East")</f>
        <v>(East</v>
      </c>
      <c r="O2501" s="25" t="str">
        <f aca="false">IFERROR(__xludf.dummyfunction("""COMPUTED_VALUE"""),"Coast)")</f>
        <v>Coast)</v>
      </c>
      <c r="P2501" s="25" t="str">
        <f aca="false">IFERROR(__xludf.dummyfunction("""COMPUTED_VALUE"""),"(Diff)")</f>
        <v>(Diff)</v>
      </c>
      <c r="Q2501" s="29" t="s">
        <v>271</v>
      </c>
      <c r="R2501" s="8" t="str">
        <f aca="false">B2501&amp;" "&amp;C2501&amp;" "&amp;D2501&amp;" "&amp;E2501&amp;" "&amp;G2501&amp;" "&amp;H2501&amp;" "&amp;J2501&amp;" "&amp;N2501</f>
        <v>Differentials Cathode     CIF United States (East Coast) (Diff) (East</v>
      </c>
      <c r="S2501" s="25"/>
      <c r="T2501" s="8"/>
      <c r="U2501" s="8"/>
      <c r="V2501" s="25"/>
      <c r="W2501" s="25"/>
      <c r="X2501" s="25"/>
      <c r="Y2501" s="25"/>
      <c r="Z2501" s="25"/>
      <c r="AA2501" s="25"/>
      <c r="AB2501" s="25"/>
      <c r="AC2501" s="25"/>
      <c r="AD2501" s="25"/>
    </row>
    <row r="2502" customFormat="false" ht="15.75" hidden="false" customHeight="false" outlineLevel="0" collapsed="false">
      <c r="A2502" s="28" t="s">
        <v>2919</v>
      </c>
      <c r="B2502" s="27" t="s">
        <v>438</v>
      </c>
      <c r="C2502" s="27" t="s">
        <v>236</v>
      </c>
      <c r="D2502" s="25"/>
      <c r="E2502" s="25"/>
      <c r="F2502" s="25"/>
      <c r="G2502" s="25"/>
      <c r="H2502" s="25"/>
      <c r="I2502" s="25"/>
      <c r="J2502" s="27" t="s">
        <v>2900</v>
      </c>
      <c r="K2502" s="25" t="str">
        <f aca="false">IFERROR(__xludf.dummyfunction("SPLIT(J2502,"" "")"),"CIF")</f>
        <v>CIF</v>
      </c>
      <c r="L2502" s="28" t="str">
        <f aca="false">IFERROR(__xludf.dummyfunction("""COMPUTED_VALUE"""),"United")</f>
        <v>United</v>
      </c>
      <c r="M2502" s="27" t="str">
        <f aca="false">IFERROR(__xludf.dummyfunction("""COMPUTED_VALUE"""),"States")</f>
        <v>States</v>
      </c>
      <c r="N2502" s="25" t="str">
        <f aca="false">IFERROR(__xludf.dummyfunction("""COMPUTED_VALUE"""),"(East")</f>
        <v>(East</v>
      </c>
      <c r="O2502" s="25" t="str">
        <f aca="false">IFERROR(__xludf.dummyfunction("""COMPUTED_VALUE"""),"Coast)")</f>
        <v>Coast)</v>
      </c>
      <c r="P2502" s="25" t="str">
        <f aca="false">IFERROR(__xludf.dummyfunction("""COMPUTED_VALUE"""),"(Diff)")</f>
        <v>(Diff)</v>
      </c>
      <c r="Q2502" s="29" t="s">
        <v>266</v>
      </c>
      <c r="R2502" s="8" t="str">
        <f aca="false">B2502&amp;" "&amp;C2502&amp;" "&amp;D2502&amp;" "&amp;E2502&amp;" "&amp;G2502&amp;" "&amp;H2502&amp;" "&amp;J2502&amp;" "&amp;N2502</f>
        <v>Differentials Cathode     CIF United States (East Coast) (Diff) (East</v>
      </c>
      <c r="S2502" s="25"/>
      <c r="T2502" s="8"/>
      <c r="U2502" s="8"/>
      <c r="V2502" s="25"/>
      <c r="W2502" s="25"/>
      <c r="X2502" s="25"/>
      <c r="Y2502" s="25"/>
      <c r="Z2502" s="25"/>
      <c r="AA2502" s="25"/>
      <c r="AB2502" s="25"/>
      <c r="AC2502" s="25"/>
      <c r="AD2502" s="25"/>
    </row>
    <row r="2503" customFormat="false" ht="15.75" hidden="false" customHeight="false" outlineLevel="0" collapsed="false">
      <c r="A2503" s="28" t="s">
        <v>2920</v>
      </c>
      <c r="B2503" s="27" t="s">
        <v>438</v>
      </c>
      <c r="C2503" s="27" t="s">
        <v>236</v>
      </c>
      <c r="D2503" s="25"/>
      <c r="E2503" s="25"/>
      <c r="F2503" s="25"/>
      <c r="G2503" s="25"/>
      <c r="H2503" s="25"/>
      <c r="I2503" s="25"/>
      <c r="J2503" s="27" t="s">
        <v>2900</v>
      </c>
      <c r="K2503" s="25" t="str">
        <f aca="false">IFERROR(__xludf.dummyfunction("SPLIT(J2503,"" "")"),"CIF")</f>
        <v>CIF</v>
      </c>
      <c r="L2503" s="28" t="str">
        <f aca="false">IFERROR(__xludf.dummyfunction("""COMPUTED_VALUE"""),"United")</f>
        <v>United</v>
      </c>
      <c r="M2503" s="27" t="str">
        <f aca="false">IFERROR(__xludf.dummyfunction("""COMPUTED_VALUE"""),"States")</f>
        <v>States</v>
      </c>
      <c r="N2503" s="25" t="str">
        <f aca="false">IFERROR(__xludf.dummyfunction("""COMPUTED_VALUE"""),"(East")</f>
        <v>(East</v>
      </c>
      <c r="O2503" s="25" t="str">
        <f aca="false">IFERROR(__xludf.dummyfunction("""COMPUTED_VALUE"""),"Coast)")</f>
        <v>Coast)</v>
      </c>
      <c r="P2503" s="25" t="str">
        <f aca="false">IFERROR(__xludf.dummyfunction("""COMPUTED_VALUE"""),"(Diff)")</f>
        <v>(Diff)</v>
      </c>
      <c r="Q2503" s="29" t="s">
        <v>261</v>
      </c>
      <c r="R2503" s="8" t="str">
        <f aca="false">B2503&amp;" "&amp;C2503&amp;" "&amp;D2503&amp;" "&amp;E2503&amp;" "&amp;G2503&amp;" "&amp;H2503&amp;" "&amp;J2503&amp;" "&amp;N2503</f>
        <v>Differentials Cathode     CIF United States (East Coast) (Diff) (East</v>
      </c>
      <c r="S2503" s="25"/>
      <c r="T2503" s="8"/>
      <c r="U2503" s="8"/>
      <c r="V2503" s="25"/>
      <c r="W2503" s="25"/>
      <c r="X2503" s="25"/>
      <c r="Y2503" s="25"/>
      <c r="Z2503" s="25"/>
      <c r="AA2503" s="25"/>
      <c r="AB2503" s="25"/>
      <c r="AC2503" s="25"/>
      <c r="AD2503" s="25"/>
    </row>
    <row r="2504" customFormat="false" ht="15.75" hidden="false" customHeight="false" outlineLevel="0" collapsed="false">
      <c r="A2504" s="28" t="s">
        <v>2921</v>
      </c>
      <c r="B2504" s="27" t="s">
        <v>438</v>
      </c>
      <c r="C2504" s="27" t="s">
        <v>236</v>
      </c>
      <c r="D2504" s="25"/>
      <c r="E2504" s="25"/>
      <c r="F2504" s="25"/>
      <c r="G2504" s="25"/>
      <c r="H2504" s="25"/>
      <c r="I2504" s="25"/>
      <c r="J2504" s="27" t="s">
        <v>2900</v>
      </c>
      <c r="K2504" s="25" t="str">
        <f aca="false">IFERROR(__xludf.dummyfunction("SPLIT(J2504,"" "")"),"CIF")</f>
        <v>CIF</v>
      </c>
      <c r="L2504" s="28" t="str">
        <f aca="false">IFERROR(__xludf.dummyfunction("""COMPUTED_VALUE"""),"United")</f>
        <v>United</v>
      </c>
      <c r="M2504" s="27" t="str">
        <f aca="false">IFERROR(__xludf.dummyfunction("""COMPUTED_VALUE"""),"States")</f>
        <v>States</v>
      </c>
      <c r="N2504" s="25" t="str">
        <f aca="false">IFERROR(__xludf.dummyfunction("""COMPUTED_VALUE"""),"(East")</f>
        <v>(East</v>
      </c>
      <c r="O2504" s="25" t="str">
        <f aca="false">IFERROR(__xludf.dummyfunction("""COMPUTED_VALUE"""),"Coast)")</f>
        <v>Coast)</v>
      </c>
      <c r="P2504" s="25" t="str">
        <f aca="false">IFERROR(__xludf.dummyfunction("""COMPUTED_VALUE"""),"(Diff)")</f>
        <v>(Diff)</v>
      </c>
      <c r="Q2504" s="29" t="s">
        <v>256</v>
      </c>
      <c r="R2504" s="8" t="str">
        <f aca="false">B2504&amp;" "&amp;C2504&amp;" "&amp;D2504&amp;" "&amp;E2504&amp;" "&amp;G2504&amp;" "&amp;H2504&amp;" "&amp;J2504&amp;" "&amp;N2504</f>
        <v>Differentials Cathode     CIF United States (East Coast) (Diff) (East</v>
      </c>
      <c r="S2504" s="25"/>
      <c r="T2504" s="8"/>
      <c r="U2504" s="8"/>
      <c r="V2504" s="25"/>
      <c r="W2504" s="25"/>
      <c r="X2504" s="25"/>
      <c r="Y2504" s="25"/>
      <c r="Z2504" s="25"/>
      <c r="AA2504" s="25"/>
      <c r="AB2504" s="25"/>
      <c r="AC2504" s="25"/>
      <c r="AD2504" s="25"/>
    </row>
    <row r="2505" customFormat="false" ht="15.75" hidden="false" customHeight="false" outlineLevel="0" collapsed="false">
      <c r="A2505" s="28" t="s">
        <v>2922</v>
      </c>
      <c r="B2505" s="27" t="s">
        <v>438</v>
      </c>
      <c r="C2505" s="27" t="s">
        <v>236</v>
      </c>
      <c r="D2505" s="25"/>
      <c r="E2505" s="25"/>
      <c r="F2505" s="25"/>
      <c r="G2505" s="25"/>
      <c r="H2505" s="25"/>
      <c r="I2505" s="25"/>
      <c r="J2505" s="27" t="s">
        <v>2900</v>
      </c>
      <c r="K2505" s="25" t="str">
        <f aca="false">IFERROR(__xludf.dummyfunction("SPLIT(J2505,"" "")"),"CIF")</f>
        <v>CIF</v>
      </c>
      <c r="L2505" s="28" t="str">
        <f aca="false">IFERROR(__xludf.dummyfunction("""COMPUTED_VALUE"""),"United")</f>
        <v>United</v>
      </c>
      <c r="M2505" s="27" t="str">
        <f aca="false">IFERROR(__xludf.dummyfunction("""COMPUTED_VALUE"""),"States")</f>
        <v>States</v>
      </c>
      <c r="N2505" s="25" t="str">
        <f aca="false">IFERROR(__xludf.dummyfunction("""COMPUTED_VALUE"""),"(East")</f>
        <v>(East</v>
      </c>
      <c r="O2505" s="25" t="str">
        <f aca="false">IFERROR(__xludf.dummyfunction("""COMPUTED_VALUE"""),"Coast)")</f>
        <v>Coast)</v>
      </c>
      <c r="P2505" s="25" t="str">
        <f aca="false">IFERROR(__xludf.dummyfunction("""COMPUTED_VALUE"""),"(Diff)")</f>
        <v>(Diff)</v>
      </c>
      <c r="Q2505" s="29" t="s">
        <v>251</v>
      </c>
      <c r="R2505" s="8" t="str">
        <f aca="false">B2505&amp;" "&amp;C2505&amp;" "&amp;D2505&amp;" "&amp;E2505&amp;" "&amp;G2505&amp;" "&amp;H2505&amp;" "&amp;J2505&amp;" "&amp;N2505</f>
        <v>Differentials Cathode     CIF United States (East Coast) (Diff) (East</v>
      </c>
      <c r="S2505" s="25"/>
      <c r="T2505" s="8"/>
      <c r="U2505" s="8"/>
      <c r="V2505" s="25"/>
      <c r="W2505" s="25"/>
      <c r="X2505" s="25"/>
      <c r="Y2505" s="25"/>
      <c r="Z2505" s="25"/>
      <c r="AA2505" s="25"/>
      <c r="AB2505" s="25"/>
      <c r="AC2505" s="25"/>
      <c r="AD2505" s="25"/>
    </row>
    <row r="2506" customFormat="false" ht="15.75" hidden="false" customHeight="false" outlineLevel="0" collapsed="false">
      <c r="A2506" s="28" t="s">
        <v>2923</v>
      </c>
      <c r="B2506" s="27" t="s">
        <v>438</v>
      </c>
      <c r="C2506" s="27" t="s">
        <v>236</v>
      </c>
      <c r="D2506" s="25"/>
      <c r="E2506" s="25"/>
      <c r="F2506" s="25"/>
      <c r="G2506" s="25"/>
      <c r="H2506" s="25"/>
      <c r="I2506" s="25"/>
      <c r="J2506" s="27" t="s">
        <v>2900</v>
      </c>
      <c r="K2506" s="25" t="str">
        <f aca="false">IFERROR(__xludf.dummyfunction("SPLIT(J2506,"" "")"),"CIF")</f>
        <v>CIF</v>
      </c>
      <c r="L2506" s="28" t="str">
        <f aca="false">IFERROR(__xludf.dummyfunction("""COMPUTED_VALUE"""),"United")</f>
        <v>United</v>
      </c>
      <c r="M2506" s="27" t="str">
        <f aca="false">IFERROR(__xludf.dummyfunction("""COMPUTED_VALUE"""),"States")</f>
        <v>States</v>
      </c>
      <c r="N2506" s="25" t="str">
        <f aca="false">IFERROR(__xludf.dummyfunction("""COMPUTED_VALUE"""),"(East")</f>
        <v>(East</v>
      </c>
      <c r="O2506" s="25" t="str">
        <f aca="false">IFERROR(__xludf.dummyfunction("""COMPUTED_VALUE"""),"Coast)")</f>
        <v>Coast)</v>
      </c>
      <c r="P2506" s="25" t="str">
        <f aca="false">IFERROR(__xludf.dummyfunction("""COMPUTED_VALUE"""),"(Diff)")</f>
        <v>(Diff)</v>
      </c>
      <c r="Q2506" s="29" t="s">
        <v>247</v>
      </c>
      <c r="R2506" s="8" t="str">
        <f aca="false">B2506&amp;" "&amp;C2506&amp;" "&amp;D2506&amp;" "&amp;E2506&amp;" "&amp;G2506&amp;" "&amp;H2506&amp;" "&amp;J2506&amp;" "&amp;N2506</f>
        <v>Differentials Cathode     CIF United States (East Coast) (Diff) (East</v>
      </c>
      <c r="S2506" s="25"/>
      <c r="T2506" s="8"/>
      <c r="U2506" s="8"/>
      <c r="V2506" s="25"/>
      <c r="W2506" s="25"/>
      <c r="X2506" s="25"/>
      <c r="Y2506" s="25"/>
      <c r="Z2506" s="25"/>
      <c r="AA2506" s="25"/>
      <c r="AB2506" s="25"/>
      <c r="AC2506" s="25"/>
      <c r="AD2506" s="25"/>
    </row>
    <row r="2507" customFormat="false" ht="15.75" hidden="false" customHeight="false" outlineLevel="0" collapsed="false">
      <c r="A2507" s="28" t="s">
        <v>2924</v>
      </c>
      <c r="B2507" s="27" t="s">
        <v>438</v>
      </c>
      <c r="C2507" s="27" t="s">
        <v>236</v>
      </c>
      <c r="D2507" s="25"/>
      <c r="E2507" s="25"/>
      <c r="F2507" s="25"/>
      <c r="G2507" s="25"/>
      <c r="H2507" s="25"/>
      <c r="I2507" s="25"/>
      <c r="J2507" s="27" t="s">
        <v>2900</v>
      </c>
      <c r="K2507" s="25" t="str">
        <f aca="false">IFERROR(__xludf.dummyfunction("SPLIT(J2507,"" "")"),"CIF")</f>
        <v>CIF</v>
      </c>
      <c r="L2507" s="28" t="str">
        <f aca="false">IFERROR(__xludf.dummyfunction("""COMPUTED_VALUE"""),"United")</f>
        <v>United</v>
      </c>
      <c r="M2507" s="27" t="str">
        <f aca="false">IFERROR(__xludf.dummyfunction("""COMPUTED_VALUE"""),"States")</f>
        <v>States</v>
      </c>
      <c r="N2507" s="25" t="str">
        <f aca="false">IFERROR(__xludf.dummyfunction("""COMPUTED_VALUE"""),"(East")</f>
        <v>(East</v>
      </c>
      <c r="O2507" s="25" t="str">
        <f aca="false">IFERROR(__xludf.dummyfunction("""COMPUTED_VALUE"""),"Coast)")</f>
        <v>Coast)</v>
      </c>
      <c r="P2507" s="25" t="str">
        <f aca="false">IFERROR(__xludf.dummyfunction("""COMPUTED_VALUE"""),"(Diff)")</f>
        <v>(Diff)</v>
      </c>
      <c r="Q2507" s="29" t="s">
        <v>243</v>
      </c>
      <c r="R2507" s="8" t="str">
        <f aca="false">B2507&amp;" "&amp;C2507&amp;" "&amp;D2507&amp;" "&amp;E2507&amp;" "&amp;G2507&amp;" "&amp;H2507&amp;" "&amp;J2507&amp;" "&amp;N2507</f>
        <v>Differentials Cathode     CIF United States (East Coast) (Diff) (East</v>
      </c>
      <c r="S2507" s="25"/>
      <c r="T2507" s="8"/>
      <c r="U2507" s="8"/>
      <c r="V2507" s="25"/>
      <c r="W2507" s="25"/>
      <c r="X2507" s="25"/>
      <c r="Y2507" s="25"/>
      <c r="Z2507" s="25"/>
      <c r="AA2507" s="25"/>
      <c r="AB2507" s="25"/>
      <c r="AC2507" s="25"/>
      <c r="AD2507" s="25"/>
    </row>
    <row r="2508" customFormat="false" ht="15.75" hidden="false" customHeight="false" outlineLevel="0" collapsed="false">
      <c r="A2508" s="28" t="s">
        <v>2925</v>
      </c>
      <c r="B2508" s="27" t="s">
        <v>438</v>
      </c>
      <c r="C2508" s="27" t="s">
        <v>236</v>
      </c>
      <c r="D2508" s="25"/>
      <c r="E2508" s="25"/>
      <c r="F2508" s="25"/>
      <c r="G2508" s="25"/>
      <c r="H2508" s="25"/>
      <c r="I2508" s="25"/>
      <c r="J2508" s="27" t="s">
        <v>2900</v>
      </c>
      <c r="K2508" s="25" t="str">
        <f aca="false">IFERROR(__xludf.dummyfunction("SPLIT(J2508,"" "")"),"CIF")</f>
        <v>CIF</v>
      </c>
      <c r="L2508" s="28" t="str">
        <f aca="false">IFERROR(__xludf.dummyfunction("""COMPUTED_VALUE"""),"United")</f>
        <v>United</v>
      </c>
      <c r="M2508" s="27" t="str">
        <f aca="false">IFERROR(__xludf.dummyfunction("""COMPUTED_VALUE"""),"States")</f>
        <v>States</v>
      </c>
      <c r="N2508" s="25" t="str">
        <f aca="false">IFERROR(__xludf.dummyfunction("""COMPUTED_VALUE"""),"(East")</f>
        <v>(East</v>
      </c>
      <c r="O2508" s="25" t="str">
        <f aca="false">IFERROR(__xludf.dummyfunction("""COMPUTED_VALUE"""),"Coast)")</f>
        <v>Coast)</v>
      </c>
      <c r="P2508" s="25" t="str">
        <f aca="false">IFERROR(__xludf.dummyfunction("""COMPUTED_VALUE"""),"(Diff)")</f>
        <v>(Diff)</v>
      </c>
      <c r="Q2508" s="29" t="s">
        <v>239</v>
      </c>
      <c r="R2508" s="8" t="str">
        <f aca="false">B2508&amp;" "&amp;C2508&amp;" "&amp;D2508&amp;" "&amp;E2508&amp;" "&amp;G2508&amp;" "&amp;H2508&amp;" "&amp;J2508&amp;" "&amp;N2508</f>
        <v>Differentials Cathode     CIF United States (East Coast) (Diff) (East</v>
      </c>
      <c r="S2508" s="25"/>
      <c r="T2508" s="8"/>
      <c r="U2508" s="8"/>
      <c r="V2508" s="25"/>
      <c r="W2508" s="25"/>
      <c r="X2508" s="25"/>
      <c r="Y2508" s="25"/>
      <c r="Z2508" s="25"/>
      <c r="AA2508" s="25"/>
      <c r="AB2508" s="25"/>
      <c r="AC2508" s="25"/>
      <c r="AD2508" s="25"/>
    </row>
    <row r="2509" customFormat="false" ht="15.75" hidden="false" customHeight="false" outlineLevel="0" collapsed="false">
      <c r="A2509" s="28" t="s">
        <v>2926</v>
      </c>
      <c r="B2509" s="27" t="s">
        <v>438</v>
      </c>
      <c r="C2509" s="27" t="s">
        <v>273</v>
      </c>
      <c r="D2509" s="25"/>
      <c r="E2509" s="25"/>
      <c r="F2509" s="25"/>
      <c r="G2509" s="25"/>
      <c r="H2509" s="25"/>
      <c r="I2509" s="25"/>
      <c r="J2509" s="27" t="s">
        <v>2900</v>
      </c>
      <c r="K2509" s="25" t="str">
        <f aca="false">IFERROR(__xludf.dummyfunction("SPLIT(J2509,"" "")"),"CIF")</f>
        <v>CIF</v>
      </c>
      <c r="L2509" s="28" t="str">
        <f aca="false">IFERROR(__xludf.dummyfunction("""COMPUTED_VALUE"""),"United")</f>
        <v>United</v>
      </c>
      <c r="M2509" s="27" t="str">
        <f aca="false">IFERROR(__xludf.dummyfunction("""COMPUTED_VALUE"""),"States")</f>
        <v>States</v>
      </c>
      <c r="N2509" s="25" t="str">
        <f aca="false">IFERROR(__xludf.dummyfunction("""COMPUTED_VALUE"""),"(East")</f>
        <v>(East</v>
      </c>
      <c r="O2509" s="25" t="str">
        <f aca="false">IFERROR(__xludf.dummyfunction("""COMPUTED_VALUE"""),"Coast)")</f>
        <v>Coast)</v>
      </c>
      <c r="P2509" s="25" t="str">
        <f aca="false">IFERROR(__xludf.dummyfunction("""COMPUTED_VALUE"""),"(Diff)")</f>
        <v>(Diff)</v>
      </c>
      <c r="Q2509" s="29" t="s">
        <v>274</v>
      </c>
      <c r="R2509" s="8" t="str">
        <f aca="false">B2509&amp;" "&amp;C2509&amp;" "&amp;D2509&amp;" "&amp;E2509&amp;" "&amp;G2509&amp;" "&amp;H2509&amp;" "&amp;J2509&amp;" "&amp;N2509</f>
        <v>Differentials Cobalt     CIF United States (East Coast) (Diff) (East</v>
      </c>
      <c r="S2509" s="25"/>
      <c r="T2509" s="8"/>
      <c r="U2509" s="8"/>
      <c r="V2509" s="25"/>
      <c r="W2509" s="25"/>
      <c r="X2509" s="25"/>
      <c r="Y2509" s="25"/>
      <c r="Z2509" s="25"/>
      <c r="AA2509" s="25"/>
      <c r="AB2509" s="25"/>
      <c r="AC2509" s="25"/>
      <c r="AD2509" s="25"/>
    </row>
    <row r="2510" customFormat="false" ht="15.75" hidden="false" customHeight="false" outlineLevel="0" collapsed="false">
      <c r="A2510" s="28" t="s">
        <v>2927</v>
      </c>
      <c r="B2510" s="27" t="s">
        <v>438</v>
      </c>
      <c r="C2510" s="27" t="s">
        <v>273</v>
      </c>
      <c r="D2510" s="25"/>
      <c r="E2510" s="25"/>
      <c r="F2510" s="25"/>
      <c r="G2510" s="25"/>
      <c r="H2510" s="25"/>
      <c r="I2510" s="25"/>
      <c r="J2510" s="27" t="s">
        <v>2900</v>
      </c>
      <c r="K2510" s="25" t="str">
        <f aca="false">IFERROR(__xludf.dummyfunction("SPLIT(J2510,"" "")"),"CIF")</f>
        <v>CIF</v>
      </c>
      <c r="L2510" s="28" t="str">
        <f aca="false">IFERROR(__xludf.dummyfunction("""COMPUTED_VALUE"""),"United")</f>
        <v>United</v>
      </c>
      <c r="M2510" s="27" t="str">
        <f aca="false">IFERROR(__xludf.dummyfunction("""COMPUTED_VALUE"""),"States")</f>
        <v>States</v>
      </c>
      <c r="N2510" s="25" t="str">
        <f aca="false">IFERROR(__xludf.dummyfunction("""COMPUTED_VALUE"""),"(East")</f>
        <v>(East</v>
      </c>
      <c r="O2510" s="25" t="str">
        <f aca="false">IFERROR(__xludf.dummyfunction("""COMPUTED_VALUE"""),"Coast)")</f>
        <v>Coast)</v>
      </c>
      <c r="P2510" s="25" t="str">
        <f aca="false">IFERROR(__xludf.dummyfunction("""COMPUTED_VALUE"""),"(Diff)")</f>
        <v>(Diff)</v>
      </c>
      <c r="Q2510" s="29" t="s">
        <v>282</v>
      </c>
      <c r="R2510" s="8" t="str">
        <f aca="false">B2510&amp;" "&amp;C2510&amp;" "&amp;D2510&amp;" "&amp;E2510&amp;" "&amp;G2510&amp;" "&amp;H2510&amp;" "&amp;J2510&amp;" "&amp;N2510</f>
        <v>Differentials Cobalt     CIF United States (East Coast) (Diff) (East</v>
      </c>
      <c r="S2510" s="25"/>
      <c r="T2510" s="8"/>
      <c r="U2510" s="8"/>
      <c r="V2510" s="25"/>
      <c r="W2510" s="25"/>
      <c r="X2510" s="25"/>
      <c r="Y2510" s="25"/>
      <c r="Z2510" s="25"/>
      <c r="AA2510" s="25"/>
      <c r="AB2510" s="25"/>
      <c r="AC2510" s="25"/>
      <c r="AD2510" s="25"/>
    </row>
    <row r="2511" customFormat="false" ht="15.75" hidden="false" customHeight="false" outlineLevel="0" collapsed="false">
      <c r="A2511" s="28" t="s">
        <v>2928</v>
      </c>
      <c r="B2511" s="27" t="s">
        <v>438</v>
      </c>
      <c r="C2511" s="27" t="s">
        <v>273</v>
      </c>
      <c r="D2511" s="25"/>
      <c r="E2511" s="25"/>
      <c r="F2511" s="25"/>
      <c r="G2511" s="25"/>
      <c r="H2511" s="25"/>
      <c r="I2511" s="25"/>
      <c r="J2511" s="27" t="s">
        <v>2900</v>
      </c>
      <c r="K2511" s="25" t="str">
        <f aca="false">IFERROR(__xludf.dummyfunction("SPLIT(J2511,"" "")"),"CIF")</f>
        <v>CIF</v>
      </c>
      <c r="L2511" s="28" t="str">
        <f aca="false">IFERROR(__xludf.dummyfunction("""COMPUTED_VALUE"""),"United")</f>
        <v>United</v>
      </c>
      <c r="M2511" s="27" t="str">
        <f aca="false">IFERROR(__xludf.dummyfunction("""COMPUTED_VALUE"""),"States")</f>
        <v>States</v>
      </c>
      <c r="N2511" s="25" t="str">
        <f aca="false">IFERROR(__xludf.dummyfunction("""COMPUTED_VALUE"""),"(East")</f>
        <v>(East</v>
      </c>
      <c r="O2511" s="25" t="str">
        <f aca="false">IFERROR(__xludf.dummyfunction("""COMPUTED_VALUE"""),"Coast)")</f>
        <v>Coast)</v>
      </c>
      <c r="P2511" s="25" t="str">
        <f aca="false">IFERROR(__xludf.dummyfunction("""COMPUTED_VALUE"""),"(Diff)")</f>
        <v>(Diff)</v>
      </c>
      <c r="Q2511" s="29" t="s">
        <v>280</v>
      </c>
      <c r="R2511" s="8" t="str">
        <f aca="false">B2511&amp;" "&amp;C2511&amp;" "&amp;D2511&amp;" "&amp;E2511&amp;" "&amp;G2511&amp;" "&amp;H2511&amp;" "&amp;J2511&amp;" "&amp;N2511</f>
        <v>Differentials Cobalt     CIF United States (East Coast) (Diff) (East</v>
      </c>
      <c r="S2511" s="25"/>
      <c r="T2511" s="8"/>
      <c r="U2511" s="8"/>
      <c r="V2511" s="25"/>
      <c r="W2511" s="25"/>
      <c r="X2511" s="25"/>
      <c r="Y2511" s="25"/>
      <c r="Z2511" s="25"/>
      <c r="AA2511" s="25"/>
      <c r="AB2511" s="25"/>
      <c r="AC2511" s="25"/>
      <c r="AD2511" s="25"/>
    </row>
    <row r="2512" customFormat="false" ht="15.75" hidden="false" customHeight="false" outlineLevel="0" collapsed="false">
      <c r="A2512" s="28" t="s">
        <v>2929</v>
      </c>
      <c r="B2512" s="27" t="s">
        <v>438</v>
      </c>
      <c r="C2512" s="27" t="s">
        <v>273</v>
      </c>
      <c r="D2512" s="25"/>
      <c r="E2512" s="25"/>
      <c r="F2512" s="25"/>
      <c r="G2512" s="25"/>
      <c r="H2512" s="25"/>
      <c r="I2512" s="25"/>
      <c r="J2512" s="27" t="s">
        <v>2900</v>
      </c>
      <c r="K2512" s="25" t="str">
        <f aca="false">IFERROR(__xludf.dummyfunction("SPLIT(J2512,"" "")"),"CIF")</f>
        <v>CIF</v>
      </c>
      <c r="L2512" s="28" t="str">
        <f aca="false">IFERROR(__xludf.dummyfunction("""COMPUTED_VALUE"""),"United")</f>
        <v>United</v>
      </c>
      <c r="M2512" s="27" t="str">
        <f aca="false">IFERROR(__xludf.dummyfunction("""COMPUTED_VALUE"""),"States")</f>
        <v>States</v>
      </c>
      <c r="N2512" s="25" t="str">
        <f aca="false">IFERROR(__xludf.dummyfunction("""COMPUTED_VALUE"""),"(East")</f>
        <v>(East</v>
      </c>
      <c r="O2512" s="25" t="str">
        <f aca="false">IFERROR(__xludf.dummyfunction("""COMPUTED_VALUE"""),"Coast)")</f>
        <v>Coast)</v>
      </c>
      <c r="P2512" s="25" t="str">
        <f aca="false">IFERROR(__xludf.dummyfunction("""COMPUTED_VALUE"""),"(Diff)")</f>
        <v>(Diff)</v>
      </c>
      <c r="Q2512" s="29" t="s">
        <v>278</v>
      </c>
      <c r="R2512" s="8" t="str">
        <f aca="false">B2512&amp;" "&amp;C2512&amp;" "&amp;D2512&amp;" "&amp;E2512&amp;" "&amp;G2512&amp;" "&amp;H2512&amp;" "&amp;J2512&amp;" "&amp;N2512</f>
        <v>Differentials Cobalt     CIF United States (East Coast) (Diff) (East</v>
      </c>
      <c r="S2512" s="25"/>
      <c r="T2512" s="8"/>
      <c r="U2512" s="8"/>
      <c r="V2512" s="25"/>
      <c r="W2512" s="25"/>
      <c r="X2512" s="25"/>
      <c r="Y2512" s="25"/>
      <c r="Z2512" s="25"/>
      <c r="AA2512" s="25"/>
      <c r="AB2512" s="25"/>
      <c r="AC2512" s="25"/>
      <c r="AD2512" s="25"/>
    </row>
    <row r="2513" customFormat="false" ht="15.75" hidden="false" customHeight="false" outlineLevel="0" collapsed="false">
      <c r="A2513" s="28" t="s">
        <v>2930</v>
      </c>
      <c r="B2513" s="27" t="s">
        <v>438</v>
      </c>
      <c r="C2513" s="27" t="s">
        <v>273</v>
      </c>
      <c r="D2513" s="25"/>
      <c r="E2513" s="25"/>
      <c r="F2513" s="25"/>
      <c r="G2513" s="25"/>
      <c r="H2513" s="25"/>
      <c r="I2513" s="25"/>
      <c r="J2513" s="27" t="s">
        <v>2900</v>
      </c>
      <c r="K2513" s="25" t="str">
        <f aca="false">IFERROR(__xludf.dummyfunction("SPLIT(J2513,"" "")"),"CIF")</f>
        <v>CIF</v>
      </c>
      <c r="L2513" s="28" t="str">
        <f aca="false">IFERROR(__xludf.dummyfunction("""COMPUTED_VALUE"""),"United")</f>
        <v>United</v>
      </c>
      <c r="M2513" s="27" t="str">
        <f aca="false">IFERROR(__xludf.dummyfunction("""COMPUTED_VALUE"""),"States")</f>
        <v>States</v>
      </c>
      <c r="N2513" s="25" t="str">
        <f aca="false">IFERROR(__xludf.dummyfunction("""COMPUTED_VALUE"""),"(East")</f>
        <v>(East</v>
      </c>
      <c r="O2513" s="25" t="str">
        <f aca="false">IFERROR(__xludf.dummyfunction("""COMPUTED_VALUE"""),"Coast)")</f>
        <v>Coast)</v>
      </c>
      <c r="P2513" s="25" t="str">
        <f aca="false">IFERROR(__xludf.dummyfunction("""COMPUTED_VALUE"""),"(Diff)")</f>
        <v>(Diff)</v>
      </c>
      <c r="Q2513" s="29" t="s">
        <v>276</v>
      </c>
      <c r="R2513" s="8" t="str">
        <f aca="false">B2513&amp;" "&amp;C2513&amp;" "&amp;D2513&amp;" "&amp;E2513&amp;" "&amp;G2513&amp;" "&amp;H2513&amp;" "&amp;J2513&amp;" "&amp;N2513</f>
        <v>Differentials Cobalt     CIF United States (East Coast) (Diff) (East</v>
      </c>
      <c r="S2513" s="25"/>
      <c r="T2513" s="8"/>
      <c r="U2513" s="8"/>
      <c r="V2513" s="25"/>
      <c r="W2513" s="25"/>
      <c r="X2513" s="25"/>
      <c r="Y2513" s="25"/>
      <c r="Z2513" s="25"/>
      <c r="AA2513" s="25"/>
      <c r="AB2513" s="25"/>
      <c r="AC2513" s="25"/>
      <c r="AD2513" s="25"/>
    </row>
    <row r="2514" customFormat="false" ht="15.75" hidden="false" customHeight="false" outlineLevel="0" collapsed="false">
      <c r="A2514" s="28" t="s">
        <v>2931</v>
      </c>
      <c r="B2514" s="27" t="s">
        <v>438</v>
      </c>
      <c r="C2514" s="27" t="s">
        <v>289</v>
      </c>
      <c r="D2514" s="25"/>
      <c r="E2514" s="25"/>
      <c r="F2514" s="25"/>
      <c r="G2514" s="25"/>
      <c r="H2514" s="25"/>
      <c r="I2514" s="25"/>
      <c r="J2514" s="27" t="s">
        <v>2900</v>
      </c>
      <c r="K2514" s="25" t="str">
        <f aca="false">IFERROR(__xludf.dummyfunction("SPLIT(J2514,"" "")"),"CIF")</f>
        <v>CIF</v>
      </c>
      <c r="L2514" s="28" t="str">
        <f aca="false">IFERROR(__xludf.dummyfunction("""COMPUTED_VALUE"""),"United")</f>
        <v>United</v>
      </c>
      <c r="M2514" s="27" t="str">
        <f aca="false">IFERROR(__xludf.dummyfunction("""COMPUTED_VALUE"""),"States")</f>
        <v>States</v>
      </c>
      <c r="N2514" s="25" t="str">
        <f aca="false">IFERROR(__xludf.dummyfunction("""COMPUTED_VALUE"""),"(East")</f>
        <v>(East</v>
      </c>
      <c r="O2514" s="25" t="str">
        <f aca="false">IFERROR(__xludf.dummyfunction("""COMPUTED_VALUE"""),"Coast)")</f>
        <v>Coast)</v>
      </c>
      <c r="P2514" s="25" t="str">
        <f aca="false">IFERROR(__xludf.dummyfunction("""COMPUTED_VALUE"""),"(Diff)")</f>
        <v>(Diff)</v>
      </c>
      <c r="Q2514" s="29" t="s">
        <v>306</v>
      </c>
      <c r="R2514" s="8" t="str">
        <f aca="false">B2514&amp;" "&amp;C2514&amp;" "&amp;D2514&amp;" "&amp;E2514&amp;" "&amp;G2514&amp;" "&amp;H2514&amp;" "&amp;J2514&amp;" "&amp;N2514</f>
        <v>Differentials Electrolyte     CIF United States (East Coast) (Diff) (East</v>
      </c>
      <c r="S2514" s="25"/>
      <c r="T2514" s="8"/>
      <c r="U2514" s="37" t="s">
        <v>2932</v>
      </c>
      <c r="V2514" s="37"/>
      <c r="W2514" s="25"/>
      <c r="X2514" s="25"/>
      <c r="Y2514" s="25"/>
      <c r="Z2514" s="25"/>
      <c r="AA2514" s="25"/>
      <c r="AB2514" s="25"/>
      <c r="AC2514" s="25"/>
      <c r="AD2514" s="25"/>
    </row>
    <row r="2515" customFormat="false" ht="15.75" hidden="false" customHeight="false" outlineLevel="0" collapsed="false">
      <c r="A2515" s="28" t="s">
        <v>2933</v>
      </c>
      <c r="B2515" s="27" t="s">
        <v>438</v>
      </c>
      <c r="C2515" s="27" t="s">
        <v>289</v>
      </c>
      <c r="D2515" s="25"/>
      <c r="E2515" s="25"/>
      <c r="F2515" s="25"/>
      <c r="G2515" s="25"/>
      <c r="H2515" s="25"/>
      <c r="I2515" s="25"/>
      <c r="J2515" s="27" t="s">
        <v>2900</v>
      </c>
      <c r="K2515" s="25" t="str">
        <f aca="false">IFERROR(__xludf.dummyfunction("SPLIT(J2515,"" "")"),"CIF")</f>
        <v>CIF</v>
      </c>
      <c r="L2515" s="28" t="str">
        <f aca="false">IFERROR(__xludf.dummyfunction("""COMPUTED_VALUE"""),"United")</f>
        <v>United</v>
      </c>
      <c r="M2515" s="27" t="str">
        <f aca="false">IFERROR(__xludf.dummyfunction("""COMPUTED_VALUE"""),"States")</f>
        <v>States</v>
      </c>
      <c r="N2515" s="25" t="str">
        <f aca="false">IFERROR(__xludf.dummyfunction("""COMPUTED_VALUE"""),"(East")</f>
        <v>(East</v>
      </c>
      <c r="O2515" s="25" t="str">
        <f aca="false">IFERROR(__xludf.dummyfunction("""COMPUTED_VALUE"""),"Coast)")</f>
        <v>Coast)</v>
      </c>
      <c r="P2515" s="25" t="str">
        <f aca="false">IFERROR(__xludf.dummyfunction("""COMPUTED_VALUE"""),"(Diff)")</f>
        <v>(Diff)</v>
      </c>
      <c r="Q2515" s="29" t="s">
        <v>304</v>
      </c>
      <c r="R2515" s="8" t="str">
        <f aca="false">B2515&amp;" "&amp;C2515&amp;" "&amp;D2515&amp;" "&amp;E2515&amp;" "&amp;G2515&amp;" "&amp;H2515&amp;" "&amp;J2515&amp;" "&amp;N2515</f>
        <v>Differentials Electrolyte     CIF United States (East Coast) (Diff) (East</v>
      </c>
      <c r="S2515" s="25"/>
      <c r="T2515" s="8"/>
      <c r="U2515" s="37" t="s">
        <v>2934</v>
      </c>
      <c r="V2515" s="37"/>
      <c r="W2515" s="25"/>
      <c r="X2515" s="25"/>
      <c r="Y2515" s="25"/>
      <c r="Z2515" s="25"/>
      <c r="AA2515" s="25"/>
      <c r="AB2515" s="25"/>
      <c r="AC2515" s="25"/>
      <c r="AD2515" s="25"/>
    </row>
    <row r="2516" customFormat="false" ht="15.75" hidden="false" customHeight="false" outlineLevel="0" collapsed="false">
      <c r="A2516" s="28" t="s">
        <v>2935</v>
      </c>
      <c r="B2516" s="27" t="s">
        <v>438</v>
      </c>
      <c r="C2516" s="27" t="s">
        <v>289</v>
      </c>
      <c r="D2516" s="25"/>
      <c r="E2516" s="25"/>
      <c r="F2516" s="25"/>
      <c r="G2516" s="25"/>
      <c r="H2516" s="25"/>
      <c r="I2516" s="25"/>
      <c r="J2516" s="27" t="s">
        <v>2900</v>
      </c>
      <c r="K2516" s="25" t="str">
        <f aca="false">IFERROR(__xludf.dummyfunction("SPLIT(J2516,"" "")"),"CIF")</f>
        <v>CIF</v>
      </c>
      <c r="L2516" s="28" t="str">
        <f aca="false">IFERROR(__xludf.dummyfunction("""COMPUTED_VALUE"""),"United")</f>
        <v>United</v>
      </c>
      <c r="M2516" s="27" t="str">
        <f aca="false">IFERROR(__xludf.dummyfunction("""COMPUTED_VALUE"""),"States")</f>
        <v>States</v>
      </c>
      <c r="N2516" s="25" t="str">
        <f aca="false">IFERROR(__xludf.dummyfunction("""COMPUTED_VALUE"""),"(East")</f>
        <v>(East</v>
      </c>
      <c r="O2516" s="25" t="str">
        <f aca="false">IFERROR(__xludf.dummyfunction("""COMPUTED_VALUE"""),"Coast)")</f>
        <v>Coast)</v>
      </c>
      <c r="P2516" s="25" t="str">
        <f aca="false">IFERROR(__xludf.dummyfunction("""COMPUTED_VALUE"""),"(Diff)")</f>
        <v>(Diff)</v>
      </c>
      <c r="Q2516" s="29" t="s">
        <v>302</v>
      </c>
      <c r="R2516" s="8" t="str">
        <f aca="false">B2516&amp;" "&amp;C2516&amp;" "&amp;D2516&amp;" "&amp;E2516&amp;" "&amp;G2516&amp;" "&amp;H2516&amp;" "&amp;J2516&amp;" "&amp;N2516</f>
        <v>Differentials Electrolyte     CIF United States (East Coast) (Diff) (East</v>
      </c>
      <c r="S2516" s="25"/>
      <c r="T2516" s="8"/>
      <c r="U2516" s="8"/>
      <c r="V2516" s="25"/>
      <c r="W2516" s="25"/>
      <c r="X2516" s="25"/>
      <c r="Y2516" s="25"/>
      <c r="Z2516" s="25"/>
      <c r="AA2516" s="25"/>
      <c r="AB2516" s="25"/>
      <c r="AC2516" s="25"/>
      <c r="AD2516" s="25"/>
    </row>
    <row r="2517" customFormat="false" ht="15.75" hidden="false" customHeight="false" outlineLevel="0" collapsed="false">
      <c r="A2517" s="28" t="s">
        <v>2936</v>
      </c>
      <c r="B2517" s="27" t="s">
        <v>438</v>
      </c>
      <c r="C2517" s="27" t="s">
        <v>289</v>
      </c>
      <c r="D2517" s="25"/>
      <c r="E2517" s="25"/>
      <c r="F2517" s="25"/>
      <c r="G2517" s="25"/>
      <c r="H2517" s="25"/>
      <c r="I2517" s="25"/>
      <c r="J2517" s="27" t="s">
        <v>2900</v>
      </c>
      <c r="K2517" s="25" t="str">
        <f aca="false">IFERROR(__xludf.dummyfunction("SPLIT(J2517,"" "")"),"CIF")</f>
        <v>CIF</v>
      </c>
      <c r="L2517" s="28" t="str">
        <f aca="false">IFERROR(__xludf.dummyfunction("""COMPUTED_VALUE"""),"United")</f>
        <v>United</v>
      </c>
      <c r="M2517" s="27" t="str">
        <f aca="false">IFERROR(__xludf.dummyfunction("""COMPUTED_VALUE"""),"States")</f>
        <v>States</v>
      </c>
      <c r="N2517" s="25" t="str">
        <f aca="false">IFERROR(__xludf.dummyfunction("""COMPUTED_VALUE"""),"(East")</f>
        <v>(East</v>
      </c>
      <c r="O2517" s="25" t="str">
        <f aca="false">IFERROR(__xludf.dummyfunction("""COMPUTED_VALUE"""),"Coast)")</f>
        <v>Coast)</v>
      </c>
      <c r="P2517" s="25" t="str">
        <f aca="false">IFERROR(__xludf.dummyfunction("""COMPUTED_VALUE"""),"(Diff)")</f>
        <v>(Diff)</v>
      </c>
      <c r="Q2517" s="29" t="s">
        <v>300</v>
      </c>
      <c r="R2517" s="8" t="str">
        <f aca="false">B2517&amp;" "&amp;C2517&amp;" "&amp;D2517&amp;" "&amp;E2517&amp;" "&amp;G2517&amp;" "&amp;H2517&amp;" "&amp;J2517&amp;" "&amp;N2517</f>
        <v>Differentials Electrolyte     CIF United States (East Coast) (Diff) (East</v>
      </c>
      <c r="S2517" s="25"/>
      <c r="T2517" s="8"/>
      <c r="U2517" s="8"/>
      <c r="V2517" s="25"/>
      <c r="W2517" s="25"/>
      <c r="X2517" s="25"/>
      <c r="Y2517" s="25"/>
      <c r="Z2517" s="25"/>
      <c r="AA2517" s="25"/>
      <c r="AB2517" s="25"/>
      <c r="AC2517" s="25"/>
      <c r="AD2517" s="25"/>
    </row>
    <row r="2518" customFormat="false" ht="15.75" hidden="false" customHeight="false" outlineLevel="0" collapsed="false">
      <c r="A2518" s="28" t="s">
        <v>2937</v>
      </c>
      <c r="B2518" s="27" t="s">
        <v>438</v>
      </c>
      <c r="C2518" s="27" t="s">
        <v>289</v>
      </c>
      <c r="D2518" s="25"/>
      <c r="E2518" s="25"/>
      <c r="F2518" s="25"/>
      <c r="G2518" s="25"/>
      <c r="H2518" s="25"/>
      <c r="I2518" s="25"/>
      <c r="J2518" s="27" t="s">
        <v>2900</v>
      </c>
      <c r="K2518" s="25" t="str">
        <f aca="false">IFERROR(__xludf.dummyfunction("SPLIT(J2518,"" "")"),"CIF")</f>
        <v>CIF</v>
      </c>
      <c r="L2518" s="28" t="str">
        <f aca="false">IFERROR(__xludf.dummyfunction("""COMPUTED_VALUE"""),"United")</f>
        <v>United</v>
      </c>
      <c r="M2518" s="27" t="str">
        <f aca="false">IFERROR(__xludf.dummyfunction("""COMPUTED_VALUE"""),"States")</f>
        <v>States</v>
      </c>
      <c r="N2518" s="25" t="str">
        <f aca="false">IFERROR(__xludf.dummyfunction("""COMPUTED_VALUE"""),"(East")</f>
        <v>(East</v>
      </c>
      <c r="O2518" s="25" t="str">
        <f aca="false">IFERROR(__xludf.dummyfunction("""COMPUTED_VALUE"""),"Coast)")</f>
        <v>Coast)</v>
      </c>
      <c r="P2518" s="25" t="str">
        <f aca="false">IFERROR(__xludf.dummyfunction("""COMPUTED_VALUE"""),"(Diff)")</f>
        <v>(Diff)</v>
      </c>
      <c r="Q2518" s="29" t="s">
        <v>298</v>
      </c>
      <c r="R2518" s="8" t="str">
        <f aca="false">B2518&amp;" "&amp;C2518&amp;" "&amp;D2518&amp;" "&amp;E2518&amp;" "&amp;G2518&amp;" "&amp;H2518&amp;" "&amp;J2518&amp;" "&amp;N2518</f>
        <v>Differentials Electrolyte     CIF United States (East Coast) (Diff) (East</v>
      </c>
      <c r="S2518" s="25"/>
      <c r="T2518" s="8"/>
      <c r="U2518" s="8"/>
      <c r="V2518" s="25"/>
      <c r="W2518" s="25"/>
      <c r="X2518" s="25"/>
      <c r="Y2518" s="25"/>
      <c r="Z2518" s="25"/>
      <c r="AA2518" s="25"/>
      <c r="AB2518" s="25"/>
      <c r="AC2518" s="25"/>
      <c r="AD2518" s="25"/>
    </row>
    <row r="2519" customFormat="false" ht="15.75" hidden="false" customHeight="false" outlineLevel="0" collapsed="false">
      <c r="A2519" s="28" t="s">
        <v>2938</v>
      </c>
      <c r="B2519" s="27" t="s">
        <v>438</v>
      </c>
      <c r="C2519" s="27" t="s">
        <v>289</v>
      </c>
      <c r="D2519" s="25"/>
      <c r="E2519" s="25"/>
      <c r="F2519" s="25"/>
      <c r="G2519" s="25"/>
      <c r="H2519" s="25"/>
      <c r="I2519" s="25"/>
      <c r="J2519" s="27" t="s">
        <v>2900</v>
      </c>
      <c r="K2519" s="25" t="str">
        <f aca="false">IFERROR(__xludf.dummyfunction("SPLIT(J2519,"" "")"),"CIF")</f>
        <v>CIF</v>
      </c>
      <c r="L2519" s="28" t="str">
        <f aca="false">IFERROR(__xludf.dummyfunction("""COMPUTED_VALUE"""),"United")</f>
        <v>United</v>
      </c>
      <c r="M2519" s="27" t="str">
        <f aca="false">IFERROR(__xludf.dummyfunction("""COMPUTED_VALUE"""),"States")</f>
        <v>States</v>
      </c>
      <c r="N2519" s="25" t="str">
        <f aca="false">IFERROR(__xludf.dummyfunction("""COMPUTED_VALUE"""),"(East")</f>
        <v>(East</v>
      </c>
      <c r="O2519" s="25" t="str">
        <f aca="false">IFERROR(__xludf.dummyfunction("""COMPUTED_VALUE"""),"Coast)")</f>
        <v>Coast)</v>
      </c>
      <c r="P2519" s="25" t="str">
        <f aca="false">IFERROR(__xludf.dummyfunction("""COMPUTED_VALUE"""),"(Diff)")</f>
        <v>(Diff)</v>
      </c>
      <c r="Q2519" s="29" t="s">
        <v>296</v>
      </c>
      <c r="R2519" s="8" t="str">
        <f aca="false">B2519&amp;" "&amp;C2519&amp;" "&amp;D2519&amp;" "&amp;E2519&amp;" "&amp;G2519&amp;" "&amp;H2519&amp;" "&amp;J2519&amp;" "&amp;N2519</f>
        <v>Differentials Electrolyte     CIF United States (East Coast) (Diff) (East</v>
      </c>
      <c r="S2519" s="25"/>
      <c r="T2519" s="8"/>
      <c r="U2519" s="8"/>
      <c r="V2519" s="25"/>
      <c r="W2519" s="25"/>
      <c r="X2519" s="25"/>
      <c r="Y2519" s="25"/>
      <c r="Z2519" s="25"/>
      <c r="AA2519" s="25"/>
      <c r="AB2519" s="25"/>
      <c r="AC2519" s="25"/>
      <c r="AD2519" s="25"/>
    </row>
    <row r="2520" customFormat="false" ht="15.75" hidden="false" customHeight="false" outlineLevel="0" collapsed="false">
      <c r="A2520" s="28" t="s">
        <v>2939</v>
      </c>
      <c r="B2520" s="27" t="s">
        <v>438</v>
      </c>
      <c r="C2520" s="27" t="s">
        <v>289</v>
      </c>
      <c r="D2520" s="25"/>
      <c r="E2520" s="25"/>
      <c r="F2520" s="25"/>
      <c r="G2520" s="25"/>
      <c r="H2520" s="25"/>
      <c r="I2520" s="25"/>
      <c r="J2520" s="27" t="s">
        <v>2900</v>
      </c>
      <c r="K2520" s="25" t="str">
        <f aca="false">IFERROR(__xludf.dummyfunction("SPLIT(J2520,"" "")"),"CIF")</f>
        <v>CIF</v>
      </c>
      <c r="L2520" s="28" t="str">
        <f aca="false">IFERROR(__xludf.dummyfunction("""COMPUTED_VALUE"""),"United")</f>
        <v>United</v>
      </c>
      <c r="M2520" s="27" t="str">
        <f aca="false">IFERROR(__xludf.dummyfunction("""COMPUTED_VALUE"""),"States")</f>
        <v>States</v>
      </c>
      <c r="N2520" s="25" t="str">
        <f aca="false">IFERROR(__xludf.dummyfunction("""COMPUTED_VALUE"""),"(East")</f>
        <v>(East</v>
      </c>
      <c r="O2520" s="25" t="str">
        <f aca="false">IFERROR(__xludf.dummyfunction("""COMPUTED_VALUE"""),"Coast)")</f>
        <v>Coast)</v>
      </c>
      <c r="P2520" s="25" t="str">
        <f aca="false">IFERROR(__xludf.dummyfunction("""COMPUTED_VALUE"""),"(Diff)")</f>
        <v>(Diff)</v>
      </c>
      <c r="Q2520" s="29" t="s">
        <v>294</v>
      </c>
      <c r="R2520" s="8" t="str">
        <f aca="false">B2520&amp;" "&amp;C2520&amp;" "&amp;D2520&amp;" "&amp;E2520&amp;" "&amp;G2520&amp;" "&amp;H2520&amp;" "&amp;J2520&amp;" "&amp;N2520</f>
        <v>Differentials Electrolyte     CIF United States (East Coast) (Diff) (East</v>
      </c>
      <c r="S2520" s="25"/>
      <c r="T2520" s="8"/>
      <c r="U2520" s="8"/>
      <c r="V2520" s="25"/>
      <c r="W2520" s="25"/>
      <c r="X2520" s="25"/>
      <c r="Y2520" s="25"/>
      <c r="Z2520" s="25"/>
      <c r="AA2520" s="25"/>
      <c r="AB2520" s="25"/>
      <c r="AC2520" s="25"/>
      <c r="AD2520" s="25"/>
    </row>
    <row r="2521" customFormat="false" ht="15.75" hidden="false" customHeight="false" outlineLevel="0" collapsed="false">
      <c r="A2521" s="28" t="s">
        <v>2940</v>
      </c>
      <c r="B2521" s="27" t="s">
        <v>438</v>
      </c>
      <c r="C2521" s="27" t="s">
        <v>289</v>
      </c>
      <c r="D2521" s="25"/>
      <c r="E2521" s="25"/>
      <c r="F2521" s="25"/>
      <c r="G2521" s="25"/>
      <c r="H2521" s="25"/>
      <c r="I2521" s="25"/>
      <c r="J2521" s="27" t="s">
        <v>2900</v>
      </c>
      <c r="K2521" s="25" t="str">
        <f aca="false">IFERROR(__xludf.dummyfunction("SPLIT(J2521,"" "")"),"CIF")</f>
        <v>CIF</v>
      </c>
      <c r="L2521" s="28" t="str">
        <f aca="false">IFERROR(__xludf.dummyfunction("""COMPUTED_VALUE"""),"United")</f>
        <v>United</v>
      </c>
      <c r="M2521" s="27" t="str">
        <f aca="false">IFERROR(__xludf.dummyfunction("""COMPUTED_VALUE"""),"States")</f>
        <v>States</v>
      </c>
      <c r="N2521" s="25" t="str">
        <f aca="false">IFERROR(__xludf.dummyfunction("""COMPUTED_VALUE"""),"(East")</f>
        <v>(East</v>
      </c>
      <c r="O2521" s="25" t="str">
        <f aca="false">IFERROR(__xludf.dummyfunction("""COMPUTED_VALUE"""),"Coast)")</f>
        <v>Coast)</v>
      </c>
      <c r="P2521" s="25" t="str">
        <f aca="false">IFERROR(__xludf.dummyfunction("""COMPUTED_VALUE"""),"(Diff)")</f>
        <v>(Diff)</v>
      </c>
      <c r="Q2521" s="29" t="s">
        <v>291</v>
      </c>
      <c r="R2521" s="8" t="str">
        <f aca="false">B2521&amp;" "&amp;C2521&amp;" "&amp;D2521&amp;" "&amp;E2521&amp;" "&amp;G2521&amp;" "&amp;H2521&amp;" "&amp;J2521&amp;" "&amp;N2521</f>
        <v>Differentials Electrolyte     CIF United States (East Coast) (Diff) (East</v>
      </c>
      <c r="S2521" s="25"/>
      <c r="T2521" s="8"/>
      <c r="U2521" s="8"/>
      <c r="V2521" s="25"/>
      <c r="W2521" s="25"/>
      <c r="X2521" s="25"/>
      <c r="Y2521" s="25"/>
      <c r="Z2521" s="25"/>
      <c r="AA2521" s="25"/>
      <c r="AB2521" s="25"/>
      <c r="AC2521" s="25"/>
      <c r="AD2521" s="25"/>
    </row>
    <row r="2522" customFormat="false" ht="15.75" hidden="false" customHeight="false" outlineLevel="0" collapsed="false">
      <c r="A2522" s="28" t="s">
        <v>2941</v>
      </c>
      <c r="B2522" s="27" t="s">
        <v>438</v>
      </c>
      <c r="C2522" s="27" t="s">
        <v>308</v>
      </c>
      <c r="D2522" s="25"/>
      <c r="E2522" s="25"/>
      <c r="F2522" s="25"/>
      <c r="G2522" s="25"/>
      <c r="H2522" s="25"/>
      <c r="I2522" s="25"/>
      <c r="J2522" s="27" t="s">
        <v>2900</v>
      </c>
      <c r="K2522" s="25" t="str">
        <f aca="false">IFERROR(__xludf.dummyfunction("SPLIT(J2522,"" "")"),"CIF")</f>
        <v>CIF</v>
      </c>
      <c r="L2522" s="28" t="str">
        <f aca="false">IFERROR(__xludf.dummyfunction("""COMPUTED_VALUE"""),"United")</f>
        <v>United</v>
      </c>
      <c r="M2522" s="27" t="str">
        <f aca="false">IFERROR(__xludf.dummyfunction("""COMPUTED_VALUE"""),"States")</f>
        <v>States</v>
      </c>
      <c r="N2522" s="25" t="str">
        <f aca="false">IFERROR(__xludf.dummyfunction("""COMPUTED_VALUE"""),"(East")</f>
        <v>(East</v>
      </c>
      <c r="O2522" s="25" t="str">
        <f aca="false">IFERROR(__xludf.dummyfunction("""COMPUTED_VALUE"""),"Coast)")</f>
        <v>Coast)</v>
      </c>
      <c r="P2522" s="25" t="str">
        <f aca="false">IFERROR(__xludf.dummyfunction("""COMPUTED_VALUE"""),"(Diff)")</f>
        <v>(Diff)</v>
      </c>
      <c r="Q2522" s="29" t="s">
        <v>358</v>
      </c>
      <c r="R2522" s="8" t="str">
        <f aca="false">B2522&amp;" "&amp;C2522&amp;" "&amp;D2522&amp;" "&amp;E2522&amp;" "&amp;G2522&amp;" "&amp;H2522&amp;" "&amp;J2522&amp;" "&amp;N2522</f>
        <v>Differentials Graphite     CIF United States (East Coast) (Diff) (East</v>
      </c>
      <c r="S2522" s="25"/>
      <c r="T2522" s="8"/>
      <c r="U2522" s="37" t="s">
        <v>2942</v>
      </c>
      <c r="V2522" s="37"/>
      <c r="W2522" s="25"/>
      <c r="X2522" s="25"/>
      <c r="Y2522" s="25"/>
      <c r="Z2522" s="25"/>
      <c r="AA2522" s="25"/>
      <c r="AB2522" s="25"/>
      <c r="AC2522" s="25"/>
      <c r="AD2522" s="25"/>
    </row>
    <row r="2523" customFormat="false" ht="15.75" hidden="false" customHeight="false" outlineLevel="0" collapsed="false">
      <c r="A2523" s="28" t="s">
        <v>2943</v>
      </c>
      <c r="B2523" s="27" t="s">
        <v>438</v>
      </c>
      <c r="C2523" s="27" t="s">
        <v>308</v>
      </c>
      <c r="D2523" s="25"/>
      <c r="E2523" s="25"/>
      <c r="F2523" s="25"/>
      <c r="G2523" s="25"/>
      <c r="H2523" s="25"/>
      <c r="I2523" s="25"/>
      <c r="J2523" s="27" t="s">
        <v>2900</v>
      </c>
      <c r="K2523" s="25" t="str">
        <f aca="false">IFERROR(__xludf.dummyfunction("SPLIT(J2523,"" "")"),"CIF")</f>
        <v>CIF</v>
      </c>
      <c r="L2523" s="28" t="str">
        <f aca="false">IFERROR(__xludf.dummyfunction("""COMPUTED_VALUE"""),"United")</f>
        <v>United</v>
      </c>
      <c r="M2523" s="27" t="str">
        <f aca="false">IFERROR(__xludf.dummyfunction("""COMPUTED_VALUE"""),"States")</f>
        <v>States</v>
      </c>
      <c r="N2523" s="25" t="str">
        <f aca="false">IFERROR(__xludf.dummyfunction("""COMPUTED_VALUE"""),"(East")</f>
        <v>(East</v>
      </c>
      <c r="O2523" s="25" t="str">
        <f aca="false">IFERROR(__xludf.dummyfunction("""COMPUTED_VALUE"""),"Coast)")</f>
        <v>Coast)</v>
      </c>
      <c r="P2523" s="25" t="str">
        <f aca="false">IFERROR(__xludf.dummyfunction("""COMPUTED_VALUE"""),"(Diff)")</f>
        <v>(Diff)</v>
      </c>
      <c r="Q2523" s="29" t="s">
        <v>356</v>
      </c>
      <c r="R2523" s="8" t="str">
        <f aca="false">B2523&amp;" "&amp;C2523&amp;" "&amp;D2523&amp;" "&amp;E2523&amp;" "&amp;G2523&amp;" "&amp;H2523&amp;" "&amp;J2523&amp;" "&amp;N2523</f>
        <v>Differentials Graphite     CIF United States (East Coast) (Diff) (East</v>
      </c>
      <c r="S2523" s="25"/>
      <c r="T2523" s="8"/>
      <c r="U2523" s="37" t="s">
        <v>2944</v>
      </c>
      <c r="V2523" s="37"/>
      <c r="W2523" s="25"/>
      <c r="X2523" s="25"/>
      <c r="Y2523" s="25"/>
      <c r="Z2523" s="25"/>
      <c r="AA2523" s="25"/>
      <c r="AB2523" s="25"/>
      <c r="AC2523" s="25"/>
      <c r="AD2523" s="25"/>
    </row>
    <row r="2524" customFormat="false" ht="15.75" hidden="false" customHeight="false" outlineLevel="0" collapsed="false">
      <c r="A2524" s="28" t="s">
        <v>2945</v>
      </c>
      <c r="B2524" s="27" t="s">
        <v>438</v>
      </c>
      <c r="C2524" s="27" t="s">
        <v>308</v>
      </c>
      <c r="D2524" s="25"/>
      <c r="E2524" s="25"/>
      <c r="F2524" s="25"/>
      <c r="G2524" s="25"/>
      <c r="H2524" s="25"/>
      <c r="I2524" s="25"/>
      <c r="J2524" s="27" t="s">
        <v>2900</v>
      </c>
      <c r="K2524" s="25" t="str">
        <f aca="false">IFERROR(__xludf.dummyfunction("SPLIT(J2524,"" "")"),"CIF")</f>
        <v>CIF</v>
      </c>
      <c r="L2524" s="28" t="str">
        <f aca="false">IFERROR(__xludf.dummyfunction("""COMPUTED_VALUE"""),"United")</f>
        <v>United</v>
      </c>
      <c r="M2524" s="27" t="str">
        <f aca="false">IFERROR(__xludf.dummyfunction("""COMPUTED_VALUE"""),"States")</f>
        <v>States</v>
      </c>
      <c r="N2524" s="25" t="str">
        <f aca="false">IFERROR(__xludf.dummyfunction("""COMPUTED_VALUE"""),"(East")</f>
        <v>(East</v>
      </c>
      <c r="O2524" s="25" t="str">
        <f aca="false">IFERROR(__xludf.dummyfunction("""COMPUTED_VALUE"""),"Coast)")</f>
        <v>Coast)</v>
      </c>
      <c r="P2524" s="25" t="str">
        <f aca="false">IFERROR(__xludf.dummyfunction("""COMPUTED_VALUE"""),"(Diff)")</f>
        <v>(Diff)</v>
      </c>
      <c r="Q2524" s="29" t="s">
        <v>354</v>
      </c>
      <c r="R2524" s="8" t="str">
        <f aca="false">B2524&amp;" "&amp;C2524&amp;" "&amp;D2524&amp;" "&amp;E2524&amp;" "&amp;G2524&amp;" "&amp;H2524&amp;" "&amp;J2524&amp;" "&amp;N2524</f>
        <v>Differentials Graphite     CIF United States (East Coast) (Diff) (East</v>
      </c>
      <c r="S2524" s="25"/>
      <c r="T2524" s="8"/>
      <c r="U2524" s="37" t="s">
        <v>2946</v>
      </c>
      <c r="V2524" s="37"/>
      <c r="W2524" s="25"/>
      <c r="X2524" s="25"/>
      <c r="Y2524" s="25"/>
      <c r="Z2524" s="25"/>
      <c r="AA2524" s="25"/>
      <c r="AB2524" s="25"/>
      <c r="AC2524" s="25"/>
      <c r="AD2524" s="25"/>
    </row>
    <row r="2525" customFormat="false" ht="15.75" hidden="false" customHeight="false" outlineLevel="0" collapsed="false">
      <c r="A2525" s="28" t="s">
        <v>2947</v>
      </c>
      <c r="B2525" s="27" t="s">
        <v>438</v>
      </c>
      <c r="C2525" s="27" t="s">
        <v>308</v>
      </c>
      <c r="D2525" s="25"/>
      <c r="E2525" s="25"/>
      <c r="F2525" s="25"/>
      <c r="G2525" s="25"/>
      <c r="H2525" s="25"/>
      <c r="I2525" s="25"/>
      <c r="J2525" s="27" t="s">
        <v>2900</v>
      </c>
      <c r="K2525" s="25" t="str">
        <f aca="false">IFERROR(__xludf.dummyfunction("SPLIT(J2525,"" "")"),"CIF")</f>
        <v>CIF</v>
      </c>
      <c r="L2525" s="28" t="str">
        <f aca="false">IFERROR(__xludf.dummyfunction("""COMPUTED_VALUE"""),"United")</f>
        <v>United</v>
      </c>
      <c r="M2525" s="27" t="str">
        <f aca="false">IFERROR(__xludf.dummyfunction("""COMPUTED_VALUE"""),"States")</f>
        <v>States</v>
      </c>
      <c r="N2525" s="25" t="str">
        <f aca="false">IFERROR(__xludf.dummyfunction("""COMPUTED_VALUE"""),"(East")</f>
        <v>(East</v>
      </c>
      <c r="O2525" s="25" t="str">
        <f aca="false">IFERROR(__xludf.dummyfunction("""COMPUTED_VALUE"""),"Coast)")</f>
        <v>Coast)</v>
      </c>
      <c r="P2525" s="25" t="str">
        <f aca="false">IFERROR(__xludf.dummyfunction("""COMPUTED_VALUE"""),"(Diff)")</f>
        <v>(Diff)</v>
      </c>
      <c r="Q2525" s="29" t="s">
        <v>352</v>
      </c>
      <c r="R2525" s="8" t="str">
        <f aca="false">B2525&amp;" "&amp;C2525&amp;" "&amp;D2525&amp;" "&amp;E2525&amp;" "&amp;G2525&amp;" "&amp;H2525&amp;" "&amp;J2525&amp;" "&amp;N2525</f>
        <v>Differentials Graphite     CIF United States (East Coast) (Diff) (East</v>
      </c>
      <c r="S2525" s="25"/>
      <c r="T2525" s="8"/>
      <c r="U2525" s="37" t="s">
        <v>2948</v>
      </c>
      <c r="V2525" s="37"/>
      <c r="W2525" s="25"/>
      <c r="X2525" s="25"/>
      <c r="Y2525" s="25"/>
      <c r="Z2525" s="25"/>
      <c r="AA2525" s="25"/>
      <c r="AB2525" s="25"/>
      <c r="AC2525" s="25"/>
      <c r="AD2525" s="25"/>
    </row>
    <row r="2526" customFormat="false" ht="15.75" hidden="false" customHeight="false" outlineLevel="0" collapsed="false">
      <c r="A2526" s="28" t="s">
        <v>2949</v>
      </c>
      <c r="B2526" s="27" t="s">
        <v>438</v>
      </c>
      <c r="C2526" s="27" t="s">
        <v>308</v>
      </c>
      <c r="D2526" s="25"/>
      <c r="E2526" s="25"/>
      <c r="F2526" s="25"/>
      <c r="G2526" s="25"/>
      <c r="H2526" s="25"/>
      <c r="I2526" s="25"/>
      <c r="J2526" s="27" t="s">
        <v>2900</v>
      </c>
      <c r="K2526" s="25" t="str">
        <f aca="false">IFERROR(__xludf.dummyfunction("SPLIT(J2526,"" "")"),"CIF")</f>
        <v>CIF</v>
      </c>
      <c r="L2526" s="28" t="str">
        <f aca="false">IFERROR(__xludf.dummyfunction("""COMPUTED_VALUE"""),"United")</f>
        <v>United</v>
      </c>
      <c r="M2526" s="27" t="str">
        <f aca="false">IFERROR(__xludf.dummyfunction("""COMPUTED_VALUE"""),"States")</f>
        <v>States</v>
      </c>
      <c r="N2526" s="25" t="str">
        <f aca="false">IFERROR(__xludf.dummyfunction("""COMPUTED_VALUE"""),"(East")</f>
        <v>(East</v>
      </c>
      <c r="O2526" s="25" t="str">
        <f aca="false">IFERROR(__xludf.dummyfunction("""COMPUTED_VALUE"""),"Coast)")</f>
        <v>Coast)</v>
      </c>
      <c r="P2526" s="25" t="str">
        <f aca="false">IFERROR(__xludf.dummyfunction("""COMPUTED_VALUE"""),"(Diff)")</f>
        <v>(Diff)</v>
      </c>
      <c r="Q2526" s="29" t="s">
        <v>350</v>
      </c>
      <c r="R2526" s="8" t="str">
        <f aca="false">B2526&amp;" "&amp;C2526&amp;" "&amp;D2526&amp;" "&amp;E2526&amp;" "&amp;G2526&amp;" "&amp;H2526&amp;" "&amp;J2526&amp;" "&amp;N2526</f>
        <v>Differentials Graphite     CIF United States (East Coast) (Diff) (East</v>
      </c>
      <c r="S2526" s="25"/>
      <c r="T2526" s="8"/>
      <c r="U2526" s="37" t="s">
        <v>2950</v>
      </c>
      <c r="V2526" s="37"/>
      <c r="W2526" s="25"/>
      <c r="X2526" s="25"/>
      <c r="Y2526" s="25"/>
      <c r="Z2526" s="25"/>
      <c r="AA2526" s="25"/>
      <c r="AB2526" s="25"/>
      <c r="AC2526" s="25"/>
      <c r="AD2526" s="25"/>
    </row>
    <row r="2527" customFormat="false" ht="15.75" hidden="false" customHeight="false" outlineLevel="0" collapsed="false">
      <c r="A2527" s="28" t="s">
        <v>2951</v>
      </c>
      <c r="B2527" s="27" t="s">
        <v>438</v>
      </c>
      <c r="C2527" s="27" t="s">
        <v>308</v>
      </c>
      <c r="D2527" s="25"/>
      <c r="E2527" s="25"/>
      <c r="F2527" s="25"/>
      <c r="G2527" s="25"/>
      <c r="H2527" s="25"/>
      <c r="I2527" s="25"/>
      <c r="J2527" s="27" t="s">
        <v>2900</v>
      </c>
      <c r="K2527" s="25" t="str">
        <f aca="false">IFERROR(__xludf.dummyfunction("SPLIT(J2527,"" "")"),"CIF")</f>
        <v>CIF</v>
      </c>
      <c r="L2527" s="28" t="str">
        <f aca="false">IFERROR(__xludf.dummyfunction("""COMPUTED_VALUE"""),"United")</f>
        <v>United</v>
      </c>
      <c r="M2527" s="27" t="str">
        <f aca="false">IFERROR(__xludf.dummyfunction("""COMPUTED_VALUE"""),"States")</f>
        <v>States</v>
      </c>
      <c r="N2527" s="25" t="str">
        <f aca="false">IFERROR(__xludf.dummyfunction("""COMPUTED_VALUE"""),"(East")</f>
        <v>(East</v>
      </c>
      <c r="O2527" s="25" t="str">
        <f aca="false">IFERROR(__xludf.dummyfunction("""COMPUTED_VALUE"""),"Coast)")</f>
        <v>Coast)</v>
      </c>
      <c r="P2527" s="25" t="str">
        <f aca="false">IFERROR(__xludf.dummyfunction("""COMPUTED_VALUE"""),"(Diff)")</f>
        <v>(Diff)</v>
      </c>
      <c r="Q2527" s="29" t="s">
        <v>347</v>
      </c>
      <c r="R2527" s="8" t="str">
        <f aca="false">B2527&amp;" "&amp;C2527&amp;" "&amp;D2527&amp;" "&amp;E2527&amp;" "&amp;G2527&amp;" "&amp;H2527&amp;" "&amp;J2527&amp;" "&amp;N2527</f>
        <v>Differentials Graphite     CIF United States (East Coast) (Diff) (East</v>
      </c>
      <c r="S2527" s="25"/>
      <c r="T2527" s="8"/>
      <c r="U2527" s="37" t="s">
        <v>2952</v>
      </c>
      <c r="V2527" s="37"/>
      <c r="W2527" s="25"/>
      <c r="X2527" s="25"/>
      <c r="Y2527" s="25"/>
      <c r="Z2527" s="25"/>
      <c r="AA2527" s="25"/>
      <c r="AB2527" s="25"/>
      <c r="AC2527" s="25"/>
      <c r="AD2527" s="25"/>
    </row>
    <row r="2528" customFormat="false" ht="15.75" hidden="false" customHeight="false" outlineLevel="0" collapsed="false">
      <c r="A2528" s="28" t="s">
        <v>2953</v>
      </c>
      <c r="B2528" s="27" t="s">
        <v>438</v>
      </c>
      <c r="C2528" s="27" t="s">
        <v>308</v>
      </c>
      <c r="D2528" s="25"/>
      <c r="E2528" s="25"/>
      <c r="F2528" s="25"/>
      <c r="G2528" s="25"/>
      <c r="H2528" s="25"/>
      <c r="I2528" s="25"/>
      <c r="J2528" s="27" t="s">
        <v>2900</v>
      </c>
      <c r="K2528" s="25" t="str">
        <f aca="false">IFERROR(__xludf.dummyfunction("SPLIT(J2528,"" "")"),"CIF")</f>
        <v>CIF</v>
      </c>
      <c r="L2528" s="28" t="str">
        <f aca="false">IFERROR(__xludf.dummyfunction("""COMPUTED_VALUE"""),"United")</f>
        <v>United</v>
      </c>
      <c r="M2528" s="27" t="str">
        <f aca="false">IFERROR(__xludf.dummyfunction("""COMPUTED_VALUE"""),"States")</f>
        <v>States</v>
      </c>
      <c r="N2528" s="25" t="str">
        <f aca="false">IFERROR(__xludf.dummyfunction("""COMPUTED_VALUE"""),"(East")</f>
        <v>(East</v>
      </c>
      <c r="O2528" s="25" t="str">
        <f aca="false">IFERROR(__xludf.dummyfunction("""COMPUTED_VALUE"""),"Coast)")</f>
        <v>Coast)</v>
      </c>
      <c r="P2528" s="25" t="str">
        <f aca="false">IFERROR(__xludf.dummyfunction("""COMPUTED_VALUE"""),"(Diff)")</f>
        <v>(Diff)</v>
      </c>
      <c r="Q2528" s="29" t="s">
        <v>344</v>
      </c>
      <c r="R2528" s="8" t="str">
        <f aca="false">B2528&amp;" "&amp;C2528&amp;" "&amp;D2528&amp;" "&amp;E2528&amp;" "&amp;G2528&amp;" "&amp;H2528&amp;" "&amp;J2528&amp;" "&amp;N2528</f>
        <v>Differentials Graphite     CIF United States (East Coast) (Diff) (East</v>
      </c>
      <c r="S2528" s="25"/>
      <c r="T2528" s="8"/>
      <c r="U2528" s="37" t="s">
        <v>2954</v>
      </c>
      <c r="V2528" s="37"/>
      <c r="W2528" s="25"/>
      <c r="X2528" s="25"/>
      <c r="Y2528" s="25"/>
      <c r="Z2528" s="25"/>
      <c r="AA2528" s="25"/>
      <c r="AB2528" s="25"/>
      <c r="AC2528" s="25"/>
      <c r="AD2528" s="25"/>
    </row>
    <row r="2529" customFormat="false" ht="15.75" hidden="false" customHeight="false" outlineLevel="0" collapsed="false">
      <c r="A2529" s="28" t="s">
        <v>2955</v>
      </c>
      <c r="B2529" s="27" t="s">
        <v>438</v>
      </c>
      <c r="C2529" s="27" t="s">
        <v>308</v>
      </c>
      <c r="D2529" s="25"/>
      <c r="E2529" s="25"/>
      <c r="F2529" s="25"/>
      <c r="G2529" s="25"/>
      <c r="H2529" s="25"/>
      <c r="I2529" s="25"/>
      <c r="J2529" s="27" t="s">
        <v>2900</v>
      </c>
      <c r="K2529" s="25" t="str">
        <f aca="false">IFERROR(__xludf.dummyfunction("SPLIT(J2529,"" "")"),"CIF")</f>
        <v>CIF</v>
      </c>
      <c r="L2529" s="28" t="str">
        <f aca="false">IFERROR(__xludf.dummyfunction("""COMPUTED_VALUE"""),"United")</f>
        <v>United</v>
      </c>
      <c r="M2529" s="27" t="str">
        <f aca="false">IFERROR(__xludf.dummyfunction("""COMPUTED_VALUE"""),"States")</f>
        <v>States</v>
      </c>
      <c r="N2529" s="25" t="str">
        <f aca="false">IFERROR(__xludf.dummyfunction("""COMPUTED_VALUE"""),"(East")</f>
        <v>(East</v>
      </c>
      <c r="O2529" s="25" t="str">
        <f aca="false">IFERROR(__xludf.dummyfunction("""COMPUTED_VALUE"""),"Coast)")</f>
        <v>Coast)</v>
      </c>
      <c r="P2529" s="25" t="str">
        <f aca="false">IFERROR(__xludf.dummyfunction("""COMPUTED_VALUE"""),"(Diff)")</f>
        <v>(Diff)</v>
      </c>
      <c r="Q2529" s="29" t="s">
        <v>340</v>
      </c>
      <c r="R2529" s="8" t="str">
        <f aca="false">B2529&amp;" "&amp;C2529&amp;" "&amp;D2529&amp;" "&amp;E2529&amp;" "&amp;G2529&amp;" "&amp;H2529&amp;" "&amp;J2529&amp;" "&amp;N2529</f>
        <v>Differentials Graphite     CIF United States (East Coast) (Diff) (East</v>
      </c>
      <c r="S2529" s="25"/>
      <c r="T2529" s="8"/>
      <c r="U2529" s="37" t="s">
        <v>2956</v>
      </c>
      <c r="V2529" s="37"/>
      <c r="W2529" s="25"/>
      <c r="X2529" s="25"/>
      <c r="Y2529" s="25"/>
      <c r="Z2529" s="25"/>
      <c r="AA2529" s="25"/>
      <c r="AB2529" s="25"/>
      <c r="AC2529" s="25"/>
      <c r="AD2529" s="25"/>
    </row>
    <row r="2530" customFormat="false" ht="15.75" hidden="false" customHeight="false" outlineLevel="0" collapsed="false">
      <c r="A2530" s="28" t="s">
        <v>2957</v>
      </c>
      <c r="B2530" s="27" t="s">
        <v>438</v>
      </c>
      <c r="C2530" s="27" t="s">
        <v>308</v>
      </c>
      <c r="D2530" s="25"/>
      <c r="E2530" s="25"/>
      <c r="F2530" s="25"/>
      <c r="G2530" s="25"/>
      <c r="H2530" s="25"/>
      <c r="I2530" s="25"/>
      <c r="J2530" s="27" t="s">
        <v>2900</v>
      </c>
      <c r="K2530" s="25" t="str">
        <f aca="false">IFERROR(__xludf.dummyfunction("SPLIT(J2530,"" "")"),"CIF")</f>
        <v>CIF</v>
      </c>
      <c r="L2530" s="28" t="str">
        <f aca="false">IFERROR(__xludf.dummyfunction("""COMPUTED_VALUE"""),"United")</f>
        <v>United</v>
      </c>
      <c r="M2530" s="27" t="str">
        <f aca="false">IFERROR(__xludf.dummyfunction("""COMPUTED_VALUE"""),"States")</f>
        <v>States</v>
      </c>
      <c r="N2530" s="25" t="str">
        <f aca="false">IFERROR(__xludf.dummyfunction("""COMPUTED_VALUE"""),"(East")</f>
        <v>(East</v>
      </c>
      <c r="O2530" s="25" t="str">
        <f aca="false">IFERROR(__xludf.dummyfunction("""COMPUTED_VALUE"""),"Coast)")</f>
        <v>Coast)</v>
      </c>
      <c r="P2530" s="25" t="str">
        <f aca="false">IFERROR(__xludf.dummyfunction("""COMPUTED_VALUE"""),"(Diff)")</f>
        <v>(Diff)</v>
      </c>
      <c r="Q2530" s="29" t="s">
        <v>338</v>
      </c>
      <c r="R2530" s="8" t="str">
        <f aca="false">B2530&amp;" "&amp;C2530&amp;" "&amp;D2530&amp;" "&amp;E2530&amp;" "&amp;G2530&amp;" "&amp;H2530&amp;" "&amp;J2530&amp;" "&amp;N2530</f>
        <v>Differentials Graphite     CIF United States (East Coast) (Diff) (East</v>
      </c>
      <c r="S2530" s="25"/>
      <c r="T2530" s="8"/>
      <c r="U2530" s="37" t="s">
        <v>2958</v>
      </c>
      <c r="V2530" s="37"/>
      <c r="W2530" s="25"/>
      <c r="X2530" s="25"/>
      <c r="Y2530" s="25"/>
      <c r="Z2530" s="25"/>
      <c r="AA2530" s="25"/>
      <c r="AB2530" s="25"/>
      <c r="AC2530" s="25"/>
      <c r="AD2530" s="25"/>
    </row>
    <row r="2531" customFormat="false" ht="15.75" hidden="false" customHeight="false" outlineLevel="0" collapsed="false">
      <c r="A2531" s="28" t="s">
        <v>2959</v>
      </c>
      <c r="B2531" s="27" t="s">
        <v>438</v>
      </c>
      <c r="C2531" s="27" t="s">
        <v>308</v>
      </c>
      <c r="D2531" s="25"/>
      <c r="E2531" s="25"/>
      <c r="F2531" s="25"/>
      <c r="G2531" s="25"/>
      <c r="H2531" s="25"/>
      <c r="I2531" s="25"/>
      <c r="J2531" s="27" t="s">
        <v>2900</v>
      </c>
      <c r="K2531" s="25" t="str">
        <f aca="false">IFERROR(__xludf.dummyfunction("SPLIT(J2531,"" "")"),"CIF")</f>
        <v>CIF</v>
      </c>
      <c r="L2531" s="28" t="str">
        <f aca="false">IFERROR(__xludf.dummyfunction("""COMPUTED_VALUE"""),"United")</f>
        <v>United</v>
      </c>
      <c r="M2531" s="27" t="str">
        <f aca="false">IFERROR(__xludf.dummyfunction("""COMPUTED_VALUE"""),"States")</f>
        <v>States</v>
      </c>
      <c r="N2531" s="25" t="str">
        <f aca="false">IFERROR(__xludf.dummyfunction("""COMPUTED_VALUE"""),"(East")</f>
        <v>(East</v>
      </c>
      <c r="O2531" s="25" t="str">
        <f aca="false">IFERROR(__xludf.dummyfunction("""COMPUTED_VALUE"""),"Coast)")</f>
        <v>Coast)</v>
      </c>
      <c r="P2531" s="25" t="str">
        <f aca="false">IFERROR(__xludf.dummyfunction("""COMPUTED_VALUE"""),"(Diff)")</f>
        <v>(Diff)</v>
      </c>
      <c r="Q2531" s="29" t="s">
        <v>335</v>
      </c>
      <c r="R2531" s="8" t="str">
        <f aca="false">B2531&amp;" "&amp;C2531&amp;" "&amp;D2531&amp;" "&amp;E2531&amp;" "&amp;G2531&amp;" "&amp;H2531&amp;" "&amp;J2531&amp;" "&amp;N2531</f>
        <v>Differentials Graphite     CIF United States (East Coast) (Diff) (East</v>
      </c>
      <c r="S2531" s="25"/>
      <c r="T2531" s="8"/>
      <c r="U2531" s="37" t="s">
        <v>2960</v>
      </c>
      <c r="V2531" s="37"/>
      <c r="W2531" s="25"/>
      <c r="X2531" s="25"/>
      <c r="Y2531" s="25"/>
      <c r="Z2531" s="25"/>
      <c r="AA2531" s="25"/>
      <c r="AB2531" s="25"/>
      <c r="AC2531" s="25"/>
      <c r="AD2531" s="25"/>
    </row>
    <row r="2532" customFormat="false" ht="15.75" hidden="false" customHeight="false" outlineLevel="0" collapsed="false">
      <c r="A2532" s="28" t="s">
        <v>2961</v>
      </c>
      <c r="B2532" s="27" t="s">
        <v>438</v>
      </c>
      <c r="C2532" s="27" t="s">
        <v>308</v>
      </c>
      <c r="D2532" s="25"/>
      <c r="E2532" s="25"/>
      <c r="F2532" s="25"/>
      <c r="G2532" s="25"/>
      <c r="H2532" s="25"/>
      <c r="I2532" s="25"/>
      <c r="J2532" s="27" t="s">
        <v>2900</v>
      </c>
      <c r="K2532" s="25" t="str">
        <f aca="false">IFERROR(__xludf.dummyfunction("SPLIT(J2532,"" "")"),"CIF")</f>
        <v>CIF</v>
      </c>
      <c r="L2532" s="28" t="str">
        <f aca="false">IFERROR(__xludf.dummyfunction("""COMPUTED_VALUE"""),"United")</f>
        <v>United</v>
      </c>
      <c r="M2532" s="27" t="str">
        <f aca="false">IFERROR(__xludf.dummyfunction("""COMPUTED_VALUE"""),"States")</f>
        <v>States</v>
      </c>
      <c r="N2532" s="25" t="str">
        <f aca="false">IFERROR(__xludf.dummyfunction("""COMPUTED_VALUE"""),"(East")</f>
        <v>(East</v>
      </c>
      <c r="O2532" s="25" t="str">
        <f aca="false">IFERROR(__xludf.dummyfunction("""COMPUTED_VALUE"""),"Coast)")</f>
        <v>Coast)</v>
      </c>
      <c r="P2532" s="25" t="str">
        <f aca="false">IFERROR(__xludf.dummyfunction("""COMPUTED_VALUE"""),"(Diff)")</f>
        <v>(Diff)</v>
      </c>
      <c r="Q2532" s="29" t="s">
        <v>332</v>
      </c>
      <c r="R2532" s="8" t="str">
        <f aca="false">B2532&amp;" "&amp;C2532&amp;" "&amp;D2532&amp;" "&amp;E2532&amp;" "&amp;G2532&amp;" "&amp;H2532&amp;" "&amp;J2532&amp;" "&amp;N2532</f>
        <v>Differentials Graphite     CIF United States (East Coast) (Diff) (East</v>
      </c>
      <c r="S2532" s="25"/>
      <c r="T2532" s="8"/>
      <c r="U2532" s="37" t="s">
        <v>2962</v>
      </c>
      <c r="V2532" s="37"/>
      <c r="W2532" s="25"/>
      <c r="X2532" s="25"/>
      <c r="Y2532" s="25"/>
      <c r="Z2532" s="25"/>
      <c r="AA2532" s="25"/>
      <c r="AB2532" s="25"/>
      <c r="AC2532" s="25"/>
      <c r="AD2532" s="25"/>
    </row>
    <row r="2533" customFormat="false" ht="15.75" hidden="false" customHeight="false" outlineLevel="0" collapsed="false">
      <c r="A2533" s="28" t="s">
        <v>2963</v>
      </c>
      <c r="B2533" s="27" t="s">
        <v>438</v>
      </c>
      <c r="C2533" s="27" t="s">
        <v>308</v>
      </c>
      <c r="D2533" s="25"/>
      <c r="E2533" s="25"/>
      <c r="F2533" s="25"/>
      <c r="G2533" s="25"/>
      <c r="H2533" s="25"/>
      <c r="I2533" s="25"/>
      <c r="J2533" s="27" t="s">
        <v>2900</v>
      </c>
      <c r="K2533" s="25" t="str">
        <f aca="false">IFERROR(__xludf.dummyfunction("SPLIT(J2533,"" "")"),"CIF")</f>
        <v>CIF</v>
      </c>
      <c r="L2533" s="28" t="str">
        <f aca="false">IFERROR(__xludf.dummyfunction("""COMPUTED_VALUE"""),"United")</f>
        <v>United</v>
      </c>
      <c r="M2533" s="27" t="str">
        <f aca="false">IFERROR(__xludf.dummyfunction("""COMPUTED_VALUE"""),"States")</f>
        <v>States</v>
      </c>
      <c r="N2533" s="25" t="str">
        <f aca="false">IFERROR(__xludf.dummyfunction("""COMPUTED_VALUE"""),"(East")</f>
        <v>(East</v>
      </c>
      <c r="O2533" s="25" t="str">
        <f aca="false">IFERROR(__xludf.dummyfunction("""COMPUTED_VALUE"""),"Coast)")</f>
        <v>Coast)</v>
      </c>
      <c r="P2533" s="25" t="str">
        <f aca="false">IFERROR(__xludf.dummyfunction("""COMPUTED_VALUE"""),"(Diff)")</f>
        <v>(Diff)</v>
      </c>
      <c r="Q2533" s="29" t="s">
        <v>329</v>
      </c>
      <c r="R2533" s="8" t="str">
        <f aca="false">B2533&amp;" "&amp;C2533&amp;" "&amp;D2533&amp;" "&amp;E2533&amp;" "&amp;G2533&amp;" "&amp;H2533&amp;" "&amp;J2533&amp;" "&amp;N2533</f>
        <v>Differentials Graphite     CIF United States (East Coast) (Diff) (East</v>
      </c>
      <c r="S2533" s="25"/>
      <c r="T2533" s="8"/>
      <c r="U2533" s="37" t="s">
        <v>2964</v>
      </c>
      <c r="V2533" s="37"/>
      <c r="W2533" s="25"/>
      <c r="X2533" s="25"/>
      <c r="Y2533" s="25"/>
      <c r="Z2533" s="25"/>
      <c r="AA2533" s="25"/>
      <c r="AB2533" s="25"/>
      <c r="AC2533" s="25"/>
      <c r="AD2533" s="25"/>
    </row>
    <row r="2534" customFormat="false" ht="15.75" hidden="false" customHeight="false" outlineLevel="0" collapsed="false">
      <c r="A2534" s="28" t="s">
        <v>2965</v>
      </c>
      <c r="B2534" s="27" t="s">
        <v>438</v>
      </c>
      <c r="C2534" s="27" t="s">
        <v>308</v>
      </c>
      <c r="D2534" s="25"/>
      <c r="E2534" s="25"/>
      <c r="F2534" s="25"/>
      <c r="G2534" s="25"/>
      <c r="H2534" s="25"/>
      <c r="I2534" s="25"/>
      <c r="J2534" s="27" t="s">
        <v>2900</v>
      </c>
      <c r="K2534" s="25" t="str">
        <f aca="false">IFERROR(__xludf.dummyfunction("SPLIT(J2534,"" "")"),"CIF")</f>
        <v>CIF</v>
      </c>
      <c r="L2534" s="28" t="str">
        <f aca="false">IFERROR(__xludf.dummyfunction("""COMPUTED_VALUE"""),"United")</f>
        <v>United</v>
      </c>
      <c r="M2534" s="27" t="str">
        <f aca="false">IFERROR(__xludf.dummyfunction("""COMPUTED_VALUE"""),"States")</f>
        <v>States</v>
      </c>
      <c r="N2534" s="25" t="str">
        <f aca="false">IFERROR(__xludf.dummyfunction("""COMPUTED_VALUE"""),"(East")</f>
        <v>(East</v>
      </c>
      <c r="O2534" s="25" t="str">
        <f aca="false">IFERROR(__xludf.dummyfunction("""COMPUTED_VALUE"""),"Coast)")</f>
        <v>Coast)</v>
      </c>
      <c r="P2534" s="25" t="str">
        <f aca="false">IFERROR(__xludf.dummyfunction("""COMPUTED_VALUE"""),"(Diff)")</f>
        <v>(Diff)</v>
      </c>
      <c r="Q2534" s="29" t="s">
        <v>326</v>
      </c>
      <c r="R2534" s="8" t="str">
        <f aca="false">B2534&amp;" "&amp;C2534&amp;" "&amp;D2534&amp;" "&amp;E2534&amp;" "&amp;G2534&amp;" "&amp;H2534&amp;" "&amp;J2534&amp;" "&amp;N2534</f>
        <v>Differentials Graphite     CIF United States (East Coast) (Diff) (East</v>
      </c>
      <c r="S2534" s="25"/>
      <c r="T2534" s="8"/>
      <c r="U2534" s="37" t="s">
        <v>2966</v>
      </c>
      <c r="V2534" s="37"/>
      <c r="W2534" s="25"/>
      <c r="X2534" s="25"/>
      <c r="Y2534" s="25"/>
      <c r="Z2534" s="25"/>
      <c r="AA2534" s="25"/>
      <c r="AB2534" s="25"/>
      <c r="AC2534" s="25"/>
      <c r="AD2534" s="25"/>
    </row>
    <row r="2535" customFormat="false" ht="15.75" hidden="false" customHeight="false" outlineLevel="0" collapsed="false">
      <c r="A2535" s="28" t="s">
        <v>2967</v>
      </c>
      <c r="B2535" s="27" t="s">
        <v>438</v>
      </c>
      <c r="C2535" s="27" t="s">
        <v>308</v>
      </c>
      <c r="D2535" s="25"/>
      <c r="E2535" s="25"/>
      <c r="F2535" s="25"/>
      <c r="G2535" s="25"/>
      <c r="H2535" s="25"/>
      <c r="I2535" s="25"/>
      <c r="J2535" s="27" t="s">
        <v>2900</v>
      </c>
      <c r="K2535" s="25" t="str">
        <f aca="false">IFERROR(__xludf.dummyfunction("SPLIT(J2535,"" "")"),"CIF")</f>
        <v>CIF</v>
      </c>
      <c r="L2535" s="28" t="str">
        <f aca="false">IFERROR(__xludf.dummyfunction("""COMPUTED_VALUE"""),"United")</f>
        <v>United</v>
      </c>
      <c r="M2535" s="27" t="str">
        <f aca="false">IFERROR(__xludf.dummyfunction("""COMPUTED_VALUE"""),"States")</f>
        <v>States</v>
      </c>
      <c r="N2535" s="25" t="str">
        <f aca="false">IFERROR(__xludf.dummyfunction("""COMPUTED_VALUE"""),"(East")</f>
        <v>(East</v>
      </c>
      <c r="O2535" s="25" t="str">
        <f aca="false">IFERROR(__xludf.dummyfunction("""COMPUTED_VALUE"""),"Coast)")</f>
        <v>Coast)</v>
      </c>
      <c r="P2535" s="25" t="str">
        <f aca="false">IFERROR(__xludf.dummyfunction("""COMPUTED_VALUE"""),"(Diff)")</f>
        <v>(Diff)</v>
      </c>
      <c r="Q2535" s="29" t="s">
        <v>323</v>
      </c>
      <c r="R2535" s="8" t="str">
        <f aca="false">B2535&amp;" "&amp;C2535&amp;" "&amp;D2535&amp;" "&amp;E2535&amp;" "&amp;G2535&amp;" "&amp;H2535&amp;" "&amp;J2535&amp;" "&amp;N2535</f>
        <v>Differentials Graphite     CIF United States (East Coast) (Diff) (East</v>
      </c>
      <c r="S2535" s="25"/>
      <c r="T2535" s="8"/>
      <c r="U2535" s="37" t="s">
        <v>2968</v>
      </c>
      <c r="V2535" s="37"/>
      <c r="W2535" s="25"/>
      <c r="X2535" s="25"/>
      <c r="Y2535" s="25"/>
      <c r="Z2535" s="25"/>
      <c r="AA2535" s="25"/>
      <c r="AB2535" s="25"/>
      <c r="AC2535" s="25"/>
      <c r="AD2535" s="25"/>
    </row>
    <row r="2536" customFormat="false" ht="15.75" hidden="false" customHeight="false" outlineLevel="0" collapsed="false">
      <c r="A2536" s="28" t="s">
        <v>2969</v>
      </c>
      <c r="B2536" s="27" t="s">
        <v>438</v>
      </c>
      <c r="C2536" s="27" t="s">
        <v>308</v>
      </c>
      <c r="D2536" s="25"/>
      <c r="E2536" s="25"/>
      <c r="F2536" s="25"/>
      <c r="G2536" s="25"/>
      <c r="H2536" s="25"/>
      <c r="I2536" s="25"/>
      <c r="J2536" s="27" t="s">
        <v>2900</v>
      </c>
      <c r="K2536" s="25" t="str">
        <f aca="false">IFERROR(__xludf.dummyfunction("SPLIT(J2536,"" "")"),"CIF")</f>
        <v>CIF</v>
      </c>
      <c r="L2536" s="28" t="str">
        <f aca="false">IFERROR(__xludf.dummyfunction("""COMPUTED_VALUE"""),"United")</f>
        <v>United</v>
      </c>
      <c r="M2536" s="27" t="str">
        <f aca="false">IFERROR(__xludf.dummyfunction("""COMPUTED_VALUE"""),"States")</f>
        <v>States</v>
      </c>
      <c r="N2536" s="25" t="str">
        <f aca="false">IFERROR(__xludf.dummyfunction("""COMPUTED_VALUE"""),"(East")</f>
        <v>(East</v>
      </c>
      <c r="O2536" s="25" t="str">
        <f aca="false">IFERROR(__xludf.dummyfunction("""COMPUTED_VALUE"""),"Coast)")</f>
        <v>Coast)</v>
      </c>
      <c r="P2536" s="25" t="str">
        <f aca="false">IFERROR(__xludf.dummyfunction("""COMPUTED_VALUE"""),"(Diff)")</f>
        <v>(Diff)</v>
      </c>
      <c r="Q2536" s="29" t="s">
        <v>319</v>
      </c>
      <c r="R2536" s="8" t="str">
        <f aca="false">B2536&amp;" "&amp;C2536&amp;" "&amp;D2536&amp;" "&amp;E2536&amp;" "&amp;G2536&amp;" "&amp;H2536&amp;" "&amp;J2536&amp;" "&amp;N2536</f>
        <v>Differentials Graphite     CIF United States (East Coast) (Diff) (East</v>
      </c>
      <c r="S2536" s="25"/>
      <c r="T2536" s="8"/>
      <c r="U2536" s="37" t="s">
        <v>2970</v>
      </c>
      <c r="V2536" s="37"/>
      <c r="W2536" s="37"/>
      <c r="X2536" s="25"/>
      <c r="Y2536" s="25"/>
      <c r="Z2536" s="25"/>
      <c r="AA2536" s="25"/>
      <c r="AB2536" s="25"/>
      <c r="AC2536" s="25"/>
      <c r="AD2536" s="25"/>
    </row>
    <row r="2537" customFormat="false" ht="15.75" hidden="false" customHeight="false" outlineLevel="0" collapsed="false">
      <c r="A2537" s="28" t="s">
        <v>2971</v>
      </c>
      <c r="B2537" s="27" t="s">
        <v>438</v>
      </c>
      <c r="C2537" s="27" t="s">
        <v>308</v>
      </c>
      <c r="D2537" s="25"/>
      <c r="E2537" s="25"/>
      <c r="F2537" s="25"/>
      <c r="G2537" s="25"/>
      <c r="H2537" s="25"/>
      <c r="I2537" s="25"/>
      <c r="J2537" s="27" t="s">
        <v>2900</v>
      </c>
      <c r="K2537" s="25" t="str">
        <f aca="false">IFERROR(__xludf.dummyfunction("SPLIT(J2537,"" "")"),"CIF")</f>
        <v>CIF</v>
      </c>
      <c r="L2537" s="28" t="str">
        <f aca="false">IFERROR(__xludf.dummyfunction("""COMPUTED_VALUE"""),"United")</f>
        <v>United</v>
      </c>
      <c r="M2537" s="27" t="str">
        <f aca="false">IFERROR(__xludf.dummyfunction("""COMPUTED_VALUE"""),"States")</f>
        <v>States</v>
      </c>
      <c r="N2537" s="25" t="str">
        <f aca="false">IFERROR(__xludf.dummyfunction("""COMPUTED_VALUE"""),"(East")</f>
        <v>(East</v>
      </c>
      <c r="O2537" s="25" t="str">
        <f aca="false">IFERROR(__xludf.dummyfunction("""COMPUTED_VALUE"""),"Coast)")</f>
        <v>Coast)</v>
      </c>
      <c r="P2537" s="25" t="str">
        <f aca="false">IFERROR(__xludf.dummyfunction("""COMPUTED_VALUE"""),"(Diff)")</f>
        <v>(Diff)</v>
      </c>
      <c r="Q2537" s="29" t="s">
        <v>315</v>
      </c>
      <c r="R2537" s="8" t="str">
        <f aca="false">B2537&amp;" "&amp;C2537&amp;" "&amp;D2537&amp;" "&amp;E2537&amp;" "&amp;G2537&amp;" "&amp;H2537&amp;" "&amp;J2537&amp;" "&amp;N2537</f>
        <v>Differentials Graphite     CIF United States (East Coast) (Diff) (East</v>
      </c>
      <c r="S2537" s="25"/>
      <c r="T2537" s="8"/>
      <c r="U2537" s="37" t="s">
        <v>2972</v>
      </c>
      <c r="V2537" s="37"/>
      <c r="W2537" s="25"/>
      <c r="X2537" s="25"/>
      <c r="Y2537" s="25"/>
      <c r="Z2537" s="25"/>
      <c r="AA2537" s="25"/>
      <c r="AB2537" s="25"/>
      <c r="AC2537" s="25"/>
      <c r="AD2537" s="25"/>
    </row>
    <row r="2538" customFormat="false" ht="15.75" hidden="false" customHeight="false" outlineLevel="0" collapsed="false">
      <c r="A2538" s="28" t="s">
        <v>2973</v>
      </c>
      <c r="B2538" s="27" t="s">
        <v>438</v>
      </c>
      <c r="C2538" s="27" t="s">
        <v>308</v>
      </c>
      <c r="D2538" s="25"/>
      <c r="E2538" s="25"/>
      <c r="F2538" s="25"/>
      <c r="G2538" s="25"/>
      <c r="H2538" s="25"/>
      <c r="I2538" s="25"/>
      <c r="J2538" s="27" t="s">
        <v>2900</v>
      </c>
      <c r="K2538" s="25" t="str">
        <f aca="false">IFERROR(__xludf.dummyfunction("SPLIT(J2538,"" "")"),"CIF")</f>
        <v>CIF</v>
      </c>
      <c r="L2538" s="28" t="str">
        <f aca="false">IFERROR(__xludf.dummyfunction("""COMPUTED_VALUE"""),"United")</f>
        <v>United</v>
      </c>
      <c r="M2538" s="27" t="str">
        <f aca="false">IFERROR(__xludf.dummyfunction("""COMPUTED_VALUE"""),"States")</f>
        <v>States</v>
      </c>
      <c r="N2538" s="25" t="str">
        <f aca="false">IFERROR(__xludf.dummyfunction("""COMPUTED_VALUE"""),"(East")</f>
        <v>(East</v>
      </c>
      <c r="O2538" s="25" t="str">
        <f aca="false">IFERROR(__xludf.dummyfunction("""COMPUTED_VALUE"""),"Coast)")</f>
        <v>Coast)</v>
      </c>
      <c r="P2538" s="25" t="str">
        <f aca="false">IFERROR(__xludf.dummyfunction("""COMPUTED_VALUE"""),"(Diff)")</f>
        <v>(Diff)</v>
      </c>
      <c r="Q2538" s="29" t="s">
        <v>311</v>
      </c>
      <c r="R2538" s="8" t="str">
        <f aca="false">B2538&amp;" "&amp;C2538&amp;" "&amp;D2538&amp;" "&amp;E2538&amp;" "&amp;G2538&amp;" "&amp;H2538&amp;" "&amp;J2538&amp;" "&amp;N2538</f>
        <v>Differentials Graphite     CIF United States (East Coast) (Diff) (East</v>
      </c>
      <c r="S2538" s="25"/>
      <c r="T2538" s="8"/>
      <c r="U2538" s="37" t="s">
        <v>2974</v>
      </c>
      <c r="V2538" s="37"/>
      <c r="W2538" s="25"/>
      <c r="X2538" s="25"/>
      <c r="Y2538" s="25"/>
      <c r="Z2538" s="25"/>
      <c r="AA2538" s="25"/>
      <c r="AB2538" s="25"/>
      <c r="AC2538" s="25"/>
      <c r="AD2538" s="25"/>
    </row>
    <row r="2539" customFormat="false" ht="15.75" hidden="false" customHeight="false" outlineLevel="0" collapsed="false">
      <c r="A2539" s="28" t="s">
        <v>2975</v>
      </c>
      <c r="B2539" s="27" t="s">
        <v>438</v>
      </c>
      <c r="C2539" s="27" t="s">
        <v>370</v>
      </c>
      <c r="D2539" s="25"/>
      <c r="E2539" s="25"/>
      <c r="F2539" s="25"/>
      <c r="G2539" s="25"/>
      <c r="H2539" s="25"/>
      <c r="I2539" s="25"/>
      <c r="J2539" s="27" t="s">
        <v>2900</v>
      </c>
      <c r="K2539" s="25" t="str">
        <f aca="false">IFERROR(__xludf.dummyfunction("SPLIT(J2539,"" "")"),"CIF")</f>
        <v>CIF</v>
      </c>
      <c r="L2539" s="28" t="str">
        <f aca="false">IFERROR(__xludf.dummyfunction("""COMPUTED_VALUE"""),"United")</f>
        <v>United</v>
      </c>
      <c r="M2539" s="27" t="str">
        <f aca="false">IFERROR(__xludf.dummyfunction("""COMPUTED_VALUE"""),"States")</f>
        <v>States</v>
      </c>
      <c r="N2539" s="25" t="str">
        <f aca="false">IFERROR(__xludf.dummyfunction("""COMPUTED_VALUE"""),"(East")</f>
        <v>(East</v>
      </c>
      <c r="O2539" s="25" t="str">
        <f aca="false">IFERROR(__xludf.dummyfunction("""COMPUTED_VALUE"""),"Coast)")</f>
        <v>Coast)</v>
      </c>
      <c r="P2539" s="25" t="str">
        <f aca="false">IFERROR(__xludf.dummyfunction("""COMPUTED_VALUE"""),"(Diff)")</f>
        <v>(Diff)</v>
      </c>
      <c r="Q2539" s="29" t="s">
        <v>374</v>
      </c>
      <c r="R2539" s="8" t="str">
        <f aca="false">B2539&amp;" "&amp;C2539&amp;" "&amp;D2539&amp;" "&amp;E2539&amp;" "&amp;G2539&amp;" "&amp;H2539&amp;" "&amp;J2539&amp;" "&amp;N2539</f>
        <v>Differentials Manganese     CIF United States (East Coast) (Diff) (East</v>
      </c>
      <c r="S2539" s="25"/>
      <c r="T2539" s="8"/>
      <c r="U2539" s="8"/>
      <c r="V2539" s="25"/>
      <c r="W2539" s="25"/>
      <c r="X2539" s="25"/>
      <c r="Y2539" s="25"/>
      <c r="Z2539" s="25"/>
      <c r="AA2539" s="25"/>
      <c r="AB2539" s="25"/>
      <c r="AC2539" s="25"/>
      <c r="AD2539" s="25"/>
    </row>
    <row r="2540" customFormat="false" ht="15.75" hidden="false" customHeight="false" outlineLevel="0" collapsed="false">
      <c r="A2540" s="28" t="s">
        <v>2976</v>
      </c>
      <c r="B2540" s="27" t="s">
        <v>438</v>
      </c>
      <c r="C2540" s="27" t="s">
        <v>370</v>
      </c>
      <c r="D2540" s="25"/>
      <c r="E2540" s="25"/>
      <c r="F2540" s="25"/>
      <c r="G2540" s="25"/>
      <c r="H2540" s="25"/>
      <c r="I2540" s="25"/>
      <c r="J2540" s="27" t="s">
        <v>2900</v>
      </c>
      <c r="K2540" s="25" t="str">
        <f aca="false">IFERROR(__xludf.dummyfunction("SPLIT(J2540,"" "")"),"CIF")</f>
        <v>CIF</v>
      </c>
      <c r="L2540" s="28" t="str">
        <f aca="false">IFERROR(__xludf.dummyfunction("""COMPUTED_VALUE"""),"United")</f>
        <v>United</v>
      </c>
      <c r="M2540" s="27" t="str">
        <f aca="false">IFERROR(__xludf.dummyfunction("""COMPUTED_VALUE"""),"States")</f>
        <v>States</v>
      </c>
      <c r="N2540" s="25" t="str">
        <f aca="false">IFERROR(__xludf.dummyfunction("""COMPUTED_VALUE"""),"(East")</f>
        <v>(East</v>
      </c>
      <c r="O2540" s="25" t="str">
        <f aca="false">IFERROR(__xludf.dummyfunction("""COMPUTED_VALUE"""),"Coast)")</f>
        <v>Coast)</v>
      </c>
      <c r="P2540" s="25" t="str">
        <f aca="false">IFERROR(__xludf.dummyfunction("""COMPUTED_VALUE"""),"(Diff)")</f>
        <v>(Diff)</v>
      </c>
      <c r="Q2540" s="29" t="s">
        <v>371</v>
      </c>
      <c r="R2540" s="8" t="str">
        <f aca="false">B2540&amp;" "&amp;C2540&amp;" "&amp;D2540&amp;" "&amp;E2540&amp;" "&amp;G2540&amp;" "&amp;H2540&amp;" "&amp;J2540&amp;" "&amp;N2540</f>
        <v>Differentials Manganese     CIF United States (East Coast) (Diff) (East</v>
      </c>
      <c r="S2540" s="25"/>
      <c r="T2540" s="8"/>
      <c r="U2540" s="8"/>
      <c r="V2540" s="25"/>
      <c r="W2540" s="25"/>
      <c r="X2540" s="25"/>
      <c r="Y2540" s="25"/>
      <c r="Z2540" s="25"/>
      <c r="AA2540" s="25"/>
      <c r="AB2540" s="25"/>
      <c r="AC2540" s="25"/>
      <c r="AD2540" s="25"/>
    </row>
    <row r="2541" customFormat="false" ht="15.75" hidden="false" customHeight="false" outlineLevel="0" collapsed="false">
      <c r="A2541" s="28" t="s">
        <v>2977</v>
      </c>
      <c r="B2541" s="27" t="s">
        <v>438</v>
      </c>
      <c r="C2541" s="27" t="s">
        <v>376</v>
      </c>
      <c r="D2541" s="25"/>
      <c r="E2541" s="25"/>
      <c r="F2541" s="25"/>
      <c r="G2541" s="25"/>
      <c r="H2541" s="25"/>
      <c r="I2541" s="25"/>
      <c r="J2541" s="27" t="s">
        <v>2900</v>
      </c>
      <c r="K2541" s="25" t="str">
        <f aca="false">IFERROR(__xludf.dummyfunction("SPLIT(J2541,"" "")"),"CIF")</f>
        <v>CIF</v>
      </c>
      <c r="L2541" s="28" t="str">
        <f aca="false">IFERROR(__xludf.dummyfunction("""COMPUTED_VALUE"""),"United")</f>
        <v>United</v>
      </c>
      <c r="M2541" s="27" t="str">
        <f aca="false">IFERROR(__xludf.dummyfunction("""COMPUTED_VALUE"""),"States")</f>
        <v>States</v>
      </c>
      <c r="N2541" s="25" t="str">
        <f aca="false">IFERROR(__xludf.dummyfunction("""COMPUTED_VALUE"""),"(East")</f>
        <v>(East</v>
      </c>
      <c r="O2541" s="25" t="str">
        <f aca="false">IFERROR(__xludf.dummyfunction("""COMPUTED_VALUE"""),"Coast)")</f>
        <v>Coast)</v>
      </c>
      <c r="P2541" s="25" t="str">
        <f aca="false">IFERROR(__xludf.dummyfunction("""COMPUTED_VALUE"""),"(Diff)")</f>
        <v>(Diff)</v>
      </c>
      <c r="Q2541" s="29" t="s">
        <v>381</v>
      </c>
      <c r="R2541" s="8" t="str">
        <f aca="false">B2541&amp;" "&amp;C2541&amp;" "&amp;D2541&amp;" "&amp;E2541&amp;" "&amp;G2541&amp;" "&amp;H2541&amp;" "&amp;J2541&amp;" "&amp;N2541</f>
        <v>Differentials Nickel     CIF United States (East Coast) (Diff) (East</v>
      </c>
      <c r="S2541" s="25"/>
      <c r="T2541" s="8"/>
      <c r="U2541" s="8"/>
      <c r="V2541" s="25"/>
      <c r="W2541" s="25"/>
      <c r="X2541" s="25"/>
      <c r="Y2541" s="25"/>
      <c r="Z2541" s="25"/>
      <c r="AA2541" s="25"/>
      <c r="AB2541" s="25"/>
      <c r="AC2541" s="25"/>
      <c r="AD2541" s="25"/>
    </row>
    <row r="2542" customFormat="false" ht="15.75" hidden="false" customHeight="false" outlineLevel="0" collapsed="false">
      <c r="A2542" s="28" t="s">
        <v>2978</v>
      </c>
      <c r="B2542" s="27" t="s">
        <v>438</v>
      </c>
      <c r="C2542" s="27" t="s">
        <v>376</v>
      </c>
      <c r="D2542" s="25"/>
      <c r="E2542" s="25"/>
      <c r="F2542" s="25"/>
      <c r="G2542" s="25"/>
      <c r="H2542" s="25"/>
      <c r="I2542" s="25"/>
      <c r="J2542" s="27" t="s">
        <v>2900</v>
      </c>
      <c r="K2542" s="25" t="str">
        <f aca="false">IFERROR(__xludf.dummyfunction("SPLIT(J2542,"" "")"),"CIF")</f>
        <v>CIF</v>
      </c>
      <c r="L2542" s="28" t="str">
        <f aca="false">IFERROR(__xludf.dummyfunction("""COMPUTED_VALUE"""),"United")</f>
        <v>United</v>
      </c>
      <c r="M2542" s="27" t="str">
        <f aca="false">IFERROR(__xludf.dummyfunction("""COMPUTED_VALUE"""),"States")</f>
        <v>States</v>
      </c>
      <c r="N2542" s="25" t="str">
        <f aca="false">IFERROR(__xludf.dummyfunction("""COMPUTED_VALUE"""),"(East")</f>
        <v>(East</v>
      </c>
      <c r="O2542" s="25" t="str">
        <f aca="false">IFERROR(__xludf.dummyfunction("""COMPUTED_VALUE"""),"Coast)")</f>
        <v>Coast)</v>
      </c>
      <c r="P2542" s="25" t="str">
        <f aca="false">IFERROR(__xludf.dummyfunction("""COMPUTED_VALUE"""),"(Diff)")</f>
        <v>(Diff)</v>
      </c>
      <c r="Q2542" s="29" t="s">
        <v>379</v>
      </c>
      <c r="R2542" s="8" t="str">
        <f aca="false">B2542&amp;" "&amp;C2542&amp;" "&amp;D2542&amp;" "&amp;E2542&amp;" "&amp;G2542&amp;" "&amp;H2542&amp;" "&amp;J2542&amp;" "&amp;N2542</f>
        <v>Differentials Nickel     CIF United States (East Coast) (Diff) (East</v>
      </c>
      <c r="S2542" s="25"/>
      <c r="T2542" s="8"/>
      <c r="U2542" s="8"/>
      <c r="V2542" s="25"/>
      <c r="W2542" s="25"/>
      <c r="X2542" s="25"/>
      <c r="Y2542" s="25"/>
      <c r="Z2542" s="25"/>
      <c r="AA2542" s="25"/>
      <c r="AB2542" s="25"/>
      <c r="AC2542" s="25"/>
      <c r="AD2542" s="25"/>
    </row>
    <row r="2543" customFormat="false" ht="15.75" hidden="false" customHeight="false" outlineLevel="0" collapsed="false">
      <c r="A2543" s="28" t="s">
        <v>2979</v>
      </c>
      <c r="B2543" s="27" t="s">
        <v>438</v>
      </c>
      <c r="C2543" s="27" t="s">
        <v>376</v>
      </c>
      <c r="D2543" s="25"/>
      <c r="E2543" s="25"/>
      <c r="F2543" s="25"/>
      <c r="G2543" s="25"/>
      <c r="H2543" s="25"/>
      <c r="I2543" s="25"/>
      <c r="J2543" s="27" t="s">
        <v>2900</v>
      </c>
      <c r="K2543" s="25" t="str">
        <f aca="false">IFERROR(__xludf.dummyfunction("SPLIT(J2543,"" "")"),"CIF")</f>
        <v>CIF</v>
      </c>
      <c r="L2543" s="28" t="str">
        <f aca="false">IFERROR(__xludf.dummyfunction("""COMPUTED_VALUE"""),"United")</f>
        <v>United</v>
      </c>
      <c r="M2543" s="27" t="str">
        <f aca="false">IFERROR(__xludf.dummyfunction("""COMPUTED_VALUE"""),"States")</f>
        <v>States</v>
      </c>
      <c r="N2543" s="25" t="str">
        <f aca="false">IFERROR(__xludf.dummyfunction("""COMPUTED_VALUE"""),"(East")</f>
        <v>(East</v>
      </c>
      <c r="O2543" s="25" t="str">
        <f aca="false">IFERROR(__xludf.dummyfunction("""COMPUTED_VALUE"""),"Coast)")</f>
        <v>Coast)</v>
      </c>
      <c r="P2543" s="25" t="str">
        <f aca="false">IFERROR(__xludf.dummyfunction("""COMPUTED_VALUE"""),"(Diff)")</f>
        <v>(Diff)</v>
      </c>
      <c r="Q2543" s="29" t="s">
        <v>377</v>
      </c>
      <c r="R2543" s="8" t="str">
        <f aca="false">B2543&amp;" "&amp;C2543&amp;" "&amp;D2543&amp;" "&amp;E2543&amp;" "&amp;G2543&amp;" "&amp;H2543&amp;" "&amp;J2543&amp;" "&amp;N2543</f>
        <v>Differentials Nickel     CIF United States (East Coast) (Diff) (East</v>
      </c>
      <c r="S2543" s="25"/>
      <c r="T2543" s="8"/>
      <c r="U2543" s="8"/>
      <c r="V2543" s="25"/>
      <c r="W2543" s="25"/>
      <c r="X2543" s="25"/>
      <c r="Y2543" s="25"/>
      <c r="Z2543" s="25"/>
      <c r="AA2543" s="25"/>
      <c r="AB2543" s="25"/>
      <c r="AC2543" s="25"/>
      <c r="AD2543" s="25"/>
    </row>
    <row r="2544" customFormat="false" ht="15.75" hidden="false" customHeight="false" outlineLevel="0" collapsed="false">
      <c r="A2544" s="28" t="s">
        <v>2980</v>
      </c>
      <c r="B2544" s="27" t="s">
        <v>438</v>
      </c>
      <c r="C2544" s="27" t="s">
        <v>417</v>
      </c>
      <c r="D2544" s="25"/>
      <c r="E2544" s="25"/>
      <c r="F2544" s="25"/>
      <c r="G2544" s="25"/>
      <c r="H2544" s="25"/>
      <c r="I2544" s="25"/>
      <c r="J2544" s="27" t="s">
        <v>2900</v>
      </c>
      <c r="K2544" s="25" t="str">
        <f aca="false">IFERROR(__xludf.dummyfunction("SPLIT(J2544,"" "")"),"CIF")</f>
        <v>CIF</v>
      </c>
      <c r="L2544" s="28" t="str">
        <f aca="false">IFERROR(__xludf.dummyfunction("""COMPUTED_VALUE"""),"United")</f>
        <v>United</v>
      </c>
      <c r="M2544" s="27" t="str">
        <f aca="false">IFERROR(__xludf.dummyfunction("""COMPUTED_VALUE"""),"States")</f>
        <v>States</v>
      </c>
      <c r="N2544" s="25" t="str">
        <f aca="false">IFERROR(__xludf.dummyfunction("""COMPUTED_VALUE"""),"(East")</f>
        <v>(East</v>
      </c>
      <c r="O2544" s="25" t="str">
        <f aca="false">IFERROR(__xludf.dummyfunction("""COMPUTED_VALUE"""),"Coast)")</f>
        <v>Coast)</v>
      </c>
      <c r="P2544" s="25" t="str">
        <f aca="false">IFERROR(__xludf.dummyfunction("""COMPUTED_VALUE"""),"(Diff)")</f>
        <v>(Diff)</v>
      </c>
      <c r="Q2544" s="29" t="s">
        <v>436</v>
      </c>
      <c r="R2544" s="8" t="str">
        <f aca="false">B2544&amp;" "&amp;C2544&amp;" "&amp;D2544&amp;" "&amp;E2544&amp;" "&amp;G2544&amp;" "&amp;H2544&amp;" "&amp;J2544&amp;" "&amp;N2544</f>
        <v>Differentials Solvent     CIF United States (East Coast) (Diff) (East</v>
      </c>
      <c r="S2544" s="25"/>
      <c r="T2544" s="8"/>
      <c r="U2544" s="37" t="s">
        <v>2981</v>
      </c>
      <c r="V2544" s="37"/>
      <c r="W2544" s="25"/>
      <c r="X2544" s="25"/>
      <c r="Y2544" s="25"/>
      <c r="Z2544" s="25"/>
      <c r="AA2544" s="25"/>
      <c r="AB2544" s="25"/>
      <c r="AC2544" s="25"/>
      <c r="AD2544" s="25"/>
    </row>
    <row r="2545" customFormat="false" ht="15.75" hidden="false" customHeight="false" outlineLevel="0" collapsed="false">
      <c r="A2545" s="28" t="s">
        <v>2982</v>
      </c>
      <c r="B2545" s="27" t="s">
        <v>438</v>
      </c>
      <c r="C2545" s="27" t="s">
        <v>417</v>
      </c>
      <c r="D2545" s="25"/>
      <c r="E2545" s="25"/>
      <c r="F2545" s="25"/>
      <c r="G2545" s="25"/>
      <c r="H2545" s="25"/>
      <c r="I2545" s="25"/>
      <c r="J2545" s="27" t="s">
        <v>2900</v>
      </c>
      <c r="K2545" s="25" t="str">
        <f aca="false">IFERROR(__xludf.dummyfunction("SPLIT(J2545,"" "")"),"CIF")</f>
        <v>CIF</v>
      </c>
      <c r="L2545" s="28" t="str">
        <f aca="false">IFERROR(__xludf.dummyfunction("""COMPUTED_VALUE"""),"United")</f>
        <v>United</v>
      </c>
      <c r="M2545" s="27" t="str">
        <f aca="false">IFERROR(__xludf.dummyfunction("""COMPUTED_VALUE"""),"States")</f>
        <v>States</v>
      </c>
      <c r="N2545" s="25" t="str">
        <f aca="false">IFERROR(__xludf.dummyfunction("""COMPUTED_VALUE"""),"(East")</f>
        <v>(East</v>
      </c>
      <c r="O2545" s="25" t="str">
        <f aca="false">IFERROR(__xludf.dummyfunction("""COMPUTED_VALUE"""),"Coast)")</f>
        <v>Coast)</v>
      </c>
      <c r="P2545" s="25" t="str">
        <f aca="false">IFERROR(__xludf.dummyfunction("""COMPUTED_VALUE"""),"(Diff)")</f>
        <v>(Diff)</v>
      </c>
      <c r="Q2545" s="29" t="s">
        <v>434</v>
      </c>
      <c r="R2545" s="8" t="str">
        <f aca="false">B2545&amp;" "&amp;C2545&amp;" "&amp;D2545&amp;" "&amp;E2545&amp;" "&amp;G2545&amp;" "&amp;H2545&amp;" "&amp;J2545&amp;" "&amp;N2545</f>
        <v>Differentials Solvent     CIF United States (East Coast) (Diff) (East</v>
      </c>
      <c r="S2545" s="25"/>
      <c r="T2545" s="8"/>
      <c r="U2545" s="37" t="s">
        <v>2983</v>
      </c>
      <c r="V2545" s="37"/>
      <c r="W2545" s="25"/>
      <c r="X2545" s="25"/>
      <c r="Y2545" s="25"/>
      <c r="Z2545" s="25"/>
      <c r="AA2545" s="25"/>
      <c r="AB2545" s="25"/>
      <c r="AC2545" s="25"/>
      <c r="AD2545" s="25"/>
    </row>
    <row r="2546" customFormat="false" ht="15.75" hidden="false" customHeight="false" outlineLevel="0" collapsed="false">
      <c r="A2546" s="28" t="s">
        <v>2984</v>
      </c>
      <c r="B2546" s="27" t="s">
        <v>438</v>
      </c>
      <c r="C2546" s="27" t="s">
        <v>417</v>
      </c>
      <c r="D2546" s="25"/>
      <c r="E2546" s="25"/>
      <c r="F2546" s="25"/>
      <c r="G2546" s="25"/>
      <c r="H2546" s="25"/>
      <c r="I2546" s="25"/>
      <c r="J2546" s="27" t="s">
        <v>2900</v>
      </c>
      <c r="K2546" s="25" t="str">
        <f aca="false">IFERROR(__xludf.dummyfunction("SPLIT(J2546,"" "")"),"CIF")</f>
        <v>CIF</v>
      </c>
      <c r="L2546" s="28" t="str">
        <f aca="false">IFERROR(__xludf.dummyfunction("""COMPUTED_VALUE"""),"United")</f>
        <v>United</v>
      </c>
      <c r="M2546" s="27" t="str">
        <f aca="false">IFERROR(__xludf.dummyfunction("""COMPUTED_VALUE"""),"States")</f>
        <v>States</v>
      </c>
      <c r="N2546" s="25" t="str">
        <f aca="false">IFERROR(__xludf.dummyfunction("""COMPUTED_VALUE"""),"(East")</f>
        <v>(East</v>
      </c>
      <c r="O2546" s="25" t="str">
        <f aca="false">IFERROR(__xludf.dummyfunction("""COMPUTED_VALUE"""),"Coast)")</f>
        <v>Coast)</v>
      </c>
      <c r="P2546" s="25" t="str">
        <f aca="false">IFERROR(__xludf.dummyfunction("""COMPUTED_VALUE"""),"(Diff)")</f>
        <v>(Diff)</v>
      </c>
      <c r="Q2546" s="29" t="s">
        <v>432</v>
      </c>
      <c r="R2546" s="8" t="str">
        <f aca="false">B2546&amp;" "&amp;C2546&amp;" "&amp;D2546&amp;" "&amp;E2546&amp;" "&amp;G2546&amp;" "&amp;H2546&amp;" "&amp;J2546&amp;" "&amp;N2546</f>
        <v>Differentials Solvent     CIF United States (East Coast) (Diff) (East</v>
      </c>
      <c r="S2546" s="25"/>
      <c r="T2546" s="8"/>
      <c r="U2546" s="37" t="s">
        <v>2985</v>
      </c>
      <c r="V2546" s="37"/>
      <c r="W2546" s="25"/>
      <c r="X2546" s="25"/>
      <c r="Y2546" s="25"/>
      <c r="Z2546" s="25"/>
      <c r="AA2546" s="25"/>
      <c r="AB2546" s="25"/>
      <c r="AC2546" s="25"/>
      <c r="AD2546" s="25"/>
    </row>
    <row r="2547" customFormat="false" ht="15.75" hidden="false" customHeight="false" outlineLevel="0" collapsed="false">
      <c r="A2547" s="28" t="s">
        <v>2986</v>
      </c>
      <c r="B2547" s="27" t="s">
        <v>438</v>
      </c>
      <c r="C2547" s="27" t="s">
        <v>417</v>
      </c>
      <c r="D2547" s="25"/>
      <c r="E2547" s="25"/>
      <c r="F2547" s="25"/>
      <c r="G2547" s="25"/>
      <c r="H2547" s="25"/>
      <c r="I2547" s="25"/>
      <c r="J2547" s="27" t="s">
        <v>2900</v>
      </c>
      <c r="K2547" s="25" t="str">
        <f aca="false">IFERROR(__xludf.dummyfunction("SPLIT(J2547,"" "")"),"CIF")</f>
        <v>CIF</v>
      </c>
      <c r="L2547" s="28" t="str">
        <f aca="false">IFERROR(__xludf.dummyfunction("""COMPUTED_VALUE"""),"United")</f>
        <v>United</v>
      </c>
      <c r="M2547" s="27" t="str">
        <f aca="false">IFERROR(__xludf.dummyfunction("""COMPUTED_VALUE"""),"States")</f>
        <v>States</v>
      </c>
      <c r="N2547" s="25" t="str">
        <f aca="false">IFERROR(__xludf.dummyfunction("""COMPUTED_VALUE"""),"(East")</f>
        <v>(East</v>
      </c>
      <c r="O2547" s="25" t="str">
        <f aca="false">IFERROR(__xludf.dummyfunction("""COMPUTED_VALUE"""),"Coast)")</f>
        <v>Coast)</v>
      </c>
      <c r="P2547" s="25" t="str">
        <f aca="false">IFERROR(__xludf.dummyfunction("""COMPUTED_VALUE"""),"(Diff)")</f>
        <v>(Diff)</v>
      </c>
      <c r="Q2547" s="29" t="s">
        <v>430</v>
      </c>
      <c r="R2547" s="8" t="str">
        <f aca="false">B2547&amp;" "&amp;C2547&amp;" "&amp;D2547&amp;" "&amp;E2547&amp;" "&amp;G2547&amp;" "&amp;H2547&amp;" "&amp;J2547&amp;" "&amp;N2547</f>
        <v>Differentials Solvent     CIF United States (East Coast) (Diff) (East</v>
      </c>
      <c r="S2547" s="25"/>
      <c r="T2547" s="8"/>
      <c r="U2547" s="37" t="s">
        <v>2987</v>
      </c>
      <c r="V2547" s="37"/>
      <c r="W2547" s="25"/>
      <c r="X2547" s="25"/>
      <c r="Y2547" s="25"/>
      <c r="Z2547" s="25"/>
      <c r="AA2547" s="25"/>
      <c r="AB2547" s="25"/>
      <c r="AC2547" s="25"/>
      <c r="AD2547" s="25"/>
    </row>
    <row r="2548" customFormat="false" ht="15.75" hidden="false" customHeight="false" outlineLevel="0" collapsed="false">
      <c r="A2548" s="28" t="s">
        <v>2988</v>
      </c>
      <c r="B2548" s="27" t="s">
        <v>438</v>
      </c>
      <c r="C2548" s="27" t="s">
        <v>417</v>
      </c>
      <c r="D2548" s="25"/>
      <c r="E2548" s="25"/>
      <c r="F2548" s="25"/>
      <c r="G2548" s="25"/>
      <c r="H2548" s="25"/>
      <c r="I2548" s="25"/>
      <c r="J2548" s="27" t="s">
        <v>2900</v>
      </c>
      <c r="K2548" s="25" t="str">
        <f aca="false">IFERROR(__xludf.dummyfunction("SPLIT(J2548,"" "")"),"CIF")</f>
        <v>CIF</v>
      </c>
      <c r="L2548" s="28" t="str">
        <f aca="false">IFERROR(__xludf.dummyfunction("""COMPUTED_VALUE"""),"United")</f>
        <v>United</v>
      </c>
      <c r="M2548" s="27" t="str">
        <f aca="false">IFERROR(__xludf.dummyfunction("""COMPUTED_VALUE"""),"States")</f>
        <v>States</v>
      </c>
      <c r="N2548" s="25" t="str">
        <f aca="false">IFERROR(__xludf.dummyfunction("""COMPUTED_VALUE"""),"(East")</f>
        <v>(East</v>
      </c>
      <c r="O2548" s="25" t="str">
        <f aca="false">IFERROR(__xludf.dummyfunction("""COMPUTED_VALUE"""),"Coast)")</f>
        <v>Coast)</v>
      </c>
      <c r="P2548" s="25" t="str">
        <f aca="false">IFERROR(__xludf.dummyfunction("""COMPUTED_VALUE"""),"(Diff)")</f>
        <v>(Diff)</v>
      </c>
      <c r="Q2548" s="29" t="s">
        <v>428</v>
      </c>
      <c r="R2548" s="8" t="str">
        <f aca="false">B2548&amp;" "&amp;C2548&amp;" "&amp;D2548&amp;" "&amp;E2548&amp;" "&amp;G2548&amp;" "&amp;H2548&amp;" "&amp;J2548&amp;" "&amp;N2548</f>
        <v>Differentials Solvent     CIF United States (East Coast) (Diff) (East</v>
      </c>
      <c r="S2548" s="25"/>
      <c r="T2548" s="8"/>
      <c r="U2548" s="37" t="s">
        <v>2989</v>
      </c>
      <c r="V2548" s="37"/>
      <c r="W2548" s="25"/>
      <c r="X2548" s="25"/>
      <c r="Y2548" s="25"/>
      <c r="Z2548" s="25"/>
      <c r="AA2548" s="25"/>
      <c r="AB2548" s="25"/>
      <c r="AC2548" s="25"/>
      <c r="AD2548" s="25"/>
    </row>
    <row r="2549" customFormat="false" ht="15.75" hidden="false" customHeight="false" outlineLevel="0" collapsed="false">
      <c r="A2549" s="28" t="s">
        <v>2990</v>
      </c>
      <c r="B2549" s="27" t="s">
        <v>438</v>
      </c>
      <c r="C2549" s="27" t="s">
        <v>417</v>
      </c>
      <c r="D2549" s="25"/>
      <c r="E2549" s="25"/>
      <c r="F2549" s="25"/>
      <c r="G2549" s="25"/>
      <c r="H2549" s="25"/>
      <c r="I2549" s="25"/>
      <c r="J2549" s="27" t="s">
        <v>2900</v>
      </c>
      <c r="K2549" s="25" t="str">
        <f aca="false">IFERROR(__xludf.dummyfunction("SPLIT(J2549,"" "")"),"CIF")</f>
        <v>CIF</v>
      </c>
      <c r="L2549" s="28" t="str">
        <f aca="false">IFERROR(__xludf.dummyfunction("""COMPUTED_VALUE"""),"United")</f>
        <v>United</v>
      </c>
      <c r="M2549" s="27" t="str">
        <f aca="false">IFERROR(__xludf.dummyfunction("""COMPUTED_VALUE"""),"States")</f>
        <v>States</v>
      </c>
      <c r="N2549" s="25" t="str">
        <f aca="false">IFERROR(__xludf.dummyfunction("""COMPUTED_VALUE"""),"(East")</f>
        <v>(East</v>
      </c>
      <c r="O2549" s="25" t="str">
        <f aca="false">IFERROR(__xludf.dummyfunction("""COMPUTED_VALUE"""),"Coast)")</f>
        <v>Coast)</v>
      </c>
      <c r="P2549" s="25" t="str">
        <f aca="false">IFERROR(__xludf.dummyfunction("""COMPUTED_VALUE"""),"(Diff)")</f>
        <v>(Diff)</v>
      </c>
      <c r="Q2549" s="29" t="s">
        <v>426</v>
      </c>
      <c r="R2549" s="8" t="str">
        <f aca="false">B2549&amp;" "&amp;C2549&amp;" "&amp;D2549&amp;" "&amp;E2549&amp;" "&amp;G2549&amp;" "&amp;H2549&amp;" "&amp;J2549&amp;" "&amp;N2549</f>
        <v>Differentials Solvent     CIF United States (East Coast) (Diff) (East</v>
      </c>
      <c r="S2549" s="25"/>
      <c r="T2549" s="8"/>
      <c r="U2549" s="37" t="s">
        <v>2991</v>
      </c>
      <c r="V2549" s="37"/>
      <c r="W2549" s="25"/>
      <c r="X2549" s="25"/>
      <c r="Y2549" s="25"/>
      <c r="Z2549" s="25"/>
      <c r="AA2549" s="25"/>
      <c r="AB2549" s="25"/>
      <c r="AC2549" s="25"/>
      <c r="AD2549" s="25"/>
    </row>
    <row r="2550" customFormat="false" ht="15.75" hidden="false" customHeight="false" outlineLevel="0" collapsed="false">
      <c r="A2550" s="28" t="s">
        <v>2992</v>
      </c>
      <c r="B2550" s="27" t="s">
        <v>438</v>
      </c>
      <c r="C2550" s="27" t="s">
        <v>417</v>
      </c>
      <c r="D2550" s="25"/>
      <c r="E2550" s="25"/>
      <c r="F2550" s="25"/>
      <c r="G2550" s="25"/>
      <c r="H2550" s="25"/>
      <c r="I2550" s="25"/>
      <c r="J2550" s="27" t="s">
        <v>2900</v>
      </c>
      <c r="K2550" s="25" t="str">
        <f aca="false">IFERROR(__xludf.dummyfunction("SPLIT(J2550,"" "")"),"CIF")</f>
        <v>CIF</v>
      </c>
      <c r="L2550" s="28" t="str">
        <f aca="false">IFERROR(__xludf.dummyfunction("""COMPUTED_VALUE"""),"United")</f>
        <v>United</v>
      </c>
      <c r="M2550" s="27" t="str">
        <f aca="false">IFERROR(__xludf.dummyfunction("""COMPUTED_VALUE"""),"States")</f>
        <v>States</v>
      </c>
      <c r="N2550" s="25" t="str">
        <f aca="false">IFERROR(__xludf.dummyfunction("""COMPUTED_VALUE"""),"(East")</f>
        <v>(East</v>
      </c>
      <c r="O2550" s="25" t="str">
        <f aca="false">IFERROR(__xludf.dummyfunction("""COMPUTED_VALUE"""),"Coast)")</f>
        <v>Coast)</v>
      </c>
      <c r="P2550" s="25" t="str">
        <f aca="false">IFERROR(__xludf.dummyfunction("""COMPUTED_VALUE"""),"(Diff)")</f>
        <v>(Diff)</v>
      </c>
      <c r="Q2550" s="29" t="s">
        <v>424</v>
      </c>
      <c r="R2550" s="8" t="str">
        <f aca="false">B2550&amp;" "&amp;C2550&amp;" "&amp;D2550&amp;" "&amp;E2550&amp;" "&amp;G2550&amp;" "&amp;H2550&amp;" "&amp;J2550&amp;" "&amp;N2550</f>
        <v>Differentials Solvent     CIF United States (East Coast) (Diff) (East</v>
      </c>
      <c r="S2550" s="25"/>
      <c r="T2550" s="8"/>
      <c r="U2550" s="37" t="s">
        <v>2993</v>
      </c>
      <c r="V2550" s="37"/>
      <c r="W2550" s="25"/>
      <c r="X2550" s="25"/>
      <c r="Y2550" s="25"/>
      <c r="Z2550" s="25"/>
      <c r="AA2550" s="25"/>
      <c r="AB2550" s="25"/>
      <c r="AC2550" s="25"/>
      <c r="AD2550" s="25"/>
    </row>
    <row r="2551" customFormat="false" ht="15.75" hidden="false" customHeight="false" outlineLevel="0" collapsed="false">
      <c r="A2551" s="28" t="s">
        <v>2994</v>
      </c>
      <c r="B2551" s="27" t="s">
        <v>438</v>
      </c>
      <c r="C2551" s="27" t="s">
        <v>417</v>
      </c>
      <c r="D2551" s="25"/>
      <c r="E2551" s="25"/>
      <c r="F2551" s="25"/>
      <c r="G2551" s="25"/>
      <c r="H2551" s="25"/>
      <c r="I2551" s="25"/>
      <c r="J2551" s="27" t="s">
        <v>2900</v>
      </c>
      <c r="K2551" s="25" t="str">
        <f aca="false">IFERROR(__xludf.dummyfunction("SPLIT(J2551,"" "")"),"CIF")</f>
        <v>CIF</v>
      </c>
      <c r="L2551" s="28" t="str">
        <f aca="false">IFERROR(__xludf.dummyfunction("""COMPUTED_VALUE"""),"United")</f>
        <v>United</v>
      </c>
      <c r="M2551" s="27" t="str">
        <f aca="false">IFERROR(__xludf.dummyfunction("""COMPUTED_VALUE"""),"States")</f>
        <v>States</v>
      </c>
      <c r="N2551" s="25" t="str">
        <f aca="false">IFERROR(__xludf.dummyfunction("""COMPUTED_VALUE"""),"(East")</f>
        <v>(East</v>
      </c>
      <c r="O2551" s="25" t="str">
        <f aca="false">IFERROR(__xludf.dummyfunction("""COMPUTED_VALUE"""),"Coast)")</f>
        <v>Coast)</v>
      </c>
      <c r="P2551" s="25" t="str">
        <f aca="false">IFERROR(__xludf.dummyfunction("""COMPUTED_VALUE"""),"(Diff)")</f>
        <v>(Diff)</v>
      </c>
      <c r="Q2551" s="29" t="s">
        <v>422</v>
      </c>
      <c r="R2551" s="8" t="str">
        <f aca="false">B2551&amp;" "&amp;C2551&amp;" "&amp;D2551&amp;" "&amp;E2551&amp;" "&amp;G2551&amp;" "&amp;H2551&amp;" "&amp;J2551&amp;" "&amp;N2551</f>
        <v>Differentials Solvent     CIF United States (East Coast) (Diff) (East</v>
      </c>
      <c r="S2551" s="25"/>
      <c r="T2551" s="8"/>
      <c r="U2551" s="37" t="s">
        <v>2995</v>
      </c>
      <c r="V2551" s="37"/>
      <c r="W2551" s="25"/>
      <c r="X2551" s="25"/>
      <c r="Y2551" s="25"/>
      <c r="Z2551" s="25"/>
      <c r="AA2551" s="25"/>
      <c r="AB2551" s="25"/>
      <c r="AC2551" s="25"/>
      <c r="AD2551" s="25"/>
    </row>
    <row r="2552" customFormat="false" ht="15.75" hidden="false" customHeight="false" outlineLevel="0" collapsed="false">
      <c r="A2552" s="28" t="s">
        <v>2996</v>
      </c>
      <c r="B2552" s="27" t="s">
        <v>438</v>
      </c>
      <c r="C2552" s="27" t="s">
        <v>417</v>
      </c>
      <c r="D2552" s="25"/>
      <c r="E2552" s="25"/>
      <c r="F2552" s="25"/>
      <c r="G2552" s="25"/>
      <c r="H2552" s="25"/>
      <c r="I2552" s="25"/>
      <c r="J2552" s="27" t="s">
        <v>2900</v>
      </c>
      <c r="K2552" s="25" t="str">
        <f aca="false">IFERROR(__xludf.dummyfunction("SPLIT(J2552,"" "")"),"CIF")</f>
        <v>CIF</v>
      </c>
      <c r="L2552" s="28" t="str">
        <f aca="false">IFERROR(__xludf.dummyfunction("""COMPUTED_VALUE"""),"United")</f>
        <v>United</v>
      </c>
      <c r="M2552" s="27" t="str">
        <f aca="false">IFERROR(__xludf.dummyfunction("""COMPUTED_VALUE"""),"States")</f>
        <v>States</v>
      </c>
      <c r="N2552" s="25" t="str">
        <f aca="false">IFERROR(__xludf.dummyfunction("""COMPUTED_VALUE"""),"(East")</f>
        <v>(East</v>
      </c>
      <c r="O2552" s="25" t="str">
        <f aca="false">IFERROR(__xludf.dummyfunction("""COMPUTED_VALUE"""),"Coast)")</f>
        <v>Coast)</v>
      </c>
      <c r="P2552" s="25" t="str">
        <f aca="false">IFERROR(__xludf.dummyfunction("""COMPUTED_VALUE"""),"(Diff)")</f>
        <v>(Diff)</v>
      </c>
      <c r="Q2552" s="29" t="s">
        <v>420</v>
      </c>
      <c r="R2552" s="8" t="str">
        <f aca="false">B2552&amp;" "&amp;C2552&amp;" "&amp;D2552&amp;" "&amp;E2552&amp;" "&amp;G2552&amp;" "&amp;H2552&amp;" "&amp;J2552&amp;" "&amp;N2552</f>
        <v>Differentials Solvent     CIF United States (East Coast) (Diff) (East</v>
      </c>
      <c r="S2552" s="25"/>
      <c r="T2552" s="8"/>
      <c r="U2552" s="37" t="s">
        <v>2997</v>
      </c>
      <c r="V2552" s="37"/>
      <c r="W2552" s="25"/>
      <c r="X2552" s="25"/>
      <c r="Y2552" s="25"/>
      <c r="Z2552" s="25"/>
      <c r="AA2552" s="25"/>
      <c r="AB2552" s="25"/>
      <c r="AC2552" s="25"/>
      <c r="AD2552" s="25"/>
    </row>
    <row r="2553" customFormat="false" ht="15.75" hidden="false" customHeight="false" outlineLevel="0" collapsed="false">
      <c r="A2553" s="28" t="s">
        <v>2998</v>
      </c>
      <c r="B2553" s="27" t="s">
        <v>438</v>
      </c>
      <c r="C2553" s="27" t="s">
        <v>417</v>
      </c>
      <c r="D2553" s="25"/>
      <c r="E2553" s="25"/>
      <c r="F2553" s="25"/>
      <c r="G2553" s="25"/>
      <c r="H2553" s="25"/>
      <c r="I2553" s="25"/>
      <c r="J2553" s="27" t="s">
        <v>2900</v>
      </c>
      <c r="K2553" s="25" t="str">
        <f aca="false">IFERROR(__xludf.dummyfunction("SPLIT(J2553,"" "")"),"CIF")</f>
        <v>CIF</v>
      </c>
      <c r="L2553" s="28" t="str">
        <f aca="false">IFERROR(__xludf.dummyfunction("""COMPUTED_VALUE"""),"United")</f>
        <v>United</v>
      </c>
      <c r="M2553" s="27" t="str">
        <f aca="false">IFERROR(__xludf.dummyfunction("""COMPUTED_VALUE"""),"States")</f>
        <v>States</v>
      </c>
      <c r="N2553" s="25" t="str">
        <f aca="false">IFERROR(__xludf.dummyfunction("""COMPUTED_VALUE"""),"(East")</f>
        <v>(East</v>
      </c>
      <c r="O2553" s="25" t="str">
        <f aca="false">IFERROR(__xludf.dummyfunction("""COMPUTED_VALUE"""),"Coast)")</f>
        <v>Coast)</v>
      </c>
      <c r="P2553" s="25" t="str">
        <f aca="false">IFERROR(__xludf.dummyfunction("""COMPUTED_VALUE"""),"(Diff)")</f>
        <v>(Diff)</v>
      </c>
      <c r="Q2553" s="29" t="s">
        <v>418</v>
      </c>
      <c r="R2553" s="8" t="str">
        <f aca="false">B2553&amp;" "&amp;C2553&amp;" "&amp;D2553&amp;" "&amp;E2553&amp;" "&amp;G2553&amp;" "&amp;H2553&amp;" "&amp;J2553&amp;" "&amp;N2553</f>
        <v>Differentials Solvent     CIF United States (East Coast) (Diff) (East</v>
      </c>
      <c r="S2553" s="25"/>
      <c r="T2553" s="8"/>
      <c r="U2553" s="37" t="s">
        <v>2999</v>
      </c>
      <c r="V2553" s="37"/>
      <c r="W2553" s="25"/>
      <c r="X2553" s="25"/>
      <c r="Y2553" s="25"/>
      <c r="Z2553" s="25"/>
      <c r="AA2553" s="25"/>
      <c r="AB2553" s="25"/>
      <c r="AC2553" s="25"/>
      <c r="AD2553" s="25"/>
    </row>
    <row r="2554" customFormat="false" ht="15.75" hidden="false" customHeight="false" outlineLevel="0" collapsed="false">
      <c r="A2554" s="28" t="s">
        <v>3000</v>
      </c>
      <c r="B2554" s="27" t="s">
        <v>438</v>
      </c>
      <c r="C2554" s="27" t="s">
        <v>177</v>
      </c>
      <c r="D2554" s="25"/>
      <c r="E2554" s="25"/>
      <c r="F2554" s="25"/>
      <c r="G2554" s="25"/>
      <c r="H2554" s="25"/>
      <c r="I2554" s="25"/>
      <c r="J2554" s="27" t="s">
        <v>3001</v>
      </c>
      <c r="K2554" s="25" t="str">
        <f aca="false">IFERROR(__xludf.dummyfunction("SPLIT(J2554,"" "")"),"CIF")</f>
        <v>CIF</v>
      </c>
      <c r="L2554" s="28" t="str">
        <f aca="false">IFERROR(__xludf.dummyfunction("""COMPUTED_VALUE"""),"United")</f>
        <v>United</v>
      </c>
      <c r="M2554" s="27" t="str">
        <f aca="false">IFERROR(__xludf.dummyfunction("""COMPUTED_VALUE"""),"States")</f>
        <v>States</v>
      </c>
      <c r="N2554" s="25" t="str">
        <f aca="false">IFERROR(__xludf.dummyfunction("""COMPUTED_VALUE"""),"(West")</f>
        <v>(West</v>
      </c>
      <c r="O2554" s="25" t="str">
        <f aca="false">IFERROR(__xludf.dummyfunction("""COMPUTED_VALUE"""),"Coast)")</f>
        <v>Coast)</v>
      </c>
      <c r="P2554" s="25" t="str">
        <f aca="false">IFERROR(__xludf.dummyfunction("""COMPUTED_VALUE"""),"(Diff)")</f>
        <v>(Diff)</v>
      </c>
      <c r="Q2554" s="29" t="s">
        <v>209</v>
      </c>
      <c r="R2554" s="8" t="str">
        <f aca="false">B2554&amp;" "&amp;C2554&amp;" "&amp;D2554&amp;" "&amp;E2554&amp;" "&amp;G2554&amp;" "&amp;H2554&amp;" "&amp;J2554&amp;" "&amp;N2554</f>
        <v>Differentials Anode     CIF United States (West Coast) (Diff) (West</v>
      </c>
      <c r="S2554" s="25"/>
      <c r="T2554" s="8"/>
      <c r="U2554" s="37" t="s">
        <v>3002</v>
      </c>
      <c r="V2554" s="37"/>
      <c r="W2554" s="37"/>
      <c r="X2554" s="25"/>
      <c r="Y2554" s="25"/>
      <c r="Z2554" s="25"/>
      <c r="AA2554" s="25"/>
      <c r="AB2554" s="25"/>
      <c r="AC2554" s="25"/>
      <c r="AD2554" s="25"/>
    </row>
    <row r="2555" customFormat="false" ht="15.75" hidden="false" customHeight="false" outlineLevel="0" collapsed="false">
      <c r="A2555" s="28" t="s">
        <v>3003</v>
      </c>
      <c r="B2555" s="27" t="s">
        <v>438</v>
      </c>
      <c r="C2555" s="27" t="s">
        <v>177</v>
      </c>
      <c r="D2555" s="25"/>
      <c r="E2555" s="25"/>
      <c r="F2555" s="25"/>
      <c r="G2555" s="25"/>
      <c r="H2555" s="25"/>
      <c r="I2555" s="25"/>
      <c r="J2555" s="27" t="s">
        <v>3001</v>
      </c>
      <c r="K2555" s="25" t="str">
        <f aca="false">IFERROR(__xludf.dummyfunction("SPLIT(J2555,"" "")"),"CIF")</f>
        <v>CIF</v>
      </c>
      <c r="L2555" s="28" t="str">
        <f aca="false">IFERROR(__xludf.dummyfunction("""COMPUTED_VALUE"""),"United")</f>
        <v>United</v>
      </c>
      <c r="M2555" s="27" t="str">
        <f aca="false">IFERROR(__xludf.dummyfunction("""COMPUTED_VALUE"""),"States")</f>
        <v>States</v>
      </c>
      <c r="N2555" s="25" t="str">
        <f aca="false">IFERROR(__xludf.dummyfunction("""COMPUTED_VALUE"""),"(West")</f>
        <v>(West</v>
      </c>
      <c r="O2555" s="25" t="str">
        <f aca="false">IFERROR(__xludf.dummyfunction("""COMPUTED_VALUE"""),"Coast)")</f>
        <v>Coast)</v>
      </c>
      <c r="P2555" s="25" t="str">
        <f aca="false">IFERROR(__xludf.dummyfunction("""COMPUTED_VALUE"""),"(Diff)")</f>
        <v>(Diff)</v>
      </c>
      <c r="Q2555" s="29" t="s">
        <v>205</v>
      </c>
      <c r="R2555" s="8" t="str">
        <f aca="false">B2555&amp;" "&amp;C2555&amp;" "&amp;D2555&amp;" "&amp;E2555&amp;" "&amp;G2555&amp;" "&amp;H2555&amp;" "&amp;J2555&amp;" "&amp;N2555</f>
        <v>Differentials Anode     CIF United States (West Coast) (Diff) (West</v>
      </c>
      <c r="S2555" s="25"/>
      <c r="T2555" s="8"/>
      <c r="U2555" s="37" t="s">
        <v>3004</v>
      </c>
      <c r="V2555" s="37"/>
      <c r="W2555" s="37"/>
      <c r="X2555" s="25"/>
      <c r="Y2555" s="25"/>
      <c r="Z2555" s="25"/>
      <c r="AA2555" s="25"/>
      <c r="AB2555" s="25"/>
      <c r="AC2555" s="25"/>
      <c r="AD2555" s="25"/>
    </row>
    <row r="2556" customFormat="false" ht="15.75" hidden="false" customHeight="false" outlineLevel="0" collapsed="false">
      <c r="A2556" s="28" t="s">
        <v>3005</v>
      </c>
      <c r="B2556" s="27" t="s">
        <v>438</v>
      </c>
      <c r="C2556" s="27" t="s">
        <v>177</v>
      </c>
      <c r="D2556" s="25"/>
      <c r="E2556" s="25"/>
      <c r="F2556" s="25"/>
      <c r="G2556" s="25"/>
      <c r="H2556" s="25"/>
      <c r="I2556" s="25"/>
      <c r="J2556" s="27" t="s">
        <v>3001</v>
      </c>
      <c r="K2556" s="25" t="str">
        <f aca="false">IFERROR(__xludf.dummyfunction("SPLIT(J2556,"" "")"),"CIF")</f>
        <v>CIF</v>
      </c>
      <c r="L2556" s="28" t="str">
        <f aca="false">IFERROR(__xludf.dummyfunction("""COMPUTED_VALUE"""),"United")</f>
        <v>United</v>
      </c>
      <c r="M2556" s="27" t="str">
        <f aca="false">IFERROR(__xludf.dummyfunction("""COMPUTED_VALUE"""),"States")</f>
        <v>States</v>
      </c>
      <c r="N2556" s="25" t="str">
        <f aca="false">IFERROR(__xludf.dummyfunction("""COMPUTED_VALUE"""),"(West")</f>
        <v>(West</v>
      </c>
      <c r="O2556" s="25" t="str">
        <f aca="false">IFERROR(__xludf.dummyfunction("""COMPUTED_VALUE"""),"Coast)")</f>
        <v>Coast)</v>
      </c>
      <c r="P2556" s="25" t="str">
        <f aca="false">IFERROR(__xludf.dummyfunction("""COMPUTED_VALUE"""),"(Diff)")</f>
        <v>(Diff)</v>
      </c>
      <c r="Q2556" s="29" t="s">
        <v>202</v>
      </c>
      <c r="R2556" s="8" t="str">
        <f aca="false">B2556&amp;" "&amp;C2556&amp;" "&amp;D2556&amp;" "&amp;E2556&amp;" "&amp;G2556&amp;" "&amp;H2556&amp;" "&amp;J2556&amp;" "&amp;N2556</f>
        <v>Differentials Anode     CIF United States (West Coast) (Diff) (West</v>
      </c>
      <c r="S2556" s="25"/>
      <c r="T2556" s="8"/>
      <c r="U2556" s="37" t="s">
        <v>3006</v>
      </c>
      <c r="V2556" s="37"/>
      <c r="W2556" s="37"/>
      <c r="X2556" s="25"/>
      <c r="Y2556" s="25"/>
      <c r="Z2556" s="25"/>
      <c r="AA2556" s="25"/>
      <c r="AB2556" s="25"/>
      <c r="AC2556" s="25"/>
      <c r="AD2556" s="25"/>
    </row>
    <row r="2557" customFormat="false" ht="15.75" hidden="false" customHeight="false" outlineLevel="0" collapsed="false">
      <c r="A2557" s="28" t="s">
        <v>3007</v>
      </c>
      <c r="B2557" s="27" t="s">
        <v>438</v>
      </c>
      <c r="C2557" s="27" t="s">
        <v>177</v>
      </c>
      <c r="D2557" s="25"/>
      <c r="E2557" s="25"/>
      <c r="F2557" s="25"/>
      <c r="G2557" s="25"/>
      <c r="H2557" s="25"/>
      <c r="I2557" s="25"/>
      <c r="J2557" s="27" t="s">
        <v>3001</v>
      </c>
      <c r="K2557" s="25" t="str">
        <f aca="false">IFERROR(__xludf.dummyfunction("SPLIT(J2557,"" "")"),"CIF")</f>
        <v>CIF</v>
      </c>
      <c r="L2557" s="28" t="str">
        <f aca="false">IFERROR(__xludf.dummyfunction("""COMPUTED_VALUE"""),"United")</f>
        <v>United</v>
      </c>
      <c r="M2557" s="27" t="str">
        <f aca="false">IFERROR(__xludf.dummyfunction("""COMPUTED_VALUE"""),"States")</f>
        <v>States</v>
      </c>
      <c r="N2557" s="25" t="str">
        <f aca="false">IFERROR(__xludf.dummyfunction("""COMPUTED_VALUE"""),"(West")</f>
        <v>(West</v>
      </c>
      <c r="O2557" s="25" t="str">
        <f aca="false">IFERROR(__xludf.dummyfunction("""COMPUTED_VALUE"""),"Coast)")</f>
        <v>Coast)</v>
      </c>
      <c r="P2557" s="25" t="str">
        <f aca="false">IFERROR(__xludf.dummyfunction("""COMPUTED_VALUE"""),"(Diff)")</f>
        <v>(Diff)</v>
      </c>
      <c r="Q2557" s="29" t="s">
        <v>197</v>
      </c>
      <c r="R2557" s="8" t="str">
        <f aca="false">B2557&amp;" "&amp;C2557&amp;" "&amp;D2557&amp;" "&amp;E2557&amp;" "&amp;G2557&amp;" "&amp;H2557&amp;" "&amp;J2557&amp;" "&amp;N2557</f>
        <v>Differentials Anode     CIF United States (West Coast) (Diff) (West</v>
      </c>
      <c r="S2557" s="25"/>
      <c r="T2557" s="8"/>
      <c r="U2557" s="37" t="s">
        <v>3008</v>
      </c>
      <c r="V2557" s="37"/>
      <c r="W2557" s="37"/>
      <c r="X2557" s="25"/>
      <c r="Y2557" s="25"/>
      <c r="Z2557" s="25"/>
      <c r="AA2557" s="25"/>
      <c r="AB2557" s="25"/>
      <c r="AC2557" s="25"/>
      <c r="AD2557" s="25"/>
    </row>
    <row r="2558" customFormat="false" ht="15.75" hidden="false" customHeight="false" outlineLevel="0" collapsed="false">
      <c r="A2558" s="28" t="s">
        <v>3009</v>
      </c>
      <c r="B2558" s="27" t="s">
        <v>438</v>
      </c>
      <c r="C2558" s="27" t="s">
        <v>177</v>
      </c>
      <c r="D2558" s="25"/>
      <c r="E2558" s="25"/>
      <c r="F2558" s="25"/>
      <c r="G2558" s="25"/>
      <c r="H2558" s="25"/>
      <c r="I2558" s="25"/>
      <c r="J2558" s="27" t="s">
        <v>3001</v>
      </c>
      <c r="K2558" s="25" t="str">
        <f aca="false">IFERROR(__xludf.dummyfunction("SPLIT(J2558,"" "")"),"CIF")</f>
        <v>CIF</v>
      </c>
      <c r="L2558" s="28" t="str">
        <f aca="false">IFERROR(__xludf.dummyfunction("""COMPUTED_VALUE"""),"United")</f>
        <v>United</v>
      </c>
      <c r="M2558" s="27" t="str">
        <f aca="false">IFERROR(__xludf.dummyfunction("""COMPUTED_VALUE"""),"States")</f>
        <v>States</v>
      </c>
      <c r="N2558" s="25" t="str">
        <f aca="false">IFERROR(__xludf.dummyfunction("""COMPUTED_VALUE"""),"(West")</f>
        <v>(West</v>
      </c>
      <c r="O2558" s="25" t="str">
        <f aca="false">IFERROR(__xludf.dummyfunction("""COMPUTED_VALUE"""),"Coast)")</f>
        <v>Coast)</v>
      </c>
      <c r="P2558" s="25" t="str">
        <f aca="false">IFERROR(__xludf.dummyfunction("""COMPUTED_VALUE"""),"(Diff)")</f>
        <v>(Diff)</v>
      </c>
      <c r="Q2558" s="29" t="s">
        <v>193</v>
      </c>
      <c r="R2558" s="8" t="str">
        <f aca="false">B2558&amp;" "&amp;C2558&amp;" "&amp;D2558&amp;" "&amp;E2558&amp;" "&amp;G2558&amp;" "&amp;H2558&amp;" "&amp;J2558&amp;" "&amp;N2558</f>
        <v>Differentials Anode     CIF United States (West Coast) (Diff) (West</v>
      </c>
      <c r="S2558" s="25"/>
      <c r="T2558" s="8"/>
      <c r="U2558" s="37" t="s">
        <v>3010</v>
      </c>
      <c r="V2558" s="37"/>
      <c r="W2558" s="37"/>
      <c r="X2558" s="25"/>
      <c r="Y2558" s="25"/>
      <c r="Z2558" s="25"/>
      <c r="AA2558" s="25"/>
      <c r="AB2558" s="25"/>
      <c r="AC2558" s="25"/>
      <c r="AD2558" s="25"/>
    </row>
    <row r="2559" customFormat="false" ht="15.75" hidden="false" customHeight="false" outlineLevel="0" collapsed="false">
      <c r="A2559" s="28" t="s">
        <v>3011</v>
      </c>
      <c r="B2559" s="27" t="s">
        <v>438</v>
      </c>
      <c r="C2559" s="27" t="s">
        <v>177</v>
      </c>
      <c r="D2559" s="25"/>
      <c r="E2559" s="25"/>
      <c r="F2559" s="25"/>
      <c r="G2559" s="25"/>
      <c r="H2559" s="25"/>
      <c r="I2559" s="25"/>
      <c r="J2559" s="27" t="s">
        <v>3001</v>
      </c>
      <c r="K2559" s="25" t="str">
        <f aca="false">IFERROR(__xludf.dummyfunction("SPLIT(J2559,"" "")"),"CIF")</f>
        <v>CIF</v>
      </c>
      <c r="L2559" s="28" t="str">
        <f aca="false">IFERROR(__xludf.dummyfunction("""COMPUTED_VALUE"""),"United")</f>
        <v>United</v>
      </c>
      <c r="M2559" s="27" t="str">
        <f aca="false">IFERROR(__xludf.dummyfunction("""COMPUTED_VALUE"""),"States")</f>
        <v>States</v>
      </c>
      <c r="N2559" s="25" t="str">
        <f aca="false">IFERROR(__xludf.dummyfunction("""COMPUTED_VALUE"""),"(West")</f>
        <v>(West</v>
      </c>
      <c r="O2559" s="25" t="str">
        <f aca="false">IFERROR(__xludf.dummyfunction("""COMPUTED_VALUE"""),"Coast)")</f>
        <v>Coast)</v>
      </c>
      <c r="P2559" s="25" t="str">
        <f aca="false">IFERROR(__xludf.dummyfunction("""COMPUTED_VALUE"""),"(Diff)")</f>
        <v>(Diff)</v>
      </c>
      <c r="Q2559" s="29" t="s">
        <v>188</v>
      </c>
      <c r="R2559" s="8" t="str">
        <f aca="false">B2559&amp;" "&amp;C2559&amp;" "&amp;D2559&amp;" "&amp;E2559&amp;" "&amp;G2559&amp;" "&amp;H2559&amp;" "&amp;J2559&amp;" "&amp;N2559</f>
        <v>Differentials Anode     CIF United States (West Coast) (Diff) (West</v>
      </c>
      <c r="S2559" s="25"/>
      <c r="T2559" s="8"/>
      <c r="U2559" s="37" t="s">
        <v>3012</v>
      </c>
      <c r="V2559" s="37"/>
      <c r="W2559" s="37"/>
      <c r="X2559" s="25"/>
      <c r="Y2559" s="25"/>
      <c r="Z2559" s="25"/>
      <c r="AA2559" s="25"/>
      <c r="AB2559" s="25"/>
      <c r="AC2559" s="25"/>
      <c r="AD2559" s="25"/>
    </row>
    <row r="2560" customFormat="false" ht="15.75" hidden="false" customHeight="false" outlineLevel="0" collapsed="false">
      <c r="A2560" s="28" t="s">
        <v>3013</v>
      </c>
      <c r="B2560" s="27" t="s">
        <v>438</v>
      </c>
      <c r="C2560" s="27" t="s">
        <v>177</v>
      </c>
      <c r="D2560" s="25"/>
      <c r="E2560" s="25"/>
      <c r="F2560" s="25"/>
      <c r="G2560" s="25"/>
      <c r="H2560" s="25"/>
      <c r="I2560" s="25"/>
      <c r="J2560" s="27" t="s">
        <v>3001</v>
      </c>
      <c r="K2560" s="25" t="str">
        <f aca="false">IFERROR(__xludf.dummyfunction("SPLIT(J2560,"" "")"),"CIF")</f>
        <v>CIF</v>
      </c>
      <c r="L2560" s="28" t="str">
        <f aca="false">IFERROR(__xludf.dummyfunction("""COMPUTED_VALUE"""),"United")</f>
        <v>United</v>
      </c>
      <c r="M2560" s="27" t="str">
        <f aca="false">IFERROR(__xludf.dummyfunction("""COMPUTED_VALUE"""),"States")</f>
        <v>States</v>
      </c>
      <c r="N2560" s="25" t="str">
        <f aca="false">IFERROR(__xludf.dummyfunction("""COMPUTED_VALUE"""),"(West")</f>
        <v>(West</v>
      </c>
      <c r="O2560" s="25" t="str">
        <f aca="false">IFERROR(__xludf.dummyfunction("""COMPUTED_VALUE"""),"Coast)")</f>
        <v>Coast)</v>
      </c>
      <c r="P2560" s="25" t="str">
        <f aca="false">IFERROR(__xludf.dummyfunction("""COMPUTED_VALUE"""),"(Diff)")</f>
        <v>(Diff)</v>
      </c>
      <c r="Q2560" s="29" t="s">
        <v>180</v>
      </c>
      <c r="R2560" s="8" t="str">
        <f aca="false">B2560&amp;" "&amp;C2560&amp;" "&amp;D2560&amp;" "&amp;E2560&amp;" "&amp;G2560&amp;" "&amp;H2560&amp;" "&amp;J2560&amp;" "&amp;N2560</f>
        <v>Differentials Anode     CIF United States (West Coast) (Diff) (West</v>
      </c>
      <c r="S2560" s="25"/>
      <c r="T2560" s="8"/>
      <c r="U2560" s="37" t="s">
        <v>3014</v>
      </c>
      <c r="V2560" s="37"/>
      <c r="W2560" s="25"/>
      <c r="X2560" s="25"/>
      <c r="Y2560" s="25"/>
      <c r="Z2560" s="25"/>
      <c r="AA2560" s="25"/>
      <c r="AB2560" s="25"/>
      <c r="AC2560" s="25"/>
      <c r="AD2560" s="25"/>
    </row>
    <row r="2561" customFormat="false" ht="15.75" hidden="false" customHeight="false" outlineLevel="0" collapsed="false">
      <c r="A2561" s="28" t="s">
        <v>3015</v>
      </c>
      <c r="B2561" s="27" t="s">
        <v>438</v>
      </c>
      <c r="C2561" s="27" t="s">
        <v>211</v>
      </c>
      <c r="D2561" s="25"/>
      <c r="E2561" s="25"/>
      <c r="F2561" s="25"/>
      <c r="G2561" s="25"/>
      <c r="H2561" s="25"/>
      <c r="I2561" s="25"/>
      <c r="J2561" s="27" t="s">
        <v>3001</v>
      </c>
      <c r="K2561" s="25" t="str">
        <f aca="false">IFERROR(__xludf.dummyfunction("SPLIT(J2561,"" "")"),"CIF")</f>
        <v>CIF</v>
      </c>
      <c r="L2561" s="28" t="str">
        <f aca="false">IFERROR(__xludf.dummyfunction("""COMPUTED_VALUE"""),"United")</f>
        <v>United</v>
      </c>
      <c r="M2561" s="27" t="str">
        <f aca="false">IFERROR(__xludf.dummyfunction("""COMPUTED_VALUE"""),"States")</f>
        <v>States</v>
      </c>
      <c r="N2561" s="25" t="str">
        <f aca="false">IFERROR(__xludf.dummyfunction("""COMPUTED_VALUE"""),"(West")</f>
        <v>(West</v>
      </c>
      <c r="O2561" s="25" t="str">
        <f aca="false">IFERROR(__xludf.dummyfunction("""COMPUTED_VALUE"""),"Coast)")</f>
        <v>Coast)</v>
      </c>
      <c r="P2561" s="25" t="str">
        <f aca="false">IFERROR(__xludf.dummyfunction("""COMPUTED_VALUE"""),"(Diff)")</f>
        <v>(Diff)</v>
      </c>
      <c r="Q2561" s="29" t="s">
        <v>234</v>
      </c>
      <c r="R2561" s="8" t="str">
        <f aca="false">B2561&amp;" "&amp;C2561&amp;" "&amp;D2561&amp;" "&amp;E2561&amp;" "&amp;G2561&amp;" "&amp;H2561&amp;" "&amp;J2561&amp;" "&amp;N2561</f>
        <v>Differentials Binders &amp; Additives     CIF United States (West Coast) (Diff) (West</v>
      </c>
      <c r="S2561" s="25"/>
      <c r="T2561" s="8"/>
      <c r="U2561" s="37" t="s">
        <v>3016</v>
      </c>
      <c r="V2561" s="37"/>
      <c r="W2561" s="25"/>
      <c r="X2561" s="25"/>
      <c r="Y2561" s="25"/>
      <c r="Z2561" s="25"/>
      <c r="AA2561" s="25"/>
      <c r="AB2561" s="25"/>
      <c r="AC2561" s="25"/>
      <c r="AD2561" s="25"/>
    </row>
    <row r="2562" customFormat="false" ht="15.75" hidden="false" customHeight="false" outlineLevel="0" collapsed="false">
      <c r="A2562" s="28" t="s">
        <v>3017</v>
      </c>
      <c r="B2562" s="27" t="s">
        <v>438</v>
      </c>
      <c r="C2562" s="27" t="s">
        <v>211</v>
      </c>
      <c r="D2562" s="25"/>
      <c r="E2562" s="25"/>
      <c r="F2562" s="25"/>
      <c r="G2562" s="25"/>
      <c r="H2562" s="25"/>
      <c r="I2562" s="25"/>
      <c r="J2562" s="27" t="s">
        <v>3001</v>
      </c>
      <c r="K2562" s="25" t="str">
        <f aca="false">IFERROR(__xludf.dummyfunction("SPLIT(J2562,"" "")"),"CIF")</f>
        <v>CIF</v>
      </c>
      <c r="L2562" s="28" t="str">
        <f aca="false">IFERROR(__xludf.dummyfunction("""COMPUTED_VALUE"""),"United")</f>
        <v>United</v>
      </c>
      <c r="M2562" s="27" t="str">
        <f aca="false">IFERROR(__xludf.dummyfunction("""COMPUTED_VALUE"""),"States")</f>
        <v>States</v>
      </c>
      <c r="N2562" s="25" t="str">
        <f aca="false">IFERROR(__xludf.dummyfunction("""COMPUTED_VALUE"""),"(West")</f>
        <v>(West</v>
      </c>
      <c r="O2562" s="25" t="str">
        <f aca="false">IFERROR(__xludf.dummyfunction("""COMPUTED_VALUE"""),"Coast)")</f>
        <v>Coast)</v>
      </c>
      <c r="P2562" s="25" t="str">
        <f aca="false">IFERROR(__xludf.dummyfunction("""COMPUTED_VALUE"""),"(Diff)")</f>
        <v>(Diff)</v>
      </c>
      <c r="Q2562" s="29" t="s">
        <v>232</v>
      </c>
      <c r="R2562" s="8" t="str">
        <f aca="false">B2562&amp;" "&amp;C2562&amp;" "&amp;D2562&amp;" "&amp;E2562&amp;" "&amp;G2562&amp;" "&amp;H2562&amp;" "&amp;J2562&amp;" "&amp;N2562</f>
        <v>Differentials Binders &amp; Additives     CIF United States (West Coast) (Diff) (West</v>
      </c>
      <c r="S2562" s="25"/>
      <c r="T2562" s="8"/>
      <c r="U2562" s="37" t="s">
        <v>3018</v>
      </c>
      <c r="V2562" s="37"/>
      <c r="W2562" s="25"/>
      <c r="X2562" s="25"/>
      <c r="Y2562" s="25"/>
      <c r="Z2562" s="25"/>
      <c r="AA2562" s="25"/>
      <c r="AB2562" s="25"/>
      <c r="AC2562" s="25"/>
      <c r="AD2562" s="25"/>
    </row>
    <row r="2563" customFormat="false" ht="15.75" hidden="false" customHeight="false" outlineLevel="0" collapsed="false">
      <c r="A2563" s="28" t="s">
        <v>3019</v>
      </c>
      <c r="B2563" s="27" t="s">
        <v>438</v>
      </c>
      <c r="C2563" s="27" t="s">
        <v>211</v>
      </c>
      <c r="D2563" s="25"/>
      <c r="E2563" s="25"/>
      <c r="F2563" s="25"/>
      <c r="G2563" s="25"/>
      <c r="H2563" s="25"/>
      <c r="I2563" s="25"/>
      <c r="J2563" s="27" t="s">
        <v>3001</v>
      </c>
      <c r="K2563" s="25" t="str">
        <f aca="false">IFERROR(__xludf.dummyfunction("SPLIT(J2563,"" "")"),"CIF")</f>
        <v>CIF</v>
      </c>
      <c r="L2563" s="28" t="str">
        <f aca="false">IFERROR(__xludf.dummyfunction("""COMPUTED_VALUE"""),"United")</f>
        <v>United</v>
      </c>
      <c r="M2563" s="27" t="str">
        <f aca="false">IFERROR(__xludf.dummyfunction("""COMPUTED_VALUE"""),"States")</f>
        <v>States</v>
      </c>
      <c r="N2563" s="25" t="str">
        <f aca="false">IFERROR(__xludf.dummyfunction("""COMPUTED_VALUE"""),"(West")</f>
        <v>(West</v>
      </c>
      <c r="O2563" s="25" t="str">
        <f aca="false">IFERROR(__xludf.dummyfunction("""COMPUTED_VALUE"""),"Coast)")</f>
        <v>Coast)</v>
      </c>
      <c r="P2563" s="25" t="str">
        <f aca="false">IFERROR(__xludf.dummyfunction("""COMPUTED_VALUE"""),"(Diff)")</f>
        <v>(Diff)</v>
      </c>
      <c r="Q2563" s="29" t="s">
        <v>230</v>
      </c>
      <c r="R2563" s="8" t="str">
        <f aca="false">B2563&amp;" "&amp;C2563&amp;" "&amp;D2563&amp;" "&amp;E2563&amp;" "&amp;G2563&amp;" "&amp;H2563&amp;" "&amp;J2563&amp;" "&amp;N2563</f>
        <v>Differentials Binders &amp; Additives     CIF United States (West Coast) (Diff) (West</v>
      </c>
      <c r="S2563" s="25"/>
      <c r="T2563" s="8"/>
      <c r="U2563" s="37" t="s">
        <v>3020</v>
      </c>
      <c r="V2563" s="37"/>
      <c r="W2563" s="25"/>
      <c r="X2563" s="25"/>
      <c r="Y2563" s="25"/>
      <c r="Z2563" s="25"/>
      <c r="AA2563" s="25"/>
      <c r="AB2563" s="25"/>
      <c r="AC2563" s="25"/>
      <c r="AD2563" s="25"/>
    </row>
    <row r="2564" customFormat="false" ht="15.75" hidden="false" customHeight="false" outlineLevel="0" collapsed="false">
      <c r="A2564" s="28" t="s">
        <v>3021</v>
      </c>
      <c r="B2564" s="27" t="s">
        <v>438</v>
      </c>
      <c r="C2564" s="27" t="s">
        <v>211</v>
      </c>
      <c r="D2564" s="25"/>
      <c r="E2564" s="25"/>
      <c r="F2564" s="25"/>
      <c r="G2564" s="25"/>
      <c r="H2564" s="25"/>
      <c r="I2564" s="25"/>
      <c r="J2564" s="27" t="s">
        <v>3001</v>
      </c>
      <c r="K2564" s="25" t="str">
        <f aca="false">IFERROR(__xludf.dummyfunction("SPLIT(J2564,"" "")"),"CIF")</f>
        <v>CIF</v>
      </c>
      <c r="L2564" s="28" t="str">
        <f aca="false">IFERROR(__xludf.dummyfunction("""COMPUTED_VALUE"""),"United")</f>
        <v>United</v>
      </c>
      <c r="M2564" s="27" t="str">
        <f aca="false">IFERROR(__xludf.dummyfunction("""COMPUTED_VALUE"""),"States")</f>
        <v>States</v>
      </c>
      <c r="N2564" s="25" t="str">
        <f aca="false">IFERROR(__xludf.dummyfunction("""COMPUTED_VALUE"""),"(West")</f>
        <v>(West</v>
      </c>
      <c r="O2564" s="25" t="str">
        <f aca="false">IFERROR(__xludf.dummyfunction("""COMPUTED_VALUE"""),"Coast)")</f>
        <v>Coast)</v>
      </c>
      <c r="P2564" s="25" t="str">
        <f aca="false">IFERROR(__xludf.dummyfunction("""COMPUTED_VALUE"""),"(Diff)")</f>
        <v>(Diff)</v>
      </c>
      <c r="Q2564" s="29" t="s">
        <v>228</v>
      </c>
      <c r="R2564" s="8" t="str">
        <f aca="false">B2564&amp;" "&amp;C2564&amp;" "&amp;D2564&amp;" "&amp;E2564&amp;" "&amp;G2564&amp;" "&amp;H2564&amp;" "&amp;J2564&amp;" "&amp;N2564</f>
        <v>Differentials Binders &amp; Additives     CIF United States (West Coast) (Diff) (West</v>
      </c>
      <c r="S2564" s="25"/>
      <c r="T2564" s="8"/>
      <c r="U2564" s="37" t="s">
        <v>3022</v>
      </c>
      <c r="V2564" s="37"/>
      <c r="W2564" s="25"/>
      <c r="X2564" s="25"/>
      <c r="Y2564" s="25"/>
      <c r="Z2564" s="25"/>
      <c r="AA2564" s="25"/>
      <c r="AB2564" s="25"/>
      <c r="AC2564" s="25"/>
      <c r="AD2564" s="25"/>
    </row>
    <row r="2565" customFormat="false" ht="15.75" hidden="false" customHeight="false" outlineLevel="0" collapsed="false">
      <c r="A2565" s="28" t="s">
        <v>3023</v>
      </c>
      <c r="B2565" s="27" t="s">
        <v>438</v>
      </c>
      <c r="C2565" s="27" t="s">
        <v>211</v>
      </c>
      <c r="D2565" s="25"/>
      <c r="E2565" s="25"/>
      <c r="F2565" s="25"/>
      <c r="G2565" s="25"/>
      <c r="H2565" s="25"/>
      <c r="I2565" s="25"/>
      <c r="J2565" s="27" t="s">
        <v>3001</v>
      </c>
      <c r="K2565" s="25" t="str">
        <f aca="false">IFERROR(__xludf.dummyfunction("SPLIT(J2565,"" "")"),"CIF")</f>
        <v>CIF</v>
      </c>
      <c r="L2565" s="28" t="str">
        <f aca="false">IFERROR(__xludf.dummyfunction("""COMPUTED_VALUE"""),"United")</f>
        <v>United</v>
      </c>
      <c r="M2565" s="27" t="str">
        <f aca="false">IFERROR(__xludf.dummyfunction("""COMPUTED_VALUE"""),"States")</f>
        <v>States</v>
      </c>
      <c r="N2565" s="25" t="str">
        <f aca="false">IFERROR(__xludf.dummyfunction("""COMPUTED_VALUE"""),"(West")</f>
        <v>(West</v>
      </c>
      <c r="O2565" s="25" t="str">
        <f aca="false">IFERROR(__xludf.dummyfunction("""COMPUTED_VALUE"""),"Coast)")</f>
        <v>Coast)</v>
      </c>
      <c r="P2565" s="25" t="str">
        <f aca="false">IFERROR(__xludf.dummyfunction("""COMPUTED_VALUE"""),"(Diff)")</f>
        <v>(Diff)</v>
      </c>
      <c r="Q2565" s="29" t="s">
        <v>226</v>
      </c>
      <c r="R2565" s="8" t="str">
        <f aca="false">B2565&amp;" "&amp;C2565&amp;" "&amp;D2565&amp;" "&amp;E2565&amp;" "&amp;G2565&amp;" "&amp;H2565&amp;" "&amp;J2565&amp;" "&amp;N2565</f>
        <v>Differentials Binders &amp; Additives     CIF United States (West Coast) (Diff) (West</v>
      </c>
      <c r="S2565" s="25"/>
      <c r="T2565" s="8"/>
      <c r="U2565" s="37" t="s">
        <v>3024</v>
      </c>
      <c r="V2565" s="37"/>
      <c r="W2565" s="25"/>
      <c r="X2565" s="25"/>
      <c r="Y2565" s="25"/>
      <c r="Z2565" s="25"/>
      <c r="AA2565" s="25"/>
      <c r="AB2565" s="25"/>
      <c r="AC2565" s="25"/>
      <c r="AD2565" s="25"/>
    </row>
    <row r="2566" customFormat="false" ht="15.75" hidden="false" customHeight="false" outlineLevel="0" collapsed="false">
      <c r="A2566" s="28" t="s">
        <v>3025</v>
      </c>
      <c r="B2566" s="27" t="s">
        <v>438</v>
      </c>
      <c r="C2566" s="27" t="s">
        <v>211</v>
      </c>
      <c r="D2566" s="25"/>
      <c r="E2566" s="25"/>
      <c r="F2566" s="25"/>
      <c r="G2566" s="25"/>
      <c r="H2566" s="25"/>
      <c r="I2566" s="25"/>
      <c r="J2566" s="27" t="s">
        <v>3001</v>
      </c>
      <c r="K2566" s="25" t="str">
        <f aca="false">IFERROR(__xludf.dummyfunction("SPLIT(J2566,"" "")"),"CIF")</f>
        <v>CIF</v>
      </c>
      <c r="L2566" s="28" t="str">
        <f aca="false">IFERROR(__xludf.dummyfunction("""COMPUTED_VALUE"""),"United")</f>
        <v>United</v>
      </c>
      <c r="M2566" s="27" t="str">
        <f aca="false">IFERROR(__xludf.dummyfunction("""COMPUTED_VALUE"""),"States")</f>
        <v>States</v>
      </c>
      <c r="N2566" s="25" t="str">
        <f aca="false">IFERROR(__xludf.dummyfunction("""COMPUTED_VALUE"""),"(West")</f>
        <v>(West</v>
      </c>
      <c r="O2566" s="25" t="str">
        <f aca="false">IFERROR(__xludf.dummyfunction("""COMPUTED_VALUE"""),"Coast)")</f>
        <v>Coast)</v>
      </c>
      <c r="P2566" s="25" t="str">
        <f aca="false">IFERROR(__xludf.dummyfunction("""COMPUTED_VALUE"""),"(Diff)")</f>
        <v>(Diff)</v>
      </c>
      <c r="Q2566" s="29" t="s">
        <v>224</v>
      </c>
      <c r="R2566" s="8" t="str">
        <f aca="false">B2566&amp;" "&amp;C2566&amp;" "&amp;D2566&amp;" "&amp;E2566&amp;" "&amp;G2566&amp;" "&amp;H2566&amp;" "&amp;J2566&amp;" "&amp;N2566</f>
        <v>Differentials Binders &amp; Additives     CIF United States (West Coast) (Diff) (West</v>
      </c>
      <c r="S2566" s="25"/>
      <c r="T2566" s="8"/>
      <c r="U2566" s="37" t="s">
        <v>3026</v>
      </c>
      <c r="V2566" s="37"/>
      <c r="W2566" s="25"/>
      <c r="X2566" s="25"/>
      <c r="Y2566" s="25"/>
      <c r="Z2566" s="25"/>
      <c r="AA2566" s="25"/>
      <c r="AB2566" s="25"/>
      <c r="AC2566" s="25"/>
      <c r="AD2566" s="25"/>
    </row>
    <row r="2567" customFormat="false" ht="15.75" hidden="false" customHeight="false" outlineLevel="0" collapsed="false">
      <c r="A2567" s="28" t="s">
        <v>3027</v>
      </c>
      <c r="B2567" s="27" t="s">
        <v>438</v>
      </c>
      <c r="C2567" s="27" t="s">
        <v>211</v>
      </c>
      <c r="D2567" s="25"/>
      <c r="E2567" s="25"/>
      <c r="F2567" s="25"/>
      <c r="G2567" s="25"/>
      <c r="H2567" s="25"/>
      <c r="I2567" s="25"/>
      <c r="J2567" s="27" t="s">
        <v>3001</v>
      </c>
      <c r="K2567" s="25" t="str">
        <f aca="false">IFERROR(__xludf.dummyfunction("SPLIT(J2567,"" "")"),"CIF")</f>
        <v>CIF</v>
      </c>
      <c r="L2567" s="28" t="str">
        <f aca="false">IFERROR(__xludf.dummyfunction("""COMPUTED_VALUE"""),"United")</f>
        <v>United</v>
      </c>
      <c r="M2567" s="27" t="str">
        <f aca="false">IFERROR(__xludf.dummyfunction("""COMPUTED_VALUE"""),"States")</f>
        <v>States</v>
      </c>
      <c r="N2567" s="25" t="str">
        <f aca="false">IFERROR(__xludf.dummyfunction("""COMPUTED_VALUE"""),"(West")</f>
        <v>(West</v>
      </c>
      <c r="O2567" s="25" t="str">
        <f aca="false">IFERROR(__xludf.dummyfunction("""COMPUTED_VALUE"""),"Coast)")</f>
        <v>Coast)</v>
      </c>
      <c r="P2567" s="25" t="str">
        <f aca="false">IFERROR(__xludf.dummyfunction("""COMPUTED_VALUE"""),"(Diff)")</f>
        <v>(Diff)</v>
      </c>
      <c r="Q2567" s="29" t="s">
        <v>222</v>
      </c>
      <c r="R2567" s="8" t="str">
        <f aca="false">B2567&amp;" "&amp;C2567&amp;" "&amp;D2567&amp;" "&amp;E2567&amp;" "&amp;G2567&amp;" "&amp;H2567&amp;" "&amp;J2567&amp;" "&amp;N2567</f>
        <v>Differentials Binders &amp; Additives     CIF United States (West Coast) (Diff) (West</v>
      </c>
      <c r="S2567" s="25"/>
      <c r="T2567" s="8"/>
      <c r="U2567" s="37" t="s">
        <v>3028</v>
      </c>
      <c r="V2567" s="37"/>
      <c r="W2567" s="25"/>
      <c r="X2567" s="25"/>
      <c r="Y2567" s="25"/>
      <c r="Z2567" s="25"/>
      <c r="AA2567" s="25"/>
      <c r="AB2567" s="25"/>
      <c r="AC2567" s="25"/>
      <c r="AD2567" s="25"/>
    </row>
    <row r="2568" customFormat="false" ht="15.75" hidden="false" customHeight="false" outlineLevel="0" collapsed="false">
      <c r="A2568" s="28" t="s">
        <v>3029</v>
      </c>
      <c r="B2568" s="27" t="s">
        <v>438</v>
      </c>
      <c r="C2568" s="27" t="s">
        <v>211</v>
      </c>
      <c r="D2568" s="25"/>
      <c r="E2568" s="25"/>
      <c r="F2568" s="25"/>
      <c r="G2568" s="25"/>
      <c r="H2568" s="25"/>
      <c r="I2568" s="25"/>
      <c r="J2568" s="27" t="s">
        <v>3001</v>
      </c>
      <c r="K2568" s="25" t="str">
        <f aca="false">IFERROR(__xludf.dummyfunction("SPLIT(J2568,"" "")"),"CIF")</f>
        <v>CIF</v>
      </c>
      <c r="L2568" s="28" t="str">
        <f aca="false">IFERROR(__xludf.dummyfunction("""COMPUTED_VALUE"""),"United")</f>
        <v>United</v>
      </c>
      <c r="M2568" s="27" t="str">
        <f aca="false">IFERROR(__xludf.dummyfunction("""COMPUTED_VALUE"""),"States")</f>
        <v>States</v>
      </c>
      <c r="N2568" s="25" t="str">
        <f aca="false">IFERROR(__xludf.dummyfunction("""COMPUTED_VALUE"""),"(West")</f>
        <v>(West</v>
      </c>
      <c r="O2568" s="25" t="str">
        <f aca="false">IFERROR(__xludf.dummyfunction("""COMPUTED_VALUE"""),"Coast)")</f>
        <v>Coast)</v>
      </c>
      <c r="P2568" s="25" t="str">
        <f aca="false">IFERROR(__xludf.dummyfunction("""COMPUTED_VALUE"""),"(Diff)")</f>
        <v>(Diff)</v>
      </c>
      <c r="Q2568" s="29" t="s">
        <v>220</v>
      </c>
      <c r="R2568" s="8" t="str">
        <f aca="false">B2568&amp;" "&amp;C2568&amp;" "&amp;D2568&amp;" "&amp;E2568&amp;" "&amp;G2568&amp;" "&amp;H2568&amp;" "&amp;J2568&amp;" "&amp;N2568</f>
        <v>Differentials Binders &amp; Additives     CIF United States (West Coast) (Diff) (West</v>
      </c>
      <c r="S2568" s="25"/>
      <c r="T2568" s="8"/>
      <c r="U2568" s="37" t="s">
        <v>3030</v>
      </c>
      <c r="V2568" s="37"/>
      <c r="W2568" s="25"/>
      <c r="X2568" s="25"/>
      <c r="Y2568" s="25"/>
      <c r="Z2568" s="25"/>
      <c r="AA2568" s="25"/>
      <c r="AB2568" s="25"/>
      <c r="AC2568" s="25"/>
      <c r="AD2568" s="25"/>
    </row>
    <row r="2569" customFormat="false" ht="15.75" hidden="false" customHeight="false" outlineLevel="0" collapsed="false">
      <c r="A2569" s="28" t="s">
        <v>3031</v>
      </c>
      <c r="B2569" s="27" t="s">
        <v>438</v>
      </c>
      <c r="C2569" s="27" t="s">
        <v>211</v>
      </c>
      <c r="D2569" s="25"/>
      <c r="E2569" s="25"/>
      <c r="F2569" s="25"/>
      <c r="G2569" s="25"/>
      <c r="H2569" s="25"/>
      <c r="I2569" s="25"/>
      <c r="J2569" s="27" t="s">
        <v>3001</v>
      </c>
      <c r="K2569" s="25" t="str">
        <f aca="false">IFERROR(__xludf.dummyfunction("SPLIT(J2569,"" "")"),"CIF")</f>
        <v>CIF</v>
      </c>
      <c r="L2569" s="28" t="str">
        <f aca="false">IFERROR(__xludf.dummyfunction("""COMPUTED_VALUE"""),"United")</f>
        <v>United</v>
      </c>
      <c r="M2569" s="27" t="str">
        <f aca="false">IFERROR(__xludf.dummyfunction("""COMPUTED_VALUE"""),"States")</f>
        <v>States</v>
      </c>
      <c r="N2569" s="25" t="str">
        <f aca="false">IFERROR(__xludf.dummyfunction("""COMPUTED_VALUE"""),"(West")</f>
        <v>(West</v>
      </c>
      <c r="O2569" s="25" t="str">
        <f aca="false">IFERROR(__xludf.dummyfunction("""COMPUTED_VALUE"""),"Coast)")</f>
        <v>Coast)</v>
      </c>
      <c r="P2569" s="25" t="str">
        <f aca="false">IFERROR(__xludf.dummyfunction("""COMPUTED_VALUE"""),"(Diff)")</f>
        <v>(Diff)</v>
      </c>
      <c r="Q2569" s="29" t="s">
        <v>218</v>
      </c>
      <c r="R2569" s="8" t="str">
        <f aca="false">B2569&amp;" "&amp;C2569&amp;" "&amp;D2569&amp;" "&amp;E2569&amp;" "&amp;G2569&amp;" "&amp;H2569&amp;" "&amp;J2569&amp;" "&amp;N2569</f>
        <v>Differentials Binders &amp; Additives     CIF United States (West Coast) (Diff) (West</v>
      </c>
      <c r="S2569" s="25"/>
      <c r="T2569" s="8"/>
      <c r="U2569" s="37" t="s">
        <v>3032</v>
      </c>
      <c r="V2569" s="37"/>
      <c r="W2569" s="25"/>
      <c r="X2569" s="25"/>
      <c r="Y2569" s="25"/>
      <c r="Z2569" s="25"/>
      <c r="AA2569" s="25"/>
      <c r="AB2569" s="25"/>
      <c r="AC2569" s="25"/>
      <c r="AD2569" s="25"/>
    </row>
    <row r="2570" customFormat="false" ht="15.75" hidden="false" customHeight="false" outlineLevel="0" collapsed="false">
      <c r="A2570" s="28" t="s">
        <v>3033</v>
      </c>
      <c r="B2570" s="27" t="s">
        <v>438</v>
      </c>
      <c r="C2570" s="27" t="s">
        <v>211</v>
      </c>
      <c r="D2570" s="25"/>
      <c r="E2570" s="25"/>
      <c r="F2570" s="25"/>
      <c r="G2570" s="25"/>
      <c r="H2570" s="25"/>
      <c r="I2570" s="25"/>
      <c r="J2570" s="27" t="s">
        <v>3001</v>
      </c>
      <c r="K2570" s="25" t="str">
        <f aca="false">IFERROR(__xludf.dummyfunction("SPLIT(J2570,"" "")"),"CIF")</f>
        <v>CIF</v>
      </c>
      <c r="L2570" s="28" t="str">
        <f aca="false">IFERROR(__xludf.dummyfunction("""COMPUTED_VALUE"""),"United")</f>
        <v>United</v>
      </c>
      <c r="M2570" s="27" t="str">
        <f aca="false">IFERROR(__xludf.dummyfunction("""COMPUTED_VALUE"""),"States")</f>
        <v>States</v>
      </c>
      <c r="N2570" s="25" t="str">
        <f aca="false">IFERROR(__xludf.dummyfunction("""COMPUTED_VALUE"""),"(West")</f>
        <v>(West</v>
      </c>
      <c r="O2570" s="25" t="str">
        <f aca="false">IFERROR(__xludf.dummyfunction("""COMPUTED_VALUE"""),"Coast)")</f>
        <v>Coast)</v>
      </c>
      <c r="P2570" s="25" t="str">
        <f aca="false">IFERROR(__xludf.dummyfunction("""COMPUTED_VALUE"""),"(Diff)")</f>
        <v>(Diff)</v>
      </c>
      <c r="Q2570" s="29" t="s">
        <v>215</v>
      </c>
      <c r="R2570" s="8" t="str">
        <f aca="false">B2570&amp;" "&amp;C2570&amp;" "&amp;D2570&amp;" "&amp;E2570&amp;" "&amp;G2570&amp;" "&amp;H2570&amp;" "&amp;J2570&amp;" "&amp;N2570</f>
        <v>Differentials Binders &amp; Additives     CIF United States (West Coast) (Diff) (West</v>
      </c>
      <c r="S2570" s="25"/>
      <c r="T2570" s="8"/>
      <c r="U2570" s="37" t="s">
        <v>3034</v>
      </c>
      <c r="V2570" s="37"/>
      <c r="W2570" s="25"/>
      <c r="X2570" s="25"/>
      <c r="Y2570" s="25"/>
      <c r="Z2570" s="25"/>
      <c r="AA2570" s="25"/>
      <c r="AB2570" s="25"/>
      <c r="AC2570" s="25"/>
      <c r="AD2570" s="25"/>
    </row>
    <row r="2571" customFormat="false" ht="15.75" hidden="false" customHeight="false" outlineLevel="0" collapsed="false">
      <c r="A2571" s="28" t="s">
        <v>3035</v>
      </c>
      <c r="B2571" s="27" t="s">
        <v>438</v>
      </c>
      <c r="C2571" s="27" t="s">
        <v>211</v>
      </c>
      <c r="D2571" s="25"/>
      <c r="E2571" s="25"/>
      <c r="F2571" s="25"/>
      <c r="G2571" s="25"/>
      <c r="H2571" s="25"/>
      <c r="I2571" s="25"/>
      <c r="J2571" s="27" t="s">
        <v>3001</v>
      </c>
      <c r="K2571" s="25" t="str">
        <f aca="false">IFERROR(__xludf.dummyfunction("SPLIT(J2571,"" "")"),"CIF")</f>
        <v>CIF</v>
      </c>
      <c r="L2571" s="28" t="str">
        <f aca="false">IFERROR(__xludf.dummyfunction("""COMPUTED_VALUE"""),"United")</f>
        <v>United</v>
      </c>
      <c r="M2571" s="27" t="str">
        <f aca="false">IFERROR(__xludf.dummyfunction("""COMPUTED_VALUE"""),"States")</f>
        <v>States</v>
      </c>
      <c r="N2571" s="25" t="str">
        <f aca="false">IFERROR(__xludf.dummyfunction("""COMPUTED_VALUE"""),"(West")</f>
        <v>(West</v>
      </c>
      <c r="O2571" s="25" t="str">
        <f aca="false">IFERROR(__xludf.dummyfunction("""COMPUTED_VALUE"""),"Coast)")</f>
        <v>Coast)</v>
      </c>
      <c r="P2571" s="25" t="str">
        <f aca="false">IFERROR(__xludf.dummyfunction("""COMPUTED_VALUE"""),"(Diff)")</f>
        <v>(Diff)</v>
      </c>
      <c r="Q2571" s="29" t="s">
        <v>213</v>
      </c>
      <c r="R2571" s="8" t="str">
        <f aca="false">B2571&amp;" "&amp;C2571&amp;" "&amp;D2571&amp;" "&amp;E2571&amp;" "&amp;G2571&amp;" "&amp;H2571&amp;" "&amp;J2571&amp;" "&amp;N2571</f>
        <v>Differentials Binders &amp; Additives     CIF United States (West Coast) (Diff) (West</v>
      </c>
      <c r="S2571" s="25"/>
      <c r="T2571" s="8"/>
      <c r="U2571" s="37" t="s">
        <v>3036</v>
      </c>
      <c r="V2571" s="37"/>
      <c r="W2571" s="25"/>
      <c r="X2571" s="25"/>
      <c r="Y2571" s="25"/>
      <c r="Z2571" s="25"/>
      <c r="AA2571" s="25"/>
      <c r="AB2571" s="25"/>
      <c r="AC2571" s="25"/>
      <c r="AD2571" s="25"/>
    </row>
    <row r="2572" customFormat="false" ht="15.75" hidden="false" customHeight="false" outlineLevel="0" collapsed="false">
      <c r="A2572" s="28" t="s">
        <v>3037</v>
      </c>
      <c r="B2572" s="27" t="s">
        <v>438</v>
      </c>
      <c r="C2572" s="27" t="s">
        <v>236</v>
      </c>
      <c r="D2572" s="25"/>
      <c r="E2572" s="25"/>
      <c r="F2572" s="25"/>
      <c r="G2572" s="25"/>
      <c r="H2572" s="25"/>
      <c r="I2572" s="25"/>
      <c r="J2572" s="27" t="s">
        <v>3001</v>
      </c>
      <c r="K2572" s="25" t="str">
        <f aca="false">IFERROR(__xludf.dummyfunction("SPLIT(J2572,"" "")"),"CIF")</f>
        <v>CIF</v>
      </c>
      <c r="L2572" s="28" t="str">
        <f aca="false">IFERROR(__xludf.dummyfunction("""COMPUTED_VALUE"""),"United")</f>
        <v>United</v>
      </c>
      <c r="M2572" s="27" t="str">
        <f aca="false">IFERROR(__xludf.dummyfunction("""COMPUTED_VALUE"""),"States")</f>
        <v>States</v>
      </c>
      <c r="N2572" s="25" t="str">
        <f aca="false">IFERROR(__xludf.dummyfunction("""COMPUTED_VALUE"""),"(West")</f>
        <v>(West</v>
      </c>
      <c r="O2572" s="25" t="str">
        <f aca="false">IFERROR(__xludf.dummyfunction("""COMPUTED_VALUE"""),"Coast)")</f>
        <v>Coast)</v>
      </c>
      <c r="P2572" s="25" t="str">
        <f aca="false">IFERROR(__xludf.dummyfunction("""COMPUTED_VALUE"""),"(Diff)")</f>
        <v>(Diff)</v>
      </c>
      <c r="Q2572" s="29" t="s">
        <v>271</v>
      </c>
      <c r="R2572" s="8" t="str">
        <f aca="false">B2572&amp;" "&amp;C2572&amp;" "&amp;D2572&amp;" "&amp;E2572&amp;" "&amp;G2572&amp;" "&amp;H2572&amp;" "&amp;J2572&amp;" "&amp;N2572</f>
        <v>Differentials Cathode     CIF United States (West Coast) (Diff) (West</v>
      </c>
      <c r="S2572" s="25"/>
      <c r="T2572" s="8"/>
      <c r="U2572" s="37" t="s">
        <v>3038</v>
      </c>
      <c r="V2572" s="37"/>
      <c r="W2572" s="25"/>
      <c r="X2572" s="25"/>
      <c r="Y2572" s="25"/>
      <c r="Z2572" s="25"/>
      <c r="AA2572" s="25"/>
      <c r="AB2572" s="25"/>
      <c r="AC2572" s="25"/>
      <c r="AD2572" s="25"/>
    </row>
    <row r="2573" customFormat="false" ht="15.75" hidden="false" customHeight="false" outlineLevel="0" collapsed="false">
      <c r="A2573" s="28" t="s">
        <v>3039</v>
      </c>
      <c r="B2573" s="27" t="s">
        <v>438</v>
      </c>
      <c r="C2573" s="27" t="s">
        <v>236</v>
      </c>
      <c r="D2573" s="25"/>
      <c r="E2573" s="25"/>
      <c r="F2573" s="25"/>
      <c r="G2573" s="25"/>
      <c r="H2573" s="25"/>
      <c r="I2573" s="25"/>
      <c r="J2573" s="27" t="s">
        <v>3001</v>
      </c>
      <c r="K2573" s="25" t="str">
        <f aca="false">IFERROR(__xludf.dummyfunction("SPLIT(J2573,"" "")"),"CIF")</f>
        <v>CIF</v>
      </c>
      <c r="L2573" s="28" t="str">
        <f aca="false">IFERROR(__xludf.dummyfunction("""COMPUTED_VALUE"""),"United")</f>
        <v>United</v>
      </c>
      <c r="M2573" s="27" t="str">
        <f aca="false">IFERROR(__xludf.dummyfunction("""COMPUTED_VALUE"""),"States")</f>
        <v>States</v>
      </c>
      <c r="N2573" s="25" t="str">
        <f aca="false">IFERROR(__xludf.dummyfunction("""COMPUTED_VALUE"""),"(West")</f>
        <v>(West</v>
      </c>
      <c r="O2573" s="25" t="str">
        <f aca="false">IFERROR(__xludf.dummyfunction("""COMPUTED_VALUE"""),"Coast)")</f>
        <v>Coast)</v>
      </c>
      <c r="P2573" s="25" t="str">
        <f aca="false">IFERROR(__xludf.dummyfunction("""COMPUTED_VALUE"""),"(Diff)")</f>
        <v>(Diff)</v>
      </c>
      <c r="Q2573" s="29" t="s">
        <v>266</v>
      </c>
      <c r="R2573" s="8" t="str">
        <f aca="false">B2573&amp;" "&amp;C2573&amp;" "&amp;D2573&amp;" "&amp;E2573&amp;" "&amp;G2573&amp;" "&amp;H2573&amp;" "&amp;J2573&amp;" "&amp;N2573</f>
        <v>Differentials Cathode     CIF United States (West Coast) (Diff) (West</v>
      </c>
      <c r="S2573" s="25"/>
      <c r="T2573" s="8"/>
      <c r="U2573" s="37" t="s">
        <v>3040</v>
      </c>
      <c r="V2573" s="37"/>
      <c r="W2573" s="25"/>
      <c r="X2573" s="25"/>
      <c r="Y2573" s="25"/>
      <c r="Z2573" s="25"/>
      <c r="AA2573" s="25"/>
      <c r="AB2573" s="25"/>
      <c r="AC2573" s="25"/>
      <c r="AD2573" s="25"/>
    </row>
    <row r="2574" customFormat="false" ht="15.75" hidden="false" customHeight="false" outlineLevel="0" collapsed="false">
      <c r="A2574" s="28" t="s">
        <v>3041</v>
      </c>
      <c r="B2574" s="27" t="s">
        <v>438</v>
      </c>
      <c r="C2574" s="27" t="s">
        <v>236</v>
      </c>
      <c r="D2574" s="25"/>
      <c r="E2574" s="25"/>
      <c r="F2574" s="25"/>
      <c r="G2574" s="25"/>
      <c r="H2574" s="25"/>
      <c r="I2574" s="25"/>
      <c r="J2574" s="27" t="s">
        <v>3001</v>
      </c>
      <c r="K2574" s="25" t="str">
        <f aca="false">IFERROR(__xludf.dummyfunction("SPLIT(J2574,"" "")"),"CIF")</f>
        <v>CIF</v>
      </c>
      <c r="L2574" s="28" t="str">
        <f aca="false">IFERROR(__xludf.dummyfunction("""COMPUTED_VALUE"""),"United")</f>
        <v>United</v>
      </c>
      <c r="M2574" s="27" t="str">
        <f aca="false">IFERROR(__xludf.dummyfunction("""COMPUTED_VALUE"""),"States")</f>
        <v>States</v>
      </c>
      <c r="N2574" s="25" t="str">
        <f aca="false">IFERROR(__xludf.dummyfunction("""COMPUTED_VALUE"""),"(West")</f>
        <v>(West</v>
      </c>
      <c r="O2574" s="25" t="str">
        <f aca="false">IFERROR(__xludf.dummyfunction("""COMPUTED_VALUE"""),"Coast)")</f>
        <v>Coast)</v>
      </c>
      <c r="P2574" s="25" t="str">
        <f aca="false">IFERROR(__xludf.dummyfunction("""COMPUTED_VALUE"""),"(Diff)")</f>
        <v>(Diff)</v>
      </c>
      <c r="Q2574" s="29" t="s">
        <v>261</v>
      </c>
      <c r="R2574" s="8" t="str">
        <f aca="false">B2574&amp;" "&amp;C2574&amp;" "&amp;D2574&amp;" "&amp;E2574&amp;" "&amp;G2574&amp;" "&amp;H2574&amp;" "&amp;J2574&amp;" "&amp;N2574</f>
        <v>Differentials Cathode     CIF United States (West Coast) (Diff) (West</v>
      </c>
      <c r="S2574" s="25"/>
      <c r="T2574" s="8"/>
      <c r="U2574" s="37" t="s">
        <v>3042</v>
      </c>
      <c r="V2574" s="37"/>
      <c r="W2574" s="25"/>
      <c r="X2574" s="25"/>
      <c r="Y2574" s="25"/>
      <c r="Z2574" s="25"/>
      <c r="AA2574" s="25"/>
      <c r="AB2574" s="25"/>
      <c r="AC2574" s="25"/>
      <c r="AD2574" s="25"/>
    </row>
    <row r="2575" customFormat="false" ht="15.75" hidden="false" customHeight="false" outlineLevel="0" collapsed="false">
      <c r="A2575" s="28" t="s">
        <v>3043</v>
      </c>
      <c r="B2575" s="27" t="s">
        <v>438</v>
      </c>
      <c r="C2575" s="27" t="s">
        <v>236</v>
      </c>
      <c r="D2575" s="25"/>
      <c r="E2575" s="25"/>
      <c r="F2575" s="25"/>
      <c r="G2575" s="25"/>
      <c r="H2575" s="25"/>
      <c r="I2575" s="25"/>
      <c r="J2575" s="27" t="s">
        <v>3001</v>
      </c>
      <c r="K2575" s="25" t="str">
        <f aca="false">IFERROR(__xludf.dummyfunction("SPLIT(J2575,"" "")"),"CIF")</f>
        <v>CIF</v>
      </c>
      <c r="L2575" s="28" t="str">
        <f aca="false">IFERROR(__xludf.dummyfunction("""COMPUTED_VALUE"""),"United")</f>
        <v>United</v>
      </c>
      <c r="M2575" s="27" t="str">
        <f aca="false">IFERROR(__xludf.dummyfunction("""COMPUTED_VALUE"""),"States")</f>
        <v>States</v>
      </c>
      <c r="N2575" s="25" t="str">
        <f aca="false">IFERROR(__xludf.dummyfunction("""COMPUTED_VALUE"""),"(West")</f>
        <v>(West</v>
      </c>
      <c r="O2575" s="25" t="str">
        <f aca="false">IFERROR(__xludf.dummyfunction("""COMPUTED_VALUE"""),"Coast)")</f>
        <v>Coast)</v>
      </c>
      <c r="P2575" s="25" t="str">
        <f aca="false">IFERROR(__xludf.dummyfunction("""COMPUTED_VALUE"""),"(Diff)")</f>
        <v>(Diff)</v>
      </c>
      <c r="Q2575" s="29" t="s">
        <v>256</v>
      </c>
      <c r="R2575" s="8" t="str">
        <f aca="false">B2575&amp;" "&amp;C2575&amp;" "&amp;D2575&amp;" "&amp;E2575&amp;" "&amp;G2575&amp;" "&amp;H2575&amp;" "&amp;J2575&amp;" "&amp;N2575</f>
        <v>Differentials Cathode     CIF United States (West Coast) (Diff) (West</v>
      </c>
      <c r="S2575" s="25"/>
      <c r="T2575" s="8"/>
      <c r="U2575" s="37" t="s">
        <v>3044</v>
      </c>
      <c r="V2575" s="37"/>
      <c r="W2575" s="25"/>
      <c r="X2575" s="25"/>
      <c r="Y2575" s="25"/>
      <c r="Z2575" s="25"/>
      <c r="AA2575" s="25"/>
      <c r="AB2575" s="25"/>
      <c r="AC2575" s="25"/>
      <c r="AD2575" s="25"/>
    </row>
    <row r="2576" customFormat="false" ht="15.75" hidden="false" customHeight="false" outlineLevel="0" collapsed="false">
      <c r="A2576" s="28" t="s">
        <v>3045</v>
      </c>
      <c r="B2576" s="27" t="s">
        <v>438</v>
      </c>
      <c r="C2576" s="27" t="s">
        <v>236</v>
      </c>
      <c r="D2576" s="25"/>
      <c r="E2576" s="25"/>
      <c r="F2576" s="25"/>
      <c r="G2576" s="25"/>
      <c r="H2576" s="25"/>
      <c r="I2576" s="25"/>
      <c r="J2576" s="27" t="s">
        <v>3001</v>
      </c>
      <c r="K2576" s="25" t="str">
        <f aca="false">IFERROR(__xludf.dummyfunction("SPLIT(J2576,"" "")"),"CIF")</f>
        <v>CIF</v>
      </c>
      <c r="L2576" s="28" t="str">
        <f aca="false">IFERROR(__xludf.dummyfunction("""COMPUTED_VALUE"""),"United")</f>
        <v>United</v>
      </c>
      <c r="M2576" s="27" t="str">
        <f aca="false">IFERROR(__xludf.dummyfunction("""COMPUTED_VALUE"""),"States")</f>
        <v>States</v>
      </c>
      <c r="N2576" s="25" t="str">
        <f aca="false">IFERROR(__xludf.dummyfunction("""COMPUTED_VALUE"""),"(West")</f>
        <v>(West</v>
      </c>
      <c r="O2576" s="25" t="str">
        <f aca="false">IFERROR(__xludf.dummyfunction("""COMPUTED_VALUE"""),"Coast)")</f>
        <v>Coast)</v>
      </c>
      <c r="P2576" s="25" t="str">
        <f aca="false">IFERROR(__xludf.dummyfunction("""COMPUTED_VALUE"""),"(Diff)")</f>
        <v>(Diff)</v>
      </c>
      <c r="Q2576" s="29" t="s">
        <v>251</v>
      </c>
      <c r="R2576" s="8" t="str">
        <f aca="false">B2576&amp;" "&amp;C2576&amp;" "&amp;D2576&amp;" "&amp;E2576&amp;" "&amp;G2576&amp;" "&amp;H2576&amp;" "&amp;J2576&amp;" "&amp;N2576</f>
        <v>Differentials Cathode     CIF United States (West Coast) (Diff) (West</v>
      </c>
      <c r="S2576" s="25"/>
      <c r="T2576" s="8"/>
      <c r="U2576" s="37" t="s">
        <v>3046</v>
      </c>
      <c r="V2576" s="37"/>
      <c r="W2576" s="25"/>
      <c r="X2576" s="25"/>
      <c r="Y2576" s="25"/>
      <c r="Z2576" s="25"/>
      <c r="AA2576" s="25"/>
      <c r="AB2576" s="25"/>
      <c r="AC2576" s="25"/>
      <c r="AD2576" s="25"/>
    </row>
    <row r="2577" customFormat="false" ht="15.75" hidden="false" customHeight="false" outlineLevel="0" collapsed="false">
      <c r="A2577" s="28" t="s">
        <v>3047</v>
      </c>
      <c r="B2577" s="27" t="s">
        <v>438</v>
      </c>
      <c r="C2577" s="27" t="s">
        <v>236</v>
      </c>
      <c r="D2577" s="25"/>
      <c r="E2577" s="25"/>
      <c r="F2577" s="25"/>
      <c r="G2577" s="25"/>
      <c r="H2577" s="25"/>
      <c r="I2577" s="25"/>
      <c r="J2577" s="27" t="s">
        <v>3001</v>
      </c>
      <c r="K2577" s="25" t="str">
        <f aca="false">IFERROR(__xludf.dummyfunction("SPLIT(J2577,"" "")"),"CIF")</f>
        <v>CIF</v>
      </c>
      <c r="L2577" s="28" t="str">
        <f aca="false">IFERROR(__xludf.dummyfunction("""COMPUTED_VALUE"""),"United")</f>
        <v>United</v>
      </c>
      <c r="M2577" s="27" t="str">
        <f aca="false">IFERROR(__xludf.dummyfunction("""COMPUTED_VALUE"""),"States")</f>
        <v>States</v>
      </c>
      <c r="N2577" s="25" t="str">
        <f aca="false">IFERROR(__xludf.dummyfunction("""COMPUTED_VALUE"""),"(West")</f>
        <v>(West</v>
      </c>
      <c r="O2577" s="25" t="str">
        <f aca="false">IFERROR(__xludf.dummyfunction("""COMPUTED_VALUE"""),"Coast)")</f>
        <v>Coast)</v>
      </c>
      <c r="P2577" s="25" t="str">
        <f aca="false">IFERROR(__xludf.dummyfunction("""COMPUTED_VALUE"""),"(Diff)")</f>
        <v>(Diff)</v>
      </c>
      <c r="Q2577" s="29" t="s">
        <v>247</v>
      </c>
      <c r="R2577" s="8" t="str">
        <f aca="false">B2577&amp;" "&amp;C2577&amp;" "&amp;D2577&amp;" "&amp;E2577&amp;" "&amp;G2577&amp;" "&amp;H2577&amp;" "&amp;J2577&amp;" "&amp;N2577</f>
        <v>Differentials Cathode     CIF United States (West Coast) (Diff) (West</v>
      </c>
      <c r="S2577" s="25"/>
      <c r="T2577" s="8"/>
      <c r="U2577" s="37" t="s">
        <v>3048</v>
      </c>
      <c r="V2577" s="37"/>
      <c r="W2577" s="25"/>
      <c r="X2577" s="25"/>
      <c r="Y2577" s="25"/>
      <c r="Z2577" s="25"/>
      <c r="AA2577" s="25"/>
      <c r="AB2577" s="25"/>
      <c r="AC2577" s="25"/>
      <c r="AD2577" s="25"/>
    </row>
    <row r="2578" customFormat="false" ht="15.75" hidden="false" customHeight="false" outlineLevel="0" collapsed="false">
      <c r="A2578" s="28" t="s">
        <v>3049</v>
      </c>
      <c r="B2578" s="27" t="s">
        <v>438</v>
      </c>
      <c r="C2578" s="27" t="s">
        <v>236</v>
      </c>
      <c r="D2578" s="25"/>
      <c r="E2578" s="25"/>
      <c r="F2578" s="25"/>
      <c r="G2578" s="25"/>
      <c r="H2578" s="25"/>
      <c r="I2578" s="25"/>
      <c r="J2578" s="27" t="s">
        <v>3001</v>
      </c>
      <c r="K2578" s="25" t="str">
        <f aca="false">IFERROR(__xludf.dummyfunction("SPLIT(J2578,"" "")"),"CIF")</f>
        <v>CIF</v>
      </c>
      <c r="L2578" s="28" t="str">
        <f aca="false">IFERROR(__xludf.dummyfunction("""COMPUTED_VALUE"""),"United")</f>
        <v>United</v>
      </c>
      <c r="M2578" s="27" t="str">
        <f aca="false">IFERROR(__xludf.dummyfunction("""COMPUTED_VALUE"""),"States")</f>
        <v>States</v>
      </c>
      <c r="N2578" s="25" t="str">
        <f aca="false">IFERROR(__xludf.dummyfunction("""COMPUTED_VALUE"""),"(West")</f>
        <v>(West</v>
      </c>
      <c r="O2578" s="25" t="str">
        <f aca="false">IFERROR(__xludf.dummyfunction("""COMPUTED_VALUE"""),"Coast)")</f>
        <v>Coast)</v>
      </c>
      <c r="P2578" s="25" t="str">
        <f aca="false">IFERROR(__xludf.dummyfunction("""COMPUTED_VALUE"""),"(Diff)")</f>
        <v>(Diff)</v>
      </c>
      <c r="Q2578" s="29" t="s">
        <v>243</v>
      </c>
      <c r="R2578" s="8" t="str">
        <f aca="false">B2578&amp;" "&amp;C2578&amp;" "&amp;D2578&amp;" "&amp;E2578&amp;" "&amp;G2578&amp;" "&amp;H2578&amp;" "&amp;J2578&amp;" "&amp;N2578</f>
        <v>Differentials Cathode     CIF United States (West Coast) (Diff) (West</v>
      </c>
      <c r="S2578" s="25"/>
      <c r="T2578" s="8"/>
      <c r="U2578" s="37" t="s">
        <v>3050</v>
      </c>
      <c r="V2578" s="37"/>
      <c r="W2578" s="25"/>
      <c r="X2578" s="25"/>
      <c r="Y2578" s="25"/>
      <c r="Z2578" s="25"/>
      <c r="AA2578" s="25"/>
      <c r="AB2578" s="25"/>
      <c r="AC2578" s="25"/>
      <c r="AD2578" s="25"/>
    </row>
    <row r="2579" customFormat="false" ht="15.75" hidden="false" customHeight="false" outlineLevel="0" collapsed="false">
      <c r="A2579" s="28" t="s">
        <v>3051</v>
      </c>
      <c r="B2579" s="27" t="s">
        <v>438</v>
      </c>
      <c r="C2579" s="27" t="s">
        <v>236</v>
      </c>
      <c r="D2579" s="25"/>
      <c r="E2579" s="25"/>
      <c r="F2579" s="25"/>
      <c r="G2579" s="25"/>
      <c r="H2579" s="25"/>
      <c r="I2579" s="25"/>
      <c r="J2579" s="27" t="s">
        <v>3001</v>
      </c>
      <c r="K2579" s="25" t="str">
        <f aca="false">IFERROR(__xludf.dummyfunction("SPLIT(J2579,"" "")"),"CIF")</f>
        <v>CIF</v>
      </c>
      <c r="L2579" s="28" t="str">
        <f aca="false">IFERROR(__xludf.dummyfunction("""COMPUTED_VALUE"""),"United")</f>
        <v>United</v>
      </c>
      <c r="M2579" s="27" t="str">
        <f aca="false">IFERROR(__xludf.dummyfunction("""COMPUTED_VALUE"""),"States")</f>
        <v>States</v>
      </c>
      <c r="N2579" s="25" t="str">
        <f aca="false">IFERROR(__xludf.dummyfunction("""COMPUTED_VALUE"""),"(West")</f>
        <v>(West</v>
      </c>
      <c r="O2579" s="25" t="str">
        <f aca="false">IFERROR(__xludf.dummyfunction("""COMPUTED_VALUE"""),"Coast)")</f>
        <v>Coast)</v>
      </c>
      <c r="P2579" s="25" t="str">
        <f aca="false">IFERROR(__xludf.dummyfunction("""COMPUTED_VALUE"""),"(Diff)")</f>
        <v>(Diff)</v>
      </c>
      <c r="Q2579" s="29" t="s">
        <v>239</v>
      </c>
      <c r="R2579" s="8" t="str">
        <f aca="false">B2579&amp;" "&amp;C2579&amp;" "&amp;D2579&amp;" "&amp;E2579&amp;" "&amp;G2579&amp;" "&amp;H2579&amp;" "&amp;J2579&amp;" "&amp;N2579</f>
        <v>Differentials Cathode     CIF United States (West Coast) (Diff) (West</v>
      </c>
      <c r="S2579" s="25"/>
      <c r="T2579" s="8"/>
      <c r="U2579" s="37" t="s">
        <v>3052</v>
      </c>
      <c r="V2579" s="37"/>
      <c r="W2579" s="25"/>
      <c r="X2579" s="25"/>
      <c r="Y2579" s="25"/>
      <c r="Z2579" s="25"/>
      <c r="AA2579" s="25"/>
      <c r="AB2579" s="25"/>
      <c r="AC2579" s="25"/>
      <c r="AD2579" s="25"/>
    </row>
    <row r="2580" customFormat="false" ht="15.75" hidden="false" customHeight="false" outlineLevel="0" collapsed="false">
      <c r="A2580" s="28" t="s">
        <v>3053</v>
      </c>
      <c r="B2580" s="27" t="s">
        <v>438</v>
      </c>
      <c r="C2580" s="27" t="s">
        <v>289</v>
      </c>
      <c r="D2580" s="25"/>
      <c r="E2580" s="25"/>
      <c r="F2580" s="25"/>
      <c r="G2580" s="25"/>
      <c r="H2580" s="25"/>
      <c r="I2580" s="25"/>
      <c r="J2580" s="27" t="s">
        <v>3001</v>
      </c>
      <c r="K2580" s="25" t="str">
        <f aca="false">IFERROR(__xludf.dummyfunction("SPLIT(J2580,"" "")"),"CIF")</f>
        <v>CIF</v>
      </c>
      <c r="L2580" s="28" t="str">
        <f aca="false">IFERROR(__xludf.dummyfunction("""COMPUTED_VALUE"""),"United")</f>
        <v>United</v>
      </c>
      <c r="M2580" s="27" t="str">
        <f aca="false">IFERROR(__xludf.dummyfunction("""COMPUTED_VALUE"""),"States")</f>
        <v>States</v>
      </c>
      <c r="N2580" s="25" t="str">
        <f aca="false">IFERROR(__xludf.dummyfunction("""COMPUTED_VALUE"""),"(West")</f>
        <v>(West</v>
      </c>
      <c r="O2580" s="25" t="str">
        <f aca="false">IFERROR(__xludf.dummyfunction("""COMPUTED_VALUE"""),"Coast)")</f>
        <v>Coast)</v>
      </c>
      <c r="P2580" s="25" t="str">
        <f aca="false">IFERROR(__xludf.dummyfunction("""COMPUTED_VALUE"""),"(Diff)")</f>
        <v>(Diff)</v>
      </c>
      <c r="Q2580" s="29" t="s">
        <v>306</v>
      </c>
      <c r="R2580" s="8" t="str">
        <f aca="false">B2580&amp;" "&amp;C2580&amp;" "&amp;D2580&amp;" "&amp;E2580&amp;" "&amp;G2580&amp;" "&amp;H2580&amp;" "&amp;J2580&amp;" "&amp;N2580</f>
        <v>Differentials Electrolyte     CIF United States (West Coast) (Diff) (West</v>
      </c>
      <c r="S2580" s="25"/>
      <c r="T2580" s="8"/>
      <c r="U2580" s="8"/>
      <c r="V2580" s="25"/>
      <c r="W2580" s="25"/>
      <c r="X2580" s="25"/>
      <c r="Y2580" s="25"/>
      <c r="Z2580" s="25"/>
      <c r="AA2580" s="25"/>
      <c r="AB2580" s="25"/>
      <c r="AC2580" s="25"/>
      <c r="AD2580" s="25"/>
    </row>
    <row r="2581" customFormat="false" ht="15.75" hidden="false" customHeight="false" outlineLevel="0" collapsed="false">
      <c r="A2581" s="28" t="s">
        <v>3054</v>
      </c>
      <c r="B2581" s="27" t="s">
        <v>438</v>
      </c>
      <c r="C2581" s="27" t="s">
        <v>289</v>
      </c>
      <c r="D2581" s="25"/>
      <c r="E2581" s="25"/>
      <c r="F2581" s="25"/>
      <c r="G2581" s="25"/>
      <c r="H2581" s="25"/>
      <c r="I2581" s="25"/>
      <c r="J2581" s="27" t="s">
        <v>3001</v>
      </c>
      <c r="K2581" s="25" t="str">
        <f aca="false">IFERROR(__xludf.dummyfunction("SPLIT(J2581,"" "")"),"CIF")</f>
        <v>CIF</v>
      </c>
      <c r="L2581" s="28" t="str">
        <f aca="false">IFERROR(__xludf.dummyfunction("""COMPUTED_VALUE"""),"United")</f>
        <v>United</v>
      </c>
      <c r="M2581" s="27" t="str">
        <f aca="false">IFERROR(__xludf.dummyfunction("""COMPUTED_VALUE"""),"States")</f>
        <v>States</v>
      </c>
      <c r="N2581" s="25" t="str">
        <f aca="false">IFERROR(__xludf.dummyfunction("""COMPUTED_VALUE"""),"(West")</f>
        <v>(West</v>
      </c>
      <c r="O2581" s="25" t="str">
        <f aca="false">IFERROR(__xludf.dummyfunction("""COMPUTED_VALUE"""),"Coast)")</f>
        <v>Coast)</v>
      </c>
      <c r="P2581" s="25" t="str">
        <f aca="false">IFERROR(__xludf.dummyfunction("""COMPUTED_VALUE"""),"(Diff)")</f>
        <v>(Diff)</v>
      </c>
      <c r="Q2581" s="29" t="s">
        <v>304</v>
      </c>
      <c r="R2581" s="8" t="str">
        <f aca="false">B2581&amp;" "&amp;C2581&amp;" "&amp;D2581&amp;" "&amp;E2581&amp;" "&amp;G2581&amp;" "&amp;H2581&amp;" "&amp;J2581&amp;" "&amp;N2581</f>
        <v>Differentials Electrolyte     CIF United States (West Coast) (Diff) (West</v>
      </c>
      <c r="S2581" s="25"/>
      <c r="T2581" s="8"/>
      <c r="U2581" s="8"/>
      <c r="V2581" s="25"/>
      <c r="W2581" s="25"/>
      <c r="X2581" s="25"/>
      <c r="Y2581" s="25"/>
      <c r="Z2581" s="25"/>
      <c r="AA2581" s="25"/>
      <c r="AB2581" s="25"/>
      <c r="AC2581" s="25"/>
      <c r="AD2581" s="25"/>
    </row>
    <row r="2582" customFormat="false" ht="15.75" hidden="false" customHeight="false" outlineLevel="0" collapsed="false">
      <c r="A2582" s="28" t="s">
        <v>3055</v>
      </c>
      <c r="B2582" s="27" t="s">
        <v>438</v>
      </c>
      <c r="C2582" s="27" t="s">
        <v>289</v>
      </c>
      <c r="D2582" s="25"/>
      <c r="E2582" s="25"/>
      <c r="F2582" s="25"/>
      <c r="G2582" s="25"/>
      <c r="H2582" s="25"/>
      <c r="I2582" s="25"/>
      <c r="J2582" s="27" t="s">
        <v>3001</v>
      </c>
      <c r="K2582" s="25" t="str">
        <f aca="false">IFERROR(__xludf.dummyfunction("SPLIT(J2582,"" "")"),"CIF")</f>
        <v>CIF</v>
      </c>
      <c r="L2582" s="28" t="str">
        <f aca="false">IFERROR(__xludf.dummyfunction("""COMPUTED_VALUE"""),"United")</f>
        <v>United</v>
      </c>
      <c r="M2582" s="27" t="str">
        <f aca="false">IFERROR(__xludf.dummyfunction("""COMPUTED_VALUE"""),"States")</f>
        <v>States</v>
      </c>
      <c r="N2582" s="25" t="str">
        <f aca="false">IFERROR(__xludf.dummyfunction("""COMPUTED_VALUE"""),"(West")</f>
        <v>(West</v>
      </c>
      <c r="O2582" s="25" t="str">
        <f aca="false">IFERROR(__xludf.dummyfunction("""COMPUTED_VALUE"""),"Coast)")</f>
        <v>Coast)</v>
      </c>
      <c r="P2582" s="25" t="str">
        <f aca="false">IFERROR(__xludf.dummyfunction("""COMPUTED_VALUE"""),"(Diff)")</f>
        <v>(Diff)</v>
      </c>
      <c r="Q2582" s="29" t="s">
        <v>302</v>
      </c>
      <c r="R2582" s="8" t="str">
        <f aca="false">B2582&amp;" "&amp;C2582&amp;" "&amp;D2582&amp;" "&amp;E2582&amp;" "&amp;G2582&amp;" "&amp;H2582&amp;" "&amp;J2582&amp;" "&amp;N2582</f>
        <v>Differentials Electrolyte     CIF United States (West Coast) (Diff) (West</v>
      </c>
      <c r="S2582" s="25"/>
      <c r="T2582" s="8"/>
      <c r="U2582" s="37" t="s">
        <v>3056</v>
      </c>
      <c r="V2582" s="37"/>
      <c r="W2582" s="25"/>
      <c r="X2582" s="25"/>
      <c r="Y2582" s="25"/>
      <c r="Z2582" s="25"/>
      <c r="AA2582" s="25"/>
      <c r="AB2582" s="25"/>
      <c r="AC2582" s="25"/>
      <c r="AD2582" s="25"/>
    </row>
    <row r="2583" customFormat="false" ht="15.75" hidden="false" customHeight="false" outlineLevel="0" collapsed="false">
      <c r="A2583" s="28" t="s">
        <v>3057</v>
      </c>
      <c r="B2583" s="27" t="s">
        <v>438</v>
      </c>
      <c r="C2583" s="27" t="s">
        <v>289</v>
      </c>
      <c r="D2583" s="25"/>
      <c r="E2583" s="25"/>
      <c r="F2583" s="25"/>
      <c r="G2583" s="25"/>
      <c r="H2583" s="25"/>
      <c r="I2583" s="25"/>
      <c r="J2583" s="27" t="s">
        <v>3001</v>
      </c>
      <c r="K2583" s="25" t="str">
        <f aca="false">IFERROR(__xludf.dummyfunction("SPLIT(J2583,"" "")"),"CIF")</f>
        <v>CIF</v>
      </c>
      <c r="L2583" s="28" t="str">
        <f aca="false">IFERROR(__xludf.dummyfunction("""COMPUTED_VALUE"""),"United")</f>
        <v>United</v>
      </c>
      <c r="M2583" s="27" t="str">
        <f aca="false">IFERROR(__xludf.dummyfunction("""COMPUTED_VALUE"""),"States")</f>
        <v>States</v>
      </c>
      <c r="N2583" s="25" t="str">
        <f aca="false">IFERROR(__xludf.dummyfunction("""COMPUTED_VALUE"""),"(West")</f>
        <v>(West</v>
      </c>
      <c r="O2583" s="25" t="str">
        <f aca="false">IFERROR(__xludf.dummyfunction("""COMPUTED_VALUE"""),"Coast)")</f>
        <v>Coast)</v>
      </c>
      <c r="P2583" s="25" t="str">
        <f aca="false">IFERROR(__xludf.dummyfunction("""COMPUTED_VALUE"""),"(Diff)")</f>
        <v>(Diff)</v>
      </c>
      <c r="Q2583" s="29" t="s">
        <v>300</v>
      </c>
      <c r="R2583" s="8" t="str">
        <f aca="false">B2583&amp;" "&amp;C2583&amp;" "&amp;D2583&amp;" "&amp;E2583&amp;" "&amp;G2583&amp;" "&amp;H2583&amp;" "&amp;J2583&amp;" "&amp;N2583</f>
        <v>Differentials Electrolyte     CIF United States (West Coast) (Diff) (West</v>
      </c>
      <c r="S2583" s="25"/>
      <c r="T2583" s="8"/>
      <c r="U2583" s="37" t="s">
        <v>3058</v>
      </c>
      <c r="V2583" s="37"/>
      <c r="W2583" s="25"/>
      <c r="X2583" s="25"/>
      <c r="Y2583" s="25"/>
      <c r="Z2583" s="25"/>
      <c r="AA2583" s="25"/>
      <c r="AB2583" s="25"/>
      <c r="AC2583" s="25"/>
      <c r="AD2583" s="25"/>
    </row>
    <row r="2584" customFormat="false" ht="15.75" hidden="false" customHeight="false" outlineLevel="0" collapsed="false">
      <c r="A2584" s="28" t="s">
        <v>3059</v>
      </c>
      <c r="B2584" s="27" t="s">
        <v>438</v>
      </c>
      <c r="C2584" s="27" t="s">
        <v>289</v>
      </c>
      <c r="D2584" s="25"/>
      <c r="E2584" s="25"/>
      <c r="F2584" s="25"/>
      <c r="G2584" s="25"/>
      <c r="H2584" s="25"/>
      <c r="I2584" s="25"/>
      <c r="J2584" s="27" t="s">
        <v>3001</v>
      </c>
      <c r="K2584" s="25" t="str">
        <f aca="false">IFERROR(__xludf.dummyfunction("SPLIT(J2584,"" "")"),"CIF")</f>
        <v>CIF</v>
      </c>
      <c r="L2584" s="28" t="str">
        <f aca="false">IFERROR(__xludf.dummyfunction("""COMPUTED_VALUE"""),"United")</f>
        <v>United</v>
      </c>
      <c r="M2584" s="27" t="str">
        <f aca="false">IFERROR(__xludf.dummyfunction("""COMPUTED_VALUE"""),"States")</f>
        <v>States</v>
      </c>
      <c r="N2584" s="25" t="str">
        <f aca="false">IFERROR(__xludf.dummyfunction("""COMPUTED_VALUE"""),"(West")</f>
        <v>(West</v>
      </c>
      <c r="O2584" s="25" t="str">
        <f aca="false">IFERROR(__xludf.dummyfunction("""COMPUTED_VALUE"""),"Coast)")</f>
        <v>Coast)</v>
      </c>
      <c r="P2584" s="25" t="str">
        <f aca="false">IFERROR(__xludf.dummyfunction("""COMPUTED_VALUE"""),"(Diff)")</f>
        <v>(Diff)</v>
      </c>
      <c r="Q2584" s="29" t="s">
        <v>298</v>
      </c>
      <c r="R2584" s="8" t="str">
        <f aca="false">B2584&amp;" "&amp;C2584&amp;" "&amp;D2584&amp;" "&amp;E2584&amp;" "&amp;G2584&amp;" "&amp;H2584&amp;" "&amp;J2584&amp;" "&amp;N2584</f>
        <v>Differentials Electrolyte     CIF United States (West Coast) (Diff) (West</v>
      </c>
      <c r="S2584" s="25"/>
      <c r="T2584" s="8"/>
      <c r="U2584" s="37" t="s">
        <v>3060</v>
      </c>
      <c r="V2584" s="37"/>
      <c r="W2584" s="25"/>
      <c r="X2584" s="25"/>
      <c r="Y2584" s="25"/>
      <c r="Z2584" s="25"/>
      <c r="AA2584" s="25"/>
      <c r="AB2584" s="25"/>
      <c r="AC2584" s="25"/>
      <c r="AD2584" s="25"/>
    </row>
    <row r="2585" customFormat="false" ht="15.75" hidden="false" customHeight="false" outlineLevel="0" collapsed="false">
      <c r="A2585" s="28" t="s">
        <v>3061</v>
      </c>
      <c r="B2585" s="27" t="s">
        <v>438</v>
      </c>
      <c r="C2585" s="27" t="s">
        <v>289</v>
      </c>
      <c r="D2585" s="25"/>
      <c r="E2585" s="25"/>
      <c r="F2585" s="25"/>
      <c r="G2585" s="25"/>
      <c r="H2585" s="25"/>
      <c r="I2585" s="25"/>
      <c r="J2585" s="27" t="s">
        <v>3001</v>
      </c>
      <c r="K2585" s="25" t="str">
        <f aca="false">IFERROR(__xludf.dummyfunction("SPLIT(J2585,"" "")"),"CIF")</f>
        <v>CIF</v>
      </c>
      <c r="L2585" s="28" t="str">
        <f aca="false">IFERROR(__xludf.dummyfunction("""COMPUTED_VALUE"""),"United")</f>
        <v>United</v>
      </c>
      <c r="M2585" s="27" t="str">
        <f aca="false">IFERROR(__xludf.dummyfunction("""COMPUTED_VALUE"""),"States")</f>
        <v>States</v>
      </c>
      <c r="N2585" s="25" t="str">
        <f aca="false">IFERROR(__xludf.dummyfunction("""COMPUTED_VALUE"""),"(West")</f>
        <v>(West</v>
      </c>
      <c r="O2585" s="25" t="str">
        <f aca="false">IFERROR(__xludf.dummyfunction("""COMPUTED_VALUE"""),"Coast)")</f>
        <v>Coast)</v>
      </c>
      <c r="P2585" s="25" t="str">
        <f aca="false">IFERROR(__xludf.dummyfunction("""COMPUTED_VALUE"""),"(Diff)")</f>
        <v>(Diff)</v>
      </c>
      <c r="Q2585" s="29" t="s">
        <v>296</v>
      </c>
      <c r="R2585" s="8" t="str">
        <f aca="false">B2585&amp;" "&amp;C2585&amp;" "&amp;D2585&amp;" "&amp;E2585&amp;" "&amp;G2585&amp;" "&amp;H2585&amp;" "&amp;J2585&amp;" "&amp;N2585</f>
        <v>Differentials Electrolyte     CIF United States (West Coast) (Diff) (West</v>
      </c>
      <c r="S2585" s="25"/>
      <c r="T2585" s="8"/>
      <c r="U2585" s="37" t="s">
        <v>3062</v>
      </c>
      <c r="V2585" s="37"/>
      <c r="W2585" s="25"/>
      <c r="X2585" s="25"/>
      <c r="Y2585" s="25"/>
      <c r="Z2585" s="25"/>
      <c r="AA2585" s="25"/>
      <c r="AB2585" s="25"/>
      <c r="AC2585" s="25"/>
      <c r="AD2585" s="25"/>
    </row>
    <row r="2586" customFormat="false" ht="15.75" hidden="false" customHeight="false" outlineLevel="0" collapsed="false">
      <c r="A2586" s="28" t="s">
        <v>3063</v>
      </c>
      <c r="B2586" s="27" t="s">
        <v>438</v>
      </c>
      <c r="C2586" s="27" t="s">
        <v>289</v>
      </c>
      <c r="D2586" s="25"/>
      <c r="E2586" s="25"/>
      <c r="F2586" s="25"/>
      <c r="G2586" s="25"/>
      <c r="H2586" s="25"/>
      <c r="I2586" s="25"/>
      <c r="J2586" s="27" t="s">
        <v>3001</v>
      </c>
      <c r="K2586" s="25" t="str">
        <f aca="false">IFERROR(__xludf.dummyfunction("SPLIT(J2586,"" "")"),"CIF")</f>
        <v>CIF</v>
      </c>
      <c r="L2586" s="28" t="str">
        <f aca="false">IFERROR(__xludf.dummyfunction("""COMPUTED_VALUE"""),"United")</f>
        <v>United</v>
      </c>
      <c r="M2586" s="27" t="str">
        <f aca="false">IFERROR(__xludf.dummyfunction("""COMPUTED_VALUE"""),"States")</f>
        <v>States</v>
      </c>
      <c r="N2586" s="25" t="str">
        <f aca="false">IFERROR(__xludf.dummyfunction("""COMPUTED_VALUE"""),"(West")</f>
        <v>(West</v>
      </c>
      <c r="O2586" s="25" t="str">
        <f aca="false">IFERROR(__xludf.dummyfunction("""COMPUTED_VALUE"""),"Coast)")</f>
        <v>Coast)</v>
      </c>
      <c r="P2586" s="25" t="str">
        <f aca="false">IFERROR(__xludf.dummyfunction("""COMPUTED_VALUE"""),"(Diff)")</f>
        <v>(Diff)</v>
      </c>
      <c r="Q2586" s="29" t="s">
        <v>294</v>
      </c>
      <c r="R2586" s="8" t="str">
        <f aca="false">B2586&amp;" "&amp;C2586&amp;" "&amp;D2586&amp;" "&amp;E2586&amp;" "&amp;G2586&amp;" "&amp;H2586&amp;" "&amp;J2586&amp;" "&amp;N2586</f>
        <v>Differentials Electrolyte     CIF United States (West Coast) (Diff) (West</v>
      </c>
      <c r="S2586" s="25"/>
      <c r="T2586" s="8"/>
      <c r="U2586" s="37" t="s">
        <v>3064</v>
      </c>
      <c r="V2586" s="37"/>
      <c r="W2586" s="25"/>
      <c r="X2586" s="25"/>
      <c r="Y2586" s="25"/>
      <c r="Z2586" s="25"/>
      <c r="AA2586" s="25"/>
      <c r="AB2586" s="25"/>
      <c r="AC2586" s="25"/>
      <c r="AD2586" s="25"/>
    </row>
    <row r="2587" customFormat="false" ht="15.75" hidden="false" customHeight="false" outlineLevel="0" collapsed="false">
      <c r="A2587" s="28" t="s">
        <v>3065</v>
      </c>
      <c r="B2587" s="27" t="s">
        <v>438</v>
      </c>
      <c r="C2587" s="27" t="s">
        <v>289</v>
      </c>
      <c r="D2587" s="25"/>
      <c r="E2587" s="25"/>
      <c r="F2587" s="25"/>
      <c r="G2587" s="25"/>
      <c r="H2587" s="25"/>
      <c r="I2587" s="25"/>
      <c r="J2587" s="27" t="s">
        <v>3001</v>
      </c>
      <c r="K2587" s="25" t="str">
        <f aca="false">IFERROR(__xludf.dummyfunction("SPLIT(J2587,"" "")"),"CIF")</f>
        <v>CIF</v>
      </c>
      <c r="L2587" s="28" t="str">
        <f aca="false">IFERROR(__xludf.dummyfunction("""COMPUTED_VALUE"""),"United")</f>
        <v>United</v>
      </c>
      <c r="M2587" s="27" t="str">
        <f aca="false">IFERROR(__xludf.dummyfunction("""COMPUTED_VALUE"""),"States")</f>
        <v>States</v>
      </c>
      <c r="N2587" s="25" t="str">
        <f aca="false">IFERROR(__xludf.dummyfunction("""COMPUTED_VALUE"""),"(West")</f>
        <v>(West</v>
      </c>
      <c r="O2587" s="25" t="str">
        <f aca="false">IFERROR(__xludf.dummyfunction("""COMPUTED_VALUE"""),"Coast)")</f>
        <v>Coast)</v>
      </c>
      <c r="P2587" s="25" t="str">
        <f aca="false">IFERROR(__xludf.dummyfunction("""COMPUTED_VALUE"""),"(Diff)")</f>
        <v>(Diff)</v>
      </c>
      <c r="Q2587" s="29" t="s">
        <v>291</v>
      </c>
      <c r="R2587" s="8" t="str">
        <f aca="false">B2587&amp;" "&amp;C2587&amp;" "&amp;D2587&amp;" "&amp;E2587&amp;" "&amp;G2587&amp;" "&amp;H2587&amp;" "&amp;J2587&amp;" "&amp;N2587</f>
        <v>Differentials Electrolyte     CIF United States (West Coast) (Diff) (West</v>
      </c>
      <c r="S2587" s="25"/>
      <c r="T2587" s="8"/>
      <c r="U2587" s="37" t="s">
        <v>3066</v>
      </c>
      <c r="V2587" s="37"/>
      <c r="W2587" s="25"/>
      <c r="X2587" s="25"/>
      <c r="Y2587" s="25"/>
      <c r="Z2587" s="25"/>
      <c r="AA2587" s="25"/>
      <c r="AB2587" s="25"/>
      <c r="AC2587" s="25"/>
      <c r="AD2587" s="25"/>
    </row>
    <row r="2588" customFormat="false" ht="15.75" hidden="false" customHeight="false" outlineLevel="0" collapsed="false">
      <c r="A2588" s="28" t="s">
        <v>3067</v>
      </c>
      <c r="B2588" s="27" t="s">
        <v>438</v>
      </c>
      <c r="C2588" s="27" t="s">
        <v>308</v>
      </c>
      <c r="D2588" s="25"/>
      <c r="E2588" s="25"/>
      <c r="F2588" s="25"/>
      <c r="G2588" s="25"/>
      <c r="H2588" s="25"/>
      <c r="I2588" s="25"/>
      <c r="J2588" s="27" t="s">
        <v>3001</v>
      </c>
      <c r="K2588" s="25" t="str">
        <f aca="false">IFERROR(__xludf.dummyfunction("SPLIT(J2588,"" "")"),"CIF")</f>
        <v>CIF</v>
      </c>
      <c r="L2588" s="28" t="str">
        <f aca="false">IFERROR(__xludf.dummyfunction("""COMPUTED_VALUE"""),"United")</f>
        <v>United</v>
      </c>
      <c r="M2588" s="27" t="str">
        <f aca="false">IFERROR(__xludf.dummyfunction("""COMPUTED_VALUE"""),"States")</f>
        <v>States</v>
      </c>
      <c r="N2588" s="25" t="str">
        <f aca="false">IFERROR(__xludf.dummyfunction("""COMPUTED_VALUE"""),"(West")</f>
        <v>(West</v>
      </c>
      <c r="O2588" s="25" t="str">
        <f aca="false">IFERROR(__xludf.dummyfunction("""COMPUTED_VALUE"""),"Coast)")</f>
        <v>Coast)</v>
      </c>
      <c r="P2588" s="25" t="str">
        <f aca="false">IFERROR(__xludf.dummyfunction("""COMPUTED_VALUE"""),"(Diff)")</f>
        <v>(Diff)</v>
      </c>
      <c r="Q2588" s="29" t="s">
        <v>358</v>
      </c>
      <c r="R2588" s="8" t="str">
        <f aca="false">B2588&amp;" "&amp;C2588&amp;" "&amp;D2588&amp;" "&amp;E2588&amp;" "&amp;G2588&amp;" "&amp;H2588&amp;" "&amp;J2588&amp;" "&amp;N2588</f>
        <v>Differentials Graphite     CIF United States (West Coast) (Diff) (West</v>
      </c>
      <c r="S2588" s="25"/>
      <c r="T2588" s="8"/>
      <c r="U2588" s="8"/>
      <c r="V2588" s="25"/>
      <c r="W2588" s="25"/>
      <c r="X2588" s="25"/>
      <c r="Y2588" s="25"/>
      <c r="Z2588" s="25"/>
      <c r="AA2588" s="25"/>
      <c r="AB2588" s="25"/>
      <c r="AC2588" s="25"/>
      <c r="AD2588" s="25"/>
    </row>
    <row r="2589" customFormat="false" ht="15.75" hidden="false" customHeight="false" outlineLevel="0" collapsed="false">
      <c r="A2589" s="28" t="s">
        <v>3068</v>
      </c>
      <c r="B2589" s="27" t="s">
        <v>438</v>
      </c>
      <c r="C2589" s="27" t="s">
        <v>308</v>
      </c>
      <c r="D2589" s="25"/>
      <c r="E2589" s="25"/>
      <c r="F2589" s="25"/>
      <c r="G2589" s="25"/>
      <c r="H2589" s="25"/>
      <c r="I2589" s="25"/>
      <c r="J2589" s="27" t="s">
        <v>3001</v>
      </c>
      <c r="K2589" s="25" t="str">
        <f aca="false">IFERROR(__xludf.dummyfunction("SPLIT(J2589,"" "")"),"CIF")</f>
        <v>CIF</v>
      </c>
      <c r="L2589" s="28" t="str">
        <f aca="false">IFERROR(__xludf.dummyfunction("""COMPUTED_VALUE"""),"United")</f>
        <v>United</v>
      </c>
      <c r="M2589" s="27" t="str">
        <f aca="false">IFERROR(__xludf.dummyfunction("""COMPUTED_VALUE"""),"States")</f>
        <v>States</v>
      </c>
      <c r="N2589" s="25" t="str">
        <f aca="false">IFERROR(__xludf.dummyfunction("""COMPUTED_VALUE"""),"(West")</f>
        <v>(West</v>
      </c>
      <c r="O2589" s="25" t="str">
        <f aca="false">IFERROR(__xludf.dummyfunction("""COMPUTED_VALUE"""),"Coast)")</f>
        <v>Coast)</v>
      </c>
      <c r="P2589" s="25" t="str">
        <f aca="false">IFERROR(__xludf.dummyfunction("""COMPUTED_VALUE"""),"(Diff)")</f>
        <v>(Diff)</v>
      </c>
      <c r="Q2589" s="29" t="s">
        <v>356</v>
      </c>
      <c r="R2589" s="8" t="str">
        <f aca="false">B2589&amp;" "&amp;C2589&amp;" "&amp;D2589&amp;" "&amp;E2589&amp;" "&amp;G2589&amp;" "&amp;H2589&amp;" "&amp;J2589&amp;" "&amp;N2589</f>
        <v>Differentials Graphite     CIF United States (West Coast) (Diff) (West</v>
      </c>
      <c r="S2589" s="25"/>
      <c r="T2589" s="8"/>
      <c r="U2589" s="8"/>
      <c r="V2589" s="25"/>
      <c r="W2589" s="25"/>
      <c r="X2589" s="25"/>
      <c r="Y2589" s="25"/>
      <c r="Z2589" s="25"/>
      <c r="AA2589" s="25"/>
      <c r="AB2589" s="25"/>
      <c r="AC2589" s="25"/>
      <c r="AD2589" s="25"/>
    </row>
    <row r="2590" customFormat="false" ht="15.75" hidden="false" customHeight="false" outlineLevel="0" collapsed="false">
      <c r="A2590" s="28" t="s">
        <v>3069</v>
      </c>
      <c r="B2590" s="27" t="s">
        <v>438</v>
      </c>
      <c r="C2590" s="27" t="s">
        <v>308</v>
      </c>
      <c r="D2590" s="25"/>
      <c r="E2590" s="25"/>
      <c r="F2590" s="25"/>
      <c r="G2590" s="25"/>
      <c r="H2590" s="25"/>
      <c r="I2590" s="25"/>
      <c r="J2590" s="27" t="s">
        <v>3001</v>
      </c>
      <c r="K2590" s="25" t="str">
        <f aca="false">IFERROR(__xludf.dummyfunction("SPLIT(J2590,"" "")"),"CIF")</f>
        <v>CIF</v>
      </c>
      <c r="L2590" s="28" t="str">
        <f aca="false">IFERROR(__xludf.dummyfunction("""COMPUTED_VALUE"""),"United")</f>
        <v>United</v>
      </c>
      <c r="M2590" s="27" t="str">
        <f aca="false">IFERROR(__xludf.dummyfunction("""COMPUTED_VALUE"""),"States")</f>
        <v>States</v>
      </c>
      <c r="N2590" s="25" t="str">
        <f aca="false">IFERROR(__xludf.dummyfunction("""COMPUTED_VALUE"""),"(West")</f>
        <v>(West</v>
      </c>
      <c r="O2590" s="25" t="str">
        <f aca="false">IFERROR(__xludf.dummyfunction("""COMPUTED_VALUE"""),"Coast)")</f>
        <v>Coast)</v>
      </c>
      <c r="P2590" s="25" t="str">
        <f aca="false">IFERROR(__xludf.dummyfunction("""COMPUTED_VALUE"""),"(Diff)")</f>
        <v>(Diff)</v>
      </c>
      <c r="Q2590" s="29" t="s">
        <v>354</v>
      </c>
      <c r="R2590" s="8" t="str">
        <f aca="false">B2590&amp;" "&amp;C2590&amp;" "&amp;D2590&amp;" "&amp;E2590&amp;" "&amp;G2590&amp;" "&amp;H2590&amp;" "&amp;J2590&amp;" "&amp;N2590</f>
        <v>Differentials Graphite     CIF United States (West Coast) (Diff) (West</v>
      </c>
      <c r="S2590" s="25"/>
      <c r="T2590" s="8"/>
      <c r="U2590" s="8"/>
      <c r="V2590" s="25"/>
      <c r="W2590" s="25"/>
      <c r="X2590" s="25"/>
      <c r="Y2590" s="25"/>
      <c r="Z2590" s="25"/>
      <c r="AA2590" s="25"/>
      <c r="AB2590" s="25"/>
      <c r="AC2590" s="25"/>
      <c r="AD2590" s="25"/>
    </row>
    <row r="2591" customFormat="false" ht="15.75" hidden="false" customHeight="false" outlineLevel="0" collapsed="false">
      <c r="A2591" s="28" t="s">
        <v>3070</v>
      </c>
      <c r="B2591" s="27" t="s">
        <v>438</v>
      </c>
      <c r="C2591" s="27" t="s">
        <v>308</v>
      </c>
      <c r="D2591" s="25"/>
      <c r="E2591" s="25"/>
      <c r="F2591" s="25"/>
      <c r="G2591" s="25"/>
      <c r="H2591" s="25"/>
      <c r="I2591" s="25"/>
      <c r="J2591" s="27" t="s">
        <v>3001</v>
      </c>
      <c r="K2591" s="25" t="str">
        <f aca="false">IFERROR(__xludf.dummyfunction("SPLIT(J2591,"" "")"),"CIF")</f>
        <v>CIF</v>
      </c>
      <c r="L2591" s="28" t="str">
        <f aca="false">IFERROR(__xludf.dummyfunction("""COMPUTED_VALUE"""),"United")</f>
        <v>United</v>
      </c>
      <c r="M2591" s="27" t="str">
        <f aca="false">IFERROR(__xludf.dummyfunction("""COMPUTED_VALUE"""),"States")</f>
        <v>States</v>
      </c>
      <c r="N2591" s="25" t="str">
        <f aca="false">IFERROR(__xludf.dummyfunction("""COMPUTED_VALUE"""),"(West")</f>
        <v>(West</v>
      </c>
      <c r="O2591" s="25" t="str">
        <f aca="false">IFERROR(__xludf.dummyfunction("""COMPUTED_VALUE"""),"Coast)")</f>
        <v>Coast)</v>
      </c>
      <c r="P2591" s="25" t="str">
        <f aca="false">IFERROR(__xludf.dummyfunction("""COMPUTED_VALUE"""),"(Diff)")</f>
        <v>(Diff)</v>
      </c>
      <c r="Q2591" s="29" t="s">
        <v>352</v>
      </c>
      <c r="R2591" s="8" t="str">
        <f aca="false">B2591&amp;" "&amp;C2591&amp;" "&amp;D2591&amp;" "&amp;E2591&amp;" "&amp;G2591&amp;" "&amp;H2591&amp;" "&amp;J2591&amp;" "&amp;N2591</f>
        <v>Differentials Graphite     CIF United States (West Coast) (Diff) (West</v>
      </c>
      <c r="S2591" s="25"/>
      <c r="T2591" s="8"/>
      <c r="U2591" s="8"/>
      <c r="V2591" s="25"/>
      <c r="W2591" s="25"/>
      <c r="X2591" s="25"/>
      <c r="Y2591" s="25"/>
      <c r="Z2591" s="25"/>
      <c r="AA2591" s="25"/>
      <c r="AB2591" s="25"/>
      <c r="AC2591" s="25"/>
      <c r="AD2591" s="25"/>
    </row>
    <row r="2592" customFormat="false" ht="15.75" hidden="false" customHeight="false" outlineLevel="0" collapsed="false">
      <c r="A2592" s="28" t="s">
        <v>3071</v>
      </c>
      <c r="B2592" s="27" t="s">
        <v>438</v>
      </c>
      <c r="C2592" s="27" t="s">
        <v>308</v>
      </c>
      <c r="D2592" s="25"/>
      <c r="E2592" s="25"/>
      <c r="F2592" s="25"/>
      <c r="G2592" s="25"/>
      <c r="H2592" s="25"/>
      <c r="I2592" s="25"/>
      <c r="J2592" s="27" t="s">
        <v>3001</v>
      </c>
      <c r="K2592" s="25" t="str">
        <f aca="false">IFERROR(__xludf.dummyfunction("SPLIT(J2592,"" "")"),"CIF")</f>
        <v>CIF</v>
      </c>
      <c r="L2592" s="28" t="str">
        <f aca="false">IFERROR(__xludf.dummyfunction("""COMPUTED_VALUE"""),"United")</f>
        <v>United</v>
      </c>
      <c r="M2592" s="27" t="str">
        <f aca="false">IFERROR(__xludf.dummyfunction("""COMPUTED_VALUE"""),"States")</f>
        <v>States</v>
      </c>
      <c r="N2592" s="25" t="str">
        <f aca="false">IFERROR(__xludf.dummyfunction("""COMPUTED_VALUE"""),"(West")</f>
        <v>(West</v>
      </c>
      <c r="O2592" s="25" t="str">
        <f aca="false">IFERROR(__xludf.dummyfunction("""COMPUTED_VALUE"""),"Coast)")</f>
        <v>Coast)</v>
      </c>
      <c r="P2592" s="25" t="str">
        <f aca="false">IFERROR(__xludf.dummyfunction("""COMPUTED_VALUE"""),"(Diff)")</f>
        <v>(Diff)</v>
      </c>
      <c r="Q2592" s="29" t="s">
        <v>350</v>
      </c>
      <c r="R2592" s="8" t="str">
        <f aca="false">B2592&amp;" "&amp;C2592&amp;" "&amp;D2592&amp;" "&amp;E2592&amp;" "&amp;G2592&amp;" "&amp;H2592&amp;" "&amp;J2592&amp;" "&amp;N2592</f>
        <v>Differentials Graphite     CIF United States (West Coast) (Diff) (West</v>
      </c>
      <c r="S2592" s="25"/>
      <c r="T2592" s="8"/>
      <c r="U2592" s="8"/>
      <c r="V2592" s="25"/>
      <c r="W2592" s="25"/>
      <c r="X2592" s="25"/>
      <c r="Y2592" s="25"/>
      <c r="Z2592" s="25"/>
      <c r="AA2592" s="25"/>
      <c r="AB2592" s="25"/>
      <c r="AC2592" s="25"/>
      <c r="AD2592" s="25"/>
    </row>
    <row r="2593" customFormat="false" ht="15.75" hidden="false" customHeight="false" outlineLevel="0" collapsed="false">
      <c r="A2593" s="28" t="s">
        <v>3072</v>
      </c>
      <c r="B2593" s="27" t="s">
        <v>438</v>
      </c>
      <c r="C2593" s="27" t="s">
        <v>308</v>
      </c>
      <c r="D2593" s="25"/>
      <c r="E2593" s="25"/>
      <c r="F2593" s="25"/>
      <c r="G2593" s="25"/>
      <c r="H2593" s="25"/>
      <c r="I2593" s="25"/>
      <c r="J2593" s="27" t="s">
        <v>3001</v>
      </c>
      <c r="K2593" s="25" t="str">
        <f aca="false">IFERROR(__xludf.dummyfunction("SPLIT(J2593,"" "")"),"CIF")</f>
        <v>CIF</v>
      </c>
      <c r="L2593" s="28" t="str">
        <f aca="false">IFERROR(__xludf.dummyfunction("""COMPUTED_VALUE"""),"United")</f>
        <v>United</v>
      </c>
      <c r="M2593" s="27" t="str">
        <f aca="false">IFERROR(__xludf.dummyfunction("""COMPUTED_VALUE"""),"States")</f>
        <v>States</v>
      </c>
      <c r="N2593" s="25" t="str">
        <f aca="false">IFERROR(__xludf.dummyfunction("""COMPUTED_VALUE"""),"(West")</f>
        <v>(West</v>
      </c>
      <c r="O2593" s="25" t="str">
        <f aca="false">IFERROR(__xludf.dummyfunction("""COMPUTED_VALUE"""),"Coast)")</f>
        <v>Coast)</v>
      </c>
      <c r="P2593" s="25" t="str">
        <f aca="false">IFERROR(__xludf.dummyfunction("""COMPUTED_VALUE"""),"(Diff)")</f>
        <v>(Diff)</v>
      </c>
      <c r="Q2593" s="29" t="s">
        <v>347</v>
      </c>
      <c r="R2593" s="8" t="str">
        <f aca="false">B2593&amp;" "&amp;C2593&amp;" "&amp;D2593&amp;" "&amp;E2593&amp;" "&amp;G2593&amp;" "&amp;H2593&amp;" "&amp;J2593&amp;" "&amp;N2593</f>
        <v>Differentials Graphite     CIF United States (West Coast) (Diff) (West</v>
      </c>
      <c r="S2593" s="25"/>
      <c r="T2593" s="8"/>
      <c r="U2593" s="8"/>
      <c r="V2593" s="25"/>
      <c r="W2593" s="25"/>
      <c r="X2593" s="25"/>
      <c r="Y2593" s="25"/>
      <c r="Z2593" s="25"/>
      <c r="AA2593" s="25"/>
      <c r="AB2593" s="25"/>
      <c r="AC2593" s="25"/>
      <c r="AD2593" s="25"/>
    </row>
    <row r="2594" customFormat="false" ht="15.75" hidden="false" customHeight="false" outlineLevel="0" collapsed="false">
      <c r="A2594" s="28" t="s">
        <v>3073</v>
      </c>
      <c r="B2594" s="27" t="s">
        <v>438</v>
      </c>
      <c r="C2594" s="27" t="s">
        <v>308</v>
      </c>
      <c r="D2594" s="25"/>
      <c r="E2594" s="25"/>
      <c r="F2594" s="25"/>
      <c r="G2594" s="25"/>
      <c r="H2594" s="25"/>
      <c r="I2594" s="25"/>
      <c r="J2594" s="27" t="s">
        <v>3001</v>
      </c>
      <c r="K2594" s="25" t="str">
        <f aca="false">IFERROR(__xludf.dummyfunction("SPLIT(J2594,"" "")"),"CIF")</f>
        <v>CIF</v>
      </c>
      <c r="L2594" s="28" t="str">
        <f aca="false">IFERROR(__xludf.dummyfunction("""COMPUTED_VALUE"""),"United")</f>
        <v>United</v>
      </c>
      <c r="M2594" s="27" t="str">
        <f aca="false">IFERROR(__xludf.dummyfunction("""COMPUTED_VALUE"""),"States")</f>
        <v>States</v>
      </c>
      <c r="N2594" s="25" t="str">
        <f aca="false">IFERROR(__xludf.dummyfunction("""COMPUTED_VALUE"""),"(West")</f>
        <v>(West</v>
      </c>
      <c r="O2594" s="25" t="str">
        <f aca="false">IFERROR(__xludf.dummyfunction("""COMPUTED_VALUE"""),"Coast)")</f>
        <v>Coast)</v>
      </c>
      <c r="P2594" s="25" t="str">
        <f aca="false">IFERROR(__xludf.dummyfunction("""COMPUTED_VALUE"""),"(Diff)")</f>
        <v>(Diff)</v>
      </c>
      <c r="Q2594" s="29" t="s">
        <v>344</v>
      </c>
      <c r="R2594" s="8" t="str">
        <f aca="false">B2594&amp;" "&amp;C2594&amp;" "&amp;D2594&amp;" "&amp;E2594&amp;" "&amp;G2594&amp;" "&amp;H2594&amp;" "&amp;J2594&amp;" "&amp;N2594</f>
        <v>Differentials Graphite     CIF United States (West Coast) (Diff) (West</v>
      </c>
      <c r="S2594" s="25"/>
      <c r="T2594" s="8"/>
      <c r="U2594" s="8"/>
      <c r="V2594" s="25"/>
      <c r="W2594" s="25"/>
      <c r="X2594" s="25"/>
      <c r="Y2594" s="25"/>
      <c r="Z2594" s="25"/>
      <c r="AA2594" s="25"/>
      <c r="AB2594" s="25"/>
      <c r="AC2594" s="25"/>
      <c r="AD2594" s="25"/>
    </row>
    <row r="2595" customFormat="false" ht="15.75" hidden="false" customHeight="false" outlineLevel="0" collapsed="false">
      <c r="A2595" s="28" t="s">
        <v>3074</v>
      </c>
      <c r="B2595" s="27" t="s">
        <v>438</v>
      </c>
      <c r="C2595" s="27" t="s">
        <v>308</v>
      </c>
      <c r="D2595" s="25"/>
      <c r="E2595" s="25"/>
      <c r="F2595" s="25"/>
      <c r="G2595" s="25"/>
      <c r="H2595" s="25"/>
      <c r="I2595" s="25"/>
      <c r="J2595" s="27" t="s">
        <v>3001</v>
      </c>
      <c r="K2595" s="25" t="str">
        <f aca="false">IFERROR(__xludf.dummyfunction("SPLIT(J2595,"" "")"),"CIF")</f>
        <v>CIF</v>
      </c>
      <c r="L2595" s="28" t="str">
        <f aca="false">IFERROR(__xludf.dummyfunction("""COMPUTED_VALUE"""),"United")</f>
        <v>United</v>
      </c>
      <c r="M2595" s="27" t="str">
        <f aca="false">IFERROR(__xludf.dummyfunction("""COMPUTED_VALUE"""),"States")</f>
        <v>States</v>
      </c>
      <c r="N2595" s="25" t="str">
        <f aca="false">IFERROR(__xludf.dummyfunction("""COMPUTED_VALUE"""),"(West")</f>
        <v>(West</v>
      </c>
      <c r="O2595" s="25" t="str">
        <f aca="false">IFERROR(__xludf.dummyfunction("""COMPUTED_VALUE"""),"Coast)")</f>
        <v>Coast)</v>
      </c>
      <c r="P2595" s="25" t="str">
        <f aca="false">IFERROR(__xludf.dummyfunction("""COMPUTED_VALUE"""),"(Diff)")</f>
        <v>(Diff)</v>
      </c>
      <c r="Q2595" s="29" t="s">
        <v>340</v>
      </c>
      <c r="R2595" s="8" t="str">
        <f aca="false">B2595&amp;" "&amp;C2595&amp;" "&amp;D2595&amp;" "&amp;E2595&amp;" "&amp;G2595&amp;" "&amp;H2595&amp;" "&amp;J2595&amp;" "&amp;N2595</f>
        <v>Differentials Graphite     CIF United States (West Coast) (Diff) (West</v>
      </c>
      <c r="S2595" s="25"/>
      <c r="T2595" s="8"/>
      <c r="U2595" s="8"/>
      <c r="V2595" s="25"/>
      <c r="W2595" s="25"/>
      <c r="X2595" s="25"/>
      <c r="Y2595" s="25"/>
      <c r="Z2595" s="25"/>
      <c r="AA2595" s="25"/>
      <c r="AB2595" s="25"/>
      <c r="AC2595" s="25"/>
      <c r="AD2595" s="25"/>
    </row>
    <row r="2596" customFormat="false" ht="15.75" hidden="false" customHeight="false" outlineLevel="0" collapsed="false">
      <c r="A2596" s="28" t="s">
        <v>3075</v>
      </c>
      <c r="B2596" s="27" t="s">
        <v>438</v>
      </c>
      <c r="C2596" s="27" t="s">
        <v>308</v>
      </c>
      <c r="D2596" s="25"/>
      <c r="E2596" s="25"/>
      <c r="F2596" s="25"/>
      <c r="G2596" s="25"/>
      <c r="H2596" s="25"/>
      <c r="I2596" s="25"/>
      <c r="J2596" s="27" t="s">
        <v>3001</v>
      </c>
      <c r="K2596" s="25" t="str">
        <f aca="false">IFERROR(__xludf.dummyfunction("SPLIT(J2596,"" "")"),"CIF")</f>
        <v>CIF</v>
      </c>
      <c r="L2596" s="28" t="str">
        <f aca="false">IFERROR(__xludf.dummyfunction("""COMPUTED_VALUE"""),"United")</f>
        <v>United</v>
      </c>
      <c r="M2596" s="27" t="str">
        <f aca="false">IFERROR(__xludf.dummyfunction("""COMPUTED_VALUE"""),"States")</f>
        <v>States</v>
      </c>
      <c r="N2596" s="25" t="str">
        <f aca="false">IFERROR(__xludf.dummyfunction("""COMPUTED_VALUE"""),"(West")</f>
        <v>(West</v>
      </c>
      <c r="O2596" s="25" t="str">
        <f aca="false">IFERROR(__xludf.dummyfunction("""COMPUTED_VALUE"""),"Coast)")</f>
        <v>Coast)</v>
      </c>
      <c r="P2596" s="25" t="str">
        <f aca="false">IFERROR(__xludf.dummyfunction("""COMPUTED_VALUE"""),"(Diff)")</f>
        <v>(Diff)</v>
      </c>
      <c r="Q2596" s="29" t="s">
        <v>338</v>
      </c>
      <c r="R2596" s="8" t="str">
        <f aca="false">B2596&amp;" "&amp;C2596&amp;" "&amp;D2596&amp;" "&amp;E2596&amp;" "&amp;G2596&amp;" "&amp;H2596&amp;" "&amp;J2596&amp;" "&amp;N2596</f>
        <v>Differentials Graphite     CIF United States (West Coast) (Diff) (West</v>
      </c>
      <c r="S2596" s="25"/>
      <c r="T2596" s="8"/>
      <c r="U2596" s="8"/>
      <c r="V2596" s="25"/>
      <c r="W2596" s="25"/>
      <c r="X2596" s="25"/>
      <c r="Y2596" s="25"/>
      <c r="Z2596" s="25"/>
      <c r="AA2596" s="25"/>
      <c r="AB2596" s="25"/>
      <c r="AC2596" s="25"/>
      <c r="AD2596" s="25"/>
    </row>
    <row r="2597" customFormat="false" ht="15.75" hidden="false" customHeight="false" outlineLevel="0" collapsed="false">
      <c r="A2597" s="28" t="s">
        <v>3076</v>
      </c>
      <c r="B2597" s="27" t="s">
        <v>438</v>
      </c>
      <c r="C2597" s="27" t="s">
        <v>308</v>
      </c>
      <c r="D2597" s="25"/>
      <c r="E2597" s="25"/>
      <c r="F2597" s="25"/>
      <c r="G2597" s="25"/>
      <c r="H2597" s="25"/>
      <c r="I2597" s="25"/>
      <c r="J2597" s="27" t="s">
        <v>3001</v>
      </c>
      <c r="K2597" s="25" t="str">
        <f aca="false">IFERROR(__xludf.dummyfunction("SPLIT(J2597,"" "")"),"CIF")</f>
        <v>CIF</v>
      </c>
      <c r="L2597" s="28" t="str">
        <f aca="false">IFERROR(__xludf.dummyfunction("""COMPUTED_VALUE"""),"United")</f>
        <v>United</v>
      </c>
      <c r="M2597" s="27" t="str">
        <f aca="false">IFERROR(__xludf.dummyfunction("""COMPUTED_VALUE"""),"States")</f>
        <v>States</v>
      </c>
      <c r="N2597" s="25" t="str">
        <f aca="false">IFERROR(__xludf.dummyfunction("""COMPUTED_VALUE"""),"(West")</f>
        <v>(West</v>
      </c>
      <c r="O2597" s="25" t="str">
        <f aca="false">IFERROR(__xludf.dummyfunction("""COMPUTED_VALUE"""),"Coast)")</f>
        <v>Coast)</v>
      </c>
      <c r="P2597" s="25" t="str">
        <f aca="false">IFERROR(__xludf.dummyfunction("""COMPUTED_VALUE"""),"(Diff)")</f>
        <v>(Diff)</v>
      </c>
      <c r="Q2597" s="29" t="s">
        <v>335</v>
      </c>
      <c r="R2597" s="8" t="str">
        <f aca="false">B2597&amp;" "&amp;C2597&amp;" "&amp;D2597&amp;" "&amp;E2597&amp;" "&amp;G2597&amp;" "&amp;H2597&amp;" "&amp;J2597&amp;" "&amp;N2597</f>
        <v>Differentials Graphite     CIF United States (West Coast) (Diff) (West</v>
      </c>
      <c r="S2597" s="25"/>
      <c r="T2597" s="8"/>
      <c r="U2597" s="8"/>
      <c r="V2597" s="25"/>
      <c r="W2597" s="25"/>
      <c r="X2597" s="25"/>
      <c r="Y2597" s="25"/>
      <c r="Z2597" s="25"/>
      <c r="AA2597" s="25"/>
      <c r="AB2597" s="25"/>
      <c r="AC2597" s="25"/>
      <c r="AD2597" s="25"/>
    </row>
    <row r="2598" customFormat="false" ht="15.75" hidden="false" customHeight="false" outlineLevel="0" collapsed="false">
      <c r="A2598" s="28" t="s">
        <v>3077</v>
      </c>
      <c r="B2598" s="27" t="s">
        <v>438</v>
      </c>
      <c r="C2598" s="27" t="s">
        <v>308</v>
      </c>
      <c r="D2598" s="25"/>
      <c r="E2598" s="25"/>
      <c r="F2598" s="25"/>
      <c r="G2598" s="25"/>
      <c r="H2598" s="25"/>
      <c r="I2598" s="25"/>
      <c r="J2598" s="27" t="s">
        <v>3001</v>
      </c>
      <c r="K2598" s="25" t="str">
        <f aca="false">IFERROR(__xludf.dummyfunction("SPLIT(J2598,"" "")"),"CIF")</f>
        <v>CIF</v>
      </c>
      <c r="L2598" s="28" t="str">
        <f aca="false">IFERROR(__xludf.dummyfunction("""COMPUTED_VALUE"""),"United")</f>
        <v>United</v>
      </c>
      <c r="M2598" s="27" t="str">
        <f aca="false">IFERROR(__xludf.dummyfunction("""COMPUTED_VALUE"""),"States")</f>
        <v>States</v>
      </c>
      <c r="N2598" s="25" t="str">
        <f aca="false">IFERROR(__xludf.dummyfunction("""COMPUTED_VALUE"""),"(West")</f>
        <v>(West</v>
      </c>
      <c r="O2598" s="25" t="str">
        <f aca="false">IFERROR(__xludf.dummyfunction("""COMPUTED_VALUE"""),"Coast)")</f>
        <v>Coast)</v>
      </c>
      <c r="P2598" s="25" t="str">
        <f aca="false">IFERROR(__xludf.dummyfunction("""COMPUTED_VALUE"""),"(Diff)")</f>
        <v>(Diff)</v>
      </c>
      <c r="Q2598" s="29" t="s">
        <v>332</v>
      </c>
      <c r="R2598" s="8" t="str">
        <f aca="false">B2598&amp;" "&amp;C2598&amp;" "&amp;D2598&amp;" "&amp;E2598&amp;" "&amp;G2598&amp;" "&amp;H2598&amp;" "&amp;J2598&amp;" "&amp;N2598</f>
        <v>Differentials Graphite     CIF United States (West Coast) (Diff) (West</v>
      </c>
      <c r="S2598" s="25"/>
      <c r="T2598" s="8"/>
      <c r="U2598" s="8"/>
      <c r="V2598" s="25"/>
      <c r="W2598" s="25"/>
      <c r="X2598" s="25"/>
      <c r="Y2598" s="25"/>
      <c r="Z2598" s="25"/>
      <c r="AA2598" s="25"/>
      <c r="AB2598" s="25"/>
      <c r="AC2598" s="25"/>
      <c r="AD2598" s="25"/>
    </row>
    <row r="2599" customFormat="false" ht="15.75" hidden="false" customHeight="false" outlineLevel="0" collapsed="false">
      <c r="A2599" s="28" t="s">
        <v>3078</v>
      </c>
      <c r="B2599" s="27" t="s">
        <v>438</v>
      </c>
      <c r="C2599" s="27" t="s">
        <v>308</v>
      </c>
      <c r="D2599" s="25"/>
      <c r="E2599" s="25"/>
      <c r="F2599" s="25"/>
      <c r="G2599" s="25"/>
      <c r="H2599" s="25"/>
      <c r="I2599" s="25"/>
      <c r="J2599" s="27" t="s">
        <v>3001</v>
      </c>
      <c r="K2599" s="25" t="str">
        <f aca="false">IFERROR(__xludf.dummyfunction("SPLIT(J2599,"" "")"),"CIF")</f>
        <v>CIF</v>
      </c>
      <c r="L2599" s="28" t="str">
        <f aca="false">IFERROR(__xludf.dummyfunction("""COMPUTED_VALUE"""),"United")</f>
        <v>United</v>
      </c>
      <c r="M2599" s="27" t="str">
        <f aca="false">IFERROR(__xludf.dummyfunction("""COMPUTED_VALUE"""),"States")</f>
        <v>States</v>
      </c>
      <c r="N2599" s="25" t="str">
        <f aca="false">IFERROR(__xludf.dummyfunction("""COMPUTED_VALUE"""),"(West")</f>
        <v>(West</v>
      </c>
      <c r="O2599" s="25" t="str">
        <f aca="false">IFERROR(__xludf.dummyfunction("""COMPUTED_VALUE"""),"Coast)")</f>
        <v>Coast)</v>
      </c>
      <c r="P2599" s="25" t="str">
        <f aca="false">IFERROR(__xludf.dummyfunction("""COMPUTED_VALUE"""),"(Diff)")</f>
        <v>(Diff)</v>
      </c>
      <c r="Q2599" s="29" t="s">
        <v>329</v>
      </c>
      <c r="R2599" s="8" t="str">
        <f aca="false">B2599&amp;" "&amp;C2599&amp;" "&amp;D2599&amp;" "&amp;E2599&amp;" "&amp;G2599&amp;" "&amp;H2599&amp;" "&amp;J2599&amp;" "&amp;N2599</f>
        <v>Differentials Graphite     CIF United States (West Coast) (Diff) (West</v>
      </c>
      <c r="S2599" s="25"/>
      <c r="T2599" s="8"/>
      <c r="U2599" s="8"/>
      <c r="V2599" s="25"/>
      <c r="W2599" s="25"/>
      <c r="X2599" s="25"/>
      <c r="Y2599" s="25"/>
      <c r="Z2599" s="25"/>
      <c r="AA2599" s="25"/>
      <c r="AB2599" s="25"/>
      <c r="AC2599" s="25"/>
      <c r="AD2599" s="25"/>
    </row>
    <row r="2600" customFormat="false" ht="15.75" hidden="false" customHeight="false" outlineLevel="0" collapsed="false">
      <c r="A2600" s="28" t="s">
        <v>3079</v>
      </c>
      <c r="B2600" s="27" t="s">
        <v>438</v>
      </c>
      <c r="C2600" s="27" t="s">
        <v>308</v>
      </c>
      <c r="D2600" s="25"/>
      <c r="E2600" s="25"/>
      <c r="F2600" s="25"/>
      <c r="G2600" s="25"/>
      <c r="H2600" s="25"/>
      <c r="I2600" s="25"/>
      <c r="J2600" s="27" t="s">
        <v>3001</v>
      </c>
      <c r="K2600" s="25" t="str">
        <f aca="false">IFERROR(__xludf.dummyfunction("SPLIT(J2600,"" "")"),"CIF")</f>
        <v>CIF</v>
      </c>
      <c r="L2600" s="28" t="str">
        <f aca="false">IFERROR(__xludf.dummyfunction("""COMPUTED_VALUE"""),"United")</f>
        <v>United</v>
      </c>
      <c r="M2600" s="27" t="str">
        <f aca="false">IFERROR(__xludf.dummyfunction("""COMPUTED_VALUE"""),"States")</f>
        <v>States</v>
      </c>
      <c r="N2600" s="25" t="str">
        <f aca="false">IFERROR(__xludf.dummyfunction("""COMPUTED_VALUE"""),"(West")</f>
        <v>(West</v>
      </c>
      <c r="O2600" s="25" t="str">
        <f aca="false">IFERROR(__xludf.dummyfunction("""COMPUTED_VALUE"""),"Coast)")</f>
        <v>Coast)</v>
      </c>
      <c r="P2600" s="25" t="str">
        <f aca="false">IFERROR(__xludf.dummyfunction("""COMPUTED_VALUE"""),"(Diff)")</f>
        <v>(Diff)</v>
      </c>
      <c r="Q2600" s="29" t="s">
        <v>326</v>
      </c>
      <c r="R2600" s="8" t="str">
        <f aca="false">B2600&amp;" "&amp;C2600&amp;" "&amp;D2600&amp;" "&amp;E2600&amp;" "&amp;G2600&amp;" "&amp;H2600&amp;" "&amp;J2600&amp;" "&amp;N2600</f>
        <v>Differentials Graphite     CIF United States (West Coast) (Diff) (West</v>
      </c>
      <c r="S2600" s="25"/>
      <c r="T2600" s="8"/>
      <c r="U2600" s="8"/>
      <c r="V2600" s="25"/>
      <c r="W2600" s="25"/>
      <c r="X2600" s="25"/>
      <c r="Y2600" s="25"/>
      <c r="Z2600" s="25"/>
      <c r="AA2600" s="25"/>
      <c r="AB2600" s="25"/>
      <c r="AC2600" s="25"/>
      <c r="AD2600" s="25"/>
    </row>
    <row r="2601" customFormat="false" ht="15.75" hidden="false" customHeight="false" outlineLevel="0" collapsed="false">
      <c r="A2601" s="28" t="s">
        <v>3080</v>
      </c>
      <c r="B2601" s="27" t="s">
        <v>438</v>
      </c>
      <c r="C2601" s="27" t="s">
        <v>308</v>
      </c>
      <c r="D2601" s="25"/>
      <c r="E2601" s="25"/>
      <c r="F2601" s="25"/>
      <c r="G2601" s="25"/>
      <c r="H2601" s="25"/>
      <c r="I2601" s="25"/>
      <c r="J2601" s="27" t="s">
        <v>3001</v>
      </c>
      <c r="K2601" s="25" t="str">
        <f aca="false">IFERROR(__xludf.dummyfunction("SPLIT(J2601,"" "")"),"CIF")</f>
        <v>CIF</v>
      </c>
      <c r="L2601" s="28" t="str">
        <f aca="false">IFERROR(__xludf.dummyfunction("""COMPUTED_VALUE"""),"United")</f>
        <v>United</v>
      </c>
      <c r="M2601" s="27" t="str">
        <f aca="false">IFERROR(__xludf.dummyfunction("""COMPUTED_VALUE"""),"States")</f>
        <v>States</v>
      </c>
      <c r="N2601" s="25" t="str">
        <f aca="false">IFERROR(__xludf.dummyfunction("""COMPUTED_VALUE"""),"(West")</f>
        <v>(West</v>
      </c>
      <c r="O2601" s="25" t="str">
        <f aca="false">IFERROR(__xludf.dummyfunction("""COMPUTED_VALUE"""),"Coast)")</f>
        <v>Coast)</v>
      </c>
      <c r="P2601" s="25" t="str">
        <f aca="false">IFERROR(__xludf.dummyfunction("""COMPUTED_VALUE"""),"(Diff)")</f>
        <v>(Diff)</v>
      </c>
      <c r="Q2601" s="29" t="s">
        <v>323</v>
      </c>
      <c r="R2601" s="8" t="str">
        <f aca="false">B2601&amp;" "&amp;C2601&amp;" "&amp;D2601&amp;" "&amp;E2601&amp;" "&amp;G2601&amp;" "&amp;H2601&amp;" "&amp;J2601&amp;" "&amp;N2601</f>
        <v>Differentials Graphite     CIF United States (West Coast) (Diff) (West</v>
      </c>
      <c r="S2601" s="25"/>
      <c r="T2601" s="8"/>
      <c r="U2601" s="8"/>
      <c r="V2601" s="25"/>
      <c r="W2601" s="25"/>
      <c r="X2601" s="25"/>
      <c r="Y2601" s="25"/>
      <c r="Z2601" s="25"/>
      <c r="AA2601" s="25"/>
      <c r="AB2601" s="25"/>
      <c r="AC2601" s="25"/>
      <c r="AD2601" s="25"/>
    </row>
    <row r="2602" customFormat="false" ht="15.75" hidden="false" customHeight="false" outlineLevel="0" collapsed="false">
      <c r="A2602" s="28" t="s">
        <v>3081</v>
      </c>
      <c r="B2602" s="27" t="s">
        <v>438</v>
      </c>
      <c r="C2602" s="27" t="s">
        <v>308</v>
      </c>
      <c r="D2602" s="25"/>
      <c r="E2602" s="25"/>
      <c r="F2602" s="25"/>
      <c r="G2602" s="25"/>
      <c r="H2602" s="25"/>
      <c r="I2602" s="25"/>
      <c r="J2602" s="27" t="s">
        <v>3001</v>
      </c>
      <c r="K2602" s="25" t="str">
        <f aca="false">IFERROR(__xludf.dummyfunction("SPLIT(J2602,"" "")"),"CIF")</f>
        <v>CIF</v>
      </c>
      <c r="L2602" s="28" t="str">
        <f aca="false">IFERROR(__xludf.dummyfunction("""COMPUTED_VALUE"""),"United")</f>
        <v>United</v>
      </c>
      <c r="M2602" s="27" t="str">
        <f aca="false">IFERROR(__xludf.dummyfunction("""COMPUTED_VALUE"""),"States")</f>
        <v>States</v>
      </c>
      <c r="N2602" s="25" t="str">
        <f aca="false">IFERROR(__xludf.dummyfunction("""COMPUTED_VALUE"""),"(West")</f>
        <v>(West</v>
      </c>
      <c r="O2602" s="25" t="str">
        <f aca="false">IFERROR(__xludf.dummyfunction("""COMPUTED_VALUE"""),"Coast)")</f>
        <v>Coast)</v>
      </c>
      <c r="P2602" s="25" t="str">
        <f aca="false">IFERROR(__xludf.dummyfunction("""COMPUTED_VALUE"""),"(Diff)")</f>
        <v>(Diff)</v>
      </c>
      <c r="Q2602" s="29" t="s">
        <v>319</v>
      </c>
      <c r="R2602" s="8" t="str">
        <f aca="false">B2602&amp;" "&amp;C2602&amp;" "&amp;D2602&amp;" "&amp;E2602&amp;" "&amp;G2602&amp;" "&amp;H2602&amp;" "&amp;J2602&amp;" "&amp;N2602</f>
        <v>Differentials Graphite     CIF United States (West Coast) (Diff) (West</v>
      </c>
      <c r="S2602" s="25"/>
      <c r="T2602" s="8"/>
      <c r="U2602" s="8"/>
      <c r="V2602" s="25"/>
      <c r="W2602" s="25"/>
      <c r="X2602" s="25"/>
      <c r="Y2602" s="25"/>
      <c r="Z2602" s="25"/>
      <c r="AA2602" s="25"/>
      <c r="AB2602" s="25"/>
      <c r="AC2602" s="25"/>
      <c r="AD2602" s="25"/>
    </row>
    <row r="2603" customFormat="false" ht="15.75" hidden="false" customHeight="false" outlineLevel="0" collapsed="false">
      <c r="A2603" s="28" t="s">
        <v>3082</v>
      </c>
      <c r="B2603" s="27" t="s">
        <v>438</v>
      </c>
      <c r="C2603" s="27" t="s">
        <v>308</v>
      </c>
      <c r="D2603" s="25"/>
      <c r="E2603" s="25"/>
      <c r="F2603" s="25"/>
      <c r="G2603" s="25"/>
      <c r="H2603" s="25"/>
      <c r="I2603" s="25"/>
      <c r="J2603" s="27" t="s">
        <v>3001</v>
      </c>
      <c r="K2603" s="25" t="str">
        <f aca="false">IFERROR(__xludf.dummyfunction("SPLIT(J2603,"" "")"),"CIF")</f>
        <v>CIF</v>
      </c>
      <c r="L2603" s="28" t="str">
        <f aca="false">IFERROR(__xludf.dummyfunction("""COMPUTED_VALUE"""),"United")</f>
        <v>United</v>
      </c>
      <c r="M2603" s="27" t="str">
        <f aca="false">IFERROR(__xludf.dummyfunction("""COMPUTED_VALUE"""),"States")</f>
        <v>States</v>
      </c>
      <c r="N2603" s="25" t="str">
        <f aca="false">IFERROR(__xludf.dummyfunction("""COMPUTED_VALUE"""),"(West")</f>
        <v>(West</v>
      </c>
      <c r="O2603" s="25" t="str">
        <f aca="false">IFERROR(__xludf.dummyfunction("""COMPUTED_VALUE"""),"Coast)")</f>
        <v>Coast)</v>
      </c>
      <c r="P2603" s="25" t="str">
        <f aca="false">IFERROR(__xludf.dummyfunction("""COMPUTED_VALUE"""),"(Diff)")</f>
        <v>(Diff)</v>
      </c>
      <c r="Q2603" s="29" t="s">
        <v>315</v>
      </c>
      <c r="R2603" s="8" t="str">
        <f aca="false">B2603&amp;" "&amp;C2603&amp;" "&amp;D2603&amp;" "&amp;E2603&amp;" "&amp;G2603&amp;" "&amp;H2603&amp;" "&amp;J2603&amp;" "&amp;N2603</f>
        <v>Differentials Graphite     CIF United States (West Coast) (Diff) (West</v>
      </c>
      <c r="S2603" s="25"/>
      <c r="T2603" s="8"/>
      <c r="U2603" s="8"/>
      <c r="V2603" s="25"/>
      <c r="W2603" s="25"/>
      <c r="X2603" s="25"/>
      <c r="Y2603" s="25"/>
      <c r="Z2603" s="25"/>
      <c r="AA2603" s="25"/>
      <c r="AB2603" s="25"/>
      <c r="AC2603" s="25"/>
      <c r="AD2603" s="25"/>
    </row>
    <row r="2604" customFormat="false" ht="15.75" hidden="false" customHeight="false" outlineLevel="0" collapsed="false">
      <c r="A2604" s="28" t="s">
        <v>3083</v>
      </c>
      <c r="B2604" s="27" t="s">
        <v>438</v>
      </c>
      <c r="C2604" s="27" t="s">
        <v>308</v>
      </c>
      <c r="D2604" s="25"/>
      <c r="E2604" s="25"/>
      <c r="F2604" s="25"/>
      <c r="G2604" s="25"/>
      <c r="H2604" s="25"/>
      <c r="I2604" s="25"/>
      <c r="J2604" s="27" t="s">
        <v>3001</v>
      </c>
      <c r="K2604" s="25" t="str">
        <f aca="false">IFERROR(__xludf.dummyfunction("SPLIT(J2604,"" "")"),"CIF")</f>
        <v>CIF</v>
      </c>
      <c r="L2604" s="28" t="str">
        <f aca="false">IFERROR(__xludf.dummyfunction("""COMPUTED_VALUE"""),"United")</f>
        <v>United</v>
      </c>
      <c r="M2604" s="27" t="str">
        <f aca="false">IFERROR(__xludf.dummyfunction("""COMPUTED_VALUE"""),"States")</f>
        <v>States</v>
      </c>
      <c r="N2604" s="25" t="str">
        <f aca="false">IFERROR(__xludf.dummyfunction("""COMPUTED_VALUE"""),"(West")</f>
        <v>(West</v>
      </c>
      <c r="O2604" s="25" t="str">
        <f aca="false">IFERROR(__xludf.dummyfunction("""COMPUTED_VALUE"""),"Coast)")</f>
        <v>Coast)</v>
      </c>
      <c r="P2604" s="25" t="str">
        <f aca="false">IFERROR(__xludf.dummyfunction("""COMPUTED_VALUE"""),"(Diff)")</f>
        <v>(Diff)</v>
      </c>
      <c r="Q2604" s="29" t="s">
        <v>311</v>
      </c>
      <c r="R2604" s="8" t="str">
        <f aca="false">B2604&amp;" "&amp;C2604&amp;" "&amp;D2604&amp;" "&amp;E2604&amp;" "&amp;G2604&amp;" "&amp;H2604&amp;" "&amp;J2604&amp;" "&amp;N2604</f>
        <v>Differentials Graphite     CIF United States (West Coast) (Diff) (West</v>
      </c>
      <c r="S2604" s="25"/>
      <c r="T2604" s="8"/>
      <c r="U2604" s="8"/>
      <c r="V2604" s="25"/>
      <c r="W2604" s="25"/>
      <c r="X2604" s="25"/>
      <c r="Y2604" s="25"/>
      <c r="Z2604" s="25"/>
      <c r="AA2604" s="25"/>
      <c r="AB2604" s="25"/>
      <c r="AC2604" s="25"/>
      <c r="AD2604" s="25"/>
    </row>
    <row r="2605" customFormat="false" ht="15.75" hidden="false" customHeight="false" outlineLevel="0" collapsed="false">
      <c r="A2605" s="28" t="s">
        <v>3084</v>
      </c>
      <c r="B2605" s="27" t="s">
        <v>438</v>
      </c>
      <c r="C2605" s="27" t="s">
        <v>417</v>
      </c>
      <c r="D2605" s="25"/>
      <c r="E2605" s="25"/>
      <c r="F2605" s="25"/>
      <c r="G2605" s="25"/>
      <c r="H2605" s="25"/>
      <c r="I2605" s="25"/>
      <c r="J2605" s="27" t="s">
        <v>3001</v>
      </c>
      <c r="K2605" s="25" t="str">
        <f aca="false">IFERROR(__xludf.dummyfunction("SPLIT(J2605,"" "")"),"CIF")</f>
        <v>CIF</v>
      </c>
      <c r="L2605" s="28" t="str">
        <f aca="false">IFERROR(__xludf.dummyfunction("""COMPUTED_VALUE"""),"United")</f>
        <v>United</v>
      </c>
      <c r="M2605" s="27" t="str">
        <f aca="false">IFERROR(__xludf.dummyfunction("""COMPUTED_VALUE"""),"States")</f>
        <v>States</v>
      </c>
      <c r="N2605" s="25" t="str">
        <f aca="false">IFERROR(__xludf.dummyfunction("""COMPUTED_VALUE"""),"(West")</f>
        <v>(West</v>
      </c>
      <c r="O2605" s="25" t="str">
        <f aca="false">IFERROR(__xludf.dummyfunction("""COMPUTED_VALUE"""),"Coast)")</f>
        <v>Coast)</v>
      </c>
      <c r="P2605" s="25" t="str">
        <f aca="false">IFERROR(__xludf.dummyfunction("""COMPUTED_VALUE"""),"(Diff)")</f>
        <v>(Diff)</v>
      </c>
      <c r="Q2605" s="29" t="s">
        <v>436</v>
      </c>
      <c r="R2605" s="8" t="str">
        <f aca="false">B2605&amp;" "&amp;C2605&amp;" "&amp;D2605&amp;" "&amp;E2605&amp;" "&amp;G2605&amp;" "&amp;H2605&amp;" "&amp;J2605&amp;" "&amp;N2605</f>
        <v>Differentials Solvent     CIF United States (West Coast) (Diff) (West</v>
      </c>
      <c r="S2605" s="25"/>
      <c r="T2605" s="8"/>
      <c r="U2605" s="8"/>
      <c r="V2605" s="25"/>
      <c r="W2605" s="25"/>
      <c r="X2605" s="25"/>
      <c r="Y2605" s="25"/>
      <c r="Z2605" s="25"/>
      <c r="AA2605" s="25"/>
      <c r="AB2605" s="25"/>
      <c r="AC2605" s="25"/>
      <c r="AD2605" s="25"/>
    </row>
    <row r="2606" customFormat="false" ht="15.75" hidden="false" customHeight="false" outlineLevel="0" collapsed="false">
      <c r="A2606" s="28" t="s">
        <v>3085</v>
      </c>
      <c r="B2606" s="27" t="s">
        <v>438</v>
      </c>
      <c r="C2606" s="27" t="s">
        <v>417</v>
      </c>
      <c r="D2606" s="25"/>
      <c r="E2606" s="25"/>
      <c r="F2606" s="25"/>
      <c r="G2606" s="25"/>
      <c r="H2606" s="25"/>
      <c r="I2606" s="25"/>
      <c r="J2606" s="27" t="s">
        <v>3001</v>
      </c>
      <c r="K2606" s="25" t="str">
        <f aca="false">IFERROR(__xludf.dummyfunction("SPLIT(J2606,"" "")"),"CIF")</f>
        <v>CIF</v>
      </c>
      <c r="L2606" s="28" t="str">
        <f aca="false">IFERROR(__xludf.dummyfunction("""COMPUTED_VALUE"""),"United")</f>
        <v>United</v>
      </c>
      <c r="M2606" s="27" t="str">
        <f aca="false">IFERROR(__xludf.dummyfunction("""COMPUTED_VALUE"""),"States")</f>
        <v>States</v>
      </c>
      <c r="N2606" s="25" t="str">
        <f aca="false">IFERROR(__xludf.dummyfunction("""COMPUTED_VALUE"""),"(West")</f>
        <v>(West</v>
      </c>
      <c r="O2606" s="25" t="str">
        <f aca="false">IFERROR(__xludf.dummyfunction("""COMPUTED_VALUE"""),"Coast)")</f>
        <v>Coast)</v>
      </c>
      <c r="P2606" s="25" t="str">
        <f aca="false">IFERROR(__xludf.dummyfunction("""COMPUTED_VALUE"""),"(Diff)")</f>
        <v>(Diff)</v>
      </c>
      <c r="Q2606" s="29" t="s">
        <v>434</v>
      </c>
      <c r="R2606" s="8" t="str">
        <f aca="false">B2606&amp;" "&amp;C2606&amp;" "&amp;D2606&amp;" "&amp;E2606&amp;" "&amp;G2606&amp;" "&amp;H2606&amp;" "&amp;J2606&amp;" "&amp;N2606</f>
        <v>Differentials Solvent     CIF United States (West Coast) (Diff) (West</v>
      </c>
      <c r="S2606" s="25"/>
      <c r="T2606" s="8"/>
      <c r="U2606" s="8"/>
      <c r="V2606" s="25"/>
      <c r="W2606" s="25"/>
      <c r="X2606" s="25"/>
      <c r="Y2606" s="25"/>
      <c r="Z2606" s="25"/>
      <c r="AA2606" s="25"/>
      <c r="AB2606" s="25"/>
      <c r="AC2606" s="25"/>
      <c r="AD2606" s="25"/>
    </row>
    <row r="2607" customFormat="false" ht="15.75" hidden="false" customHeight="false" outlineLevel="0" collapsed="false">
      <c r="A2607" s="28" t="s">
        <v>3086</v>
      </c>
      <c r="B2607" s="27" t="s">
        <v>438</v>
      </c>
      <c r="C2607" s="27" t="s">
        <v>417</v>
      </c>
      <c r="D2607" s="25"/>
      <c r="E2607" s="25"/>
      <c r="F2607" s="25"/>
      <c r="G2607" s="25"/>
      <c r="H2607" s="25"/>
      <c r="I2607" s="25"/>
      <c r="J2607" s="27" t="s">
        <v>3001</v>
      </c>
      <c r="K2607" s="25" t="str">
        <f aca="false">IFERROR(__xludf.dummyfunction("SPLIT(J2607,"" "")"),"CIF")</f>
        <v>CIF</v>
      </c>
      <c r="L2607" s="28" t="str">
        <f aca="false">IFERROR(__xludf.dummyfunction("""COMPUTED_VALUE"""),"United")</f>
        <v>United</v>
      </c>
      <c r="M2607" s="27" t="str">
        <f aca="false">IFERROR(__xludf.dummyfunction("""COMPUTED_VALUE"""),"States")</f>
        <v>States</v>
      </c>
      <c r="N2607" s="25" t="str">
        <f aca="false">IFERROR(__xludf.dummyfunction("""COMPUTED_VALUE"""),"(West")</f>
        <v>(West</v>
      </c>
      <c r="O2607" s="25" t="str">
        <f aca="false">IFERROR(__xludf.dummyfunction("""COMPUTED_VALUE"""),"Coast)")</f>
        <v>Coast)</v>
      </c>
      <c r="P2607" s="25" t="str">
        <f aca="false">IFERROR(__xludf.dummyfunction("""COMPUTED_VALUE"""),"(Diff)")</f>
        <v>(Diff)</v>
      </c>
      <c r="Q2607" s="29" t="s">
        <v>432</v>
      </c>
      <c r="R2607" s="8" t="str">
        <f aca="false">B2607&amp;" "&amp;C2607&amp;" "&amp;D2607&amp;" "&amp;E2607&amp;" "&amp;G2607&amp;" "&amp;H2607&amp;" "&amp;J2607&amp;" "&amp;N2607</f>
        <v>Differentials Solvent     CIF United States (West Coast) (Diff) (West</v>
      </c>
      <c r="S2607" s="25"/>
      <c r="T2607" s="8"/>
      <c r="U2607" s="8"/>
      <c r="V2607" s="25"/>
      <c r="W2607" s="25"/>
      <c r="X2607" s="25"/>
      <c r="Y2607" s="25"/>
      <c r="Z2607" s="25"/>
      <c r="AA2607" s="25"/>
      <c r="AB2607" s="25"/>
      <c r="AC2607" s="25"/>
      <c r="AD2607" s="25"/>
    </row>
    <row r="2608" customFormat="false" ht="15.75" hidden="false" customHeight="false" outlineLevel="0" collapsed="false">
      <c r="A2608" s="28" t="s">
        <v>3087</v>
      </c>
      <c r="B2608" s="27" t="s">
        <v>438</v>
      </c>
      <c r="C2608" s="27" t="s">
        <v>417</v>
      </c>
      <c r="D2608" s="25"/>
      <c r="E2608" s="25"/>
      <c r="F2608" s="25"/>
      <c r="G2608" s="25"/>
      <c r="H2608" s="25"/>
      <c r="I2608" s="25"/>
      <c r="J2608" s="27" t="s">
        <v>3001</v>
      </c>
      <c r="K2608" s="25" t="str">
        <f aca="false">IFERROR(__xludf.dummyfunction("SPLIT(J2608,"" "")"),"CIF")</f>
        <v>CIF</v>
      </c>
      <c r="L2608" s="28" t="str">
        <f aca="false">IFERROR(__xludf.dummyfunction("""COMPUTED_VALUE"""),"United")</f>
        <v>United</v>
      </c>
      <c r="M2608" s="27" t="str">
        <f aca="false">IFERROR(__xludf.dummyfunction("""COMPUTED_VALUE"""),"States")</f>
        <v>States</v>
      </c>
      <c r="N2608" s="25" t="str">
        <f aca="false">IFERROR(__xludf.dummyfunction("""COMPUTED_VALUE"""),"(West")</f>
        <v>(West</v>
      </c>
      <c r="O2608" s="25" t="str">
        <f aca="false">IFERROR(__xludf.dummyfunction("""COMPUTED_VALUE"""),"Coast)")</f>
        <v>Coast)</v>
      </c>
      <c r="P2608" s="25" t="str">
        <f aca="false">IFERROR(__xludf.dummyfunction("""COMPUTED_VALUE"""),"(Diff)")</f>
        <v>(Diff)</v>
      </c>
      <c r="Q2608" s="29" t="s">
        <v>430</v>
      </c>
      <c r="R2608" s="8" t="str">
        <f aca="false">B2608&amp;" "&amp;C2608&amp;" "&amp;D2608&amp;" "&amp;E2608&amp;" "&amp;G2608&amp;" "&amp;H2608&amp;" "&amp;J2608&amp;" "&amp;N2608</f>
        <v>Differentials Solvent     CIF United States (West Coast) (Diff) (West</v>
      </c>
      <c r="S2608" s="25"/>
      <c r="T2608" s="8"/>
      <c r="U2608" s="8"/>
      <c r="V2608" s="25"/>
      <c r="W2608" s="25"/>
      <c r="X2608" s="25"/>
      <c r="Y2608" s="25"/>
      <c r="Z2608" s="25"/>
      <c r="AA2608" s="25"/>
      <c r="AB2608" s="25"/>
      <c r="AC2608" s="25"/>
      <c r="AD2608" s="25"/>
    </row>
    <row r="2609" customFormat="false" ht="15.75" hidden="false" customHeight="false" outlineLevel="0" collapsed="false">
      <c r="A2609" s="28" t="s">
        <v>3088</v>
      </c>
      <c r="B2609" s="27" t="s">
        <v>438</v>
      </c>
      <c r="C2609" s="27" t="s">
        <v>417</v>
      </c>
      <c r="D2609" s="25"/>
      <c r="E2609" s="25"/>
      <c r="F2609" s="25"/>
      <c r="G2609" s="25"/>
      <c r="H2609" s="25"/>
      <c r="I2609" s="25"/>
      <c r="J2609" s="27" t="s">
        <v>3001</v>
      </c>
      <c r="K2609" s="25" t="str">
        <f aca="false">IFERROR(__xludf.dummyfunction("SPLIT(J2609,"" "")"),"CIF")</f>
        <v>CIF</v>
      </c>
      <c r="L2609" s="28" t="str">
        <f aca="false">IFERROR(__xludf.dummyfunction("""COMPUTED_VALUE"""),"United")</f>
        <v>United</v>
      </c>
      <c r="M2609" s="27" t="str">
        <f aca="false">IFERROR(__xludf.dummyfunction("""COMPUTED_VALUE"""),"States")</f>
        <v>States</v>
      </c>
      <c r="N2609" s="25" t="str">
        <f aca="false">IFERROR(__xludf.dummyfunction("""COMPUTED_VALUE"""),"(West")</f>
        <v>(West</v>
      </c>
      <c r="O2609" s="25" t="str">
        <f aca="false">IFERROR(__xludf.dummyfunction("""COMPUTED_VALUE"""),"Coast)")</f>
        <v>Coast)</v>
      </c>
      <c r="P2609" s="25" t="str">
        <f aca="false">IFERROR(__xludf.dummyfunction("""COMPUTED_VALUE"""),"(Diff)")</f>
        <v>(Diff)</v>
      </c>
      <c r="Q2609" s="29" t="s">
        <v>428</v>
      </c>
      <c r="R2609" s="8" t="str">
        <f aca="false">B2609&amp;" "&amp;C2609&amp;" "&amp;D2609&amp;" "&amp;E2609&amp;" "&amp;G2609&amp;" "&amp;H2609&amp;" "&amp;J2609&amp;" "&amp;N2609</f>
        <v>Differentials Solvent     CIF United States (West Coast) (Diff) (West</v>
      </c>
      <c r="S2609" s="25"/>
      <c r="T2609" s="8"/>
      <c r="U2609" s="8"/>
      <c r="V2609" s="25"/>
      <c r="W2609" s="25"/>
      <c r="X2609" s="25"/>
      <c r="Y2609" s="25"/>
      <c r="Z2609" s="25"/>
      <c r="AA2609" s="25"/>
      <c r="AB2609" s="25"/>
      <c r="AC2609" s="25"/>
      <c r="AD2609" s="25"/>
    </row>
    <row r="2610" customFormat="false" ht="15.75" hidden="false" customHeight="false" outlineLevel="0" collapsed="false">
      <c r="A2610" s="28" t="s">
        <v>3089</v>
      </c>
      <c r="B2610" s="27" t="s">
        <v>438</v>
      </c>
      <c r="C2610" s="27" t="s">
        <v>417</v>
      </c>
      <c r="D2610" s="25"/>
      <c r="E2610" s="25"/>
      <c r="F2610" s="25"/>
      <c r="G2610" s="25"/>
      <c r="H2610" s="25"/>
      <c r="I2610" s="25"/>
      <c r="J2610" s="27" t="s">
        <v>3001</v>
      </c>
      <c r="K2610" s="25" t="str">
        <f aca="false">IFERROR(__xludf.dummyfunction("SPLIT(J2610,"" "")"),"CIF")</f>
        <v>CIF</v>
      </c>
      <c r="L2610" s="28" t="str">
        <f aca="false">IFERROR(__xludf.dummyfunction("""COMPUTED_VALUE"""),"United")</f>
        <v>United</v>
      </c>
      <c r="M2610" s="27" t="str">
        <f aca="false">IFERROR(__xludf.dummyfunction("""COMPUTED_VALUE"""),"States")</f>
        <v>States</v>
      </c>
      <c r="N2610" s="25" t="str">
        <f aca="false">IFERROR(__xludf.dummyfunction("""COMPUTED_VALUE"""),"(West")</f>
        <v>(West</v>
      </c>
      <c r="O2610" s="25" t="str">
        <f aca="false">IFERROR(__xludf.dummyfunction("""COMPUTED_VALUE"""),"Coast)")</f>
        <v>Coast)</v>
      </c>
      <c r="P2610" s="25" t="str">
        <f aca="false">IFERROR(__xludf.dummyfunction("""COMPUTED_VALUE"""),"(Diff)")</f>
        <v>(Diff)</v>
      </c>
      <c r="Q2610" s="29" t="s">
        <v>426</v>
      </c>
      <c r="R2610" s="8" t="str">
        <f aca="false">B2610&amp;" "&amp;C2610&amp;" "&amp;D2610&amp;" "&amp;E2610&amp;" "&amp;G2610&amp;" "&amp;H2610&amp;" "&amp;J2610&amp;" "&amp;N2610</f>
        <v>Differentials Solvent     CIF United States (West Coast) (Diff) (West</v>
      </c>
      <c r="S2610" s="25"/>
      <c r="T2610" s="8"/>
      <c r="U2610" s="8"/>
      <c r="V2610" s="25"/>
      <c r="W2610" s="25"/>
      <c r="X2610" s="25"/>
      <c r="Y2610" s="25"/>
      <c r="Z2610" s="25"/>
      <c r="AA2610" s="25"/>
      <c r="AB2610" s="25"/>
      <c r="AC2610" s="25"/>
      <c r="AD2610" s="25"/>
    </row>
    <row r="2611" customFormat="false" ht="15.75" hidden="false" customHeight="false" outlineLevel="0" collapsed="false">
      <c r="A2611" s="28" t="s">
        <v>3090</v>
      </c>
      <c r="B2611" s="27" t="s">
        <v>438</v>
      </c>
      <c r="C2611" s="27" t="s">
        <v>417</v>
      </c>
      <c r="D2611" s="25"/>
      <c r="E2611" s="25"/>
      <c r="F2611" s="25"/>
      <c r="G2611" s="25"/>
      <c r="H2611" s="25"/>
      <c r="I2611" s="25"/>
      <c r="J2611" s="27" t="s">
        <v>3001</v>
      </c>
      <c r="K2611" s="25" t="str">
        <f aca="false">IFERROR(__xludf.dummyfunction("SPLIT(J2611,"" "")"),"CIF")</f>
        <v>CIF</v>
      </c>
      <c r="L2611" s="28" t="str">
        <f aca="false">IFERROR(__xludf.dummyfunction("""COMPUTED_VALUE"""),"United")</f>
        <v>United</v>
      </c>
      <c r="M2611" s="27" t="str">
        <f aca="false">IFERROR(__xludf.dummyfunction("""COMPUTED_VALUE"""),"States")</f>
        <v>States</v>
      </c>
      <c r="N2611" s="25" t="str">
        <f aca="false">IFERROR(__xludf.dummyfunction("""COMPUTED_VALUE"""),"(West")</f>
        <v>(West</v>
      </c>
      <c r="O2611" s="25" t="str">
        <f aca="false">IFERROR(__xludf.dummyfunction("""COMPUTED_VALUE"""),"Coast)")</f>
        <v>Coast)</v>
      </c>
      <c r="P2611" s="25" t="str">
        <f aca="false">IFERROR(__xludf.dummyfunction("""COMPUTED_VALUE"""),"(Diff)")</f>
        <v>(Diff)</v>
      </c>
      <c r="Q2611" s="29" t="s">
        <v>424</v>
      </c>
      <c r="R2611" s="8" t="str">
        <f aca="false">B2611&amp;" "&amp;C2611&amp;" "&amp;D2611&amp;" "&amp;E2611&amp;" "&amp;G2611&amp;" "&amp;H2611&amp;" "&amp;J2611&amp;" "&amp;N2611</f>
        <v>Differentials Solvent     CIF United States (West Coast) (Diff) (West</v>
      </c>
      <c r="S2611" s="25"/>
      <c r="T2611" s="8"/>
      <c r="U2611" s="8"/>
      <c r="V2611" s="25"/>
      <c r="W2611" s="25"/>
      <c r="X2611" s="25"/>
      <c r="Y2611" s="25"/>
      <c r="Z2611" s="25"/>
      <c r="AA2611" s="25"/>
      <c r="AB2611" s="25"/>
      <c r="AC2611" s="25"/>
      <c r="AD2611" s="25"/>
    </row>
    <row r="2612" customFormat="false" ht="15.75" hidden="false" customHeight="false" outlineLevel="0" collapsed="false">
      <c r="A2612" s="28" t="s">
        <v>3091</v>
      </c>
      <c r="B2612" s="27" t="s">
        <v>438</v>
      </c>
      <c r="C2612" s="27" t="s">
        <v>417</v>
      </c>
      <c r="D2612" s="25"/>
      <c r="E2612" s="25"/>
      <c r="F2612" s="25"/>
      <c r="G2612" s="25"/>
      <c r="H2612" s="25"/>
      <c r="I2612" s="25"/>
      <c r="J2612" s="27" t="s">
        <v>3001</v>
      </c>
      <c r="K2612" s="25" t="str">
        <f aca="false">IFERROR(__xludf.dummyfunction("SPLIT(J2612,"" "")"),"CIF")</f>
        <v>CIF</v>
      </c>
      <c r="L2612" s="28" t="str">
        <f aca="false">IFERROR(__xludf.dummyfunction("""COMPUTED_VALUE"""),"United")</f>
        <v>United</v>
      </c>
      <c r="M2612" s="27" t="str">
        <f aca="false">IFERROR(__xludf.dummyfunction("""COMPUTED_VALUE"""),"States")</f>
        <v>States</v>
      </c>
      <c r="N2612" s="25" t="str">
        <f aca="false">IFERROR(__xludf.dummyfunction("""COMPUTED_VALUE"""),"(West")</f>
        <v>(West</v>
      </c>
      <c r="O2612" s="25" t="str">
        <f aca="false">IFERROR(__xludf.dummyfunction("""COMPUTED_VALUE"""),"Coast)")</f>
        <v>Coast)</v>
      </c>
      <c r="P2612" s="25" t="str">
        <f aca="false">IFERROR(__xludf.dummyfunction("""COMPUTED_VALUE"""),"(Diff)")</f>
        <v>(Diff)</v>
      </c>
      <c r="Q2612" s="29" t="s">
        <v>422</v>
      </c>
      <c r="R2612" s="8" t="str">
        <f aca="false">B2612&amp;" "&amp;C2612&amp;" "&amp;D2612&amp;" "&amp;E2612&amp;" "&amp;G2612&amp;" "&amp;H2612&amp;" "&amp;J2612&amp;" "&amp;N2612</f>
        <v>Differentials Solvent     CIF United States (West Coast) (Diff) (West</v>
      </c>
      <c r="S2612" s="25"/>
      <c r="T2612" s="8"/>
      <c r="U2612" s="8"/>
      <c r="V2612" s="25"/>
      <c r="W2612" s="25"/>
      <c r="X2612" s="25"/>
      <c r="Y2612" s="25"/>
      <c r="Z2612" s="25"/>
      <c r="AA2612" s="25"/>
      <c r="AB2612" s="25"/>
      <c r="AC2612" s="25"/>
      <c r="AD2612" s="25"/>
    </row>
    <row r="2613" customFormat="false" ht="15.75" hidden="false" customHeight="false" outlineLevel="0" collapsed="false">
      <c r="A2613" s="28" t="s">
        <v>3092</v>
      </c>
      <c r="B2613" s="27" t="s">
        <v>438</v>
      </c>
      <c r="C2613" s="27" t="s">
        <v>417</v>
      </c>
      <c r="D2613" s="25"/>
      <c r="E2613" s="25"/>
      <c r="F2613" s="25"/>
      <c r="G2613" s="25"/>
      <c r="H2613" s="25"/>
      <c r="I2613" s="25"/>
      <c r="J2613" s="27" t="s">
        <v>3001</v>
      </c>
      <c r="K2613" s="25" t="str">
        <f aca="false">IFERROR(__xludf.dummyfunction("SPLIT(J2613,"" "")"),"CIF")</f>
        <v>CIF</v>
      </c>
      <c r="L2613" s="28" t="str">
        <f aca="false">IFERROR(__xludf.dummyfunction("""COMPUTED_VALUE"""),"United")</f>
        <v>United</v>
      </c>
      <c r="M2613" s="27" t="str">
        <f aca="false">IFERROR(__xludf.dummyfunction("""COMPUTED_VALUE"""),"States")</f>
        <v>States</v>
      </c>
      <c r="N2613" s="25" t="str">
        <f aca="false">IFERROR(__xludf.dummyfunction("""COMPUTED_VALUE"""),"(West")</f>
        <v>(West</v>
      </c>
      <c r="O2613" s="25" t="str">
        <f aca="false">IFERROR(__xludf.dummyfunction("""COMPUTED_VALUE"""),"Coast)")</f>
        <v>Coast)</v>
      </c>
      <c r="P2613" s="25" t="str">
        <f aca="false">IFERROR(__xludf.dummyfunction("""COMPUTED_VALUE"""),"(Diff)")</f>
        <v>(Diff)</v>
      </c>
      <c r="Q2613" s="29" t="s">
        <v>420</v>
      </c>
      <c r="R2613" s="8" t="str">
        <f aca="false">B2613&amp;" "&amp;C2613&amp;" "&amp;D2613&amp;" "&amp;E2613&amp;" "&amp;G2613&amp;" "&amp;H2613&amp;" "&amp;J2613&amp;" "&amp;N2613</f>
        <v>Differentials Solvent     CIF United States (West Coast) (Diff) (West</v>
      </c>
      <c r="S2613" s="25"/>
      <c r="T2613" s="8"/>
      <c r="U2613" s="8"/>
      <c r="V2613" s="25"/>
      <c r="W2613" s="25"/>
      <c r="X2613" s="25"/>
      <c r="Y2613" s="25"/>
      <c r="Z2613" s="25"/>
      <c r="AA2613" s="25"/>
      <c r="AB2613" s="25"/>
      <c r="AC2613" s="25"/>
      <c r="AD2613" s="25"/>
    </row>
    <row r="2614" customFormat="false" ht="15.75" hidden="false" customHeight="false" outlineLevel="0" collapsed="false">
      <c r="A2614" s="28" t="s">
        <v>3093</v>
      </c>
      <c r="B2614" s="27" t="s">
        <v>438</v>
      </c>
      <c r="C2614" s="27" t="s">
        <v>417</v>
      </c>
      <c r="D2614" s="25"/>
      <c r="E2614" s="25"/>
      <c r="F2614" s="25"/>
      <c r="G2614" s="25"/>
      <c r="H2614" s="25"/>
      <c r="I2614" s="25"/>
      <c r="J2614" s="27" t="s">
        <v>3001</v>
      </c>
      <c r="K2614" s="25" t="str">
        <f aca="false">IFERROR(__xludf.dummyfunction("SPLIT(J2614,"" "")"),"CIF")</f>
        <v>CIF</v>
      </c>
      <c r="L2614" s="28" t="str">
        <f aca="false">IFERROR(__xludf.dummyfunction("""COMPUTED_VALUE"""),"United")</f>
        <v>United</v>
      </c>
      <c r="M2614" s="27" t="str">
        <f aca="false">IFERROR(__xludf.dummyfunction("""COMPUTED_VALUE"""),"States")</f>
        <v>States</v>
      </c>
      <c r="N2614" s="25" t="str">
        <f aca="false">IFERROR(__xludf.dummyfunction("""COMPUTED_VALUE"""),"(West")</f>
        <v>(West</v>
      </c>
      <c r="O2614" s="25" t="str">
        <f aca="false">IFERROR(__xludf.dummyfunction("""COMPUTED_VALUE"""),"Coast)")</f>
        <v>Coast)</v>
      </c>
      <c r="P2614" s="25" t="str">
        <f aca="false">IFERROR(__xludf.dummyfunction("""COMPUTED_VALUE"""),"(Diff)")</f>
        <v>(Diff)</v>
      </c>
      <c r="Q2614" s="29" t="s">
        <v>418</v>
      </c>
      <c r="R2614" s="8" t="str">
        <f aca="false">B2614&amp;" "&amp;C2614&amp;" "&amp;D2614&amp;" "&amp;E2614&amp;" "&amp;G2614&amp;" "&amp;H2614&amp;" "&amp;J2614&amp;" "&amp;N2614</f>
        <v>Differentials Solvent     CIF United States (West Coast) (Diff) (West</v>
      </c>
      <c r="S2614" s="25"/>
      <c r="T2614" s="8"/>
      <c r="U2614" s="8"/>
      <c r="V2614" s="25"/>
      <c r="W2614" s="25"/>
      <c r="X2614" s="25"/>
      <c r="Y2614" s="25"/>
      <c r="Z2614" s="25"/>
      <c r="AA2614" s="25"/>
      <c r="AB2614" s="25"/>
      <c r="AC2614" s="25"/>
      <c r="AD2614" s="25"/>
    </row>
    <row r="2615" customFormat="false" ht="15.75" hidden="false" customHeight="false" outlineLevel="0" collapsed="false">
      <c r="A2615" s="28" t="s">
        <v>3094</v>
      </c>
      <c r="B2615" s="27" t="s">
        <v>438</v>
      </c>
      <c r="C2615" s="27" t="s">
        <v>168</v>
      </c>
      <c r="D2615" s="25"/>
      <c r="E2615" s="25"/>
      <c r="F2615" s="25"/>
      <c r="G2615" s="25"/>
      <c r="H2615" s="25"/>
      <c r="I2615" s="25"/>
      <c r="J2615" s="27" t="s">
        <v>3095</v>
      </c>
      <c r="K2615" s="25" t="str">
        <f aca="false">IFERROR(__xludf.dummyfunction("SPLIT(J2615,"" "")"),"CIF")</f>
        <v>CIF</v>
      </c>
      <c r="L2615" s="28" t="str">
        <f aca="false">IFERROR(__xludf.dummyfunction("""COMPUTED_VALUE"""),"USA")</f>
        <v>USA</v>
      </c>
      <c r="M2615" s="27" t="str">
        <f aca="false">IFERROR(__xludf.dummyfunction("""COMPUTED_VALUE"""),"(Diff)")</f>
        <v>(Diff)</v>
      </c>
      <c r="N2615" s="25"/>
      <c r="O2615" s="25"/>
      <c r="P2615" s="25"/>
      <c r="Q2615" s="29" t="s">
        <v>175</v>
      </c>
      <c r="R2615" s="8" t="str">
        <f aca="false">B2615&amp;" "&amp;C2615&amp;" "&amp;D2615&amp;" "&amp;E2615&amp;" "&amp;G2615&amp;" "&amp;H2615&amp;" "&amp;J2615&amp;" "&amp;N2615</f>
        <v>Differentials Aluminium (Battery Grade)     CIF USA (Diff) </v>
      </c>
      <c r="S2615" s="25"/>
      <c r="T2615" s="8"/>
      <c r="U2615" s="8"/>
      <c r="V2615" s="25"/>
      <c r="W2615" s="25"/>
      <c r="X2615" s="25"/>
      <c r="Y2615" s="25"/>
      <c r="Z2615" s="25"/>
      <c r="AA2615" s="25"/>
      <c r="AB2615" s="25"/>
      <c r="AC2615" s="25"/>
      <c r="AD2615" s="25"/>
    </row>
    <row r="2616" customFormat="false" ht="15.75" hidden="false" customHeight="false" outlineLevel="0" collapsed="false">
      <c r="A2616" s="28" t="s">
        <v>3096</v>
      </c>
      <c r="B2616" s="27" t="s">
        <v>438</v>
      </c>
      <c r="C2616" s="27" t="s">
        <v>168</v>
      </c>
      <c r="D2616" s="25"/>
      <c r="E2616" s="25"/>
      <c r="F2616" s="25"/>
      <c r="G2616" s="25"/>
      <c r="H2616" s="25"/>
      <c r="I2616" s="25"/>
      <c r="J2616" s="27" t="s">
        <v>3095</v>
      </c>
      <c r="K2616" s="25" t="str">
        <f aca="false">IFERROR(__xludf.dummyfunction("SPLIT(J2616,"" "")"),"CIF")</f>
        <v>CIF</v>
      </c>
      <c r="L2616" s="28" t="str">
        <f aca="false">IFERROR(__xludf.dummyfunction("""COMPUTED_VALUE"""),"USA")</f>
        <v>USA</v>
      </c>
      <c r="M2616" s="27" t="str">
        <f aca="false">IFERROR(__xludf.dummyfunction("""COMPUTED_VALUE"""),"(Diff)")</f>
        <v>(Diff)</v>
      </c>
      <c r="N2616" s="25"/>
      <c r="O2616" s="25"/>
      <c r="P2616" s="25"/>
      <c r="Q2616" s="29" t="s">
        <v>173</v>
      </c>
      <c r="R2616" s="8" t="str">
        <f aca="false">B2616&amp;" "&amp;C2616&amp;" "&amp;D2616&amp;" "&amp;E2616&amp;" "&amp;G2616&amp;" "&amp;H2616&amp;" "&amp;J2616&amp;" "&amp;N2616</f>
        <v>Differentials Aluminium (Battery Grade)     CIF USA (Diff) </v>
      </c>
      <c r="S2616" s="25"/>
      <c r="T2616" s="8"/>
      <c r="U2616" s="37" t="s">
        <v>3097</v>
      </c>
      <c r="V2616" s="37"/>
      <c r="W2616" s="25"/>
      <c r="X2616" s="25"/>
      <c r="Y2616" s="25"/>
      <c r="Z2616" s="25"/>
      <c r="AA2616" s="25"/>
      <c r="AB2616" s="25"/>
      <c r="AC2616" s="25"/>
      <c r="AD2616" s="25"/>
    </row>
    <row r="2617" customFormat="false" ht="15.75" hidden="false" customHeight="false" outlineLevel="0" collapsed="false">
      <c r="A2617" s="28" t="s">
        <v>3098</v>
      </c>
      <c r="B2617" s="27" t="s">
        <v>438</v>
      </c>
      <c r="C2617" s="27" t="s">
        <v>168</v>
      </c>
      <c r="D2617" s="25"/>
      <c r="E2617" s="25"/>
      <c r="F2617" s="25"/>
      <c r="G2617" s="25"/>
      <c r="H2617" s="25"/>
      <c r="I2617" s="25"/>
      <c r="J2617" s="27" t="s">
        <v>3095</v>
      </c>
      <c r="K2617" s="25" t="str">
        <f aca="false">IFERROR(__xludf.dummyfunction("SPLIT(J2617,"" "")"),"CIF")</f>
        <v>CIF</v>
      </c>
      <c r="L2617" s="28" t="str">
        <f aca="false">IFERROR(__xludf.dummyfunction("""COMPUTED_VALUE"""),"USA")</f>
        <v>USA</v>
      </c>
      <c r="M2617" s="27" t="str">
        <f aca="false">IFERROR(__xludf.dummyfunction("""COMPUTED_VALUE"""),"(Diff)")</f>
        <v>(Diff)</v>
      </c>
      <c r="N2617" s="25"/>
      <c r="O2617" s="25"/>
      <c r="P2617" s="25"/>
      <c r="Q2617" s="29" t="s">
        <v>169</v>
      </c>
      <c r="R2617" s="8" t="str">
        <f aca="false">B2617&amp;" "&amp;C2617&amp;" "&amp;D2617&amp;" "&amp;E2617&amp;" "&amp;G2617&amp;" "&amp;H2617&amp;" "&amp;J2617&amp;" "&amp;N2617</f>
        <v>Differentials Aluminium (Battery Grade)     CIF USA (Diff) </v>
      </c>
      <c r="S2617" s="25"/>
      <c r="T2617" s="8"/>
      <c r="U2617" s="8"/>
      <c r="V2617" s="25"/>
      <c r="W2617" s="25"/>
      <c r="X2617" s="25"/>
      <c r="Y2617" s="25"/>
      <c r="Z2617" s="25"/>
      <c r="AA2617" s="25"/>
      <c r="AB2617" s="25"/>
      <c r="AC2617" s="25"/>
      <c r="AD2617" s="25"/>
    </row>
    <row r="2618" customFormat="false" ht="15.75" hidden="false" customHeight="false" outlineLevel="0" collapsed="false">
      <c r="A2618" s="28" t="s">
        <v>3099</v>
      </c>
      <c r="B2618" s="27" t="s">
        <v>438</v>
      </c>
      <c r="C2618" s="27" t="s">
        <v>284</v>
      </c>
      <c r="D2618" s="25"/>
      <c r="E2618" s="25"/>
      <c r="F2618" s="25"/>
      <c r="G2618" s="25"/>
      <c r="H2618" s="25"/>
      <c r="I2618" s="25"/>
      <c r="J2618" s="27" t="s">
        <v>3095</v>
      </c>
      <c r="K2618" s="25" t="str">
        <f aca="false">IFERROR(__xludf.dummyfunction("SPLIT(J2618,"" "")"),"CIF")</f>
        <v>CIF</v>
      </c>
      <c r="L2618" s="28" t="str">
        <f aca="false">IFERROR(__xludf.dummyfunction("""COMPUTED_VALUE"""),"USA")</f>
        <v>USA</v>
      </c>
      <c r="M2618" s="27" t="str">
        <f aca="false">IFERROR(__xludf.dummyfunction("""COMPUTED_VALUE"""),"(Diff)")</f>
        <v>(Diff)</v>
      </c>
      <c r="N2618" s="25"/>
      <c r="O2618" s="25"/>
      <c r="P2618" s="25"/>
      <c r="Q2618" s="29" t="s">
        <v>287</v>
      </c>
      <c r="R2618" s="8" t="str">
        <f aca="false">B2618&amp;" "&amp;C2618&amp;" "&amp;D2618&amp;" "&amp;E2618&amp;" "&amp;G2618&amp;" "&amp;H2618&amp;" "&amp;J2618&amp;" "&amp;N2618</f>
        <v>Differentials Copper (Battery Grade)     CIF USA (Diff) </v>
      </c>
      <c r="S2618" s="25"/>
      <c r="T2618" s="8"/>
      <c r="U2618" s="8"/>
      <c r="V2618" s="25"/>
      <c r="W2618" s="25"/>
      <c r="X2618" s="25"/>
      <c r="Y2618" s="25"/>
      <c r="Z2618" s="25"/>
      <c r="AA2618" s="25"/>
      <c r="AB2618" s="25"/>
      <c r="AC2618" s="25"/>
      <c r="AD2618" s="25"/>
    </row>
    <row r="2619" customFormat="false" ht="15.75" hidden="false" customHeight="false" outlineLevel="0" collapsed="false">
      <c r="A2619" s="28" t="s">
        <v>3100</v>
      </c>
      <c r="B2619" s="27" t="s">
        <v>438</v>
      </c>
      <c r="C2619" s="27" t="s">
        <v>284</v>
      </c>
      <c r="D2619" s="25"/>
      <c r="E2619" s="25"/>
      <c r="F2619" s="25"/>
      <c r="G2619" s="25"/>
      <c r="H2619" s="25"/>
      <c r="I2619" s="25"/>
      <c r="J2619" s="27" t="s">
        <v>3095</v>
      </c>
      <c r="K2619" s="25" t="str">
        <f aca="false">IFERROR(__xludf.dummyfunction("SPLIT(J2619,"" "")"),"CIF")</f>
        <v>CIF</v>
      </c>
      <c r="L2619" s="28" t="str">
        <f aca="false">IFERROR(__xludf.dummyfunction("""COMPUTED_VALUE"""),"USA")</f>
        <v>USA</v>
      </c>
      <c r="M2619" s="27" t="str">
        <f aca="false">IFERROR(__xludf.dummyfunction("""COMPUTED_VALUE"""),"(Diff)")</f>
        <v>(Diff)</v>
      </c>
      <c r="N2619" s="25"/>
      <c r="O2619" s="25"/>
      <c r="P2619" s="25"/>
      <c r="Q2619" s="29" t="s">
        <v>285</v>
      </c>
      <c r="R2619" s="8" t="str">
        <f aca="false">B2619&amp;" "&amp;C2619&amp;" "&amp;D2619&amp;" "&amp;E2619&amp;" "&amp;G2619&amp;" "&amp;H2619&amp;" "&amp;J2619&amp;" "&amp;N2619</f>
        <v>Differentials Copper (Battery Grade)     CIF USA (Diff) </v>
      </c>
      <c r="S2619" s="25"/>
      <c r="T2619" s="8"/>
      <c r="U2619" s="8"/>
      <c r="V2619" s="25"/>
      <c r="W2619" s="25"/>
      <c r="X2619" s="25"/>
      <c r="Y2619" s="25"/>
      <c r="Z2619" s="25"/>
      <c r="AA2619" s="25"/>
      <c r="AB2619" s="25"/>
      <c r="AC2619" s="25"/>
      <c r="AD2619" s="25"/>
    </row>
    <row r="2620" customFormat="false" ht="15.75" hidden="false" customHeight="false" outlineLevel="0" collapsed="false">
      <c r="A2620" s="28" t="s">
        <v>3101</v>
      </c>
      <c r="B2620" s="27" t="s">
        <v>438</v>
      </c>
      <c r="C2620" s="27" t="s">
        <v>360</v>
      </c>
      <c r="D2620" s="25"/>
      <c r="E2620" s="25"/>
      <c r="F2620" s="25"/>
      <c r="G2620" s="25"/>
      <c r="H2620" s="25"/>
      <c r="I2620" s="25"/>
      <c r="J2620" s="27" t="s">
        <v>3095</v>
      </c>
      <c r="K2620" s="25" t="str">
        <f aca="false">IFERROR(__xludf.dummyfunction("SPLIT(J2620,"" "")"),"CIF")</f>
        <v>CIF</v>
      </c>
      <c r="L2620" s="28" t="str">
        <f aca="false">IFERROR(__xludf.dummyfunction("""COMPUTED_VALUE"""),"USA")</f>
        <v>USA</v>
      </c>
      <c r="M2620" s="27" t="str">
        <f aca="false">IFERROR(__xludf.dummyfunction("""COMPUTED_VALUE"""),"(Diff)")</f>
        <v>(Diff)</v>
      </c>
      <c r="N2620" s="25"/>
      <c r="O2620" s="25"/>
      <c r="P2620" s="25"/>
      <c r="Q2620" s="29" t="s">
        <v>368</v>
      </c>
      <c r="R2620" s="8" t="str">
        <f aca="false">B2620&amp;" "&amp;C2620&amp;" "&amp;D2620&amp;" "&amp;E2620&amp;" "&amp;G2620&amp;" "&amp;H2620&amp;" "&amp;J2620&amp;" "&amp;N2620</f>
        <v>Differentials Lithium     CIF USA (Diff) </v>
      </c>
      <c r="S2620" s="25"/>
      <c r="T2620" s="8"/>
      <c r="U2620" s="8"/>
      <c r="V2620" s="25"/>
      <c r="W2620" s="25"/>
      <c r="X2620" s="25"/>
      <c r="Y2620" s="25"/>
      <c r="Z2620" s="25"/>
      <c r="AA2620" s="25"/>
      <c r="AB2620" s="25"/>
      <c r="AC2620" s="25"/>
      <c r="AD2620" s="25"/>
    </row>
    <row r="2621" customFormat="false" ht="15.75" hidden="false" customHeight="false" outlineLevel="0" collapsed="false">
      <c r="A2621" s="28" t="s">
        <v>3102</v>
      </c>
      <c r="B2621" s="27" t="s">
        <v>438</v>
      </c>
      <c r="C2621" s="27" t="s">
        <v>360</v>
      </c>
      <c r="D2621" s="25"/>
      <c r="E2621" s="25"/>
      <c r="F2621" s="25"/>
      <c r="G2621" s="25"/>
      <c r="H2621" s="25"/>
      <c r="I2621" s="25"/>
      <c r="J2621" s="27" t="s">
        <v>3095</v>
      </c>
      <c r="K2621" s="25" t="str">
        <f aca="false">IFERROR(__xludf.dummyfunction("SPLIT(J2621,"" "")"),"CIF")</f>
        <v>CIF</v>
      </c>
      <c r="L2621" s="28" t="str">
        <f aca="false">IFERROR(__xludf.dummyfunction("""COMPUTED_VALUE"""),"USA")</f>
        <v>USA</v>
      </c>
      <c r="M2621" s="27" t="str">
        <f aca="false">IFERROR(__xludf.dummyfunction("""COMPUTED_VALUE"""),"(Diff)")</f>
        <v>(Diff)</v>
      </c>
      <c r="N2621" s="25"/>
      <c r="O2621" s="25"/>
      <c r="P2621" s="25"/>
      <c r="Q2621" s="29" t="s">
        <v>366</v>
      </c>
      <c r="R2621" s="8" t="str">
        <f aca="false">B2621&amp;" "&amp;C2621&amp;" "&amp;D2621&amp;" "&amp;E2621&amp;" "&amp;G2621&amp;" "&amp;H2621&amp;" "&amp;J2621&amp;" "&amp;N2621</f>
        <v>Differentials Lithium     CIF USA (Diff) </v>
      </c>
      <c r="S2621" s="25"/>
      <c r="T2621" s="8"/>
      <c r="U2621" s="8"/>
      <c r="V2621" s="25"/>
      <c r="W2621" s="25"/>
      <c r="X2621" s="25"/>
      <c r="Y2621" s="25"/>
      <c r="Z2621" s="25"/>
      <c r="AA2621" s="25"/>
      <c r="AB2621" s="25"/>
      <c r="AC2621" s="25"/>
      <c r="AD2621" s="25"/>
    </row>
    <row r="2622" customFormat="false" ht="15.75" hidden="false" customHeight="false" outlineLevel="0" collapsed="false">
      <c r="A2622" s="28" t="s">
        <v>3103</v>
      </c>
      <c r="B2622" s="27" t="s">
        <v>438</v>
      </c>
      <c r="C2622" s="27" t="s">
        <v>360</v>
      </c>
      <c r="D2622" s="25"/>
      <c r="E2622" s="25"/>
      <c r="F2622" s="25"/>
      <c r="G2622" s="25"/>
      <c r="H2622" s="25"/>
      <c r="I2622" s="25"/>
      <c r="J2622" s="27" t="s">
        <v>3095</v>
      </c>
      <c r="K2622" s="25" t="str">
        <f aca="false">IFERROR(__xludf.dummyfunction("SPLIT(J2622,"" "")"),"CIF")</f>
        <v>CIF</v>
      </c>
      <c r="L2622" s="28" t="str">
        <f aca="false">IFERROR(__xludf.dummyfunction("""COMPUTED_VALUE"""),"USA")</f>
        <v>USA</v>
      </c>
      <c r="M2622" s="27" t="str">
        <f aca="false">IFERROR(__xludf.dummyfunction("""COMPUTED_VALUE"""),"(Diff)")</f>
        <v>(Diff)</v>
      </c>
      <c r="N2622" s="25"/>
      <c r="O2622" s="25"/>
      <c r="P2622" s="25"/>
      <c r="Q2622" s="29" t="s">
        <v>361</v>
      </c>
      <c r="R2622" s="8" t="str">
        <f aca="false">B2622&amp;" "&amp;C2622&amp;" "&amp;D2622&amp;" "&amp;E2622&amp;" "&amp;G2622&amp;" "&amp;H2622&amp;" "&amp;J2622&amp;" "&amp;N2622</f>
        <v>Differentials Lithium     CIF USA (Diff) </v>
      </c>
      <c r="S2622" s="25"/>
      <c r="T2622" s="8"/>
      <c r="U2622" s="8"/>
      <c r="V2622" s="25"/>
      <c r="W2622" s="25"/>
      <c r="X2622" s="25"/>
      <c r="Y2622" s="25"/>
      <c r="Z2622" s="25"/>
      <c r="AA2622" s="25"/>
      <c r="AB2622" s="25"/>
      <c r="AC2622" s="25"/>
      <c r="AD2622" s="25"/>
    </row>
    <row r="2623" customFormat="false" ht="15.75" hidden="false" customHeight="false" outlineLevel="0" collapsed="false">
      <c r="A2623" s="28" t="s">
        <v>3104</v>
      </c>
      <c r="B2623" s="27" t="s">
        <v>438</v>
      </c>
      <c r="C2623" s="27" t="s">
        <v>360</v>
      </c>
      <c r="D2623" s="25"/>
      <c r="E2623" s="25"/>
      <c r="F2623" s="25"/>
      <c r="G2623" s="25"/>
      <c r="H2623" s="25"/>
      <c r="I2623" s="25"/>
      <c r="J2623" s="27" t="s">
        <v>3095</v>
      </c>
      <c r="K2623" s="25" t="str">
        <f aca="false">IFERROR(__xludf.dummyfunction("SPLIT(J2623,"" "")"),"CIF")</f>
        <v>CIF</v>
      </c>
      <c r="L2623" s="28" t="str">
        <f aca="false">IFERROR(__xludf.dummyfunction("""COMPUTED_VALUE"""),"USA")</f>
        <v>USA</v>
      </c>
      <c r="M2623" s="27" t="str">
        <f aca="false">IFERROR(__xludf.dummyfunction("""COMPUTED_VALUE"""),"(Diff)")</f>
        <v>(Diff)</v>
      </c>
      <c r="N2623" s="25"/>
      <c r="O2623" s="25"/>
      <c r="P2623" s="25"/>
      <c r="Q2623" s="29" t="s">
        <v>363</v>
      </c>
      <c r="R2623" s="8" t="str">
        <f aca="false">B2623&amp;" "&amp;C2623&amp;" "&amp;D2623&amp;" "&amp;E2623&amp;" "&amp;G2623&amp;" "&amp;H2623&amp;" "&amp;J2623&amp;" "&amp;N2623</f>
        <v>Differentials Lithium     CIF USA (Diff) </v>
      </c>
      <c r="S2623" s="25"/>
      <c r="T2623" s="8"/>
      <c r="U2623" s="8"/>
      <c r="V2623" s="25"/>
      <c r="W2623" s="25"/>
      <c r="X2623" s="25"/>
      <c r="Y2623" s="25"/>
      <c r="Z2623" s="25"/>
      <c r="AA2623" s="25"/>
      <c r="AB2623" s="25"/>
      <c r="AC2623" s="25"/>
      <c r="AD2623" s="25"/>
    </row>
    <row r="2624" customFormat="false" ht="15.75" hidden="false" customHeight="false" outlineLevel="0" collapsed="false">
      <c r="A2624" s="28" t="s">
        <v>3105</v>
      </c>
      <c r="B2624" s="27" t="s">
        <v>438</v>
      </c>
      <c r="C2624" s="27" t="s">
        <v>360</v>
      </c>
      <c r="D2624" s="25"/>
      <c r="E2624" s="25"/>
      <c r="F2624" s="25"/>
      <c r="G2624" s="25"/>
      <c r="H2624" s="25"/>
      <c r="I2624" s="25"/>
      <c r="J2624" s="27" t="s">
        <v>3095</v>
      </c>
      <c r="K2624" s="25" t="str">
        <f aca="false">IFERROR(__xludf.dummyfunction("SPLIT(J2624,"" "")"),"CIF")</f>
        <v>CIF</v>
      </c>
      <c r="L2624" s="28" t="str">
        <f aca="false">IFERROR(__xludf.dummyfunction("""COMPUTED_VALUE"""),"USA")</f>
        <v>USA</v>
      </c>
      <c r="M2624" s="27" t="str">
        <f aca="false">IFERROR(__xludf.dummyfunction("""COMPUTED_VALUE"""),"(Diff)")</f>
        <v>(Diff)</v>
      </c>
      <c r="N2624" s="25"/>
      <c r="O2624" s="25"/>
      <c r="P2624" s="25"/>
      <c r="Q2624" s="29" t="s">
        <v>361</v>
      </c>
      <c r="R2624" s="8" t="str">
        <f aca="false">B2624&amp;" "&amp;C2624&amp;" "&amp;D2624&amp;" "&amp;E2624&amp;" "&amp;G2624&amp;" "&amp;H2624&amp;" "&amp;J2624&amp;" "&amp;N2624</f>
        <v>Differentials Lithium     CIF USA (Diff) </v>
      </c>
      <c r="S2624" s="25"/>
      <c r="T2624" s="8"/>
      <c r="U2624" s="8"/>
      <c r="V2624" s="25"/>
      <c r="W2624" s="25"/>
      <c r="X2624" s="25"/>
      <c r="Y2624" s="25"/>
      <c r="Z2624" s="25"/>
      <c r="AA2624" s="25"/>
      <c r="AB2624" s="25"/>
      <c r="AC2624" s="25"/>
      <c r="AD2624" s="25"/>
    </row>
    <row r="2625" customFormat="false" ht="15.75" hidden="false" customHeight="false" outlineLevel="0" collapsed="false">
      <c r="A2625" s="28" t="s">
        <v>3106</v>
      </c>
      <c r="B2625" s="27" t="s">
        <v>438</v>
      </c>
      <c r="C2625" s="27" t="s">
        <v>383</v>
      </c>
      <c r="D2625" s="25"/>
      <c r="E2625" s="25"/>
      <c r="F2625" s="25"/>
      <c r="G2625" s="25"/>
      <c r="H2625" s="25"/>
      <c r="I2625" s="25"/>
      <c r="J2625" s="27" t="s">
        <v>3095</v>
      </c>
      <c r="K2625" s="25" t="str">
        <f aca="false">IFERROR(__xludf.dummyfunction("SPLIT(J2625,"" "")"),"CIF")</f>
        <v>CIF</v>
      </c>
      <c r="L2625" s="28" t="str">
        <f aca="false">IFERROR(__xludf.dummyfunction("""COMPUTED_VALUE"""),"USA")</f>
        <v>USA</v>
      </c>
      <c r="M2625" s="27" t="str">
        <f aca="false">IFERROR(__xludf.dummyfunction("""COMPUTED_VALUE"""),"(Diff)")</f>
        <v>(Diff)</v>
      </c>
      <c r="N2625" s="25"/>
      <c r="O2625" s="25"/>
      <c r="P2625" s="25"/>
      <c r="Q2625" s="29" t="s">
        <v>406</v>
      </c>
      <c r="R2625" s="8" t="str">
        <f aca="false">B2625&amp;" "&amp;C2625&amp;" "&amp;D2625&amp;" "&amp;E2625&amp;" "&amp;G2625&amp;" "&amp;H2625&amp;" "&amp;J2625&amp;" "&amp;N2625</f>
        <v>Differentials Precursor     CIF USA (Diff) </v>
      </c>
      <c r="S2625" s="25"/>
      <c r="T2625" s="8"/>
      <c r="U2625" s="8"/>
      <c r="V2625" s="25"/>
      <c r="W2625" s="25"/>
      <c r="X2625" s="25"/>
      <c r="Y2625" s="25"/>
      <c r="Z2625" s="25"/>
      <c r="AA2625" s="25"/>
      <c r="AB2625" s="25"/>
      <c r="AC2625" s="25"/>
      <c r="AD2625" s="25"/>
    </row>
    <row r="2626" customFormat="false" ht="15.75" hidden="false" customHeight="false" outlineLevel="0" collapsed="false">
      <c r="A2626" s="28" t="s">
        <v>3107</v>
      </c>
      <c r="B2626" s="27" t="s">
        <v>438</v>
      </c>
      <c r="C2626" s="27" t="s">
        <v>383</v>
      </c>
      <c r="D2626" s="25"/>
      <c r="E2626" s="25"/>
      <c r="F2626" s="25"/>
      <c r="G2626" s="25"/>
      <c r="H2626" s="25"/>
      <c r="I2626" s="25"/>
      <c r="J2626" s="27" t="s">
        <v>3095</v>
      </c>
      <c r="K2626" s="25" t="str">
        <f aca="false">IFERROR(__xludf.dummyfunction("SPLIT(J2626,"" "")"),"CIF")</f>
        <v>CIF</v>
      </c>
      <c r="L2626" s="28" t="str">
        <f aca="false">IFERROR(__xludf.dummyfunction("""COMPUTED_VALUE"""),"USA")</f>
        <v>USA</v>
      </c>
      <c r="M2626" s="27" t="str">
        <f aca="false">IFERROR(__xludf.dummyfunction("""COMPUTED_VALUE"""),"(Diff)")</f>
        <v>(Diff)</v>
      </c>
      <c r="N2626" s="25"/>
      <c r="O2626" s="25"/>
      <c r="P2626" s="25"/>
      <c r="Q2626" s="29" t="s">
        <v>404</v>
      </c>
      <c r="R2626" s="8" t="str">
        <f aca="false">B2626&amp;" "&amp;C2626&amp;" "&amp;D2626&amp;" "&amp;E2626&amp;" "&amp;G2626&amp;" "&amp;H2626&amp;" "&amp;J2626&amp;" "&amp;N2626</f>
        <v>Differentials Precursor     CIF USA (Diff) </v>
      </c>
      <c r="S2626" s="25"/>
      <c r="T2626" s="8"/>
      <c r="U2626" s="8"/>
      <c r="V2626" s="25"/>
      <c r="W2626" s="25"/>
      <c r="X2626" s="25"/>
      <c r="Y2626" s="25"/>
      <c r="Z2626" s="25"/>
      <c r="AA2626" s="25"/>
      <c r="AB2626" s="25"/>
      <c r="AC2626" s="25"/>
      <c r="AD2626" s="25"/>
    </row>
    <row r="2627" customFormat="false" ht="15.75" hidden="false" customHeight="false" outlineLevel="0" collapsed="false">
      <c r="A2627" s="28" t="s">
        <v>3108</v>
      </c>
      <c r="B2627" s="27" t="s">
        <v>438</v>
      </c>
      <c r="C2627" s="27" t="s">
        <v>383</v>
      </c>
      <c r="D2627" s="25"/>
      <c r="E2627" s="25"/>
      <c r="F2627" s="25"/>
      <c r="G2627" s="25"/>
      <c r="H2627" s="25"/>
      <c r="I2627" s="25"/>
      <c r="J2627" s="27" t="s">
        <v>3095</v>
      </c>
      <c r="K2627" s="25" t="str">
        <f aca="false">IFERROR(__xludf.dummyfunction("SPLIT(J2627,"" "")"),"CIF")</f>
        <v>CIF</v>
      </c>
      <c r="L2627" s="28" t="str">
        <f aca="false">IFERROR(__xludf.dummyfunction("""COMPUTED_VALUE"""),"USA")</f>
        <v>USA</v>
      </c>
      <c r="M2627" s="27" t="str">
        <f aca="false">IFERROR(__xludf.dummyfunction("""COMPUTED_VALUE"""),"(Diff)")</f>
        <v>(Diff)</v>
      </c>
      <c r="N2627" s="25"/>
      <c r="O2627" s="25"/>
      <c r="P2627" s="25"/>
      <c r="Q2627" s="29" t="s">
        <v>402</v>
      </c>
      <c r="R2627" s="8" t="str">
        <f aca="false">B2627&amp;" "&amp;C2627&amp;" "&amp;D2627&amp;" "&amp;E2627&amp;" "&amp;G2627&amp;" "&amp;H2627&amp;" "&amp;J2627&amp;" "&amp;N2627</f>
        <v>Differentials Precursor     CIF USA (Diff) </v>
      </c>
      <c r="S2627" s="25"/>
      <c r="T2627" s="8"/>
      <c r="U2627" s="8"/>
      <c r="V2627" s="25"/>
      <c r="W2627" s="25"/>
      <c r="X2627" s="25"/>
      <c r="Y2627" s="25"/>
      <c r="Z2627" s="25"/>
      <c r="AA2627" s="25"/>
      <c r="AB2627" s="25"/>
      <c r="AC2627" s="25"/>
      <c r="AD2627" s="25"/>
    </row>
    <row r="2628" customFormat="false" ht="15.75" hidden="false" customHeight="false" outlineLevel="0" collapsed="false">
      <c r="A2628" s="28" t="s">
        <v>3109</v>
      </c>
      <c r="B2628" s="27" t="s">
        <v>438</v>
      </c>
      <c r="C2628" s="27" t="s">
        <v>383</v>
      </c>
      <c r="D2628" s="25"/>
      <c r="E2628" s="25"/>
      <c r="F2628" s="25"/>
      <c r="G2628" s="25"/>
      <c r="H2628" s="25"/>
      <c r="I2628" s="25"/>
      <c r="J2628" s="27" t="s">
        <v>3095</v>
      </c>
      <c r="K2628" s="25" t="str">
        <f aca="false">IFERROR(__xludf.dummyfunction("SPLIT(J2628,"" "")"),"CIF")</f>
        <v>CIF</v>
      </c>
      <c r="L2628" s="28" t="str">
        <f aca="false">IFERROR(__xludf.dummyfunction("""COMPUTED_VALUE"""),"USA")</f>
        <v>USA</v>
      </c>
      <c r="M2628" s="27" t="str">
        <f aca="false">IFERROR(__xludf.dummyfunction("""COMPUTED_VALUE"""),"(Diff)")</f>
        <v>(Diff)</v>
      </c>
      <c r="N2628" s="25"/>
      <c r="O2628" s="25"/>
      <c r="P2628" s="25"/>
      <c r="Q2628" s="29" t="s">
        <v>400</v>
      </c>
      <c r="R2628" s="8" t="str">
        <f aca="false">B2628&amp;" "&amp;C2628&amp;" "&amp;D2628&amp;" "&amp;E2628&amp;" "&amp;G2628&amp;" "&amp;H2628&amp;" "&amp;J2628&amp;" "&amp;N2628</f>
        <v>Differentials Precursor     CIF USA (Diff) </v>
      </c>
      <c r="S2628" s="25"/>
      <c r="T2628" s="8"/>
      <c r="U2628" s="8"/>
      <c r="V2628" s="25"/>
      <c r="W2628" s="25"/>
      <c r="X2628" s="25"/>
      <c r="Y2628" s="25"/>
      <c r="Z2628" s="25"/>
      <c r="AA2628" s="25"/>
      <c r="AB2628" s="25"/>
      <c r="AC2628" s="25"/>
      <c r="AD2628" s="25"/>
    </row>
    <row r="2629" customFormat="false" ht="15.75" hidden="false" customHeight="false" outlineLevel="0" collapsed="false">
      <c r="A2629" s="28" t="s">
        <v>3110</v>
      </c>
      <c r="B2629" s="27" t="s">
        <v>438</v>
      </c>
      <c r="C2629" s="27" t="s">
        <v>383</v>
      </c>
      <c r="D2629" s="25"/>
      <c r="E2629" s="25"/>
      <c r="F2629" s="25"/>
      <c r="G2629" s="25"/>
      <c r="H2629" s="25"/>
      <c r="I2629" s="25"/>
      <c r="J2629" s="27" t="s">
        <v>3095</v>
      </c>
      <c r="K2629" s="25" t="str">
        <f aca="false">IFERROR(__xludf.dummyfunction("SPLIT(J2629,"" "")"),"CIF")</f>
        <v>CIF</v>
      </c>
      <c r="L2629" s="28" t="str">
        <f aca="false">IFERROR(__xludf.dummyfunction("""COMPUTED_VALUE"""),"USA")</f>
        <v>USA</v>
      </c>
      <c r="M2629" s="27" t="str">
        <f aca="false">IFERROR(__xludf.dummyfunction("""COMPUTED_VALUE"""),"(Diff)")</f>
        <v>(Diff)</v>
      </c>
      <c r="N2629" s="25"/>
      <c r="O2629" s="25"/>
      <c r="P2629" s="25"/>
      <c r="Q2629" s="29" t="s">
        <v>398</v>
      </c>
      <c r="R2629" s="8" t="str">
        <f aca="false">B2629&amp;" "&amp;C2629&amp;" "&amp;D2629&amp;" "&amp;E2629&amp;" "&amp;G2629&amp;" "&amp;H2629&amp;" "&amp;J2629&amp;" "&amp;N2629</f>
        <v>Differentials Precursor     CIF USA (Diff) </v>
      </c>
      <c r="S2629" s="25"/>
      <c r="T2629" s="8"/>
      <c r="U2629" s="8"/>
      <c r="V2629" s="25"/>
      <c r="W2629" s="25"/>
      <c r="X2629" s="25"/>
      <c r="Y2629" s="25"/>
      <c r="Z2629" s="25"/>
      <c r="AA2629" s="25"/>
      <c r="AB2629" s="25"/>
      <c r="AC2629" s="25"/>
      <c r="AD2629" s="25"/>
    </row>
    <row r="2630" customFormat="false" ht="15.75" hidden="false" customHeight="false" outlineLevel="0" collapsed="false">
      <c r="A2630" s="28" t="s">
        <v>3111</v>
      </c>
      <c r="B2630" s="27" t="s">
        <v>438</v>
      </c>
      <c r="C2630" s="27" t="s">
        <v>383</v>
      </c>
      <c r="D2630" s="25"/>
      <c r="E2630" s="25"/>
      <c r="F2630" s="25"/>
      <c r="G2630" s="25"/>
      <c r="H2630" s="25"/>
      <c r="I2630" s="25"/>
      <c r="J2630" s="27" t="s">
        <v>3095</v>
      </c>
      <c r="K2630" s="25" t="str">
        <f aca="false">IFERROR(__xludf.dummyfunction("SPLIT(J2630,"" "")"),"CIF")</f>
        <v>CIF</v>
      </c>
      <c r="L2630" s="28" t="str">
        <f aca="false">IFERROR(__xludf.dummyfunction("""COMPUTED_VALUE"""),"USA")</f>
        <v>USA</v>
      </c>
      <c r="M2630" s="27" t="str">
        <f aca="false">IFERROR(__xludf.dummyfunction("""COMPUTED_VALUE"""),"(Diff)")</f>
        <v>(Diff)</v>
      </c>
      <c r="N2630" s="25"/>
      <c r="O2630" s="25"/>
      <c r="P2630" s="25"/>
      <c r="Q2630" s="29" t="s">
        <v>259</v>
      </c>
      <c r="R2630" s="8" t="str">
        <f aca="false">B2630&amp;" "&amp;C2630&amp;" "&amp;D2630&amp;" "&amp;E2630&amp;" "&amp;G2630&amp;" "&amp;H2630&amp;" "&amp;J2630&amp;" "&amp;N2630</f>
        <v>Differentials Precursor     CIF USA (Diff) </v>
      </c>
      <c r="S2630" s="25"/>
      <c r="T2630" s="8"/>
      <c r="U2630" s="8"/>
      <c r="V2630" s="25"/>
      <c r="W2630" s="25"/>
      <c r="X2630" s="25"/>
      <c r="Y2630" s="25"/>
      <c r="Z2630" s="25"/>
      <c r="AA2630" s="25"/>
      <c r="AB2630" s="25"/>
      <c r="AC2630" s="25"/>
      <c r="AD2630" s="25"/>
    </row>
    <row r="2631" customFormat="false" ht="15.75" hidden="false" customHeight="false" outlineLevel="0" collapsed="false">
      <c r="A2631" s="28" t="s">
        <v>3112</v>
      </c>
      <c r="B2631" s="27" t="s">
        <v>438</v>
      </c>
      <c r="C2631" s="27" t="s">
        <v>383</v>
      </c>
      <c r="D2631" s="25"/>
      <c r="E2631" s="25"/>
      <c r="F2631" s="25"/>
      <c r="G2631" s="25"/>
      <c r="H2631" s="25"/>
      <c r="I2631" s="25"/>
      <c r="J2631" s="27" t="s">
        <v>3095</v>
      </c>
      <c r="K2631" s="25" t="str">
        <f aca="false">IFERROR(__xludf.dummyfunction("SPLIT(J2631,"" "")"),"CIF")</f>
        <v>CIF</v>
      </c>
      <c r="L2631" s="28" t="str">
        <f aca="false">IFERROR(__xludf.dummyfunction("""COMPUTED_VALUE"""),"USA")</f>
        <v>USA</v>
      </c>
      <c r="M2631" s="27" t="str">
        <f aca="false">IFERROR(__xludf.dummyfunction("""COMPUTED_VALUE"""),"(Diff)")</f>
        <v>(Diff)</v>
      </c>
      <c r="N2631" s="25"/>
      <c r="O2631" s="25"/>
      <c r="P2631" s="25"/>
      <c r="Q2631" s="29" t="s">
        <v>395</v>
      </c>
      <c r="R2631" s="8" t="str">
        <f aca="false">B2631&amp;" "&amp;C2631&amp;" "&amp;D2631&amp;" "&amp;E2631&amp;" "&amp;G2631&amp;" "&amp;H2631&amp;" "&amp;J2631&amp;" "&amp;N2631</f>
        <v>Differentials Precursor     CIF USA (Diff) </v>
      </c>
      <c r="S2631" s="25"/>
      <c r="T2631" s="8"/>
      <c r="U2631" s="8"/>
      <c r="V2631" s="25"/>
      <c r="W2631" s="25"/>
      <c r="X2631" s="25"/>
      <c r="Y2631" s="25"/>
      <c r="Z2631" s="25"/>
      <c r="AA2631" s="25"/>
      <c r="AB2631" s="25"/>
      <c r="AC2631" s="25"/>
      <c r="AD2631" s="25"/>
    </row>
    <row r="2632" customFormat="false" ht="15.75" hidden="false" customHeight="false" outlineLevel="0" collapsed="false">
      <c r="A2632" s="28" t="s">
        <v>3113</v>
      </c>
      <c r="B2632" s="27" t="s">
        <v>438</v>
      </c>
      <c r="C2632" s="27" t="s">
        <v>383</v>
      </c>
      <c r="D2632" s="25"/>
      <c r="E2632" s="25"/>
      <c r="F2632" s="25"/>
      <c r="G2632" s="25"/>
      <c r="H2632" s="25"/>
      <c r="I2632" s="25"/>
      <c r="J2632" s="27" t="s">
        <v>3095</v>
      </c>
      <c r="K2632" s="25" t="str">
        <f aca="false">IFERROR(__xludf.dummyfunction("SPLIT(J2632,"" "")"),"CIF")</f>
        <v>CIF</v>
      </c>
      <c r="L2632" s="28" t="str">
        <f aca="false">IFERROR(__xludf.dummyfunction("""COMPUTED_VALUE"""),"USA")</f>
        <v>USA</v>
      </c>
      <c r="M2632" s="27" t="str">
        <f aca="false">IFERROR(__xludf.dummyfunction("""COMPUTED_VALUE"""),"(Diff)")</f>
        <v>(Diff)</v>
      </c>
      <c r="N2632" s="25"/>
      <c r="O2632" s="25"/>
      <c r="P2632" s="25"/>
      <c r="Q2632" s="29" t="s">
        <v>393</v>
      </c>
      <c r="R2632" s="8" t="str">
        <f aca="false">B2632&amp;" "&amp;C2632&amp;" "&amp;D2632&amp;" "&amp;E2632&amp;" "&amp;G2632&amp;" "&amp;H2632&amp;" "&amp;J2632&amp;" "&amp;N2632</f>
        <v>Differentials Precursor     CIF USA (Diff) </v>
      </c>
      <c r="S2632" s="25"/>
      <c r="T2632" s="8"/>
      <c r="U2632" s="8"/>
      <c r="V2632" s="25"/>
      <c r="W2632" s="25"/>
      <c r="X2632" s="25"/>
      <c r="Y2632" s="25"/>
      <c r="Z2632" s="25"/>
      <c r="AA2632" s="25"/>
      <c r="AB2632" s="25"/>
      <c r="AC2632" s="25"/>
      <c r="AD2632" s="25"/>
    </row>
    <row r="2633" customFormat="false" ht="15.75" hidden="false" customHeight="false" outlineLevel="0" collapsed="false">
      <c r="A2633" s="28" t="s">
        <v>3114</v>
      </c>
      <c r="B2633" s="27" t="s">
        <v>438</v>
      </c>
      <c r="C2633" s="27" t="s">
        <v>383</v>
      </c>
      <c r="D2633" s="25"/>
      <c r="E2633" s="25"/>
      <c r="F2633" s="25"/>
      <c r="G2633" s="25"/>
      <c r="H2633" s="25"/>
      <c r="I2633" s="25"/>
      <c r="J2633" s="27" t="s">
        <v>3095</v>
      </c>
      <c r="K2633" s="25" t="str">
        <f aca="false">IFERROR(__xludf.dummyfunction("SPLIT(J2633,"" "")"),"CIF")</f>
        <v>CIF</v>
      </c>
      <c r="L2633" s="28" t="str">
        <f aca="false">IFERROR(__xludf.dummyfunction("""COMPUTED_VALUE"""),"USA")</f>
        <v>USA</v>
      </c>
      <c r="M2633" s="27" t="str">
        <f aca="false">IFERROR(__xludf.dummyfunction("""COMPUTED_VALUE"""),"(Diff)")</f>
        <v>(Diff)</v>
      </c>
      <c r="N2633" s="25"/>
      <c r="O2633" s="25"/>
      <c r="P2633" s="25"/>
      <c r="Q2633" s="29" t="s">
        <v>391</v>
      </c>
      <c r="R2633" s="8" t="str">
        <f aca="false">B2633&amp;" "&amp;C2633&amp;" "&amp;D2633&amp;" "&amp;E2633&amp;" "&amp;G2633&amp;" "&amp;H2633&amp;" "&amp;J2633&amp;" "&amp;N2633</f>
        <v>Differentials Precursor     CIF USA (Diff) </v>
      </c>
      <c r="S2633" s="25"/>
      <c r="T2633" s="8"/>
      <c r="U2633" s="8"/>
      <c r="V2633" s="25"/>
      <c r="W2633" s="25"/>
      <c r="X2633" s="25"/>
      <c r="Y2633" s="25"/>
      <c r="Z2633" s="25"/>
      <c r="AA2633" s="25"/>
      <c r="AB2633" s="25"/>
      <c r="AC2633" s="25"/>
      <c r="AD2633" s="25"/>
    </row>
    <row r="2634" customFormat="false" ht="15.75" hidden="false" customHeight="false" outlineLevel="0" collapsed="false">
      <c r="A2634" s="28" t="s">
        <v>3115</v>
      </c>
      <c r="B2634" s="27" t="s">
        <v>438</v>
      </c>
      <c r="C2634" s="27" t="s">
        <v>383</v>
      </c>
      <c r="D2634" s="25"/>
      <c r="E2634" s="25"/>
      <c r="F2634" s="25"/>
      <c r="G2634" s="25"/>
      <c r="H2634" s="25"/>
      <c r="I2634" s="25"/>
      <c r="J2634" s="27" t="s">
        <v>3095</v>
      </c>
      <c r="K2634" s="25" t="str">
        <f aca="false">IFERROR(__xludf.dummyfunction("SPLIT(J2634,"" "")"),"CIF")</f>
        <v>CIF</v>
      </c>
      <c r="L2634" s="28" t="str">
        <f aca="false">IFERROR(__xludf.dummyfunction("""COMPUTED_VALUE"""),"USA")</f>
        <v>USA</v>
      </c>
      <c r="M2634" s="27" t="str">
        <f aca="false">IFERROR(__xludf.dummyfunction("""COMPUTED_VALUE"""),"(Diff)")</f>
        <v>(Diff)</v>
      </c>
      <c r="N2634" s="25"/>
      <c r="O2634" s="25"/>
      <c r="P2634" s="25"/>
      <c r="Q2634" s="29" t="s">
        <v>389</v>
      </c>
      <c r="R2634" s="8" t="str">
        <f aca="false">B2634&amp;" "&amp;C2634&amp;" "&amp;D2634&amp;" "&amp;E2634&amp;" "&amp;G2634&amp;" "&amp;H2634&amp;" "&amp;J2634&amp;" "&amp;N2634</f>
        <v>Differentials Precursor     CIF USA (Diff) </v>
      </c>
      <c r="S2634" s="25"/>
      <c r="T2634" s="8"/>
      <c r="U2634" s="8"/>
      <c r="V2634" s="25"/>
      <c r="W2634" s="25"/>
      <c r="X2634" s="25"/>
      <c r="Y2634" s="25"/>
      <c r="Z2634" s="25"/>
      <c r="AA2634" s="25"/>
      <c r="AB2634" s="25"/>
      <c r="AC2634" s="25"/>
      <c r="AD2634" s="25"/>
    </row>
    <row r="2635" customFormat="false" ht="15.75" hidden="false" customHeight="false" outlineLevel="0" collapsed="false">
      <c r="A2635" s="28" t="s">
        <v>3116</v>
      </c>
      <c r="B2635" s="27" t="s">
        <v>438</v>
      </c>
      <c r="C2635" s="27" t="s">
        <v>383</v>
      </c>
      <c r="D2635" s="25"/>
      <c r="E2635" s="25"/>
      <c r="F2635" s="25"/>
      <c r="G2635" s="25"/>
      <c r="H2635" s="25"/>
      <c r="I2635" s="25"/>
      <c r="J2635" s="27" t="s">
        <v>3095</v>
      </c>
      <c r="K2635" s="25" t="str">
        <f aca="false">IFERROR(__xludf.dummyfunction("SPLIT(J2635,"" "")"),"CIF")</f>
        <v>CIF</v>
      </c>
      <c r="L2635" s="28" t="str">
        <f aca="false">IFERROR(__xludf.dummyfunction("""COMPUTED_VALUE"""),"USA")</f>
        <v>USA</v>
      </c>
      <c r="M2635" s="27" t="str">
        <f aca="false">IFERROR(__xludf.dummyfunction("""COMPUTED_VALUE"""),"(Diff)")</f>
        <v>(Diff)</v>
      </c>
      <c r="N2635" s="25"/>
      <c r="O2635" s="25"/>
      <c r="P2635" s="25"/>
      <c r="Q2635" s="29" t="s">
        <v>387</v>
      </c>
      <c r="R2635" s="8" t="str">
        <f aca="false">B2635&amp;" "&amp;C2635&amp;" "&amp;D2635&amp;" "&amp;E2635&amp;" "&amp;G2635&amp;" "&amp;H2635&amp;" "&amp;J2635&amp;" "&amp;N2635</f>
        <v>Differentials Precursor     CIF USA (Diff) </v>
      </c>
      <c r="S2635" s="25"/>
      <c r="T2635" s="8"/>
      <c r="U2635" s="8"/>
      <c r="V2635" s="25"/>
      <c r="W2635" s="25"/>
      <c r="X2635" s="25"/>
      <c r="Y2635" s="25"/>
      <c r="Z2635" s="25"/>
      <c r="AA2635" s="25"/>
      <c r="AB2635" s="25"/>
      <c r="AC2635" s="25"/>
      <c r="AD2635" s="25"/>
    </row>
    <row r="2636" customFormat="false" ht="15.75" hidden="false" customHeight="false" outlineLevel="0" collapsed="false">
      <c r="A2636" s="28" t="s">
        <v>3117</v>
      </c>
      <c r="B2636" s="27" t="s">
        <v>438</v>
      </c>
      <c r="C2636" s="27" t="s">
        <v>383</v>
      </c>
      <c r="D2636" s="25"/>
      <c r="E2636" s="25"/>
      <c r="F2636" s="25"/>
      <c r="G2636" s="25"/>
      <c r="H2636" s="25"/>
      <c r="I2636" s="25"/>
      <c r="J2636" s="27" t="s">
        <v>3095</v>
      </c>
      <c r="K2636" s="25" t="str">
        <f aca="false">IFERROR(__xludf.dummyfunction("SPLIT(J2636,"" "")"),"CIF")</f>
        <v>CIF</v>
      </c>
      <c r="L2636" s="28" t="str">
        <f aca="false">IFERROR(__xludf.dummyfunction("""COMPUTED_VALUE"""),"USA")</f>
        <v>USA</v>
      </c>
      <c r="M2636" s="27" t="str">
        <f aca="false">IFERROR(__xludf.dummyfunction("""COMPUTED_VALUE"""),"(Diff)")</f>
        <v>(Diff)</v>
      </c>
      <c r="N2636" s="25"/>
      <c r="O2636" s="25"/>
      <c r="P2636" s="25"/>
      <c r="Q2636" s="29" t="s">
        <v>385</v>
      </c>
      <c r="R2636" s="8" t="str">
        <f aca="false">B2636&amp;" "&amp;C2636&amp;" "&amp;D2636&amp;" "&amp;E2636&amp;" "&amp;G2636&amp;" "&amp;H2636&amp;" "&amp;J2636&amp;" "&amp;N2636</f>
        <v>Differentials Precursor     CIF USA (Diff) </v>
      </c>
      <c r="S2636" s="25"/>
      <c r="T2636" s="8"/>
      <c r="U2636" s="8"/>
      <c r="V2636" s="25"/>
      <c r="W2636" s="25"/>
      <c r="X2636" s="25"/>
      <c r="Y2636" s="25"/>
      <c r="Z2636" s="25"/>
      <c r="AA2636" s="25"/>
      <c r="AB2636" s="25"/>
      <c r="AC2636" s="25"/>
      <c r="AD2636" s="25"/>
    </row>
    <row r="2637" customFormat="false" ht="15.75" hidden="false" customHeight="false" outlineLevel="0" collapsed="false">
      <c r="A2637" s="28" t="s">
        <v>3118</v>
      </c>
      <c r="B2637" s="27" t="s">
        <v>438</v>
      </c>
      <c r="C2637" s="27" t="s">
        <v>168</v>
      </c>
      <c r="D2637" s="25"/>
      <c r="E2637" s="25"/>
      <c r="F2637" s="25"/>
      <c r="G2637" s="25"/>
      <c r="H2637" s="25"/>
      <c r="I2637" s="25"/>
      <c r="J2637" s="27" t="s">
        <v>3119</v>
      </c>
      <c r="K2637" s="25" t="str">
        <f aca="false">IFERROR(__xludf.dummyfunction("SPLIT(J2637,"" "")"),"CIF")</f>
        <v>CIF</v>
      </c>
      <c r="L2637" s="28" t="str">
        <f aca="false">IFERROR(__xludf.dummyfunction("""COMPUTED_VALUE"""),"Vietnam")</f>
        <v>Vietnam</v>
      </c>
      <c r="M2637" s="27" t="str">
        <f aca="false">IFERROR(__xludf.dummyfunction("""COMPUTED_VALUE"""),"(Diff)")</f>
        <v>(Diff)</v>
      </c>
      <c r="N2637" s="25"/>
      <c r="O2637" s="25"/>
      <c r="P2637" s="25"/>
      <c r="Q2637" s="29" t="s">
        <v>175</v>
      </c>
      <c r="R2637" s="8" t="str">
        <f aca="false">B2637&amp;" "&amp;C2637&amp;" "&amp;D2637&amp;" "&amp;E2637&amp;" "&amp;G2637&amp;" "&amp;H2637&amp;" "&amp;J2637&amp;" "&amp;N2637</f>
        <v>Differentials Aluminium (Battery Grade)     CIF Vietnam (Diff) </v>
      </c>
      <c r="S2637" s="25"/>
      <c r="T2637" s="8"/>
      <c r="U2637" s="8"/>
      <c r="V2637" s="25"/>
      <c r="W2637" s="25"/>
      <c r="X2637" s="25"/>
      <c r="Y2637" s="25"/>
      <c r="Z2637" s="25"/>
      <c r="AA2637" s="25"/>
      <c r="AB2637" s="25"/>
      <c r="AC2637" s="25"/>
      <c r="AD2637" s="25"/>
    </row>
    <row r="2638" customFormat="false" ht="15.75" hidden="false" customHeight="false" outlineLevel="0" collapsed="false">
      <c r="A2638" s="28" t="s">
        <v>3120</v>
      </c>
      <c r="B2638" s="27" t="s">
        <v>438</v>
      </c>
      <c r="C2638" s="27" t="s">
        <v>168</v>
      </c>
      <c r="D2638" s="25"/>
      <c r="E2638" s="25"/>
      <c r="F2638" s="25"/>
      <c r="G2638" s="25"/>
      <c r="H2638" s="25"/>
      <c r="I2638" s="25"/>
      <c r="J2638" s="27" t="s">
        <v>3119</v>
      </c>
      <c r="K2638" s="25" t="str">
        <f aca="false">IFERROR(__xludf.dummyfunction("SPLIT(J2638,"" "")"),"CIF")</f>
        <v>CIF</v>
      </c>
      <c r="L2638" s="28" t="str">
        <f aca="false">IFERROR(__xludf.dummyfunction("""COMPUTED_VALUE"""),"Vietnam")</f>
        <v>Vietnam</v>
      </c>
      <c r="M2638" s="27" t="str">
        <f aca="false">IFERROR(__xludf.dummyfunction("""COMPUTED_VALUE"""),"(Diff)")</f>
        <v>(Diff)</v>
      </c>
      <c r="N2638" s="25"/>
      <c r="O2638" s="25"/>
      <c r="P2638" s="25"/>
      <c r="Q2638" s="29" t="s">
        <v>173</v>
      </c>
      <c r="R2638" s="8" t="str">
        <f aca="false">B2638&amp;" "&amp;C2638&amp;" "&amp;D2638&amp;" "&amp;E2638&amp;" "&amp;G2638&amp;" "&amp;H2638&amp;" "&amp;J2638&amp;" "&amp;N2638</f>
        <v>Differentials Aluminium (Battery Grade)     CIF Vietnam (Diff) </v>
      </c>
      <c r="S2638" s="25"/>
      <c r="T2638" s="8"/>
      <c r="U2638" s="8"/>
      <c r="V2638" s="25"/>
      <c r="W2638" s="25"/>
      <c r="X2638" s="25"/>
      <c r="Y2638" s="25"/>
      <c r="Z2638" s="25"/>
      <c r="AA2638" s="25"/>
      <c r="AB2638" s="25"/>
      <c r="AC2638" s="25"/>
      <c r="AD2638" s="25"/>
    </row>
    <row r="2639" customFormat="false" ht="15.75" hidden="false" customHeight="false" outlineLevel="0" collapsed="false">
      <c r="A2639" s="28" t="s">
        <v>3121</v>
      </c>
      <c r="B2639" s="27" t="s">
        <v>438</v>
      </c>
      <c r="C2639" s="27" t="s">
        <v>168</v>
      </c>
      <c r="D2639" s="25"/>
      <c r="E2639" s="25"/>
      <c r="F2639" s="25"/>
      <c r="G2639" s="25"/>
      <c r="H2639" s="25"/>
      <c r="I2639" s="25"/>
      <c r="J2639" s="27" t="s">
        <v>3119</v>
      </c>
      <c r="K2639" s="25" t="str">
        <f aca="false">IFERROR(__xludf.dummyfunction("SPLIT(J2639,"" "")"),"CIF")</f>
        <v>CIF</v>
      </c>
      <c r="L2639" s="28" t="str">
        <f aca="false">IFERROR(__xludf.dummyfunction("""COMPUTED_VALUE"""),"Vietnam")</f>
        <v>Vietnam</v>
      </c>
      <c r="M2639" s="27" t="str">
        <f aca="false">IFERROR(__xludf.dummyfunction("""COMPUTED_VALUE"""),"(Diff)")</f>
        <v>(Diff)</v>
      </c>
      <c r="N2639" s="25"/>
      <c r="O2639" s="25"/>
      <c r="P2639" s="25"/>
      <c r="Q2639" s="29" t="s">
        <v>169</v>
      </c>
      <c r="R2639" s="8" t="str">
        <f aca="false">B2639&amp;" "&amp;C2639&amp;" "&amp;D2639&amp;" "&amp;E2639&amp;" "&amp;G2639&amp;" "&amp;H2639&amp;" "&amp;J2639&amp;" "&amp;N2639</f>
        <v>Differentials Aluminium (Battery Grade)     CIF Vietnam (Diff) </v>
      </c>
      <c r="S2639" s="25"/>
      <c r="T2639" s="8"/>
      <c r="U2639" s="8"/>
      <c r="V2639" s="25"/>
      <c r="W2639" s="25"/>
      <c r="X2639" s="25"/>
      <c r="Y2639" s="25"/>
      <c r="Z2639" s="25"/>
      <c r="AA2639" s="25"/>
      <c r="AB2639" s="25"/>
      <c r="AC2639" s="25"/>
      <c r="AD2639" s="25"/>
    </row>
    <row r="2640" customFormat="false" ht="15.75" hidden="false" customHeight="false" outlineLevel="0" collapsed="false">
      <c r="A2640" s="28" t="s">
        <v>3122</v>
      </c>
      <c r="B2640" s="27" t="s">
        <v>438</v>
      </c>
      <c r="C2640" s="27" t="s">
        <v>177</v>
      </c>
      <c r="D2640" s="25"/>
      <c r="E2640" s="25"/>
      <c r="F2640" s="25"/>
      <c r="G2640" s="25"/>
      <c r="H2640" s="25"/>
      <c r="I2640" s="25"/>
      <c r="J2640" s="27" t="s">
        <v>3119</v>
      </c>
      <c r="K2640" s="25" t="str">
        <f aca="false">IFERROR(__xludf.dummyfunction("SPLIT(J2640,"" "")"),"CIF")</f>
        <v>CIF</v>
      </c>
      <c r="L2640" s="28" t="str">
        <f aca="false">IFERROR(__xludf.dummyfunction("""COMPUTED_VALUE"""),"Vietnam")</f>
        <v>Vietnam</v>
      </c>
      <c r="M2640" s="27" t="str">
        <f aca="false">IFERROR(__xludf.dummyfunction("""COMPUTED_VALUE"""),"(Diff)")</f>
        <v>(Diff)</v>
      </c>
      <c r="N2640" s="25"/>
      <c r="O2640" s="25"/>
      <c r="P2640" s="25"/>
      <c r="Q2640" s="29" t="s">
        <v>209</v>
      </c>
      <c r="R2640" s="8" t="str">
        <f aca="false">B2640&amp;" "&amp;C2640&amp;" "&amp;D2640&amp;" "&amp;E2640&amp;" "&amp;G2640&amp;" "&amp;H2640&amp;" "&amp;J2640&amp;" "&amp;N2640</f>
        <v>Differentials Anode     CIF Vietnam (Diff) </v>
      </c>
      <c r="S2640" s="25"/>
      <c r="T2640" s="8"/>
      <c r="U2640" s="8"/>
      <c r="V2640" s="25"/>
      <c r="W2640" s="25"/>
      <c r="X2640" s="25"/>
      <c r="Y2640" s="25"/>
      <c r="Z2640" s="25"/>
      <c r="AA2640" s="25"/>
      <c r="AB2640" s="25"/>
      <c r="AC2640" s="25"/>
      <c r="AD2640" s="25"/>
    </row>
    <row r="2641" customFormat="false" ht="15.75" hidden="false" customHeight="false" outlineLevel="0" collapsed="false">
      <c r="A2641" s="28" t="s">
        <v>3123</v>
      </c>
      <c r="B2641" s="27" t="s">
        <v>438</v>
      </c>
      <c r="C2641" s="27" t="s">
        <v>177</v>
      </c>
      <c r="D2641" s="25"/>
      <c r="E2641" s="25"/>
      <c r="F2641" s="25"/>
      <c r="G2641" s="25"/>
      <c r="H2641" s="25"/>
      <c r="I2641" s="25"/>
      <c r="J2641" s="27" t="s">
        <v>3119</v>
      </c>
      <c r="K2641" s="25" t="str">
        <f aca="false">IFERROR(__xludf.dummyfunction("SPLIT(J2641,"" "")"),"CIF")</f>
        <v>CIF</v>
      </c>
      <c r="L2641" s="28" t="str">
        <f aca="false">IFERROR(__xludf.dummyfunction("""COMPUTED_VALUE"""),"Vietnam")</f>
        <v>Vietnam</v>
      </c>
      <c r="M2641" s="27" t="str">
        <f aca="false">IFERROR(__xludf.dummyfunction("""COMPUTED_VALUE"""),"(Diff)")</f>
        <v>(Diff)</v>
      </c>
      <c r="N2641" s="25"/>
      <c r="O2641" s="25"/>
      <c r="P2641" s="25"/>
      <c r="Q2641" s="29" t="s">
        <v>205</v>
      </c>
      <c r="R2641" s="8" t="str">
        <f aca="false">B2641&amp;" "&amp;C2641&amp;" "&amp;D2641&amp;" "&amp;E2641&amp;" "&amp;G2641&amp;" "&amp;H2641&amp;" "&amp;J2641&amp;" "&amp;N2641</f>
        <v>Differentials Anode     CIF Vietnam (Diff) </v>
      </c>
      <c r="S2641" s="25"/>
      <c r="T2641" s="8"/>
      <c r="U2641" s="8"/>
      <c r="V2641" s="25"/>
      <c r="W2641" s="25"/>
      <c r="X2641" s="25"/>
      <c r="Y2641" s="25"/>
      <c r="Z2641" s="25"/>
      <c r="AA2641" s="25"/>
      <c r="AB2641" s="25"/>
      <c r="AC2641" s="25"/>
      <c r="AD2641" s="25"/>
    </row>
    <row r="2642" customFormat="false" ht="15.75" hidden="false" customHeight="false" outlineLevel="0" collapsed="false">
      <c r="A2642" s="28" t="s">
        <v>3124</v>
      </c>
      <c r="B2642" s="27" t="s">
        <v>438</v>
      </c>
      <c r="C2642" s="27" t="s">
        <v>177</v>
      </c>
      <c r="D2642" s="25"/>
      <c r="E2642" s="25"/>
      <c r="F2642" s="25"/>
      <c r="G2642" s="25"/>
      <c r="H2642" s="25"/>
      <c r="I2642" s="25"/>
      <c r="J2642" s="27" t="s">
        <v>3119</v>
      </c>
      <c r="K2642" s="25" t="str">
        <f aca="false">IFERROR(__xludf.dummyfunction("SPLIT(J2642,"" "")"),"CIF")</f>
        <v>CIF</v>
      </c>
      <c r="L2642" s="28" t="str">
        <f aca="false">IFERROR(__xludf.dummyfunction("""COMPUTED_VALUE"""),"Vietnam")</f>
        <v>Vietnam</v>
      </c>
      <c r="M2642" s="27" t="str">
        <f aca="false">IFERROR(__xludf.dummyfunction("""COMPUTED_VALUE"""),"(Diff)")</f>
        <v>(Diff)</v>
      </c>
      <c r="N2642" s="25"/>
      <c r="O2642" s="25"/>
      <c r="P2642" s="25"/>
      <c r="Q2642" s="29" t="s">
        <v>202</v>
      </c>
      <c r="R2642" s="8" t="str">
        <f aca="false">B2642&amp;" "&amp;C2642&amp;" "&amp;D2642&amp;" "&amp;E2642&amp;" "&amp;G2642&amp;" "&amp;H2642&amp;" "&amp;J2642&amp;" "&amp;N2642</f>
        <v>Differentials Anode     CIF Vietnam (Diff) </v>
      </c>
      <c r="S2642" s="25"/>
      <c r="T2642" s="8"/>
      <c r="U2642" s="8"/>
      <c r="V2642" s="25"/>
      <c r="W2642" s="25"/>
      <c r="X2642" s="25"/>
      <c r="Y2642" s="25"/>
      <c r="Z2642" s="25"/>
      <c r="AA2642" s="25"/>
      <c r="AB2642" s="25"/>
      <c r="AC2642" s="25"/>
      <c r="AD2642" s="25"/>
    </row>
    <row r="2643" customFormat="false" ht="15.75" hidden="false" customHeight="false" outlineLevel="0" collapsed="false">
      <c r="A2643" s="28" t="s">
        <v>3125</v>
      </c>
      <c r="B2643" s="27" t="s">
        <v>438</v>
      </c>
      <c r="C2643" s="27" t="s">
        <v>177</v>
      </c>
      <c r="D2643" s="25"/>
      <c r="E2643" s="25"/>
      <c r="F2643" s="25"/>
      <c r="G2643" s="25"/>
      <c r="H2643" s="25"/>
      <c r="I2643" s="25"/>
      <c r="J2643" s="27" t="s">
        <v>3119</v>
      </c>
      <c r="K2643" s="25" t="str">
        <f aca="false">IFERROR(__xludf.dummyfunction("SPLIT(J2643,"" "")"),"CIF")</f>
        <v>CIF</v>
      </c>
      <c r="L2643" s="28" t="str">
        <f aca="false">IFERROR(__xludf.dummyfunction("""COMPUTED_VALUE"""),"Vietnam")</f>
        <v>Vietnam</v>
      </c>
      <c r="M2643" s="27" t="str">
        <f aca="false">IFERROR(__xludf.dummyfunction("""COMPUTED_VALUE"""),"(Diff)")</f>
        <v>(Diff)</v>
      </c>
      <c r="N2643" s="25"/>
      <c r="O2643" s="25"/>
      <c r="P2643" s="25"/>
      <c r="Q2643" s="29" t="s">
        <v>197</v>
      </c>
      <c r="R2643" s="8" t="str">
        <f aca="false">B2643&amp;" "&amp;C2643&amp;" "&amp;D2643&amp;" "&amp;E2643&amp;" "&amp;G2643&amp;" "&amp;H2643&amp;" "&amp;J2643&amp;" "&amp;N2643</f>
        <v>Differentials Anode     CIF Vietnam (Diff) </v>
      </c>
      <c r="S2643" s="25"/>
      <c r="T2643" s="8"/>
      <c r="U2643" s="8"/>
      <c r="V2643" s="25"/>
      <c r="W2643" s="25"/>
      <c r="X2643" s="25"/>
      <c r="Y2643" s="25"/>
      <c r="Z2643" s="25"/>
      <c r="AA2643" s="25"/>
      <c r="AB2643" s="25"/>
      <c r="AC2643" s="25"/>
      <c r="AD2643" s="25"/>
    </row>
    <row r="2644" customFormat="false" ht="15.75" hidden="false" customHeight="false" outlineLevel="0" collapsed="false">
      <c r="A2644" s="28" t="s">
        <v>3126</v>
      </c>
      <c r="B2644" s="27" t="s">
        <v>438</v>
      </c>
      <c r="C2644" s="27" t="s">
        <v>177</v>
      </c>
      <c r="D2644" s="25"/>
      <c r="E2644" s="25"/>
      <c r="F2644" s="25"/>
      <c r="G2644" s="25"/>
      <c r="H2644" s="25"/>
      <c r="I2644" s="25"/>
      <c r="J2644" s="27" t="s">
        <v>3119</v>
      </c>
      <c r="K2644" s="25" t="str">
        <f aca="false">IFERROR(__xludf.dummyfunction("SPLIT(J2644,"" "")"),"CIF")</f>
        <v>CIF</v>
      </c>
      <c r="L2644" s="28" t="str">
        <f aca="false">IFERROR(__xludf.dummyfunction("""COMPUTED_VALUE"""),"Vietnam")</f>
        <v>Vietnam</v>
      </c>
      <c r="M2644" s="27" t="str">
        <f aca="false">IFERROR(__xludf.dummyfunction("""COMPUTED_VALUE"""),"(Diff)")</f>
        <v>(Diff)</v>
      </c>
      <c r="N2644" s="25"/>
      <c r="O2644" s="25"/>
      <c r="P2644" s="25"/>
      <c r="Q2644" s="29" t="s">
        <v>193</v>
      </c>
      <c r="R2644" s="8" t="str">
        <f aca="false">B2644&amp;" "&amp;C2644&amp;" "&amp;D2644&amp;" "&amp;E2644&amp;" "&amp;G2644&amp;" "&amp;H2644&amp;" "&amp;J2644&amp;" "&amp;N2644</f>
        <v>Differentials Anode     CIF Vietnam (Diff) </v>
      </c>
      <c r="S2644" s="25"/>
      <c r="T2644" s="8"/>
      <c r="U2644" s="8"/>
      <c r="V2644" s="25"/>
      <c r="W2644" s="25"/>
      <c r="X2644" s="25"/>
      <c r="Y2644" s="25"/>
      <c r="Z2644" s="25"/>
      <c r="AA2644" s="25"/>
      <c r="AB2644" s="25"/>
      <c r="AC2644" s="25"/>
      <c r="AD2644" s="25"/>
    </row>
    <row r="2645" customFormat="false" ht="15.75" hidden="false" customHeight="false" outlineLevel="0" collapsed="false">
      <c r="A2645" s="28" t="s">
        <v>3127</v>
      </c>
      <c r="B2645" s="27" t="s">
        <v>438</v>
      </c>
      <c r="C2645" s="27" t="s">
        <v>177</v>
      </c>
      <c r="D2645" s="25"/>
      <c r="E2645" s="25"/>
      <c r="F2645" s="25"/>
      <c r="G2645" s="25"/>
      <c r="H2645" s="25"/>
      <c r="I2645" s="25"/>
      <c r="J2645" s="27" t="s">
        <v>3119</v>
      </c>
      <c r="K2645" s="25" t="str">
        <f aca="false">IFERROR(__xludf.dummyfunction("SPLIT(J2645,"" "")"),"CIF")</f>
        <v>CIF</v>
      </c>
      <c r="L2645" s="28" t="str">
        <f aca="false">IFERROR(__xludf.dummyfunction("""COMPUTED_VALUE"""),"Vietnam")</f>
        <v>Vietnam</v>
      </c>
      <c r="M2645" s="27" t="str">
        <f aca="false">IFERROR(__xludf.dummyfunction("""COMPUTED_VALUE"""),"(Diff)")</f>
        <v>(Diff)</v>
      </c>
      <c r="N2645" s="25"/>
      <c r="O2645" s="25"/>
      <c r="P2645" s="25"/>
      <c r="Q2645" s="29" t="s">
        <v>188</v>
      </c>
      <c r="R2645" s="8" t="str">
        <f aca="false">B2645&amp;" "&amp;C2645&amp;" "&amp;D2645&amp;" "&amp;E2645&amp;" "&amp;G2645&amp;" "&amp;H2645&amp;" "&amp;J2645&amp;" "&amp;N2645</f>
        <v>Differentials Anode     CIF Vietnam (Diff) </v>
      </c>
      <c r="S2645" s="25"/>
      <c r="T2645" s="8"/>
      <c r="U2645" s="8"/>
      <c r="V2645" s="25"/>
      <c r="W2645" s="25"/>
      <c r="X2645" s="25"/>
      <c r="Y2645" s="25"/>
      <c r="Z2645" s="25"/>
      <c r="AA2645" s="25"/>
      <c r="AB2645" s="25"/>
      <c r="AC2645" s="25"/>
      <c r="AD2645" s="25"/>
    </row>
    <row r="2646" customFormat="false" ht="15.75" hidden="false" customHeight="false" outlineLevel="0" collapsed="false">
      <c r="A2646" s="28" t="s">
        <v>3128</v>
      </c>
      <c r="B2646" s="27" t="s">
        <v>438</v>
      </c>
      <c r="C2646" s="27" t="s">
        <v>177</v>
      </c>
      <c r="D2646" s="25"/>
      <c r="E2646" s="25"/>
      <c r="F2646" s="25"/>
      <c r="G2646" s="25"/>
      <c r="H2646" s="25"/>
      <c r="I2646" s="25"/>
      <c r="J2646" s="27" t="s">
        <v>3119</v>
      </c>
      <c r="K2646" s="25" t="str">
        <f aca="false">IFERROR(__xludf.dummyfunction("SPLIT(J2646,"" "")"),"CIF")</f>
        <v>CIF</v>
      </c>
      <c r="L2646" s="28" t="str">
        <f aca="false">IFERROR(__xludf.dummyfunction("""COMPUTED_VALUE"""),"Vietnam")</f>
        <v>Vietnam</v>
      </c>
      <c r="M2646" s="27" t="str">
        <f aca="false">IFERROR(__xludf.dummyfunction("""COMPUTED_VALUE"""),"(Diff)")</f>
        <v>(Diff)</v>
      </c>
      <c r="N2646" s="25"/>
      <c r="O2646" s="25"/>
      <c r="P2646" s="25"/>
      <c r="Q2646" s="29" t="s">
        <v>180</v>
      </c>
      <c r="R2646" s="8" t="str">
        <f aca="false">B2646&amp;" "&amp;C2646&amp;" "&amp;D2646&amp;" "&amp;E2646&amp;" "&amp;G2646&amp;" "&amp;H2646&amp;" "&amp;J2646&amp;" "&amp;N2646</f>
        <v>Differentials Anode     CIF Vietnam (Diff) </v>
      </c>
      <c r="S2646" s="25"/>
      <c r="T2646" s="8"/>
      <c r="U2646" s="8"/>
      <c r="V2646" s="25"/>
      <c r="W2646" s="25"/>
      <c r="X2646" s="25"/>
      <c r="Y2646" s="25"/>
      <c r="Z2646" s="25"/>
      <c r="AA2646" s="25"/>
      <c r="AB2646" s="25"/>
      <c r="AC2646" s="25"/>
      <c r="AD2646" s="25"/>
    </row>
    <row r="2647" customFormat="false" ht="15.75" hidden="false" customHeight="false" outlineLevel="0" collapsed="false">
      <c r="A2647" s="28" t="s">
        <v>3129</v>
      </c>
      <c r="B2647" s="27" t="s">
        <v>438</v>
      </c>
      <c r="C2647" s="27" t="s">
        <v>211</v>
      </c>
      <c r="D2647" s="25"/>
      <c r="E2647" s="25"/>
      <c r="F2647" s="25"/>
      <c r="G2647" s="25"/>
      <c r="H2647" s="25"/>
      <c r="I2647" s="25"/>
      <c r="J2647" s="27" t="s">
        <v>3119</v>
      </c>
      <c r="K2647" s="25" t="str">
        <f aca="false">IFERROR(__xludf.dummyfunction("SPLIT(J2647,"" "")"),"CIF")</f>
        <v>CIF</v>
      </c>
      <c r="L2647" s="28" t="str">
        <f aca="false">IFERROR(__xludf.dummyfunction("""COMPUTED_VALUE"""),"Vietnam")</f>
        <v>Vietnam</v>
      </c>
      <c r="M2647" s="27" t="str">
        <f aca="false">IFERROR(__xludf.dummyfunction("""COMPUTED_VALUE"""),"(Diff)")</f>
        <v>(Diff)</v>
      </c>
      <c r="N2647" s="25"/>
      <c r="O2647" s="25"/>
      <c r="P2647" s="25"/>
      <c r="Q2647" s="29" t="s">
        <v>234</v>
      </c>
      <c r="R2647" s="8" t="str">
        <f aca="false">B2647&amp;" "&amp;C2647&amp;" "&amp;D2647&amp;" "&amp;E2647&amp;" "&amp;G2647&amp;" "&amp;H2647&amp;" "&amp;J2647&amp;" "&amp;N2647</f>
        <v>Differentials Binders &amp; Additives     CIF Vietnam (Diff) </v>
      </c>
      <c r="S2647" s="25"/>
      <c r="T2647" s="8"/>
      <c r="U2647" s="8"/>
      <c r="V2647" s="25"/>
      <c r="W2647" s="25"/>
      <c r="X2647" s="25"/>
      <c r="Y2647" s="25"/>
      <c r="Z2647" s="25"/>
      <c r="AA2647" s="25"/>
      <c r="AB2647" s="25"/>
      <c r="AC2647" s="25"/>
      <c r="AD2647" s="25"/>
    </row>
    <row r="2648" customFormat="false" ht="15.75" hidden="false" customHeight="false" outlineLevel="0" collapsed="false">
      <c r="A2648" s="28" t="s">
        <v>3130</v>
      </c>
      <c r="B2648" s="27" t="s">
        <v>438</v>
      </c>
      <c r="C2648" s="27" t="s">
        <v>211</v>
      </c>
      <c r="D2648" s="25"/>
      <c r="E2648" s="25"/>
      <c r="F2648" s="25"/>
      <c r="G2648" s="25"/>
      <c r="H2648" s="25"/>
      <c r="I2648" s="25"/>
      <c r="J2648" s="27" t="s">
        <v>3119</v>
      </c>
      <c r="K2648" s="25" t="str">
        <f aca="false">IFERROR(__xludf.dummyfunction("SPLIT(J2648,"" "")"),"CIF")</f>
        <v>CIF</v>
      </c>
      <c r="L2648" s="28" t="str">
        <f aca="false">IFERROR(__xludf.dummyfunction("""COMPUTED_VALUE"""),"Vietnam")</f>
        <v>Vietnam</v>
      </c>
      <c r="M2648" s="27" t="str">
        <f aca="false">IFERROR(__xludf.dummyfunction("""COMPUTED_VALUE"""),"(Diff)")</f>
        <v>(Diff)</v>
      </c>
      <c r="N2648" s="25"/>
      <c r="O2648" s="25"/>
      <c r="P2648" s="25"/>
      <c r="Q2648" s="29" t="s">
        <v>232</v>
      </c>
      <c r="R2648" s="8" t="str">
        <f aca="false">B2648&amp;" "&amp;C2648&amp;" "&amp;D2648&amp;" "&amp;E2648&amp;" "&amp;G2648&amp;" "&amp;H2648&amp;" "&amp;J2648&amp;" "&amp;N2648</f>
        <v>Differentials Binders &amp; Additives     CIF Vietnam (Diff) </v>
      </c>
      <c r="S2648" s="25"/>
      <c r="T2648" s="8"/>
      <c r="U2648" s="8"/>
      <c r="V2648" s="25"/>
      <c r="W2648" s="25"/>
      <c r="X2648" s="25"/>
      <c r="Y2648" s="25"/>
      <c r="Z2648" s="25"/>
      <c r="AA2648" s="25"/>
      <c r="AB2648" s="25"/>
      <c r="AC2648" s="25"/>
      <c r="AD2648" s="25"/>
    </row>
    <row r="2649" customFormat="false" ht="15.75" hidden="false" customHeight="false" outlineLevel="0" collapsed="false">
      <c r="A2649" s="28" t="s">
        <v>3131</v>
      </c>
      <c r="B2649" s="27" t="s">
        <v>438</v>
      </c>
      <c r="C2649" s="27" t="s">
        <v>211</v>
      </c>
      <c r="D2649" s="25"/>
      <c r="E2649" s="25"/>
      <c r="F2649" s="25"/>
      <c r="G2649" s="25"/>
      <c r="H2649" s="25"/>
      <c r="I2649" s="25"/>
      <c r="J2649" s="27" t="s">
        <v>3119</v>
      </c>
      <c r="K2649" s="25" t="str">
        <f aca="false">IFERROR(__xludf.dummyfunction("SPLIT(J2649,"" "")"),"CIF")</f>
        <v>CIF</v>
      </c>
      <c r="L2649" s="28" t="str">
        <f aca="false">IFERROR(__xludf.dummyfunction("""COMPUTED_VALUE"""),"Vietnam")</f>
        <v>Vietnam</v>
      </c>
      <c r="M2649" s="27" t="str">
        <f aca="false">IFERROR(__xludf.dummyfunction("""COMPUTED_VALUE"""),"(Diff)")</f>
        <v>(Diff)</v>
      </c>
      <c r="N2649" s="25"/>
      <c r="O2649" s="25"/>
      <c r="P2649" s="25"/>
      <c r="Q2649" s="29" t="s">
        <v>230</v>
      </c>
      <c r="R2649" s="8" t="str">
        <f aca="false">B2649&amp;" "&amp;C2649&amp;" "&amp;D2649&amp;" "&amp;E2649&amp;" "&amp;G2649&amp;" "&amp;H2649&amp;" "&amp;J2649&amp;" "&amp;N2649</f>
        <v>Differentials Binders &amp; Additives     CIF Vietnam (Diff) </v>
      </c>
      <c r="S2649" s="25"/>
      <c r="T2649" s="8"/>
      <c r="U2649" s="8"/>
      <c r="V2649" s="25"/>
      <c r="W2649" s="25"/>
      <c r="X2649" s="25"/>
      <c r="Y2649" s="25"/>
      <c r="Z2649" s="25"/>
      <c r="AA2649" s="25"/>
      <c r="AB2649" s="25"/>
      <c r="AC2649" s="25"/>
      <c r="AD2649" s="25"/>
    </row>
    <row r="2650" customFormat="false" ht="15.75" hidden="false" customHeight="false" outlineLevel="0" collapsed="false">
      <c r="A2650" s="28" t="s">
        <v>3132</v>
      </c>
      <c r="B2650" s="27" t="s">
        <v>438</v>
      </c>
      <c r="C2650" s="27" t="s">
        <v>211</v>
      </c>
      <c r="D2650" s="25"/>
      <c r="E2650" s="25"/>
      <c r="F2650" s="25"/>
      <c r="G2650" s="25"/>
      <c r="H2650" s="25"/>
      <c r="I2650" s="25"/>
      <c r="J2650" s="27" t="s">
        <v>3119</v>
      </c>
      <c r="K2650" s="25" t="str">
        <f aca="false">IFERROR(__xludf.dummyfunction("SPLIT(J2650,"" "")"),"CIF")</f>
        <v>CIF</v>
      </c>
      <c r="L2650" s="28" t="str">
        <f aca="false">IFERROR(__xludf.dummyfunction("""COMPUTED_VALUE"""),"Vietnam")</f>
        <v>Vietnam</v>
      </c>
      <c r="M2650" s="27" t="str">
        <f aca="false">IFERROR(__xludf.dummyfunction("""COMPUTED_VALUE"""),"(Diff)")</f>
        <v>(Diff)</v>
      </c>
      <c r="N2650" s="25"/>
      <c r="O2650" s="25"/>
      <c r="P2650" s="25"/>
      <c r="Q2650" s="29" t="s">
        <v>228</v>
      </c>
      <c r="R2650" s="8" t="str">
        <f aca="false">B2650&amp;" "&amp;C2650&amp;" "&amp;D2650&amp;" "&amp;E2650&amp;" "&amp;G2650&amp;" "&amp;H2650&amp;" "&amp;J2650&amp;" "&amp;N2650</f>
        <v>Differentials Binders &amp; Additives     CIF Vietnam (Diff) </v>
      </c>
      <c r="S2650" s="25"/>
      <c r="T2650" s="8"/>
      <c r="U2650" s="8"/>
      <c r="V2650" s="25"/>
      <c r="W2650" s="25"/>
      <c r="X2650" s="25"/>
      <c r="Y2650" s="25"/>
      <c r="Z2650" s="25"/>
      <c r="AA2650" s="25"/>
      <c r="AB2650" s="25"/>
      <c r="AC2650" s="25"/>
      <c r="AD2650" s="25"/>
    </row>
    <row r="2651" customFormat="false" ht="15.75" hidden="false" customHeight="false" outlineLevel="0" collapsed="false">
      <c r="A2651" s="28" t="s">
        <v>3133</v>
      </c>
      <c r="B2651" s="27" t="s">
        <v>438</v>
      </c>
      <c r="C2651" s="27" t="s">
        <v>211</v>
      </c>
      <c r="D2651" s="25"/>
      <c r="E2651" s="25"/>
      <c r="F2651" s="25"/>
      <c r="G2651" s="25"/>
      <c r="H2651" s="25"/>
      <c r="I2651" s="25"/>
      <c r="J2651" s="27" t="s">
        <v>3119</v>
      </c>
      <c r="K2651" s="25" t="str">
        <f aca="false">IFERROR(__xludf.dummyfunction("SPLIT(J2651,"" "")"),"CIF")</f>
        <v>CIF</v>
      </c>
      <c r="L2651" s="28" t="str">
        <f aca="false">IFERROR(__xludf.dummyfunction("""COMPUTED_VALUE"""),"Vietnam")</f>
        <v>Vietnam</v>
      </c>
      <c r="M2651" s="27" t="str">
        <f aca="false">IFERROR(__xludf.dummyfunction("""COMPUTED_VALUE"""),"(Diff)")</f>
        <v>(Diff)</v>
      </c>
      <c r="N2651" s="25"/>
      <c r="O2651" s="25"/>
      <c r="P2651" s="25"/>
      <c r="Q2651" s="29" t="s">
        <v>226</v>
      </c>
      <c r="R2651" s="8" t="str">
        <f aca="false">B2651&amp;" "&amp;C2651&amp;" "&amp;D2651&amp;" "&amp;E2651&amp;" "&amp;G2651&amp;" "&amp;H2651&amp;" "&amp;J2651&amp;" "&amp;N2651</f>
        <v>Differentials Binders &amp; Additives     CIF Vietnam (Diff) </v>
      </c>
      <c r="S2651" s="25"/>
      <c r="T2651" s="8"/>
      <c r="U2651" s="8"/>
      <c r="V2651" s="25"/>
      <c r="W2651" s="25"/>
      <c r="X2651" s="25"/>
      <c r="Y2651" s="25"/>
      <c r="Z2651" s="25"/>
      <c r="AA2651" s="25"/>
      <c r="AB2651" s="25"/>
      <c r="AC2651" s="25"/>
      <c r="AD2651" s="25"/>
    </row>
    <row r="2652" customFormat="false" ht="15.75" hidden="false" customHeight="false" outlineLevel="0" collapsed="false">
      <c r="A2652" s="28" t="s">
        <v>3134</v>
      </c>
      <c r="B2652" s="27" t="s">
        <v>438</v>
      </c>
      <c r="C2652" s="27" t="s">
        <v>211</v>
      </c>
      <c r="D2652" s="25"/>
      <c r="E2652" s="25"/>
      <c r="F2652" s="25"/>
      <c r="G2652" s="25"/>
      <c r="H2652" s="25"/>
      <c r="I2652" s="25"/>
      <c r="J2652" s="27" t="s">
        <v>3119</v>
      </c>
      <c r="K2652" s="25" t="str">
        <f aca="false">IFERROR(__xludf.dummyfunction("SPLIT(J2652,"" "")"),"CIF")</f>
        <v>CIF</v>
      </c>
      <c r="L2652" s="28" t="str">
        <f aca="false">IFERROR(__xludf.dummyfunction("""COMPUTED_VALUE"""),"Vietnam")</f>
        <v>Vietnam</v>
      </c>
      <c r="M2652" s="27" t="str">
        <f aca="false">IFERROR(__xludf.dummyfunction("""COMPUTED_VALUE"""),"(Diff)")</f>
        <v>(Diff)</v>
      </c>
      <c r="N2652" s="25"/>
      <c r="O2652" s="25"/>
      <c r="P2652" s="25"/>
      <c r="Q2652" s="29" t="s">
        <v>224</v>
      </c>
      <c r="R2652" s="8" t="str">
        <f aca="false">B2652&amp;" "&amp;C2652&amp;" "&amp;D2652&amp;" "&amp;E2652&amp;" "&amp;G2652&amp;" "&amp;H2652&amp;" "&amp;J2652&amp;" "&amp;N2652</f>
        <v>Differentials Binders &amp; Additives     CIF Vietnam (Diff) </v>
      </c>
      <c r="S2652" s="25"/>
      <c r="T2652" s="8"/>
      <c r="U2652" s="8"/>
      <c r="V2652" s="25"/>
      <c r="W2652" s="25"/>
      <c r="X2652" s="25"/>
      <c r="Y2652" s="25"/>
      <c r="Z2652" s="25"/>
      <c r="AA2652" s="25"/>
      <c r="AB2652" s="25"/>
      <c r="AC2652" s="25"/>
      <c r="AD2652" s="25"/>
    </row>
    <row r="2653" customFormat="false" ht="15.75" hidden="false" customHeight="false" outlineLevel="0" collapsed="false">
      <c r="A2653" s="28" t="s">
        <v>3135</v>
      </c>
      <c r="B2653" s="27" t="s">
        <v>438</v>
      </c>
      <c r="C2653" s="27" t="s">
        <v>211</v>
      </c>
      <c r="D2653" s="25"/>
      <c r="E2653" s="25"/>
      <c r="F2653" s="25"/>
      <c r="G2653" s="25"/>
      <c r="H2653" s="25"/>
      <c r="I2653" s="25"/>
      <c r="J2653" s="27" t="s">
        <v>3119</v>
      </c>
      <c r="K2653" s="25" t="str">
        <f aca="false">IFERROR(__xludf.dummyfunction("SPLIT(J2653,"" "")"),"CIF")</f>
        <v>CIF</v>
      </c>
      <c r="L2653" s="28" t="str">
        <f aca="false">IFERROR(__xludf.dummyfunction("""COMPUTED_VALUE"""),"Vietnam")</f>
        <v>Vietnam</v>
      </c>
      <c r="M2653" s="27" t="str">
        <f aca="false">IFERROR(__xludf.dummyfunction("""COMPUTED_VALUE"""),"(Diff)")</f>
        <v>(Diff)</v>
      </c>
      <c r="N2653" s="25"/>
      <c r="O2653" s="25"/>
      <c r="P2653" s="25"/>
      <c r="Q2653" s="29" t="s">
        <v>222</v>
      </c>
      <c r="R2653" s="8" t="str">
        <f aca="false">B2653&amp;" "&amp;C2653&amp;" "&amp;D2653&amp;" "&amp;E2653&amp;" "&amp;G2653&amp;" "&amp;H2653&amp;" "&amp;J2653&amp;" "&amp;N2653</f>
        <v>Differentials Binders &amp; Additives     CIF Vietnam (Diff) </v>
      </c>
      <c r="S2653" s="25"/>
      <c r="T2653" s="8"/>
      <c r="U2653" s="8"/>
      <c r="V2653" s="25"/>
      <c r="W2653" s="25"/>
      <c r="X2653" s="25"/>
      <c r="Y2653" s="25"/>
      <c r="Z2653" s="25"/>
      <c r="AA2653" s="25"/>
      <c r="AB2653" s="25"/>
      <c r="AC2653" s="25"/>
      <c r="AD2653" s="25"/>
    </row>
    <row r="2654" customFormat="false" ht="15.75" hidden="false" customHeight="false" outlineLevel="0" collapsed="false">
      <c r="A2654" s="28" t="s">
        <v>3136</v>
      </c>
      <c r="B2654" s="27" t="s">
        <v>438</v>
      </c>
      <c r="C2654" s="27" t="s">
        <v>211</v>
      </c>
      <c r="D2654" s="25"/>
      <c r="E2654" s="25"/>
      <c r="F2654" s="25"/>
      <c r="G2654" s="25"/>
      <c r="H2654" s="25"/>
      <c r="I2654" s="25"/>
      <c r="J2654" s="27" t="s">
        <v>3119</v>
      </c>
      <c r="K2654" s="25" t="str">
        <f aca="false">IFERROR(__xludf.dummyfunction("SPLIT(J2654,"" "")"),"CIF")</f>
        <v>CIF</v>
      </c>
      <c r="L2654" s="28" t="str">
        <f aca="false">IFERROR(__xludf.dummyfunction("""COMPUTED_VALUE"""),"Vietnam")</f>
        <v>Vietnam</v>
      </c>
      <c r="M2654" s="27" t="str">
        <f aca="false">IFERROR(__xludf.dummyfunction("""COMPUTED_VALUE"""),"(Diff)")</f>
        <v>(Diff)</v>
      </c>
      <c r="N2654" s="25"/>
      <c r="O2654" s="25"/>
      <c r="P2654" s="25"/>
      <c r="Q2654" s="29" t="s">
        <v>220</v>
      </c>
      <c r="R2654" s="8" t="str">
        <f aca="false">B2654&amp;" "&amp;C2654&amp;" "&amp;D2654&amp;" "&amp;E2654&amp;" "&amp;G2654&amp;" "&amp;H2654&amp;" "&amp;J2654&amp;" "&amp;N2654</f>
        <v>Differentials Binders &amp; Additives     CIF Vietnam (Diff) </v>
      </c>
      <c r="S2654" s="25"/>
      <c r="T2654" s="8"/>
      <c r="U2654" s="8"/>
      <c r="V2654" s="25"/>
      <c r="W2654" s="25"/>
      <c r="X2654" s="25"/>
      <c r="Y2654" s="25"/>
      <c r="Z2654" s="25"/>
      <c r="AA2654" s="25"/>
      <c r="AB2654" s="25"/>
      <c r="AC2654" s="25"/>
      <c r="AD2654" s="25"/>
    </row>
    <row r="2655" customFormat="false" ht="15.75" hidden="false" customHeight="false" outlineLevel="0" collapsed="false">
      <c r="A2655" s="28" t="s">
        <v>3137</v>
      </c>
      <c r="B2655" s="27" t="s">
        <v>438</v>
      </c>
      <c r="C2655" s="27" t="s">
        <v>211</v>
      </c>
      <c r="D2655" s="25"/>
      <c r="E2655" s="25"/>
      <c r="F2655" s="25"/>
      <c r="G2655" s="25"/>
      <c r="H2655" s="25"/>
      <c r="I2655" s="25"/>
      <c r="J2655" s="27" t="s">
        <v>3119</v>
      </c>
      <c r="K2655" s="25" t="str">
        <f aca="false">IFERROR(__xludf.dummyfunction("SPLIT(J2655,"" "")"),"CIF")</f>
        <v>CIF</v>
      </c>
      <c r="L2655" s="28" t="str">
        <f aca="false">IFERROR(__xludf.dummyfunction("""COMPUTED_VALUE"""),"Vietnam")</f>
        <v>Vietnam</v>
      </c>
      <c r="M2655" s="27" t="str">
        <f aca="false">IFERROR(__xludf.dummyfunction("""COMPUTED_VALUE"""),"(Diff)")</f>
        <v>(Diff)</v>
      </c>
      <c r="N2655" s="25"/>
      <c r="O2655" s="25"/>
      <c r="P2655" s="25"/>
      <c r="Q2655" s="29" t="s">
        <v>218</v>
      </c>
      <c r="R2655" s="8" t="str">
        <f aca="false">B2655&amp;" "&amp;C2655&amp;" "&amp;D2655&amp;" "&amp;E2655&amp;" "&amp;G2655&amp;" "&amp;H2655&amp;" "&amp;J2655&amp;" "&amp;N2655</f>
        <v>Differentials Binders &amp; Additives     CIF Vietnam (Diff) </v>
      </c>
      <c r="S2655" s="25"/>
      <c r="T2655" s="8"/>
      <c r="U2655" s="8"/>
      <c r="V2655" s="25"/>
      <c r="W2655" s="25"/>
      <c r="X2655" s="25"/>
      <c r="Y2655" s="25"/>
      <c r="Z2655" s="25"/>
      <c r="AA2655" s="25"/>
      <c r="AB2655" s="25"/>
      <c r="AC2655" s="25"/>
      <c r="AD2655" s="25"/>
    </row>
    <row r="2656" customFormat="false" ht="15.75" hidden="false" customHeight="false" outlineLevel="0" collapsed="false">
      <c r="A2656" s="28" t="s">
        <v>3138</v>
      </c>
      <c r="B2656" s="27" t="s">
        <v>438</v>
      </c>
      <c r="C2656" s="27" t="s">
        <v>211</v>
      </c>
      <c r="D2656" s="25"/>
      <c r="E2656" s="25"/>
      <c r="F2656" s="25"/>
      <c r="G2656" s="25"/>
      <c r="H2656" s="25"/>
      <c r="I2656" s="25"/>
      <c r="J2656" s="27" t="s">
        <v>3119</v>
      </c>
      <c r="K2656" s="25" t="str">
        <f aca="false">IFERROR(__xludf.dummyfunction("SPLIT(J2656,"" "")"),"CIF")</f>
        <v>CIF</v>
      </c>
      <c r="L2656" s="28" t="str">
        <f aca="false">IFERROR(__xludf.dummyfunction("""COMPUTED_VALUE"""),"Vietnam")</f>
        <v>Vietnam</v>
      </c>
      <c r="M2656" s="27" t="str">
        <f aca="false">IFERROR(__xludf.dummyfunction("""COMPUTED_VALUE"""),"(Diff)")</f>
        <v>(Diff)</v>
      </c>
      <c r="N2656" s="25"/>
      <c r="O2656" s="25"/>
      <c r="P2656" s="25"/>
      <c r="Q2656" s="29" t="s">
        <v>215</v>
      </c>
      <c r="R2656" s="8" t="str">
        <f aca="false">B2656&amp;" "&amp;C2656&amp;" "&amp;D2656&amp;" "&amp;E2656&amp;" "&amp;G2656&amp;" "&amp;H2656&amp;" "&amp;J2656&amp;" "&amp;N2656</f>
        <v>Differentials Binders &amp; Additives     CIF Vietnam (Diff) </v>
      </c>
      <c r="S2656" s="25"/>
      <c r="T2656" s="8"/>
      <c r="U2656" s="8"/>
      <c r="V2656" s="25"/>
      <c r="W2656" s="25"/>
      <c r="X2656" s="25"/>
      <c r="Y2656" s="25"/>
      <c r="Z2656" s="25"/>
      <c r="AA2656" s="25"/>
      <c r="AB2656" s="25"/>
      <c r="AC2656" s="25"/>
      <c r="AD2656" s="25"/>
    </row>
    <row r="2657" customFormat="false" ht="15.75" hidden="false" customHeight="false" outlineLevel="0" collapsed="false">
      <c r="A2657" s="28" t="s">
        <v>3139</v>
      </c>
      <c r="B2657" s="27" t="s">
        <v>438</v>
      </c>
      <c r="C2657" s="27" t="s">
        <v>211</v>
      </c>
      <c r="D2657" s="25"/>
      <c r="E2657" s="25"/>
      <c r="F2657" s="25"/>
      <c r="G2657" s="25"/>
      <c r="H2657" s="25"/>
      <c r="I2657" s="25"/>
      <c r="J2657" s="27" t="s">
        <v>3119</v>
      </c>
      <c r="K2657" s="25" t="str">
        <f aca="false">IFERROR(__xludf.dummyfunction("SPLIT(J2657,"" "")"),"CIF")</f>
        <v>CIF</v>
      </c>
      <c r="L2657" s="28" t="str">
        <f aca="false">IFERROR(__xludf.dummyfunction("""COMPUTED_VALUE"""),"Vietnam")</f>
        <v>Vietnam</v>
      </c>
      <c r="M2657" s="27" t="str">
        <f aca="false">IFERROR(__xludf.dummyfunction("""COMPUTED_VALUE"""),"(Diff)")</f>
        <v>(Diff)</v>
      </c>
      <c r="N2657" s="25"/>
      <c r="O2657" s="25"/>
      <c r="P2657" s="25"/>
      <c r="Q2657" s="29" t="s">
        <v>213</v>
      </c>
      <c r="R2657" s="8" t="str">
        <f aca="false">B2657&amp;" "&amp;C2657&amp;" "&amp;D2657&amp;" "&amp;E2657&amp;" "&amp;G2657&amp;" "&amp;H2657&amp;" "&amp;J2657&amp;" "&amp;N2657</f>
        <v>Differentials Binders &amp; Additives     CIF Vietnam (Diff) </v>
      </c>
      <c r="S2657" s="25"/>
      <c r="T2657" s="8"/>
      <c r="U2657" s="8"/>
      <c r="V2657" s="25"/>
      <c r="W2657" s="25"/>
      <c r="X2657" s="25"/>
      <c r="Y2657" s="25"/>
      <c r="Z2657" s="25"/>
      <c r="AA2657" s="25"/>
      <c r="AB2657" s="25"/>
      <c r="AC2657" s="25"/>
      <c r="AD2657" s="25"/>
    </row>
    <row r="2658" customFormat="false" ht="15.75" hidden="false" customHeight="false" outlineLevel="0" collapsed="false">
      <c r="A2658" s="28" t="s">
        <v>3140</v>
      </c>
      <c r="B2658" s="27" t="s">
        <v>438</v>
      </c>
      <c r="C2658" s="27" t="s">
        <v>236</v>
      </c>
      <c r="D2658" s="25"/>
      <c r="E2658" s="25"/>
      <c r="F2658" s="25"/>
      <c r="G2658" s="25"/>
      <c r="H2658" s="25"/>
      <c r="I2658" s="25"/>
      <c r="J2658" s="27" t="s">
        <v>3119</v>
      </c>
      <c r="K2658" s="25" t="str">
        <f aca="false">IFERROR(__xludf.dummyfunction("SPLIT(J2658,"" "")"),"CIF")</f>
        <v>CIF</v>
      </c>
      <c r="L2658" s="28" t="str">
        <f aca="false">IFERROR(__xludf.dummyfunction("""COMPUTED_VALUE"""),"Vietnam")</f>
        <v>Vietnam</v>
      </c>
      <c r="M2658" s="27" t="str">
        <f aca="false">IFERROR(__xludf.dummyfunction("""COMPUTED_VALUE"""),"(Diff)")</f>
        <v>(Diff)</v>
      </c>
      <c r="N2658" s="25"/>
      <c r="O2658" s="25"/>
      <c r="P2658" s="25"/>
      <c r="Q2658" s="29" t="s">
        <v>271</v>
      </c>
      <c r="R2658" s="8" t="str">
        <f aca="false">B2658&amp;" "&amp;C2658&amp;" "&amp;D2658&amp;" "&amp;E2658&amp;" "&amp;G2658&amp;" "&amp;H2658&amp;" "&amp;J2658&amp;" "&amp;N2658</f>
        <v>Differentials Cathode     CIF Vietnam (Diff) </v>
      </c>
      <c r="S2658" s="25"/>
      <c r="T2658" s="8"/>
      <c r="U2658" s="8"/>
      <c r="V2658" s="25"/>
      <c r="W2658" s="25"/>
      <c r="X2658" s="25"/>
      <c r="Y2658" s="25"/>
      <c r="Z2658" s="25"/>
      <c r="AA2658" s="25"/>
      <c r="AB2658" s="25"/>
      <c r="AC2658" s="25"/>
      <c r="AD2658" s="25"/>
    </row>
    <row r="2659" customFormat="false" ht="15.75" hidden="false" customHeight="false" outlineLevel="0" collapsed="false">
      <c r="A2659" s="28" t="s">
        <v>3141</v>
      </c>
      <c r="B2659" s="27" t="s">
        <v>438</v>
      </c>
      <c r="C2659" s="27" t="s">
        <v>236</v>
      </c>
      <c r="D2659" s="25"/>
      <c r="E2659" s="25"/>
      <c r="F2659" s="25"/>
      <c r="G2659" s="25"/>
      <c r="H2659" s="25"/>
      <c r="I2659" s="25"/>
      <c r="J2659" s="27" t="s">
        <v>3119</v>
      </c>
      <c r="K2659" s="25" t="str">
        <f aca="false">IFERROR(__xludf.dummyfunction("SPLIT(J2659,"" "")"),"CIF")</f>
        <v>CIF</v>
      </c>
      <c r="L2659" s="28" t="str">
        <f aca="false">IFERROR(__xludf.dummyfunction("""COMPUTED_VALUE"""),"Vietnam")</f>
        <v>Vietnam</v>
      </c>
      <c r="M2659" s="27" t="str">
        <f aca="false">IFERROR(__xludf.dummyfunction("""COMPUTED_VALUE"""),"(Diff)")</f>
        <v>(Diff)</v>
      </c>
      <c r="N2659" s="25"/>
      <c r="O2659" s="25"/>
      <c r="P2659" s="25"/>
      <c r="Q2659" s="29" t="s">
        <v>266</v>
      </c>
      <c r="R2659" s="8" t="str">
        <f aca="false">B2659&amp;" "&amp;C2659&amp;" "&amp;D2659&amp;" "&amp;E2659&amp;" "&amp;G2659&amp;" "&amp;H2659&amp;" "&amp;J2659&amp;" "&amp;N2659</f>
        <v>Differentials Cathode     CIF Vietnam (Diff) </v>
      </c>
      <c r="S2659" s="25"/>
      <c r="T2659" s="8"/>
      <c r="U2659" s="8"/>
      <c r="V2659" s="25"/>
      <c r="W2659" s="25"/>
      <c r="X2659" s="25"/>
      <c r="Y2659" s="25"/>
      <c r="Z2659" s="25"/>
      <c r="AA2659" s="25"/>
      <c r="AB2659" s="25"/>
      <c r="AC2659" s="25"/>
      <c r="AD2659" s="25"/>
    </row>
    <row r="2660" customFormat="false" ht="15.75" hidden="false" customHeight="false" outlineLevel="0" collapsed="false">
      <c r="A2660" s="28" t="s">
        <v>3142</v>
      </c>
      <c r="B2660" s="27" t="s">
        <v>438</v>
      </c>
      <c r="C2660" s="27" t="s">
        <v>236</v>
      </c>
      <c r="D2660" s="25"/>
      <c r="E2660" s="25"/>
      <c r="F2660" s="25"/>
      <c r="G2660" s="25"/>
      <c r="H2660" s="25"/>
      <c r="I2660" s="25"/>
      <c r="J2660" s="27" t="s">
        <v>3119</v>
      </c>
      <c r="K2660" s="25" t="str">
        <f aca="false">IFERROR(__xludf.dummyfunction("SPLIT(J2660,"" "")"),"CIF")</f>
        <v>CIF</v>
      </c>
      <c r="L2660" s="28" t="str">
        <f aca="false">IFERROR(__xludf.dummyfunction("""COMPUTED_VALUE"""),"Vietnam")</f>
        <v>Vietnam</v>
      </c>
      <c r="M2660" s="27" t="str">
        <f aca="false">IFERROR(__xludf.dummyfunction("""COMPUTED_VALUE"""),"(Diff)")</f>
        <v>(Diff)</v>
      </c>
      <c r="N2660" s="25"/>
      <c r="O2660" s="25"/>
      <c r="P2660" s="25"/>
      <c r="Q2660" s="29" t="s">
        <v>261</v>
      </c>
      <c r="R2660" s="8" t="str">
        <f aca="false">B2660&amp;" "&amp;C2660&amp;" "&amp;D2660&amp;" "&amp;E2660&amp;" "&amp;G2660&amp;" "&amp;H2660&amp;" "&amp;J2660&amp;" "&amp;N2660</f>
        <v>Differentials Cathode     CIF Vietnam (Diff) </v>
      </c>
      <c r="S2660" s="25"/>
      <c r="T2660" s="8"/>
      <c r="U2660" s="8"/>
      <c r="V2660" s="25"/>
      <c r="W2660" s="25"/>
      <c r="X2660" s="25"/>
      <c r="Y2660" s="25"/>
      <c r="Z2660" s="25"/>
      <c r="AA2660" s="25"/>
      <c r="AB2660" s="25"/>
      <c r="AC2660" s="25"/>
      <c r="AD2660" s="25"/>
    </row>
    <row r="2661" customFormat="false" ht="15.75" hidden="false" customHeight="false" outlineLevel="0" collapsed="false">
      <c r="A2661" s="28" t="s">
        <v>3143</v>
      </c>
      <c r="B2661" s="27" t="s">
        <v>438</v>
      </c>
      <c r="C2661" s="27" t="s">
        <v>236</v>
      </c>
      <c r="D2661" s="25"/>
      <c r="E2661" s="25"/>
      <c r="F2661" s="25"/>
      <c r="G2661" s="25"/>
      <c r="H2661" s="25"/>
      <c r="I2661" s="25"/>
      <c r="J2661" s="27" t="s">
        <v>3119</v>
      </c>
      <c r="K2661" s="25" t="str">
        <f aca="false">IFERROR(__xludf.dummyfunction("SPLIT(J2661,"" "")"),"CIF")</f>
        <v>CIF</v>
      </c>
      <c r="L2661" s="28" t="str">
        <f aca="false">IFERROR(__xludf.dummyfunction("""COMPUTED_VALUE"""),"Vietnam")</f>
        <v>Vietnam</v>
      </c>
      <c r="M2661" s="27" t="str">
        <f aca="false">IFERROR(__xludf.dummyfunction("""COMPUTED_VALUE"""),"(Diff)")</f>
        <v>(Diff)</v>
      </c>
      <c r="N2661" s="25"/>
      <c r="O2661" s="25"/>
      <c r="P2661" s="25"/>
      <c r="Q2661" s="29" t="s">
        <v>256</v>
      </c>
      <c r="R2661" s="8" t="str">
        <f aca="false">B2661&amp;" "&amp;C2661&amp;" "&amp;D2661&amp;" "&amp;E2661&amp;" "&amp;G2661&amp;" "&amp;H2661&amp;" "&amp;J2661&amp;" "&amp;N2661</f>
        <v>Differentials Cathode     CIF Vietnam (Diff) </v>
      </c>
      <c r="S2661" s="25"/>
      <c r="T2661" s="8"/>
      <c r="U2661" s="8"/>
      <c r="V2661" s="36" t="s">
        <v>3144</v>
      </c>
      <c r="W2661" s="25"/>
      <c r="X2661" s="25"/>
      <c r="Y2661" s="25"/>
      <c r="Z2661" s="25"/>
      <c r="AA2661" s="25"/>
      <c r="AB2661" s="25"/>
      <c r="AC2661" s="25"/>
      <c r="AD2661" s="25"/>
    </row>
    <row r="2662" customFormat="false" ht="15.75" hidden="false" customHeight="false" outlineLevel="0" collapsed="false">
      <c r="A2662" s="28" t="s">
        <v>3145</v>
      </c>
      <c r="B2662" s="27" t="s">
        <v>438</v>
      </c>
      <c r="C2662" s="27" t="s">
        <v>236</v>
      </c>
      <c r="D2662" s="25"/>
      <c r="E2662" s="25"/>
      <c r="F2662" s="25"/>
      <c r="G2662" s="25"/>
      <c r="H2662" s="25"/>
      <c r="I2662" s="25"/>
      <c r="J2662" s="27" t="s">
        <v>3119</v>
      </c>
      <c r="K2662" s="25" t="str">
        <f aca="false">IFERROR(__xludf.dummyfunction("SPLIT(J2662,"" "")"),"CIF")</f>
        <v>CIF</v>
      </c>
      <c r="L2662" s="28" t="str">
        <f aca="false">IFERROR(__xludf.dummyfunction("""COMPUTED_VALUE"""),"Vietnam")</f>
        <v>Vietnam</v>
      </c>
      <c r="M2662" s="27" t="str">
        <f aca="false">IFERROR(__xludf.dummyfunction("""COMPUTED_VALUE"""),"(Diff)")</f>
        <v>(Diff)</v>
      </c>
      <c r="N2662" s="25"/>
      <c r="O2662" s="25"/>
      <c r="P2662" s="25"/>
      <c r="Q2662" s="29" t="s">
        <v>251</v>
      </c>
      <c r="R2662" s="8" t="str">
        <f aca="false">B2662&amp;" "&amp;C2662&amp;" "&amp;D2662&amp;" "&amp;E2662&amp;" "&amp;G2662&amp;" "&amp;H2662&amp;" "&amp;J2662&amp;" "&amp;N2662</f>
        <v>Differentials Cathode     CIF Vietnam (Diff) </v>
      </c>
      <c r="S2662" s="25"/>
      <c r="T2662" s="8"/>
      <c r="U2662" s="8"/>
      <c r="V2662" s="25"/>
      <c r="W2662" s="25"/>
      <c r="X2662" s="25"/>
      <c r="Y2662" s="25"/>
      <c r="Z2662" s="25"/>
      <c r="AA2662" s="25"/>
      <c r="AB2662" s="25"/>
      <c r="AC2662" s="25"/>
      <c r="AD2662" s="25"/>
    </row>
    <row r="2663" customFormat="false" ht="15.75" hidden="false" customHeight="false" outlineLevel="0" collapsed="false">
      <c r="A2663" s="28" t="s">
        <v>3146</v>
      </c>
      <c r="B2663" s="27" t="s">
        <v>438</v>
      </c>
      <c r="C2663" s="27" t="s">
        <v>236</v>
      </c>
      <c r="D2663" s="25"/>
      <c r="E2663" s="25"/>
      <c r="F2663" s="25"/>
      <c r="G2663" s="25"/>
      <c r="H2663" s="25"/>
      <c r="I2663" s="25"/>
      <c r="J2663" s="27" t="s">
        <v>3119</v>
      </c>
      <c r="K2663" s="25" t="str">
        <f aca="false">IFERROR(__xludf.dummyfunction("SPLIT(J2663,"" "")"),"CIF")</f>
        <v>CIF</v>
      </c>
      <c r="L2663" s="28" t="str">
        <f aca="false">IFERROR(__xludf.dummyfunction("""COMPUTED_VALUE"""),"Vietnam")</f>
        <v>Vietnam</v>
      </c>
      <c r="M2663" s="27" t="str">
        <f aca="false">IFERROR(__xludf.dummyfunction("""COMPUTED_VALUE"""),"(Diff)")</f>
        <v>(Diff)</v>
      </c>
      <c r="N2663" s="25"/>
      <c r="O2663" s="25"/>
      <c r="P2663" s="25"/>
      <c r="Q2663" s="29" t="s">
        <v>247</v>
      </c>
      <c r="R2663" s="8" t="str">
        <f aca="false">B2663&amp;" "&amp;C2663&amp;" "&amp;D2663&amp;" "&amp;E2663&amp;" "&amp;G2663&amp;" "&amp;H2663&amp;" "&amp;J2663&amp;" "&amp;N2663</f>
        <v>Differentials Cathode     CIF Vietnam (Diff) </v>
      </c>
      <c r="S2663" s="25"/>
      <c r="T2663" s="8"/>
      <c r="U2663" s="8"/>
      <c r="V2663" s="25"/>
      <c r="W2663" s="25"/>
      <c r="X2663" s="25"/>
      <c r="Y2663" s="25"/>
      <c r="Z2663" s="25"/>
      <c r="AA2663" s="25"/>
      <c r="AB2663" s="25"/>
      <c r="AC2663" s="25"/>
      <c r="AD2663" s="25"/>
    </row>
    <row r="2664" customFormat="false" ht="15.75" hidden="false" customHeight="false" outlineLevel="0" collapsed="false">
      <c r="A2664" s="28" t="s">
        <v>3147</v>
      </c>
      <c r="B2664" s="27" t="s">
        <v>438</v>
      </c>
      <c r="C2664" s="27" t="s">
        <v>236</v>
      </c>
      <c r="D2664" s="25"/>
      <c r="E2664" s="25"/>
      <c r="F2664" s="25"/>
      <c r="G2664" s="25"/>
      <c r="H2664" s="25"/>
      <c r="I2664" s="25"/>
      <c r="J2664" s="27" t="s">
        <v>3119</v>
      </c>
      <c r="K2664" s="25" t="str">
        <f aca="false">IFERROR(__xludf.dummyfunction("SPLIT(J2664,"" "")"),"CIF")</f>
        <v>CIF</v>
      </c>
      <c r="L2664" s="28" t="str">
        <f aca="false">IFERROR(__xludf.dummyfunction("""COMPUTED_VALUE"""),"Vietnam")</f>
        <v>Vietnam</v>
      </c>
      <c r="M2664" s="27" t="str">
        <f aca="false">IFERROR(__xludf.dummyfunction("""COMPUTED_VALUE"""),"(Diff)")</f>
        <v>(Diff)</v>
      </c>
      <c r="N2664" s="25"/>
      <c r="O2664" s="25"/>
      <c r="P2664" s="25"/>
      <c r="Q2664" s="29" t="s">
        <v>243</v>
      </c>
      <c r="R2664" s="8" t="str">
        <f aca="false">B2664&amp;" "&amp;C2664&amp;" "&amp;D2664&amp;" "&amp;E2664&amp;" "&amp;G2664&amp;" "&amp;H2664&amp;" "&amp;J2664&amp;" "&amp;N2664</f>
        <v>Differentials Cathode     CIF Vietnam (Diff) </v>
      </c>
      <c r="S2664" s="25"/>
      <c r="T2664" s="8"/>
      <c r="U2664" s="8"/>
      <c r="V2664" s="25"/>
      <c r="W2664" s="25"/>
      <c r="X2664" s="25"/>
      <c r="Y2664" s="25"/>
      <c r="Z2664" s="25"/>
      <c r="AA2664" s="25"/>
      <c r="AB2664" s="25"/>
      <c r="AC2664" s="25"/>
      <c r="AD2664" s="25"/>
    </row>
    <row r="2665" customFormat="false" ht="15.75" hidden="false" customHeight="false" outlineLevel="0" collapsed="false">
      <c r="A2665" s="28" t="s">
        <v>3148</v>
      </c>
      <c r="B2665" s="27" t="s">
        <v>438</v>
      </c>
      <c r="C2665" s="27" t="s">
        <v>236</v>
      </c>
      <c r="D2665" s="25"/>
      <c r="E2665" s="25"/>
      <c r="F2665" s="25"/>
      <c r="G2665" s="25"/>
      <c r="H2665" s="25"/>
      <c r="I2665" s="25"/>
      <c r="J2665" s="27" t="s">
        <v>3119</v>
      </c>
      <c r="K2665" s="25" t="str">
        <f aca="false">IFERROR(__xludf.dummyfunction("SPLIT(J2665,"" "")"),"CIF")</f>
        <v>CIF</v>
      </c>
      <c r="L2665" s="28" t="str">
        <f aca="false">IFERROR(__xludf.dummyfunction("""COMPUTED_VALUE"""),"Vietnam")</f>
        <v>Vietnam</v>
      </c>
      <c r="M2665" s="27" t="str">
        <f aca="false">IFERROR(__xludf.dummyfunction("""COMPUTED_VALUE"""),"(Diff)")</f>
        <v>(Diff)</v>
      </c>
      <c r="N2665" s="25"/>
      <c r="O2665" s="25"/>
      <c r="P2665" s="25"/>
      <c r="Q2665" s="29" t="s">
        <v>239</v>
      </c>
      <c r="R2665" s="8" t="str">
        <f aca="false">B2665&amp;" "&amp;C2665&amp;" "&amp;D2665&amp;" "&amp;E2665&amp;" "&amp;G2665&amp;" "&amp;H2665&amp;" "&amp;J2665&amp;" "&amp;N2665</f>
        <v>Differentials Cathode     CIF Vietnam (Diff) </v>
      </c>
      <c r="S2665" s="25"/>
      <c r="T2665" s="8"/>
      <c r="U2665" s="8"/>
      <c r="V2665" s="25"/>
      <c r="W2665" s="25"/>
      <c r="X2665" s="25"/>
      <c r="Y2665" s="25"/>
      <c r="Z2665" s="25"/>
      <c r="AA2665" s="25"/>
      <c r="AB2665" s="25"/>
      <c r="AC2665" s="25"/>
      <c r="AD2665" s="25"/>
    </row>
    <row r="2666" customFormat="false" ht="15.75" hidden="false" customHeight="false" outlineLevel="0" collapsed="false">
      <c r="A2666" s="28" t="s">
        <v>3149</v>
      </c>
      <c r="B2666" s="27" t="s">
        <v>438</v>
      </c>
      <c r="C2666" s="27" t="s">
        <v>284</v>
      </c>
      <c r="D2666" s="25"/>
      <c r="E2666" s="25"/>
      <c r="F2666" s="25"/>
      <c r="G2666" s="25"/>
      <c r="H2666" s="25"/>
      <c r="I2666" s="25"/>
      <c r="J2666" s="27" t="s">
        <v>3119</v>
      </c>
      <c r="K2666" s="25" t="str">
        <f aca="false">IFERROR(__xludf.dummyfunction("SPLIT(J2666,"" "")"),"CIF")</f>
        <v>CIF</v>
      </c>
      <c r="L2666" s="28" t="str">
        <f aca="false">IFERROR(__xludf.dummyfunction("""COMPUTED_VALUE"""),"Vietnam")</f>
        <v>Vietnam</v>
      </c>
      <c r="M2666" s="27" t="str">
        <f aca="false">IFERROR(__xludf.dummyfunction("""COMPUTED_VALUE"""),"(Diff)")</f>
        <v>(Diff)</v>
      </c>
      <c r="N2666" s="25"/>
      <c r="O2666" s="25"/>
      <c r="P2666" s="25"/>
      <c r="Q2666" s="29" t="s">
        <v>287</v>
      </c>
      <c r="R2666" s="8" t="str">
        <f aca="false">B2666&amp;" "&amp;C2666&amp;" "&amp;D2666&amp;" "&amp;E2666&amp;" "&amp;G2666&amp;" "&amp;H2666&amp;" "&amp;J2666&amp;" "&amp;N2666</f>
        <v>Differentials Copper (Battery Grade)     CIF Vietnam (Diff) </v>
      </c>
      <c r="S2666" s="25"/>
      <c r="T2666" s="8"/>
      <c r="U2666" s="8"/>
      <c r="V2666" s="25"/>
      <c r="W2666" s="25"/>
      <c r="X2666" s="25"/>
      <c r="Y2666" s="25"/>
      <c r="Z2666" s="25"/>
      <c r="AA2666" s="25"/>
      <c r="AB2666" s="25"/>
      <c r="AC2666" s="25"/>
      <c r="AD2666" s="25"/>
    </row>
    <row r="2667" customFormat="false" ht="15.75" hidden="false" customHeight="false" outlineLevel="0" collapsed="false">
      <c r="A2667" s="28" t="s">
        <v>3150</v>
      </c>
      <c r="B2667" s="27" t="s">
        <v>438</v>
      </c>
      <c r="C2667" s="27" t="s">
        <v>284</v>
      </c>
      <c r="D2667" s="25"/>
      <c r="E2667" s="25"/>
      <c r="F2667" s="25"/>
      <c r="G2667" s="25"/>
      <c r="H2667" s="25"/>
      <c r="I2667" s="25"/>
      <c r="J2667" s="27" t="s">
        <v>3119</v>
      </c>
      <c r="K2667" s="25" t="str">
        <f aca="false">IFERROR(__xludf.dummyfunction("SPLIT(J2667,"" "")"),"CIF")</f>
        <v>CIF</v>
      </c>
      <c r="L2667" s="28" t="str">
        <f aca="false">IFERROR(__xludf.dummyfunction("""COMPUTED_VALUE"""),"Vietnam")</f>
        <v>Vietnam</v>
      </c>
      <c r="M2667" s="27" t="str">
        <f aca="false">IFERROR(__xludf.dummyfunction("""COMPUTED_VALUE"""),"(Diff)")</f>
        <v>(Diff)</v>
      </c>
      <c r="N2667" s="25"/>
      <c r="O2667" s="25"/>
      <c r="P2667" s="25"/>
      <c r="Q2667" s="29" t="s">
        <v>285</v>
      </c>
      <c r="R2667" s="8" t="str">
        <f aca="false">B2667&amp;" "&amp;C2667&amp;" "&amp;D2667&amp;" "&amp;E2667&amp;" "&amp;G2667&amp;" "&amp;H2667&amp;" "&amp;J2667&amp;" "&amp;N2667</f>
        <v>Differentials Copper (Battery Grade)     CIF Vietnam (Diff) </v>
      </c>
      <c r="S2667" s="25"/>
      <c r="T2667" s="8"/>
      <c r="U2667" s="8"/>
      <c r="V2667" s="25"/>
      <c r="W2667" s="25"/>
      <c r="X2667" s="25"/>
      <c r="Y2667" s="25"/>
      <c r="Z2667" s="25"/>
      <c r="AA2667" s="25"/>
      <c r="AB2667" s="25"/>
      <c r="AC2667" s="25"/>
      <c r="AD2667" s="25"/>
    </row>
    <row r="2668" customFormat="false" ht="15.75" hidden="false" customHeight="false" outlineLevel="0" collapsed="false">
      <c r="A2668" s="28" t="s">
        <v>3151</v>
      </c>
      <c r="B2668" s="27" t="s">
        <v>438</v>
      </c>
      <c r="C2668" s="27" t="s">
        <v>289</v>
      </c>
      <c r="D2668" s="25"/>
      <c r="E2668" s="25"/>
      <c r="F2668" s="25"/>
      <c r="G2668" s="25"/>
      <c r="H2668" s="25"/>
      <c r="I2668" s="25"/>
      <c r="J2668" s="27" t="s">
        <v>3119</v>
      </c>
      <c r="K2668" s="25" t="str">
        <f aca="false">IFERROR(__xludf.dummyfunction("SPLIT(J2668,"" "")"),"CIF")</f>
        <v>CIF</v>
      </c>
      <c r="L2668" s="28" t="str">
        <f aca="false">IFERROR(__xludf.dummyfunction("""COMPUTED_VALUE"""),"Vietnam")</f>
        <v>Vietnam</v>
      </c>
      <c r="M2668" s="27" t="str">
        <f aca="false">IFERROR(__xludf.dummyfunction("""COMPUTED_VALUE"""),"(Diff)")</f>
        <v>(Diff)</v>
      </c>
      <c r="N2668" s="25"/>
      <c r="O2668" s="25"/>
      <c r="P2668" s="25"/>
      <c r="Q2668" s="29" t="s">
        <v>306</v>
      </c>
      <c r="R2668" s="8" t="str">
        <f aca="false">B2668&amp;" "&amp;C2668&amp;" "&amp;D2668&amp;" "&amp;E2668&amp;" "&amp;G2668&amp;" "&amp;H2668&amp;" "&amp;J2668&amp;" "&amp;N2668</f>
        <v>Differentials Electrolyte     CIF Vietnam (Diff) </v>
      </c>
      <c r="S2668" s="25"/>
      <c r="T2668" s="8"/>
      <c r="U2668" s="8"/>
      <c r="V2668" s="25"/>
      <c r="W2668" s="25"/>
      <c r="X2668" s="25"/>
      <c r="Y2668" s="25"/>
      <c r="Z2668" s="25"/>
      <c r="AA2668" s="25"/>
      <c r="AB2668" s="25"/>
      <c r="AC2668" s="25"/>
      <c r="AD2668" s="25"/>
    </row>
    <row r="2669" customFormat="false" ht="15.75" hidden="false" customHeight="false" outlineLevel="0" collapsed="false">
      <c r="A2669" s="28" t="s">
        <v>3152</v>
      </c>
      <c r="B2669" s="27" t="s">
        <v>438</v>
      </c>
      <c r="C2669" s="27" t="s">
        <v>289</v>
      </c>
      <c r="D2669" s="25"/>
      <c r="E2669" s="25"/>
      <c r="F2669" s="25"/>
      <c r="G2669" s="25"/>
      <c r="H2669" s="25"/>
      <c r="I2669" s="25"/>
      <c r="J2669" s="27" t="s">
        <v>3119</v>
      </c>
      <c r="K2669" s="25" t="str">
        <f aca="false">IFERROR(__xludf.dummyfunction("SPLIT(J2669,"" "")"),"CIF")</f>
        <v>CIF</v>
      </c>
      <c r="L2669" s="28" t="str">
        <f aca="false">IFERROR(__xludf.dummyfunction("""COMPUTED_VALUE"""),"Vietnam")</f>
        <v>Vietnam</v>
      </c>
      <c r="M2669" s="27" t="str">
        <f aca="false">IFERROR(__xludf.dummyfunction("""COMPUTED_VALUE"""),"(Diff)")</f>
        <v>(Diff)</v>
      </c>
      <c r="N2669" s="25"/>
      <c r="O2669" s="25"/>
      <c r="P2669" s="25"/>
      <c r="Q2669" s="29" t="s">
        <v>304</v>
      </c>
      <c r="R2669" s="8" t="str">
        <f aca="false">B2669&amp;" "&amp;C2669&amp;" "&amp;D2669&amp;" "&amp;E2669&amp;" "&amp;G2669&amp;" "&amp;H2669&amp;" "&amp;J2669&amp;" "&amp;N2669</f>
        <v>Differentials Electrolyte     CIF Vietnam (Diff) </v>
      </c>
      <c r="S2669" s="25"/>
      <c r="T2669" s="8"/>
      <c r="U2669" s="8"/>
      <c r="V2669" s="25"/>
      <c r="W2669" s="25"/>
      <c r="X2669" s="25"/>
      <c r="Y2669" s="25"/>
      <c r="Z2669" s="25"/>
      <c r="AA2669" s="25"/>
      <c r="AB2669" s="25"/>
      <c r="AC2669" s="25"/>
      <c r="AD2669" s="25"/>
    </row>
    <row r="2670" customFormat="false" ht="15.75" hidden="false" customHeight="false" outlineLevel="0" collapsed="false">
      <c r="A2670" s="28" t="s">
        <v>3153</v>
      </c>
      <c r="B2670" s="27" t="s">
        <v>438</v>
      </c>
      <c r="C2670" s="27" t="s">
        <v>289</v>
      </c>
      <c r="D2670" s="25"/>
      <c r="E2670" s="25"/>
      <c r="F2670" s="25"/>
      <c r="G2670" s="25"/>
      <c r="H2670" s="25"/>
      <c r="I2670" s="25"/>
      <c r="J2670" s="27" t="s">
        <v>3119</v>
      </c>
      <c r="K2670" s="25" t="str">
        <f aca="false">IFERROR(__xludf.dummyfunction("SPLIT(J2670,"" "")"),"CIF")</f>
        <v>CIF</v>
      </c>
      <c r="L2670" s="28" t="str">
        <f aca="false">IFERROR(__xludf.dummyfunction("""COMPUTED_VALUE"""),"Vietnam")</f>
        <v>Vietnam</v>
      </c>
      <c r="M2670" s="27" t="str">
        <f aca="false">IFERROR(__xludf.dummyfunction("""COMPUTED_VALUE"""),"(Diff)")</f>
        <v>(Diff)</v>
      </c>
      <c r="N2670" s="25"/>
      <c r="O2670" s="25"/>
      <c r="P2670" s="25"/>
      <c r="Q2670" s="29" t="s">
        <v>302</v>
      </c>
      <c r="R2670" s="8" t="str">
        <f aca="false">B2670&amp;" "&amp;C2670&amp;" "&amp;D2670&amp;" "&amp;E2670&amp;" "&amp;G2670&amp;" "&amp;H2670&amp;" "&amp;J2670&amp;" "&amp;N2670</f>
        <v>Differentials Electrolyte     CIF Vietnam (Diff) </v>
      </c>
      <c r="S2670" s="25"/>
      <c r="T2670" s="8"/>
      <c r="U2670" s="8"/>
      <c r="V2670" s="25"/>
      <c r="W2670" s="25"/>
      <c r="X2670" s="25"/>
      <c r="Y2670" s="25"/>
      <c r="Z2670" s="25"/>
      <c r="AA2670" s="25"/>
      <c r="AB2670" s="25"/>
      <c r="AC2670" s="25"/>
      <c r="AD2670" s="25"/>
    </row>
    <row r="2671" customFormat="false" ht="15.75" hidden="false" customHeight="false" outlineLevel="0" collapsed="false">
      <c r="A2671" s="28" t="s">
        <v>3154</v>
      </c>
      <c r="B2671" s="27" t="s">
        <v>438</v>
      </c>
      <c r="C2671" s="27" t="s">
        <v>289</v>
      </c>
      <c r="D2671" s="25"/>
      <c r="E2671" s="25"/>
      <c r="F2671" s="25"/>
      <c r="G2671" s="25"/>
      <c r="H2671" s="25"/>
      <c r="I2671" s="25"/>
      <c r="J2671" s="27" t="s">
        <v>3119</v>
      </c>
      <c r="K2671" s="25" t="str">
        <f aca="false">IFERROR(__xludf.dummyfunction("SPLIT(J2671,"" "")"),"CIF")</f>
        <v>CIF</v>
      </c>
      <c r="L2671" s="28" t="str">
        <f aca="false">IFERROR(__xludf.dummyfunction("""COMPUTED_VALUE"""),"Vietnam")</f>
        <v>Vietnam</v>
      </c>
      <c r="M2671" s="27" t="str">
        <f aca="false">IFERROR(__xludf.dummyfunction("""COMPUTED_VALUE"""),"(Diff)")</f>
        <v>(Diff)</v>
      </c>
      <c r="N2671" s="25"/>
      <c r="O2671" s="25"/>
      <c r="P2671" s="25"/>
      <c r="Q2671" s="29" t="s">
        <v>300</v>
      </c>
      <c r="R2671" s="8" t="str">
        <f aca="false">B2671&amp;" "&amp;C2671&amp;" "&amp;D2671&amp;" "&amp;E2671&amp;" "&amp;G2671&amp;" "&amp;H2671&amp;" "&amp;J2671&amp;" "&amp;N2671</f>
        <v>Differentials Electrolyte     CIF Vietnam (Diff) </v>
      </c>
      <c r="S2671" s="25"/>
      <c r="T2671" s="8"/>
      <c r="U2671" s="8"/>
      <c r="V2671" s="25"/>
      <c r="W2671" s="25"/>
      <c r="X2671" s="25"/>
      <c r="Y2671" s="25"/>
      <c r="Z2671" s="25"/>
      <c r="AA2671" s="25"/>
      <c r="AB2671" s="25"/>
      <c r="AC2671" s="25"/>
      <c r="AD2671" s="25"/>
    </row>
    <row r="2672" customFormat="false" ht="15.75" hidden="false" customHeight="false" outlineLevel="0" collapsed="false">
      <c r="A2672" s="28" t="s">
        <v>3155</v>
      </c>
      <c r="B2672" s="27" t="s">
        <v>438</v>
      </c>
      <c r="C2672" s="27" t="s">
        <v>289</v>
      </c>
      <c r="D2672" s="25"/>
      <c r="E2672" s="25"/>
      <c r="F2672" s="25"/>
      <c r="G2672" s="25"/>
      <c r="H2672" s="25"/>
      <c r="I2672" s="25"/>
      <c r="J2672" s="27" t="s">
        <v>3119</v>
      </c>
      <c r="K2672" s="25" t="str">
        <f aca="false">IFERROR(__xludf.dummyfunction("SPLIT(J2672,"" "")"),"CIF")</f>
        <v>CIF</v>
      </c>
      <c r="L2672" s="28" t="str">
        <f aca="false">IFERROR(__xludf.dummyfunction("""COMPUTED_VALUE"""),"Vietnam")</f>
        <v>Vietnam</v>
      </c>
      <c r="M2672" s="27" t="str">
        <f aca="false">IFERROR(__xludf.dummyfunction("""COMPUTED_VALUE"""),"(Diff)")</f>
        <v>(Diff)</v>
      </c>
      <c r="N2672" s="25"/>
      <c r="O2672" s="25"/>
      <c r="P2672" s="25"/>
      <c r="Q2672" s="29" t="s">
        <v>298</v>
      </c>
      <c r="R2672" s="8" t="str">
        <f aca="false">B2672&amp;" "&amp;C2672&amp;" "&amp;D2672&amp;" "&amp;E2672&amp;" "&amp;G2672&amp;" "&amp;H2672&amp;" "&amp;J2672&amp;" "&amp;N2672</f>
        <v>Differentials Electrolyte     CIF Vietnam (Diff) </v>
      </c>
      <c r="S2672" s="25"/>
      <c r="T2672" s="8"/>
      <c r="U2672" s="8"/>
      <c r="V2672" s="25"/>
      <c r="W2672" s="25"/>
      <c r="X2672" s="25"/>
      <c r="Y2672" s="25"/>
      <c r="Z2672" s="25"/>
      <c r="AA2672" s="25"/>
      <c r="AB2672" s="25"/>
      <c r="AC2672" s="25"/>
      <c r="AD2672" s="25"/>
    </row>
    <row r="2673" customFormat="false" ht="15.75" hidden="false" customHeight="false" outlineLevel="0" collapsed="false">
      <c r="A2673" s="28" t="s">
        <v>3156</v>
      </c>
      <c r="B2673" s="27" t="s">
        <v>438</v>
      </c>
      <c r="C2673" s="27" t="s">
        <v>289</v>
      </c>
      <c r="D2673" s="25"/>
      <c r="E2673" s="25"/>
      <c r="F2673" s="25"/>
      <c r="G2673" s="25"/>
      <c r="H2673" s="25"/>
      <c r="I2673" s="25"/>
      <c r="J2673" s="27" t="s">
        <v>3119</v>
      </c>
      <c r="K2673" s="25" t="str">
        <f aca="false">IFERROR(__xludf.dummyfunction("SPLIT(J2673,"" "")"),"CIF")</f>
        <v>CIF</v>
      </c>
      <c r="L2673" s="28" t="str">
        <f aca="false">IFERROR(__xludf.dummyfunction("""COMPUTED_VALUE"""),"Vietnam")</f>
        <v>Vietnam</v>
      </c>
      <c r="M2673" s="27" t="str">
        <f aca="false">IFERROR(__xludf.dummyfunction("""COMPUTED_VALUE"""),"(Diff)")</f>
        <v>(Diff)</v>
      </c>
      <c r="N2673" s="25"/>
      <c r="O2673" s="25"/>
      <c r="P2673" s="25"/>
      <c r="Q2673" s="29" t="s">
        <v>296</v>
      </c>
      <c r="R2673" s="8" t="str">
        <f aca="false">B2673&amp;" "&amp;C2673&amp;" "&amp;D2673&amp;" "&amp;E2673&amp;" "&amp;G2673&amp;" "&amp;H2673&amp;" "&amp;J2673&amp;" "&amp;N2673</f>
        <v>Differentials Electrolyte     CIF Vietnam (Diff) </v>
      </c>
      <c r="S2673" s="25"/>
      <c r="T2673" s="8"/>
      <c r="U2673" s="8"/>
      <c r="V2673" s="25"/>
      <c r="W2673" s="25"/>
      <c r="X2673" s="25"/>
      <c r="Y2673" s="25"/>
      <c r="Z2673" s="25"/>
      <c r="AA2673" s="25"/>
      <c r="AB2673" s="25"/>
      <c r="AC2673" s="25"/>
      <c r="AD2673" s="25"/>
    </row>
    <row r="2674" customFormat="false" ht="15.75" hidden="false" customHeight="false" outlineLevel="0" collapsed="false">
      <c r="A2674" s="28" t="s">
        <v>3157</v>
      </c>
      <c r="B2674" s="27" t="s">
        <v>438</v>
      </c>
      <c r="C2674" s="27" t="s">
        <v>289</v>
      </c>
      <c r="D2674" s="25"/>
      <c r="E2674" s="25"/>
      <c r="F2674" s="25"/>
      <c r="G2674" s="25"/>
      <c r="H2674" s="25"/>
      <c r="I2674" s="25"/>
      <c r="J2674" s="27" t="s">
        <v>3119</v>
      </c>
      <c r="K2674" s="25" t="str">
        <f aca="false">IFERROR(__xludf.dummyfunction("SPLIT(J2674,"" "")"),"CIF")</f>
        <v>CIF</v>
      </c>
      <c r="L2674" s="28" t="str">
        <f aca="false">IFERROR(__xludf.dummyfunction("""COMPUTED_VALUE"""),"Vietnam")</f>
        <v>Vietnam</v>
      </c>
      <c r="M2674" s="27" t="str">
        <f aca="false">IFERROR(__xludf.dummyfunction("""COMPUTED_VALUE"""),"(Diff)")</f>
        <v>(Diff)</v>
      </c>
      <c r="N2674" s="25"/>
      <c r="O2674" s="25"/>
      <c r="P2674" s="25"/>
      <c r="Q2674" s="29" t="s">
        <v>294</v>
      </c>
      <c r="R2674" s="8" t="str">
        <f aca="false">B2674&amp;" "&amp;C2674&amp;" "&amp;D2674&amp;" "&amp;E2674&amp;" "&amp;G2674&amp;" "&amp;H2674&amp;" "&amp;J2674&amp;" "&amp;N2674</f>
        <v>Differentials Electrolyte     CIF Vietnam (Diff) </v>
      </c>
      <c r="S2674" s="25"/>
      <c r="T2674" s="8"/>
      <c r="U2674" s="8"/>
      <c r="V2674" s="25"/>
      <c r="W2674" s="25"/>
      <c r="X2674" s="25"/>
      <c r="Y2674" s="25"/>
      <c r="Z2674" s="25"/>
      <c r="AA2674" s="25"/>
      <c r="AB2674" s="25"/>
      <c r="AC2674" s="25"/>
      <c r="AD2674" s="25"/>
    </row>
    <row r="2675" customFormat="false" ht="15.75" hidden="false" customHeight="false" outlineLevel="0" collapsed="false">
      <c r="A2675" s="28" t="s">
        <v>3158</v>
      </c>
      <c r="B2675" s="27" t="s">
        <v>438</v>
      </c>
      <c r="C2675" s="27" t="s">
        <v>289</v>
      </c>
      <c r="D2675" s="25"/>
      <c r="E2675" s="25"/>
      <c r="F2675" s="25"/>
      <c r="G2675" s="25"/>
      <c r="H2675" s="25"/>
      <c r="I2675" s="25"/>
      <c r="J2675" s="27" t="s">
        <v>3119</v>
      </c>
      <c r="K2675" s="25" t="str">
        <f aca="false">IFERROR(__xludf.dummyfunction("SPLIT(J2675,"" "")"),"CIF")</f>
        <v>CIF</v>
      </c>
      <c r="L2675" s="28" t="str">
        <f aca="false">IFERROR(__xludf.dummyfunction("""COMPUTED_VALUE"""),"Vietnam")</f>
        <v>Vietnam</v>
      </c>
      <c r="M2675" s="27" t="str">
        <f aca="false">IFERROR(__xludf.dummyfunction("""COMPUTED_VALUE"""),"(Diff)")</f>
        <v>(Diff)</v>
      </c>
      <c r="N2675" s="25"/>
      <c r="O2675" s="25"/>
      <c r="P2675" s="25"/>
      <c r="Q2675" s="29" t="s">
        <v>291</v>
      </c>
      <c r="R2675" s="8" t="str">
        <f aca="false">B2675&amp;" "&amp;C2675&amp;" "&amp;D2675&amp;" "&amp;E2675&amp;" "&amp;G2675&amp;" "&amp;H2675&amp;" "&amp;J2675&amp;" "&amp;N2675</f>
        <v>Differentials Electrolyte     CIF Vietnam (Diff) </v>
      </c>
      <c r="S2675" s="25"/>
      <c r="T2675" s="8"/>
      <c r="U2675" s="8"/>
      <c r="V2675" s="25"/>
      <c r="W2675" s="25"/>
      <c r="X2675" s="25"/>
      <c r="Y2675" s="25"/>
      <c r="Z2675" s="25"/>
      <c r="AA2675" s="25"/>
      <c r="AB2675" s="25"/>
      <c r="AC2675" s="25"/>
      <c r="AD2675" s="25"/>
    </row>
    <row r="2676" customFormat="false" ht="15.75" hidden="false" customHeight="false" outlineLevel="0" collapsed="false">
      <c r="A2676" s="28" t="s">
        <v>3159</v>
      </c>
      <c r="B2676" s="27" t="s">
        <v>438</v>
      </c>
      <c r="C2676" s="27" t="s">
        <v>308</v>
      </c>
      <c r="D2676" s="25"/>
      <c r="E2676" s="25"/>
      <c r="F2676" s="25"/>
      <c r="G2676" s="25"/>
      <c r="H2676" s="25"/>
      <c r="I2676" s="25"/>
      <c r="J2676" s="27" t="s">
        <v>3119</v>
      </c>
      <c r="K2676" s="25" t="str">
        <f aca="false">IFERROR(__xludf.dummyfunction("SPLIT(J2676,"" "")"),"CIF")</f>
        <v>CIF</v>
      </c>
      <c r="L2676" s="28" t="str">
        <f aca="false">IFERROR(__xludf.dummyfunction("""COMPUTED_VALUE"""),"Vietnam")</f>
        <v>Vietnam</v>
      </c>
      <c r="M2676" s="27" t="str">
        <f aca="false">IFERROR(__xludf.dummyfunction("""COMPUTED_VALUE"""),"(Diff)")</f>
        <v>(Diff)</v>
      </c>
      <c r="N2676" s="25"/>
      <c r="O2676" s="25"/>
      <c r="P2676" s="25"/>
      <c r="Q2676" s="29" t="s">
        <v>358</v>
      </c>
      <c r="R2676" s="8" t="str">
        <f aca="false">B2676&amp;" "&amp;C2676&amp;" "&amp;D2676&amp;" "&amp;E2676&amp;" "&amp;G2676&amp;" "&amp;H2676&amp;" "&amp;J2676&amp;" "&amp;N2676</f>
        <v>Differentials Graphite     CIF Vietnam (Diff) </v>
      </c>
      <c r="S2676" s="25"/>
      <c r="T2676" s="8"/>
      <c r="U2676" s="8"/>
      <c r="V2676" s="25"/>
      <c r="W2676" s="25"/>
      <c r="X2676" s="25"/>
      <c r="Y2676" s="25"/>
      <c r="Z2676" s="25"/>
      <c r="AA2676" s="25"/>
      <c r="AB2676" s="25"/>
      <c r="AC2676" s="25"/>
      <c r="AD2676" s="25"/>
    </row>
    <row r="2677" customFormat="false" ht="15.75" hidden="false" customHeight="false" outlineLevel="0" collapsed="false">
      <c r="A2677" s="28" t="s">
        <v>3160</v>
      </c>
      <c r="B2677" s="27" t="s">
        <v>438</v>
      </c>
      <c r="C2677" s="27" t="s">
        <v>308</v>
      </c>
      <c r="D2677" s="25"/>
      <c r="E2677" s="25"/>
      <c r="F2677" s="25"/>
      <c r="G2677" s="25"/>
      <c r="H2677" s="25"/>
      <c r="I2677" s="25"/>
      <c r="J2677" s="27" t="s">
        <v>3119</v>
      </c>
      <c r="K2677" s="25" t="str">
        <f aca="false">IFERROR(__xludf.dummyfunction("SPLIT(J2677,"" "")"),"CIF")</f>
        <v>CIF</v>
      </c>
      <c r="L2677" s="28" t="str">
        <f aca="false">IFERROR(__xludf.dummyfunction("""COMPUTED_VALUE"""),"Vietnam")</f>
        <v>Vietnam</v>
      </c>
      <c r="M2677" s="27" t="str">
        <f aca="false">IFERROR(__xludf.dummyfunction("""COMPUTED_VALUE"""),"(Diff)")</f>
        <v>(Diff)</v>
      </c>
      <c r="N2677" s="25"/>
      <c r="O2677" s="25"/>
      <c r="P2677" s="25"/>
      <c r="Q2677" s="29" t="s">
        <v>356</v>
      </c>
      <c r="R2677" s="8" t="str">
        <f aca="false">B2677&amp;" "&amp;C2677&amp;" "&amp;D2677&amp;" "&amp;E2677&amp;" "&amp;G2677&amp;" "&amp;H2677&amp;" "&amp;J2677&amp;" "&amp;N2677</f>
        <v>Differentials Graphite     CIF Vietnam (Diff) </v>
      </c>
      <c r="S2677" s="25"/>
      <c r="T2677" s="8"/>
      <c r="U2677" s="8"/>
      <c r="V2677" s="25"/>
      <c r="W2677" s="25"/>
      <c r="X2677" s="25"/>
      <c r="Y2677" s="25"/>
      <c r="Z2677" s="25"/>
      <c r="AA2677" s="25"/>
      <c r="AB2677" s="25"/>
      <c r="AC2677" s="25"/>
      <c r="AD2677" s="25"/>
    </row>
    <row r="2678" customFormat="false" ht="15.75" hidden="false" customHeight="false" outlineLevel="0" collapsed="false">
      <c r="A2678" s="28" t="s">
        <v>3161</v>
      </c>
      <c r="B2678" s="27" t="s">
        <v>438</v>
      </c>
      <c r="C2678" s="27" t="s">
        <v>308</v>
      </c>
      <c r="D2678" s="25"/>
      <c r="E2678" s="25"/>
      <c r="F2678" s="25"/>
      <c r="G2678" s="25"/>
      <c r="H2678" s="25"/>
      <c r="I2678" s="25"/>
      <c r="J2678" s="27" t="s">
        <v>3119</v>
      </c>
      <c r="K2678" s="25" t="str">
        <f aca="false">IFERROR(__xludf.dummyfunction("SPLIT(J2678,"" "")"),"CIF")</f>
        <v>CIF</v>
      </c>
      <c r="L2678" s="28" t="str">
        <f aca="false">IFERROR(__xludf.dummyfunction("""COMPUTED_VALUE"""),"Vietnam")</f>
        <v>Vietnam</v>
      </c>
      <c r="M2678" s="27" t="str">
        <f aca="false">IFERROR(__xludf.dummyfunction("""COMPUTED_VALUE"""),"(Diff)")</f>
        <v>(Diff)</v>
      </c>
      <c r="N2678" s="25"/>
      <c r="O2678" s="25"/>
      <c r="P2678" s="25"/>
      <c r="Q2678" s="29" t="s">
        <v>354</v>
      </c>
      <c r="R2678" s="8" t="str">
        <f aca="false">B2678&amp;" "&amp;C2678&amp;" "&amp;D2678&amp;" "&amp;E2678&amp;" "&amp;G2678&amp;" "&amp;H2678&amp;" "&amp;J2678&amp;" "&amp;N2678</f>
        <v>Differentials Graphite     CIF Vietnam (Diff) </v>
      </c>
      <c r="S2678" s="25"/>
      <c r="T2678" s="8"/>
      <c r="U2678" s="8"/>
      <c r="V2678" s="25"/>
      <c r="W2678" s="25"/>
      <c r="X2678" s="25"/>
      <c r="Y2678" s="25"/>
      <c r="Z2678" s="25"/>
      <c r="AA2678" s="25"/>
      <c r="AB2678" s="25"/>
      <c r="AC2678" s="25"/>
      <c r="AD2678" s="25"/>
    </row>
    <row r="2679" customFormat="false" ht="15.75" hidden="false" customHeight="false" outlineLevel="0" collapsed="false">
      <c r="A2679" s="28" t="s">
        <v>3162</v>
      </c>
      <c r="B2679" s="27" t="s">
        <v>438</v>
      </c>
      <c r="C2679" s="27" t="s">
        <v>308</v>
      </c>
      <c r="D2679" s="25"/>
      <c r="E2679" s="25"/>
      <c r="F2679" s="25"/>
      <c r="G2679" s="25"/>
      <c r="H2679" s="25"/>
      <c r="I2679" s="25"/>
      <c r="J2679" s="27" t="s">
        <v>3119</v>
      </c>
      <c r="K2679" s="25" t="str">
        <f aca="false">IFERROR(__xludf.dummyfunction("SPLIT(J2679,"" "")"),"CIF")</f>
        <v>CIF</v>
      </c>
      <c r="L2679" s="28" t="str">
        <f aca="false">IFERROR(__xludf.dummyfunction("""COMPUTED_VALUE"""),"Vietnam")</f>
        <v>Vietnam</v>
      </c>
      <c r="M2679" s="27" t="str">
        <f aca="false">IFERROR(__xludf.dummyfunction("""COMPUTED_VALUE"""),"(Diff)")</f>
        <v>(Diff)</v>
      </c>
      <c r="N2679" s="25"/>
      <c r="O2679" s="25"/>
      <c r="P2679" s="25"/>
      <c r="Q2679" s="29" t="s">
        <v>352</v>
      </c>
      <c r="R2679" s="8" t="str">
        <f aca="false">B2679&amp;" "&amp;C2679&amp;" "&amp;D2679&amp;" "&amp;E2679&amp;" "&amp;G2679&amp;" "&amp;H2679&amp;" "&amp;J2679&amp;" "&amp;N2679</f>
        <v>Differentials Graphite     CIF Vietnam (Diff) </v>
      </c>
      <c r="S2679" s="25"/>
      <c r="T2679" s="8"/>
      <c r="U2679" s="8"/>
      <c r="V2679" s="25"/>
      <c r="W2679" s="25"/>
      <c r="X2679" s="25"/>
      <c r="Y2679" s="25"/>
      <c r="Z2679" s="25"/>
      <c r="AA2679" s="25"/>
      <c r="AB2679" s="25"/>
      <c r="AC2679" s="25"/>
      <c r="AD2679" s="25"/>
    </row>
    <row r="2680" customFormat="false" ht="15.75" hidden="false" customHeight="false" outlineLevel="0" collapsed="false">
      <c r="A2680" s="28" t="s">
        <v>3163</v>
      </c>
      <c r="B2680" s="27" t="s">
        <v>438</v>
      </c>
      <c r="C2680" s="27" t="s">
        <v>308</v>
      </c>
      <c r="D2680" s="25"/>
      <c r="E2680" s="25"/>
      <c r="F2680" s="25"/>
      <c r="G2680" s="25"/>
      <c r="H2680" s="25"/>
      <c r="I2680" s="25"/>
      <c r="J2680" s="27" t="s">
        <v>3119</v>
      </c>
      <c r="K2680" s="25" t="str">
        <f aca="false">IFERROR(__xludf.dummyfunction("SPLIT(J2680,"" "")"),"CIF")</f>
        <v>CIF</v>
      </c>
      <c r="L2680" s="28" t="str">
        <f aca="false">IFERROR(__xludf.dummyfunction("""COMPUTED_VALUE"""),"Vietnam")</f>
        <v>Vietnam</v>
      </c>
      <c r="M2680" s="27" t="str">
        <f aca="false">IFERROR(__xludf.dummyfunction("""COMPUTED_VALUE"""),"(Diff)")</f>
        <v>(Diff)</v>
      </c>
      <c r="N2680" s="25"/>
      <c r="O2680" s="25"/>
      <c r="P2680" s="25"/>
      <c r="Q2680" s="29" t="s">
        <v>350</v>
      </c>
      <c r="R2680" s="8" t="str">
        <f aca="false">B2680&amp;" "&amp;C2680&amp;" "&amp;D2680&amp;" "&amp;E2680&amp;" "&amp;G2680&amp;" "&amp;H2680&amp;" "&amp;J2680&amp;" "&amp;N2680</f>
        <v>Differentials Graphite     CIF Vietnam (Diff) </v>
      </c>
      <c r="S2680" s="25"/>
      <c r="T2680" s="8"/>
      <c r="U2680" s="8"/>
      <c r="V2680" s="25"/>
      <c r="W2680" s="25"/>
      <c r="X2680" s="25"/>
      <c r="Y2680" s="25"/>
      <c r="Z2680" s="25"/>
      <c r="AA2680" s="25"/>
      <c r="AB2680" s="25"/>
      <c r="AC2680" s="25"/>
      <c r="AD2680" s="25"/>
    </row>
    <row r="2681" customFormat="false" ht="15.75" hidden="false" customHeight="false" outlineLevel="0" collapsed="false">
      <c r="A2681" s="28" t="s">
        <v>3164</v>
      </c>
      <c r="B2681" s="27" t="s">
        <v>438</v>
      </c>
      <c r="C2681" s="27" t="s">
        <v>308</v>
      </c>
      <c r="D2681" s="25"/>
      <c r="E2681" s="25"/>
      <c r="F2681" s="25"/>
      <c r="G2681" s="25"/>
      <c r="H2681" s="25"/>
      <c r="I2681" s="25"/>
      <c r="J2681" s="27" t="s">
        <v>3119</v>
      </c>
      <c r="K2681" s="25" t="str">
        <f aca="false">IFERROR(__xludf.dummyfunction("SPLIT(J2681,"" "")"),"CIF")</f>
        <v>CIF</v>
      </c>
      <c r="L2681" s="28" t="str">
        <f aca="false">IFERROR(__xludf.dummyfunction("""COMPUTED_VALUE"""),"Vietnam")</f>
        <v>Vietnam</v>
      </c>
      <c r="M2681" s="27" t="str">
        <f aca="false">IFERROR(__xludf.dummyfunction("""COMPUTED_VALUE"""),"(Diff)")</f>
        <v>(Diff)</v>
      </c>
      <c r="N2681" s="25"/>
      <c r="O2681" s="25"/>
      <c r="P2681" s="25"/>
      <c r="Q2681" s="29" t="s">
        <v>347</v>
      </c>
      <c r="R2681" s="8" t="str">
        <f aca="false">B2681&amp;" "&amp;C2681&amp;" "&amp;D2681&amp;" "&amp;E2681&amp;" "&amp;G2681&amp;" "&amp;H2681&amp;" "&amp;J2681&amp;" "&amp;N2681</f>
        <v>Differentials Graphite     CIF Vietnam (Diff) </v>
      </c>
      <c r="S2681" s="25"/>
      <c r="T2681" s="8"/>
      <c r="U2681" s="8"/>
      <c r="V2681" s="25"/>
      <c r="W2681" s="25"/>
      <c r="X2681" s="25"/>
      <c r="Y2681" s="25"/>
      <c r="Z2681" s="25"/>
      <c r="AA2681" s="25"/>
      <c r="AB2681" s="25"/>
      <c r="AC2681" s="25"/>
      <c r="AD2681" s="25"/>
    </row>
    <row r="2682" customFormat="false" ht="15.75" hidden="false" customHeight="false" outlineLevel="0" collapsed="false">
      <c r="A2682" s="28" t="s">
        <v>3165</v>
      </c>
      <c r="B2682" s="27" t="s">
        <v>438</v>
      </c>
      <c r="C2682" s="27" t="s">
        <v>308</v>
      </c>
      <c r="D2682" s="25"/>
      <c r="E2682" s="25"/>
      <c r="F2682" s="25"/>
      <c r="G2682" s="25"/>
      <c r="H2682" s="25"/>
      <c r="I2682" s="25"/>
      <c r="J2682" s="27" t="s">
        <v>3119</v>
      </c>
      <c r="K2682" s="25" t="str">
        <f aca="false">IFERROR(__xludf.dummyfunction("SPLIT(J2682,"" "")"),"CIF")</f>
        <v>CIF</v>
      </c>
      <c r="L2682" s="28" t="str">
        <f aca="false">IFERROR(__xludf.dummyfunction("""COMPUTED_VALUE"""),"Vietnam")</f>
        <v>Vietnam</v>
      </c>
      <c r="M2682" s="27" t="str">
        <f aca="false">IFERROR(__xludf.dummyfunction("""COMPUTED_VALUE"""),"(Diff)")</f>
        <v>(Diff)</v>
      </c>
      <c r="N2682" s="25"/>
      <c r="O2682" s="25"/>
      <c r="P2682" s="25"/>
      <c r="Q2682" s="29" t="s">
        <v>344</v>
      </c>
      <c r="R2682" s="8" t="str">
        <f aca="false">B2682&amp;" "&amp;C2682&amp;" "&amp;D2682&amp;" "&amp;E2682&amp;" "&amp;G2682&amp;" "&amp;H2682&amp;" "&amp;J2682&amp;" "&amp;N2682</f>
        <v>Differentials Graphite     CIF Vietnam (Diff) </v>
      </c>
      <c r="S2682" s="25"/>
      <c r="T2682" s="8"/>
      <c r="U2682" s="8"/>
      <c r="V2682" s="25"/>
      <c r="W2682" s="25"/>
      <c r="X2682" s="25"/>
      <c r="Y2682" s="25"/>
      <c r="Z2682" s="25"/>
      <c r="AA2682" s="25"/>
      <c r="AB2682" s="25"/>
      <c r="AC2682" s="25"/>
      <c r="AD2682" s="25"/>
    </row>
    <row r="2683" customFormat="false" ht="15.75" hidden="false" customHeight="false" outlineLevel="0" collapsed="false">
      <c r="A2683" s="28" t="s">
        <v>3166</v>
      </c>
      <c r="B2683" s="27" t="s">
        <v>438</v>
      </c>
      <c r="C2683" s="27" t="s">
        <v>308</v>
      </c>
      <c r="D2683" s="25"/>
      <c r="E2683" s="25"/>
      <c r="F2683" s="25"/>
      <c r="G2683" s="25"/>
      <c r="H2683" s="25"/>
      <c r="I2683" s="25"/>
      <c r="J2683" s="27" t="s">
        <v>3119</v>
      </c>
      <c r="K2683" s="25" t="str">
        <f aca="false">IFERROR(__xludf.dummyfunction("SPLIT(J2683,"" "")"),"CIF")</f>
        <v>CIF</v>
      </c>
      <c r="L2683" s="28" t="str">
        <f aca="false">IFERROR(__xludf.dummyfunction("""COMPUTED_VALUE"""),"Vietnam")</f>
        <v>Vietnam</v>
      </c>
      <c r="M2683" s="27" t="str">
        <f aca="false">IFERROR(__xludf.dummyfunction("""COMPUTED_VALUE"""),"(Diff)")</f>
        <v>(Diff)</v>
      </c>
      <c r="N2683" s="25"/>
      <c r="O2683" s="25"/>
      <c r="P2683" s="25"/>
      <c r="Q2683" s="29" t="s">
        <v>340</v>
      </c>
      <c r="R2683" s="8" t="str">
        <f aca="false">B2683&amp;" "&amp;C2683&amp;" "&amp;D2683&amp;" "&amp;E2683&amp;" "&amp;G2683&amp;" "&amp;H2683&amp;" "&amp;J2683&amp;" "&amp;N2683</f>
        <v>Differentials Graphite     CIF Vietnam (Diff) </v>
      </c>
      <c r="S2683" s="25"/>
      <c r="T2683" s="8"/>
      <c r="U2683" s="8"/>
      <c r="V2683" s="25"/>
      <c r="W2683" s="25"/>
      <c r="X2683" s="25"/>
      <c r="Y2683" s="25"/>
      <c r="Z2683" s="25"/>
      <c r="AA2683" s="25"/>
      <c r="AB2683" s="25"/>
      <c r="AC2683" s="25"/>
      <c r="AD2683" s="25"/>
    </row>
    <row r="2684" customFormat="false" ht="15.75" hidden="false" customHeight="false" outlineLevel="0" collapsed="false">
      <c r="A2684" s="28" t="s">
        <v>3167</v>
      </c>
      <c r="B2684" s="27" t="s">
        <v>438</v>
      </c>
      <c r="C2684" s="27" t="s">
        <v>308</v>
      </c>
      <c r="D2684" s="25"/>
      <c r="E2684" s="25"/>
      <c r="F2684" s="25"/>
      <c r="G2684" s="25"/>
      <c r="H2684" s="25"/>
      <c r="I2684" s="25"/>
      <c r="J2684" s="27" t="s">
        <v>3119</v>
      </c>
      <c r="K2684" s="25" t="str">
        <f aca="false">IFERROR(__xludf.dummyfunction("SPLIT(J2684,"" "")"),"CIF")</f>
        <v>CIF</v>
      </c>
      <c r="L2684" s="28" t="str">
        <f aca="false">IFERROR(__xludf.dummyfunction("""COMPUTED_VALUE"""),"Vietnam")</f>
        <v>Vietnam</v>
      </c>
      <c r="M2684" s="27" t="str">
        <f aca="false">IFERROR(__xludf.dummyfunction("""COMPUTED_VALUE"""),"(Diff)")</f>
        <v>(Diff)</v>
      </c>
      <c r="N2684" s="25"/>
      <c r="O2684" s="25"/>
      <c r="P2684" s="25"/>
      <c r="Q2684" s="29" t="s">
        <v>338</v>
      </c>
      <c r="R2684" s="8" t="str">
        <f aca="false">B2684&amp;" "&amp;C2684&amp;" "&amp;D2684&amp;" "&amp;E2684&amp;" "&amp;G2684&amp;" "&amp;H2684&amp;" "&amp;J2684&amp;" "&amp;N2684</f>
        <v>Differentials Graphite     CIF Vietnam (Diff) </v>
      </c>
      <c r="S2684" s="25"/>
      <c r="T2684" s="8"/>
      <c r="U2684" s="8"/>
      <c r="V2684" s="25"/>
      <c r="W2684" s="25"/>
      <c r="X2684" s="25"/>
      <c r="Y2684" s="25"/>
      <c r="Z2684" s="25"/>
      <c r="AA2684" s="25"/>
      <c r="AB2684" s="25"/>
      <c r="AC2684" s="25"/>
      <c r="AD2684" s="25"/>
    </row>
    <row r="2685" customFormat="false" ht="15.75" hidden="false" customHeight="false" outlineLevel="0" collapsed="false">
      <c r="A2685" s="28" t="s">
        <v>3168</v>
      </c>
      <c r="B2685" s="27" t="s">
        <v>438</v>
      </c>
      <c r="C2685" s="27" t="s">
        <v>308</v>
      </c>
      <c r="D2685" s="25"/>
      <c r="E2685" s="25"/>
      <c r="F2685" s="25"/>
      <c r="G2685" s="25"/>
      <c r="H2685" s="25"/>
      <c r="I2685" s="25"/>
      <c r="J2685" s="27" t="s">
        <v>3119</v>
      </c>
      <c r="K2685" s="25" t="str">
        <f aca="false">IFERROR(__xludf.dummyfunction("SPLIT(J2685,"" "")"),"CIF")</f>
        <v>CIF</v>
      </c>
      <c r="L2685" s="28" t="str">
        <f aca="false">IFERROR(__xludf.dummyfunction("""COMPUTED_VALUE"""),"Vietnam")</f>
        <v>Vietnam</v>
      </c>
      <c r="M2685" s="27" t="str">
        <f aca="false">IFERROR(__xludf.dummyfunction("""COMPUTED_VALUE"""),"(Diff)")</f>
        <v>(Diff)</v>
      </c>
      <c r="N2685" s="25"/>
      <c r="O2685" s="25"/>
      <c r="P2685" s="25"/>
      <c r="Q2685" s="29" t="s">
        <v>335</v>
      </c>
      <c r="R2685" s="8" t="str">
        <f aca="false">B2685&amp;" "&amp;C2685&amp;" "&amp;D2685&amp;" "&amp;E2685&amp;" "&amp;G2685&amp;" "&amp;H2685&amp;" "&amp;J2685&amp;" "&amp;N2685</f>
        <v>Differentials Graphite     CIF Vietnam (Diff) </v>
      </c>
      <c r="S2685" s="25"/>
      <c r="T2685" s="8"/>
      <c r="U2685" s="8"/>
      <c r="V2685" s="25"/>
      <c r="W2685" s="25"/>
      <c r="X2685" s="25"/>
      <c r="Y2685" s="25"/>
      <c r="Z2685" s="25"/>
      <c r="AA2685" s="25"/>
      <c r="AB2685" s="25"/>
      <c r="AC2685" s="25"/>
      <c r="AD2685" s="25"/>
    </row>
    <row r="2686" customFormat="false" ht="15.75" hidden="false" customHeight="false" outlineLevel="0" collapsed="false">
      <c r="A2686" s="28" t="s">
        <v>3169</v>
      </c>
      <c r="B2686" s="27" t="s">
        <v>438</v>
      </c>
      <c r="C2686" s="27" t="s">
        <v>308</v>
      </c>
      <c r="D2686" s="25"/>
      <c r="E2686" s="25"/>
      <c r="F2686" s="25"/>
      <c r="G2686" s="25"/>
      <c r="H2686" s="25"/>
      <c r="I2686" s="25"/>
      <c r="J2686" s="27" t="s">
        <v>3119</v>
      </c>
      <c r="K2686" s="25" t="str">
        <f aca="false">IFERROR(__xludf.dummyfunction("SPLIT(J2686,"" "")"),"CIF")</f>
        <v>CIF</v>
      </c>
      <c r="L2686" s="28" t="str">
        <f aca="false">IFERROR(__xludf.dummyfunction("""COMPUTED_VALUE"""),"Vietnam")</f>
        <v>Vietnam</v>
      </c>
      <c r="M2686" s="27" t="str">
        <f aca="false">IFERROR(__xludf.dummyfunction("""COMPUTED_VALUE"""),"(Diff)")</f>
        <v>(Diff)</v>
      </c>
      <c r="N2686" s="25"/>
      <c r="O2686" s="25"/>
      <c r="P2686" s="25"/>
      <c r="Q2686" s="29" t="s">
        <v>332</v>
      </c>
      <c r="R2686" s="8" t="str">
        <f aca="false">B2686&amp;" "&amp;C2686&amp;" "&amp;D2686&amp;" "&amp;E2686&amp;" "&amp;G2686&amp;" "&amp;H2686&amp;" "&amp;J2686&amp;" "&amp;N2686</f>
        <v>Differentials Graphite     CIF Vietnam (Diff) </v>
      </c>
      <c r="S2686" s="25"/>
      <c r="T2686" s="8"/>
      <c r="U2686" s="8"/>
      <c r="V2686" s="25"/>
      <c r="W2686" s="25"/>
      <c r="X2686" s="25"/>
      <c r="Y2686" s="25"/>
      <c r="Z2686" s="25"/>
      <c r="AA2686" s="25"/>
      <c r="AB2686" s="25"/>
      <c r="AC2686" s="25"/>
      <c r="AD2686" s="25"/>
    </row>
    <row r="2687" customFormat="false" ht="15.75" hidden="false" customHeight="false" outlineLevel="0" collapsed="false">
      <c r="A2687" s="28" t="s">
        <v>3170</v>
      </c>
      <c r="B2687" s="27" t="s">
        <v>438</v>
      </c>
      <c r="C2687" s="27" t="s">
        <v>308</v>
      </c>
      <c r="D2687" s="25"/>
      <c r="E2687" s="25"/>
      <c r="F2687" s="25"/>
      <c r="G2687" s="25"/>
      <c r="H2687" s="25"/>
      <c r="I2687" s="25"/>
      <c r="J2687" s="27" t="s">
        <v>3119</v>
      </c>
      <c r="K2687" s="25" t="str">
        <f aca="false">IFERROR(__xludf.dummyfunction("SPLIT(J2687,"" "")"),"CIF")</f>
        <v>CIF</v>
      </c>
      <c r="L2687" s="28" t="str">
        <f aca="false">IFERROR(__xludf.dummyfunction("""COMPUTED_VALUE"""),"Vietnam")</f>
        <v>Vietnam</v>
      </c>
      <c r="M2687" s="27" t="str">
        <f aca="false">IFERROR(__xludf.dummyfunction("""COMPUTED_VALUE"""),"(Diff)")</f>
        <v>(Diff)</v>
      </c>
      <c r="N2687" s="25"/>
      <c r="O2687" s="25"/>
      <c r="P2687" s="25"/>
      <c r="Q2687" s="29" t="s">
        <v>329</v>
      </c>
      <c r="R2687" s="8" t="str">
        <f aca="false">B2687&amp;" "&amp;C2687&amp;" "&amp;D2687&amp;" "&amp;E2687&amp;" "&amp;G2687&amp;" "&amp;H2687&amp;" "&amp;J2687&amp;" "&amp;N2687</f>
        <v>Differentials Graphite     CIF Vietnam (Diff) </v>
      </c>
      <c r="S2687" s="25"/>
      <c r="T2687" s="8"/>
      <c r="U2687" s="8"/>
      <c r="V2687" s="25"/>
      <c r="W2687" s="25"/>
      <c r="X2687" s="25"/>
      <c r="Y2687" s="25"/>
      <c r="Z2687" s="25"/>
      <c r="AA2687" s="25"/>
      <c r="AB2687" s="25"/>
      <c r="AC2687" s="25"/>
      <c r="AD2687" s="25"/>
    </row>
    <row r="2688" customFormat="false" ht="15.75" hidden="false" customHeight="false" outlineLevel="0" collapsed="false">
      <c r="A2688" s="28" t="s">
        <v>3171</v>
      </c>
      <c r="B2688" s="27" t="s">
        <v>438</v>
      </c>
      <c r="C2688" s="27" t="s">
        <v>308</v>
      </c>
      <c r="D2688" s="25"/>
      <c r="E2688" s="25"/>
      <c r="F2688" s="25"/>
      <c r="G2688" s="25"/>
      <c r="H2688" s="25"/>
      <c r="I2688" s="25"/>
      <c r="J2688" s="27" t="s">
        <v>3119</v>
      </c>
      <c r="K2688" s="25" t="str">
        <f aca="false">IFERROR(__xludf.dummyfunction("SPLIT(J2688,"" "")"),"CIF")</f>
        <v>CIF</v>
      </c>
      <c r="L2688" s="28" t="str">
        <f aca="false">IFERROR(__xludf.dummyfunction("""COMPUTED_VALUE"""),"Vietnam")</f>
        <v>Vietnam</v>
      </c>
      <c r="M2688" s="27" t="str">
        <f aca="false">IFERROR(__xludf.dummyfunction("""COMPUTED_VALUE"""),"(Diff)")</f>
        <v>(Diff)</v>
      </c>
      <c r="N2688" s="25"/>
      <c r="O2688" s="25"/>
      <c r="P2688" s="25"/>
      <c r="Q2688" s="29" t="s">
        <v>326</v>
      </c>
      <c r="R2688" s="8" t="str">
        <f aca="false">B2688&amp;" "&amp;C2688&amp;" "&amp;D2688&amp;" "&amp;E2688&amp;" "&amp;G2688&amp;" "&amp;H2688&amp;" "&amp;J2688&amp;" "&amp;N2688</f>
        <v>Differentials Graphite     CIF Vietnam (Diff) </v>
      </c>
      <c r="S2688" s="25"/>
      <c r="T2688" s="8"/>
      <c r="U2688" s="8"/>
      <c r="V2688" s="25"/>
      <c r="W2688" s="25"/>
      <c r="X2688" s="25"/>
      <c r="Y2688" s="25"/>
      <c r="Z2688" s="25"/>
      <c r="AA2688" s="25"/>
      <c r="AB2688" s="25"/>
      <c r="AC2688" s="25"/>
      <c r="AD2688" s="25"/>
    </row>
    <row r="2689" customFormat="false" ht="15.75" hidden="false" customHeight="false" outlineLevel="0" collapsed="false">
      <c r="A2689" s="28" t="s">
        <v>3172</v>
      </c>
      <c r="B2689" s="27" t="s">
        <v>438</v>
      </c>
      <c r="C2689" s="27" t="s">
        <v>308</v>
      </c>
      <c r="D2689" s="25"/>
      <c r="E2689" s="25"/>
      <c r="F2689" s="25"/>
      <c r="G2689" s="25"/>
      <c r="H2689" s="25"/>
      <c r="I2689" s="25"/>
      <c r="J2689" s="27" t="s">
        <v>3119</v>
      </c>
      <c r="K2689" s="25" t="str">
        <f aca="false">IFERROR(__xludf.dummyfunction("SPLIT(J2689,"" "")"),"CIF")</f>
        <v>CIF</v>
      </c>
      <c r="L2689" s="28" t="str">
        <f aca="false">IFERROR(__xludf.dummyfunction("""COMPUTED_VALUE"""),"Vietnam")</f>
        <v>Vietnam</v>
      </c>
      <c r="M2689" s="27" t="str">
        <f aca="false">IFERROR(__xludf.dummyfunction("""COMPUTED_VALUE"""),"(Diff)")</f>
        <v>(Diff)</v>
      </c>
      <c r="N2689" s="25"/>
      <c r="O2689" s="25"/>
      <c r="P2689" s="25"/>
      <c r="Q2689" s="29" t="s">
        <v>323</v>
      </c>
      <c r="R2689" s="8" t="str">
        <f aca="false">B2689&amp;" "&amp;C2689&amp;" "&amp;D2689&amp;" "&amp;E2689&amp;" "&amp;G2689&amp;" "&amp;H2689&amp;" "&amp;J2689&amp;" "&amp;N2689</f>
        <v>Differentials Graphite     CIF Vietnam (Diff) </v>
      </c>
      <c r="S2689" s="25"/>
      <c r="T2689" s="8"/>
      <c r="U2689" s="8"/>
      <c r="V2689" s="25"/>
      <c r="W2689" s="25"/>
      <c r="X2689" s="25"/>
      <c r="Y2689" s="25"/>
      <c r="Z2689" s="25"/>
      <c r="AA2689" s="25"/>
      <c r="AB2689" s="25"/>
      <c r="AC2689" s="25"/>
      <c r="AD2689" s="25"/>
    </row>
    <row r="2690" customFormat="false" ht="15.75" hidden="false" customHeight="false" outlineLevel="0" collapsed="false">
      <c r="A2690" s="28" t="s">
        <v>3173</v>
      </c>
      <c r="B2690" s="27" t="s">
        <v>438</v>
      </c>
      <c r="C2690" s="27" t="s">
        <v>308</v>
      </c>
      <c r="D2690" s="25"/>
      <c r="E2690" s="25"/>
      <c r="F2690" s="25"/>
      <c r="G2690" s="25"/>
      <c r="H2690" s="25"/>
      <c r="I2690" s="25"/>
      <c r="J2690" s="27" t="s">
        <v>3119</v>
      </c>
      <c r="K2690" s="25" t="str">
        <f aca="false">IFERROR(__xludf.dummyfunction("SPLIT(J2690,"" "")"),"CIF")</f>
        <v>CIF</v>
      </c>
      <c r="L2690" s="28" t="str">
        <f aca="false">IFERROR(__xludf.dummyfunction("""COMPUTED_VALUE"""),"Vietnam")</f>
        <v>Vietnam</v>
      </c>
      <c r="M2690" s="27" t="str">
        <f aca="false">IFERROR(__xludf.dummyfunction("""COMPUTED_VALUE"""),"(Diff)")</f>
        <v>(Diff)</v>
      </c>
      <c r="N2690" s="25"/>
      <c r="O2690" s="25"/>
      <c r="P2690" s="25"/>
      <c r="Q2690" s="29" t="s">
        <v>319</v>
      </c>
      <c r="R2690" s="8" t="str">
        <f aca="false">B2690&amp;" "&amp;C2690&amp;" "&amp;D2690&amp;" "&amp;E2690&amp;" "&amp;G2690&amp;" "&amp;H2690&amp;" "&amp;J2690&amp;" "&amp;N2690</f>
        <v>Differentials Graphite     CIF Vietnam (Diff) </v>
      </c>
      <c r="S2690" s="25"/>
      <c r="T2690" s="8"/>
      <c r="U2690" s="8"/>
      <c r="V2690" s="25"/>
      <c r="W2690" s="25"/>
      <c r="X2690" s="25"/>
      <c r="Y2690" s="25"/>
      <c r="Z2690" s="25"/>
      <c r="AA2690" s="25"/>
      <c r="AB2690" s="25"/>
      <c r="AC2690" s="25"/>
      <c r="AD2690" s="25"/>
    </row>
    <row r="2691" customFormat="false" ht="15.75" hidden="false" customHeight="false" outlineLevel="0" collapsed="false">
      <c r="A2691" s="28" t="s">
        <v>3174</v>
      </c>
      <c r="B2691" s="27" t="s">
        <v>438</v>
      </c>
      <c r="C2691" s="27" t="s">
        <v>308</v>
      </c>
      <c r="D2691" s="25"/>
      <c r="E2691" s="25"/>
      <c r="F2691" s="25"/>
      <c r="G2691" s="25"/>
      <c r="H2691" s="25"/>
      <c r="I2691" s="25"/>
      <c r="J2691" s="27" t="s">
        <v>3119</v>
      </c>
      <c r="K2691" s="25" t="str">
        <f aca="false">IFERROR(__xludf.dummyfunction("SPLIT(J2691,"" "")"),"CIF")</f>
        <v>CIF</v>
      </c>
      <c r="L2691" s="28" t="str">
        <f aca="false">IFERROR(__xludf.dummyfunction("""COMPUTED_VALUE"""),"Vietnam")</f>
        <v>Vietnam</v>
      </c>
      <c r="M2691" s="27" t="str">
        <f aca="false">IFERROR(__xludf.dummyfunction("""COMPUTED_VALUE"""),"(Diff)")</f>
        <v>(Diff)</v>
      </c>
      <c r="N2691" s="25"/>
      <c r="O2691" s="25"/>
      <c r="P2691" s="25"/>
      <c r="Q2691" s="29" t="s">
        <v>315</v>
      </c>
      <c r="R2691" s="8" t="str">
        <f aca="false">B2691&amp;" "&amp;C2691&amp;" "&amp;D2691&amp;" "&amp;E2691&amp;" "&amp;G2691&amp;" "&amp;H2691&amp;" "&amp;J2691&amp;" "&amp;N2691</f>
        <v>Differentials Graphite     CIF Vietnam (Diff) </v>
      </c>
      <c r="S2691" s="25"/>
      <c r="T2691" s="8"/>
      <c r="U2691" s="8"/>
      <c r="V2691" s="25"/>
      <c r="W2691" s="25"/>
      <c r="X2691" s="25"/>
      <c r="Y2691" s="25"/>
      <c r="Z2691" s="25"/>
      <c r="AA2691" s="25"/>
      <c r="AB2691" s="25"/>
      <c r="AC2691" s="25"/>
      <c r="AD2691" s="25"/>
    </row>
    <row r="2692" customFormat="false" ht="15.75" hidden="false" customHeight="false" outlineLevel="0" collapsed="false">
      <c r="A2692" s="28" t="s">
        <v>3175</v>
      </c>
      <c r="B2692" s="27" t="s">
        <v>438</v>
      </c>
      <c r="C2692" s="27" t="s">
        <v>308</v>
      </c>
      <c r="D2692" s="25"/>
      <c r="E2692" s="25"/>
      <c r="F2692" s="25"/>
      <c r="G2692" s="25"/>
      <c r="H2692" s="25"/>
      <c r="I2692" s="25"/>
      <c r="J2692" s="27" t="s">
        <v>3119</v>
      </c>
      <c r="K2692" s="25" t="str">
        <f aca="false">IFERROR(__xludf.dummyfunction("SPLIT(J2692,"" "")"),"CIF")</f>
        <v>CIF</v>
      </c>
      <c r="L2692" s="28" t="str">
        <f aca="false">IFERROR(__xludf.dummyfunction("""COMPUTED_VALUE"""),"Vietnam")</f>
        <v>Vietnam</v>
      </c>
      <c r="M2692" s="27" t="str">
        <f aca="false">IFERROR(__xludf.dummyfunction("""COMPUTED_VALUE"""),"(Diff)")</f>
        <v>(Diff)</v>
      </c>
      <c r="N2692" s="25"/>
      <c r="O2692" s="25"/>
      <c r="P2692" s="25"/>
      <c r="Q2692" s="29" t="s">
        <v>311</v>
      </c>
      <c r="R2692" s="8" t="str">
        <f aca="false">B2692&amp;" "&amp;C2692&amp;" "&amp;D2692&amp;" "&amp;E2692&amp;" "&amp;G2692&amp;" "&amp;H2692&amp;" "&amp;J2692&amp;" "&amp;N2692</f>
        <v>Differentials Graphite     CIF Vietnam (Diff) </v>
      </c>
      <c r="S2692" s="25"/>
      <c r="T2692" s="8"/>
      <c r="U2692" s="8"/>
      <c r="V2692" s="25"/>
      <c r="W2692" s="25"/>
      <c r="X2692" s="25"/>
      <c r="Y2692" s="25"/>
      <c r="Z2692" s="25"/>
      <c r="AA2692" s="25"/>
      <c r="AB2692" s="25"/>
      <c r="AC2692" s="25"/>
      <c r="AD2692" s="25"/>
    </row>
    <row r="2693" customFormat="false" ht="15.75" hidden="false" customHeight="false" outlineLevel="0" collapsed="false">
      <c r="A2693" s="28" t="s">
        <v>3176</v>
      </c>
      <c r="B2693" s="27" t="s">
        <v>438</v>
      </c>
      <c r="C2693" s="27" t="s">
        <v>360</v>
      </c>
      <c r="D2693" s="25"/>
      <c r="E2693" s="25"/>
      <c r="F2693" s="25"/>
      <c r="G2693" s="25"/>
      <c r="H2693" s="25"/>
      <c r="I2693" s="25"/>
      <c r="J2693" s="27" t="s">
        <v>3119</v>
      </c>
      <c r="K2693" s="25" t="str">
        <f aca="false">IFERROR(__xludf.dummyfunction("SPLIT(J2693,"" "")"),"CIF")</f>
        <v>CIF</v>
      </c>
      <c r="L2693" s="28" t="str">
        <f aca="false">IFERROR(__xludf.dummyfunction("""COMPUTED_VALUE"""),"Vietnam")</f>
        <v>Vietnam</v>
      </c>
      <c r="M2693" s="27" t="str">
        <f aca="false">IFERROR(__xludf.dummyfunction("""COMPUTED_VALUE"""),"(Diff)")</f>
        <v>(Diff)</v>
      </c>
      <c r="N2693" s="25"/>
      <c r="O2693" s="25"/>
      <c r="P2693" s="25"/>
      <c r="Q2693" s="29" t="s">
        <v>368</v>
      </c>
      <c r="R2693" s="8" t="str">
        <f aca="false">B2693&amp;" "&amp;C2693&amp;" "&amp;D2693&amp;" "&amp;E2693&amp;" "&amp;G2693&amp;" "&amp;H2693&amp;" "&amp;J2693&amp;" "&amp;N2693</f>
        <v>Differentials Lithium     CIF Vietnam (Diff) </v>
      </c>
      <c r="S2693" s="25"/>
      <c r="T2693" s="8"/>
      <c r="U2693" s="8"/>
      <c r="V2693" s="25"/>
      <c r="W2693" s="25"/>
      <c r="X2693" s="25"/>
      <c r="Y2693" s="25"/>
      <c r="Z2693" s="25"/>
      <c r="AA2693" s="25"/>
      <c r="AB2693" s="25"/>
      <c r="AC2693" s="25"/>
      <c r="AD2693" s="25"/>
    </row>
    <row r="2694" customFormat="false" ht="15.75" hidden="false" customHeight="false" outlineLevel="0" collapsed="false">
      <c r="A2694" s="28" t="s">
        <v>3177</v>
      </c>
      <c r="B2694" s="27" t="s">
        <v>438</v>
      </c>
      <c r="C2694" s="27" t="s">
        <v>360</v>
      </c>
      <c r="D2694" s="25"/>
      <c r="E2694" s="25"/>
      <c r="F2694" s="25"/>
      <c r="G2694" s="25"/>
      <c r="H2694" s="25"/>
      <c r="I2694" s="25"/>
      <c r="J2694" s="27" t="s">
        <v>3119</v>
      </c>
      <c r="K2694" s="25" t="str">
        <f aca="false">IFERROR(__xludf.dummyfunction("SPLIT(J2694,"" "")"),"CIF")</f>
        <v>CIF</v>
      </c>
      <c r="L2694" s="28" t="str">
        <f aca="false">IFERROR(__xludf.dummyfunction("""COMPUTED_VALUE"""),"Vietnam")</f>
        <v>Vietnam</v>
      </c>
      <c r="M2694" s="27" t="str">
        <f aca="false">IFERROR(__xludf.dummyfunction("""COMPUTED_VALUE"""),"(Diff)")</f>
        <v>(Diff)</v>
      </c>
      <c r="N2694" s="25"/>
      <c r="O2694" s="25"/>
      <c r="P2694" s="25"/>
      <c r="Q2694" s="29" t="s">
        <v>366</v>
      </c>
      <c r="R2694" s="8" t="str">
        <f aca="false">B2694&amp;" "&amp;C2694&amp;" "&amp;D2694&amp;" "&amp;E2694&amp;" "&amp;G2694&amp;" "&amp;H2694&amp;" "&amp;J2694&amp;" "&amp;N2694</f>
        <v>Differentials Lithium     CIF Vietnam (Diff) </v>
      </c>
      <c r="S2694" s="25"/>
      <c r="T2694" s="8"/>
      <c r="U2694" s="8"/>
      <c r="V2694" s="25"/>
      <c r="W2694" s="25"/>
      <c r="X2694" s="25"/>
      <c r="Y2694" s="25"/>
      <c r="Z2694" s="25"/>
      <c r="AA2694" s="25"/>
      <c r="AB2694" s="25"/>
      <c r="AC2694" s="25"/>
      <c r="AD2694" s="25"/>
    </row>
    <row r="2695" customFormat="false" ht="15.75" hidden="false" customHeight="false" outlineLevel="0" collapsed="false">
      <c r="A2695" s="28" t="s">
        <v>3178</v>
      </c>
      <c r="B2695" s="27" t="s">
        <v>438</v>
      </c>
      <c r="C2695" s="27" t="s">
        <v>360</v>
      </c>
      <c r="D2695" s="25"/>
      <c r="E2695" s="25"/>
      <c r="F2695" s="25"/>
      <c r="G2695" s="25"/>
      <c r="H2695" s="25"/>
      <c r="I2695" s="25"/>
      <c r="J2695" s="27" t="s">
        <v>3119</v>
      </c>
      <c r="K2695" s="25" t="str">
        <f aca="false">IFERROR(__xludf.dummyfunction("SPLIT(J2695,"" "")"),"CIF")</f>
        <v>CIF</v>
      </c>
      <c r="L2695" s="28" t="str">
        <f aca="false">IFERROR(__xludf.dummyfunction("""COMPUTED_VALUE"""),"Vietnam")</f>
        <v>Vietnam</v>
      </c>
      <c r="M2695" s="27" t="str">
        <f aca="false">IFERROR(__xludf.dummyfunction("""COMPUTED_VALUE"""),"(Diff)")</f>
        <v>(Diff)</v>
      </c>
      <c r="N2695" s="25"/>
      <c r="O2695" s="25"/>
      <c r="P2695" s="25"/>
      <c r="Q2695" s="29" t="s">
        <v>361</v>
      </c>
      <c r="R2695" s="8" t="str">
        <f aca="false">B2695&amp;" "&amp;C2695&amp;" "&amp;D2695&amp;" "&amp;E2695&amp;" "&amp;G2695&amp;" "&amp;H2695&amp;" "&amp;J2695&amp;" "&amp;N2695</f>
        <v>Differentials Lithium     CIF Vietnam (Diff) </v>
      </c>
      <c r="S2695" s="25"/>
      <c r="T2695" s="8"/>
      <c r="U2695" s="8"/>
      <c r="V2695" s="25"/>
      <c r="W2695" s="25"/>
      <c r="X2695" s="25"/>
      <c r="Y2695" s="25"/>
      <c r="Z2695" s="25"/>
      <c r="AA2695" s="25"/>
      <c r="AB2695" s="25"/>
      <c r="AC2695" s="25"/>
      <c r="AD2695" s="25"/>
    </row>
    <row r="2696" customFormat="false" ht="15.75" hidden="false" customHeight="false" outlineLevel="0" collapsed="false">
      <c r="A2696" s="28" t="s">
        <v>3179</v>
      </c>
      <c r="B2696" s="27" t="s">
        <v>438</v>
      </c>
      <c r="C2696" s="27" t="s">
        <v>360</v>
      </c>
      <c r="D2696" s="25"/>
      <c r="E2696" s="25"/>
      <c r="F2696" s="25"/>
      <c r="G2696" s="25"/>
      <c r="H2696" s="25"/>
      <c r="I2696" s="25"/>
      <c r="J2696" s="27" t="s">
        <v>3119</v>
      </c>
      <c r="K2696" s="25" t="str">
        <f aca="false">IFERROR(__xludf.dummyfunction("SPLIT(J2696,"" "")"),"CIF")</f>
        <v>CIF</v>
      </c>
      <c r="L2696" s="28" t="str">
        <f aca="false">IFERROR(__xludf.dummyfunction("""COMPUTED_VALUE"""),"Vietnam")</f>
        <v>Vietnam</v>
      </c>
      <c r="M2696" s="27" t="str">
        <f aca="false">IFERROR(__xludf.dummyfunction("""COMPUTED_VALUE"""),"(Diff)")</f>
        <v>(Diff)</v>
      </c>
      <c r="N2696" s="25"/>
      <c r="O2696" s="25"/>
      <c r="P2696" s="25"/>
      <c r="Q2696" s="29" t="s">
        <v>363</v>
      </c>
      <c r="R2696" s="8" t="str">
        <f aca="false">B2696&amp;" "&amp;C2696&amp;" "&amp;D2696&amp;" "&amp;E2696&amp;" "&amp;G2696&amp;" "&amp;H2696&amp;" "&amp;J2696&amp;" "&amp;N2696</f>
        <v>Differentials Lithium     CIF Vietnam (Diff) </v>
      </c>
      <c r="S2696" s="25"/>
      <c r="T2696" s="8"/>
      <c r="U2696" s="8"/>
      <c r="V2696" s="25"/>
      <c r="W2696" s="25"/>
      <c r="X2696" s="25"/>
      <c r="Y2696" s="25"/>
      <c r="Z2696" s="25"/>
      <c r="AA2696" s="25"/>
      <c r="AB2696" s="25"/>
      <c r="AC2696" s="25"/>
      <c r="AD2696" s="25"/>
    </row>
    <row r="2697" customFormat="false" ht="15.75" hidden="false" customHeight="false" outlineLevel="0" collapsed="false">
      <c r="A2697" s="28" t="s">
        <v>3180</v>
      </c>
      <c r="B2697" s="27" t="s">
        <v>438</v>
      </c>
      <c r="C2697" s="27" t="s">
        <v>360</v>
      </c>
      <c r="D2697" s="25"/>
      <c r="E2697" s="25"/>
      <c r="F2697" s="25"/>
      <c r="G2697" s="25"/>
      <c r="H2697" s="25"/>
      <c r="I2697" s="25"/>
      <c r="J2697" s="27" t="s">
        <v>3119</v>
      </c>
      <c r="K2697" s="25" t="str">
        <f aca="false">IFERROR(__xludf.dummyfunction("SPLIT(J2697,"" "")"),"CIF")</f>
        <v>CIF</v>
      </c>
      <c r="L2697" s="28" t="str">
        <f aca="false">IFERROR(__xludf.dummyfunction("""COMPUTED_VALUE"""),"Vietnam")</f>
        <v>Vietnam</v>
      </c>
      <c r="M2697" s="27" t="str">
        <f aca="false">IFERROR(__xludf.dummyfunction("""COMPUTED_VALUE"""),"(Diff)")</f>
        <v>(Diff)</v>
      </c>
      <c r="N2697" s="25"/>
      <c r="O2697" s="25"/>
      <c r="P2697" s="25"/>
      <c r="Q2697" s="29" t="s">
        <v>361</v>
      </c>
      <c r="R2697" s="8" t="str">
        <f aca="false">B2697&amp;" "&amp;C2697&amp;" "&amp;D2697&amp;" "&amp;E2697&amp;" "&amp;G2697&amp;" "&amp;H2697&amp;" "&amp;J2697&amp;" "&amp;N2697</f>
        <v>Differentials Lithium     CIF Vietnam (Diff) </v>
      </c>
      <c r="S2697" s="25"/>
      <c r="T2697" s="8"/>
      <c r="U2697" s="8"/>
      <c r="V2697" s="25"/>
      <c r="W2697" s="25"/>
      <c r="X2697" s="25"/>
      <c r="Y2697" s="25"/>
      <c r="Z2697" s="25"/>
      <c r="AA2697" s="25"/>
      <c r="AB2697" s="25"/>
      <c r="AC2697" s="25"/>
      <c r="AD2697" s="25"/>
    </row>
    <row r="2698" customFormat="false" ht="15.75" hidden="false" customHeight="false" outlineLevel="0" collapsed="false">
      <c r="A2698" s="28" t="s">
        <v>3181</v>
      </c>
      <c r="B2698" s="27" t="s">
        <v>438</v>
      </c>
      <c r="C2698" s="27" t="s">
        <v>383</v>
      </c>
      <c r="D2698" s="25"/>
      <c r="E2698" s="25"/>
      <c r="F2698" s="25"/>
      <c r="G2698" s="25"/>
      <c r="H2698" s="25"/>
      <c r="I2698" s="25"/>
      <c r="J2698" s="27" t="s">
        <v>3119</v>
      </c>
      <c r="K2698" s="25" t="str">
        <f aca="false">IFERROR(__xludf.dummyfunction("SPLIT(J2698,"" "")"),"CIF")</f>
        <v>CIF</v>
      </c>
      <c r="L2698" s="28" t="str">
        <f aca="false">IFERROR(__xludf.dummyfunction("""COMPUTED_VALUE"""),"Vietnam")</f>
        <v>Vietnam</v>
      </c>
      <c r="M2698" s="27" t="str">
        <f aca="false">IFERROR(__xludf.dummyfunction("""COMPUTED_VALUE"""),"(Diff)")</f>
        <v>(Diff)</v>
      </c>
      <c r="N2698" s="25"/>
      <c r="O2698" s="25"/>
      <c r="P2698" s="25"/>
      <c r="Q2698" s="29" t="s">
        <v>406</v>
      </c>
      <c r="R2698" s="8" t="str">
        <f aca="false">B2698&amp;" "&amp;C2698&amp;" "&amp;D2698&amp;" "&amp;E2698&amp;" "&amp;G2698&amp;" "&amp;H2698&amp;" "&amp;J2698&amp;" "&amp;N2698</f>
        <v>Differentials Precursor     CIF Vietnam (Diff) </v>
      </c>
      <c r="S2698" s="25"/>
      <c r="T2698" s="8"/>
      <c r="U2698" s="8"/>
      <c r="V2698" s="25"/>
      <c r="W2698" s="25"/>
      <c r="X2698" s="25"/>
      <c r="Y2698" s="25"/>
      <c r="Z2698" s="25"/>
      <c r="AA2698" s="25"/>
      <c r="AB2698" s="25"/>
      <c r="AC2698" s="25"/>
      <c r="AD2698" s="25"/>
    </row>
    <row r="2699" customFormat="false" ht="15.75" hidden="false" customHeight="false" outlineLevel="0" collapsed="false">
      <c r="A2699" s="28" t="s">
        <v>3182</v>
      </c>
      <c r="B2699" s="27" t="s">
        <v>438</v>
      </c>
      <c r="C2699" s="27" t="s">
        <v>383</v>
      </c>
      <c r="D2699" s="25"/>
      <c r="E2699" s="25"/>
      <c r="F2699" s="25"/>
      <c r="G2699" s="25"/>
      <c r="H2699" s="25"/>
      <c r="I2699" s="25"/>
      <c r="J2699" s="27" t="s">
        <v>3119</v>
      </c>
      <c r="K2699" s="25" t="str">
        <f aca="false">IFERROR(__xludf.dummyfunction("SPLIT(J2699,"" "")"),"CIF")</f>
        <v>CIF</v>
      </c>
      <c r="L2699" s="28" t="str">
        <f aca="false">IFERROR(__xludf.dummyfunction("""COMPUTED_VALUE"""),"Vietnam")</f>
        <v>Vietnam</v>
      </c>
      <c r="M2699" s="27" t="str">
        <f aca="false">IFERROR(__xludf.dummyfunction("""COMPUTED_VALUE"""),"(Diff)")</f>
        <v>(Diff)</v>
      </c>
      <c r="N2699" s="25"/>
      <c r="O2699" s="25"/>
      <c r="P2699" s="25"/>
      <c r="Q2699" s="29" t="s">
        <v>404</v>
      </c>
      <c r="R2699" s="8" t="str">
        <f aca="false">B2699&amp;" "&amp;C2699&amp;" "&amp;D2699&amp;" "&amp;E2699&amp;" "&amp;G2699&amp;" "&amp;H2699&amp;" "&amp;J2699&amp;" "&amp;N2699</f>
        <v>Differentials Precursor     CIF Vietnam (Diff) </v>
      </c>
      <c r="S2699" s="25"/>
      <c r="T2699" s="8"/>
      <c r="U2699" s="8"/>
      <c r="V2699" s="25"/>
      <c r="W2699" s="25"/>
      <c r="X2699" s="25"/>
      <c r="Y2699" s="25"/>
      <c r="Z2699" s="25"/>
      <c r="AA2699" s="25"/>
      <c r="AB2699" s="25"/>
      <c r="AC2699" s="25"/>
      <c r="AD2699" s="25"/>
    </row>
    <row r="2700" customFormat="false" ht="15.75" hidden="false" customHeight="false" outlineLevel="0" collapsed="false">
      <c r="A2700" s="28" t="s">
        <v>3183</v>
      </c>
      <c r="B2700" s="27" t="s">
        <v>438</v>
      </c>
      <c r="C2700" s="27" t="s">
        <v>383</v>
      </c>
      <c r="D2700" s="25"/>
      <c r="E2700" s="25"/>
      <c r="F2700" s="25"/>
      <c r="G2700" s="25"/>
      <c r="H2700" s="25"/>
      <c r="I2700" s="25"/>
      <c r="J2700" s="27" t="s">
        <v>3119</v>
      </c>
      <c r="K2700" s="25" t="str">
        <f aca="false">IFERROR(__xludf.dummyfunction("SPLIT(J2700,"" "")"),"CIF")</f>
        <v>CIF</v>
      </c>
      <c r="L2700" s="28" t="str">
        <f aca="false">IFERROR(__xludf.dummyfunction("""COMPUTED_VALUE"""),"Vietnam")</f>
        <v>Vietnam</v>
      </c>
      <c r="M2700" s="27" t="str">
        <f aca="false">IFERROR(__xludf.dummyfunction("""COMPUTED_VALUE"""),"(Diff)")</f>
        <v>(Diff)</v>
      </c>
      <c r="N2700" s="25"/>
      <c r="O2700" s="25"/>
      <c r="P2700" s="25"/>
      <c r="Q2700" s="29" t="s">
        <v>402</v>
      </c>
      <c r="R2700" s="8" t="str">
        <f aca="false">B2700&amp;" "&amp;C2700&amp;" "&amp;D2700&amp;" "&amp;E2700&amp;" "&amp;G2700&amp;" "&amp;H2700&amp;" "&amp;J2700&amp;" "&amp;N2700</f>
        <v>Differentials Precursor     CIF Vietnam (Diff) </v>
      </c>
      <c r="S2700" s="25"/>
      <c r="T2700" s="8"/>
      <c r="U2700" s="8"/>
      <c r="V2700" s="25"/>
      <c r="W2700" s="25"/>
      <c r="X2700" s="25"/>
      <c r="Y2700" s="25"/>
      <c r="Z2700" s="25"/>
      <c r="AA2700" s="25"/>
      <c r="AB2700" s="25"/>
      <c r="AC2700" s="25"/>
      <c r="AD2700" s="25"/>
    </row>
    <row r="2701" customFormat="false" ht="15.75" hidden="false" customHeight="false" outlineLevel="0" collapsed="false">
      <c r="A2701" s="28" t="s">
        <v>3184</v>
      </c>
      <c r="B2701" s="27" t="s">
        <v>438</v>
      </c>
      <c r="C2701" s="27" t="s">
        <v>383</v>
      </c>
      <c r="D2701" s="25"/>
      <c r="E2701" s="25"/>
      <c r="F2701" s="25"/>
      <c r="G2701" s="25"/>
      <c r="H2701" s="25"/>
      <c r="I2701" s="25"/>
      <c r="J2701" s="27" t="s">
        <v>3119</v>
      </c>
      <c r="K2701" s="25" t="str">
        <f aca="false">IFERROR(__xludf.dummyfunction("SPLIT(J2701,"" "")"),"CIF")</f>
        <v>CIF</v>
      </c>
      <c r="L2701" s="28" t="str">
        <f aca="false">IFERROR(__xludf.dummyfunction("""COMPUTED_VALUE"""),"Vietnam")</f>
        <v>Vietnam</v>
      </c>
      <c r="M2701" s="27" t="str">
        <f aca="false">IFERROR(__xludf.dummyfunction("""COMPUTED_VALUE"""),"(Diff)")</f>
        <v>(Diff)</v>
      </c>
      <c r="N2701" s="25"/>
      <c r="O2701" s="25"/>
      <c r="P2701" s="25"/>
      <c r="Q2701" s="29" t="s">
        <v>400</v>
      </c>
      <c r="R2701" s="8" t="str">
        <f aca="false">B2701&amp;" "&amp;C2701&amp;" "&amp;D2701&amp;" "&amp;E2701&amp;" "&amp;G2701&amp;" "&amp;H2701&amp;" "&amp;J2701&amp;" "&amp;N2701</f>
        <v>Differentials Precursor     CIF Vietnam (Diff) </v>
      </c>
      <c r="S2701" s="25"/>
      <c r="T2701" s="8"/>
      <c r="U2701" s="8"/>
      <c r="V2701" s="25"/>
      <c r="W2701" s="25"/>
      <c r="X2701" s="25"/>
      <c r="Y2701" s="25"/>
      <c r="Z2701" s="25"/>
      <c r="AA2701" s="25"/>
      <c r="AB2701" s="25"/>
      <c r="AC2701" s="25"/>
      <c r="AD2701" s="25"/>
    </row>
    <row r="2702" customFormat="false" ht="15.75" hidden="false" customHeight="false" outlineLevel="0" collapsed="false">
      <c r="A2702" s="28" t="s">
        <v>3185</v>
      </c>
      <c r="B2702" s="27" t="s">
        <v>438</v>
      </c>
      <c r="C2702" s="27" t="s">
        <v>383</v>
      </c>
      <c r="D2702" s="25"/>
      <c r="E2702" s="25"/>
      <c r="F2702" s="25"/>
      <c r="G2702" s="25"/>
      <c r="H2702" s="25"/>
      <c r="I2702" s="25"/>
      <c r="J2702" s="27" t="s">
        <v>3119</v>
      </c>
      <c r="K2702" s="25" t="str">
        <f aca="false">IFERROR(__xludf.dummyfunction("SPLIT(J2702,"" "")"),"CIF")</f>
        <v>CIF</v>
      </c>
      <c r="L2702" s="28" t="str">
        <f aca="false">IFERROR(__xludf.dummyfunction("""COMPUTED_VALUE"""),"Vietnam")</f>
        <v>Vietnam</v>
      </c>
      <c r="M2702" s="27" t="str">
        <f aca="false">IFERROR(__xludf.dummyfunction("""COMPUTED_VALUE"""),"(Diff)")</f>
        <v>(Diff)</v>
      </c>
      <c r="N2702" s="25"/>
      <c r="O2702" s="25"/>
      <c r="P2702" s="25"/>
      <c r="Q2702" s="29" t="s">
        <v>398</v>
      </c>
      <c r="R2702" s="8" t="str">
        <f aca="false">B2702&amp;" "&amp;C2702&amp;" "&amp;D2702&amp;" "&amp;E2702&amp;" "&amp;G2702&amp;" "&amp;H2702&amp;" "&amp;J2702&amp;" "&amp;N2702</f>
        <v>Differentials Precursor     CIF Vietnam (Diff) </v>
      </c>
      <c r="S2702" s="25"/>
      <c r="T2702" s="8"/>
      <c r="U2702" s="8"/>
      <c r="V2702" s="25"/>
      <c r="W2702" s="25"/>
      <c r="X2702" s="25"/>
      <c r="Y2702" s="25"/>
      <c r="Z2702" s="25"/>
      <c r="AA2702" s="25"/>
      <c r="AB2702" s="25"/>
      <c r="AC2702" s="25"/>
      <c r="AD2702" s="25"/>
    </row>
    <row r="2703" customFormat="false" ht="15.75" hidden="false" customHeight="false" outlineLevel="0" collapsed="false">
      <c r="A2703" s="28" t="s">
        <v>3186</v>
      </c>
      <c r="B2703" s="27" t="s">
        <v>438</v>
      </c>
      <c r="C2703" s="27" t="s">
        <v>383</v>
      </c>
      <c r="D2703" s="25"/>
      <c r="E2703" s="25"/>
      <c r="F2703" s="25"/>
      <c r="G2703" s="25"/>
      <c r="H2703" s="25"/>
      <c r="I2703" s="25"/>
      <c r="J2703" s="27" t="s">
        <v>3119</v>
      </c>
      <c r="K2703" s="25" t="str">
        <f aca="false">IFERROR(__xludf.dummyfunction("SPLIT(J2703,"" "")"),"CIF")</f>
        <v>CIF</v>
      </c>
      <c r="L2703" s="28" t="str">
        <f aca="false">IFERROR(__xludf.dummyfunction("""COMPUTED_VALUE"""),"Vietnam")</f>
        <v>Vietnam</v>
      </c>
      <c r="M2703" s="27" t="str">
        <f aca="false">IFERROR(__xludf.dummyfunction("""COMPUTED_VALUE"""),"(Diff)")</f>
        <v>(Diff)</v>
      </c>
      <c r="N2703" s="25"/>
      <c r="O2703" s="25"/>
      <c r="P2703" s="25"/>
      <c r="Q2703" s="29" t="s">
        <v>259</v>
      </c>
      <c r="R2703" s="8" t="str">
        <f aca="false">B2703&amp;" "&amp;C2703&amp;" "&amp;D2703&amp;" "&amp;E2703&amp;" "&amp;G2703&amp;" "&amp;H2703&amp;" "&amp;J2703&amp;" "&amp;N2703</f>
        <v>Differentials Precursor     CIF Vietnam (Diff) </v>
      </c>
      <c r="S2703" s="25"/>
      <c r="T2703" s="8"/>
      <c r="U2703" s="8"/>
      <c r="V2703" s="25"/>
      <c r="W2703" s="25"/>
      <c r="X2703" s="25"/>
      <c r="Y2703" s="25"/>
      <c r="Z2703" s="25"/>
      <c r="AA2703" s="25"/>
      <c r="AB2703" s="25"/>
      <c r="AC2703" s="25"/>
      <c r="AD2703" s="25"/>
    </row>
    <row r="2704" customFormat="false" ht="15.75" hidden="false" customHeight="false" outlineLevel="0" collapsed="false">
      <c r="A2704" s="28" t="s">
        <v>3187</v>
      </c>
      <c r="B2704" s="27" t="s">
        <v>438</v>
      </c>
      <c r="C2704" s="27" t="s">
        <v>383</v>
      </c>
      <c r="D2704" s="25"/>
      <c r="E2704" s="25"/>
      <c r="F2704" s="25"/>
      <c r="G2704" s="25"/>
      <c r="H2704" s="25"/>
      <c r="I2704" s="25"/>
      <c r="J2704" s="27" t="s">
        <v>3119</v>
      </c>
      <c r="K2704" s="25" t="str">
        <f aca="false">IFERROR(__xludf.dummyfunction("SPLIT(J2704,"" "")"),"CIF")</f>
        <v>CIF</v>
      </c>
      <c r="L2704" s="28" t="str">
        <f aca="false">IFERROR(__xludf.dummyfunction("""COMPUTED_VALUE"""),"Vietnam")</f>
        <v>Vietnam</v>
      </c>
      <c r="M2704" s="27" t="str">
        <f aca="false">IFERROR(__xludf.dummyfunction("""COMPUTED_VALUE"""),"(Diff)")</f>
        <v>(Diff)</v>
      </c>
      <c r="N2704" s="25"/>
      <c r="O2704" s="25"/>
      <c r="P2704" s="25"/>
      <c r="Q2704" s="29" t="s">
        <v>395</v>
      </c>
      <c r="R2704" s="8" t="str">
        <f aca="false">B2704&amp;" "&amp;C2704&amp;" "&amp;D2704&amp;" "&amp;E2704&amp;" "&amp;G2704&amp;" "&amp;H2704&amp;" "&amp;J2704&amp;" "&amp;N2704</f>
        <v>Differentials Precursor     CIF Vietnam (Diff) </v>
      </c>
      <c r="S2704" s="25"/>
      <c r="T2704" s="8"/>
      <c r="U2704" s="8"/>
      <c r="V2704" s="25"/>
      <c r="W2704" s="25"/>
      <c r="X2704" s="25"/>
      <c r="Y2704" s="25"/>
      <c r="Z2704" s="25"/>
      <c r="AA2704" s="25"/>
      <c r="AB2704" s="25"/>
      <c r="AC2704" s="25"/>
      <c r="AD2704" s="25"/>
    </row>
    <row r="2705" customFormat="false" ht="15.75" hidden="false" customHeight="false" outlineLevel="0" collapsed="false">
      <c r="A2705" s="28" t="s">
        <v>3188</v>
      </c>
      <c r="B2705" s="27" t="s">
        <v>438</v>
      </c>
      <c r="C2705" s="27" t="s">
        <v>383</v>
      </c>
      <c r="D2705" s="25"/>
      <c r="E2705" s="25"/>
      <c r="F2705" s="25"/>
      <c r="G2705" s="25"/>
      <c r="H2705" s="25"/>
      <c r="I2705" s="25"/>
      <c r="J2705" s="27" t="s">
        <v>3119</v>
      </c>
      <c r="K2705" s="25" t="str">
        <f aca="false">IFERROR(__xludf.dummyfunction("SPLIT(J2705,"" "")"),"CIF")</f>
        <v>CIF</v>
      </c>
      <c r="L2705" s="28" t="str">
        <f aca="false">IFERROR(__xludf.dummyfunction("""COMPUTED_VALUE"""),"Vietnam")</f>
        <v>Vietnam</v>
      </c>
      <c r="M2705" s="27" t="str">
        <f aca="false">IFERROR(__xludf.dummyfunction("""COMPUTED_VALUE"""),"(Diff)")</f>
        <v>(Diff)</v>
      </c>
      <c r="N2705" s="25"/>
      <c r="O2705" s="25"/>
      <c r="P2705" s="25"/>
      <c r="Q2705" s="29" t="s">
        <v>393</v>
      </c>
      <c r="R2705" s="8" t="str">
        <f aca="false">B2705&amp;" "&amp;C2705&amp;" "&amp;D2705&amp;" "&amp;E2705&amp;" "&amp;G2705&amp;" "&amp;H2705&amp;" "&amp;J2705&amp;" "&amp;N2705</f>
        <v>Differentials Precursor     CIF Vietnam (Diff) </v>
      </c>
      <c r="S2705" s="25"/>
      <c r="T2705" s="8"/>
      <c r="U2705" s="8"/>
      <c r="V2705" s="25"/>
      <c r="W2705" s="25"/>
      <c r="X2705" s="25"/>
      <c r="Y2705" s="25"/>
      <c r="Z2705" s="25"/>
      <c r="AA2705" s="25"/>
      <c r="AB2705" s="25"/>
      <c r="AC2705" s="25"/>
      <c r="AD2705" s="25"/>
    </row>
    <row r="2706" customFormat="false" ht="15.75" hidden="false" customHeight="false" outlineLevel="0" collapsed="false">
      <c r="A2706" s="28" t="s">
        <v>3189</v>
      </c>
      <c r="B2706" s="27" t="s">
        <v>438</v>
      </c>
      <c r="C2706" s="27" t="s">
        <v>383</v>
      </c>
      <c r="D2706" s="25"/>
      <c r="E2706" s="25"/>
      <c r="F2706" s="25"/>
      <c r="G2706" s="25"/>
      <c r="H2706" s="25"/>
      <c r="I2706" s="25"/>
      <c r="J2706" s="27" t="s">
        <v>3119</v>
      </c>
      <c r="K2706" s="25" t="str">
        <f aca="false">IFERROR(__xludf.dummyfunction("SPLIT(J2706,"" "")"),"CIF")</f>
        <v>CIF</v>
      </c>
      <c r="L2706" s="28" t="str">
        <f aca="false">IFERROR(__xludf.dummyfunction("""COMPUTED_VALUE"""),"Vietnam")</f>
        <v>Vietnam</v>
      </c>
      <c r="M2706" s="27" t="str">
        <f aca="false">IFERROR(__xludf.dummyfunction("""COMPUTED_VALUE"""),"(Diff)")</f>
        <v>(Diff)</v>
      </c>
      <c r="N2706" s="25"/>
      <c r="O2706" s="25"/>
      <c r="P2706" s="25"/>
      <c r="Q2706" s="29" t="s">
        <v>391</v>
      </c>
      <c r="R2706" s="8" t="str">
        <f aca="false">B2706&amp;" "&amp;C2706&amp;" "&amp;D2706&amp;" "&amp;E2706&amp;" "&amp;G2706&amp;" "&amp;H2706&amp;" "&amp;J2706&amp;" "&amp;N2706</f>
        <v>Differentials Precursor     CIF Vietnam (Diff) </v>
      </c>
      <c r="S2706" s="25"/>
      <c r="T2706" s="8"/>
      <c r="U2706" s="8"/>
      <c r="V2706" s="25"/>
      <c r="W2706" s="25"/>
      <c r="X2706" s="25"/>
      <c r="Y2706" s="25"/>
      <c r="Z2706" s="25"/>
      <c r="AA2706" s="25"/>
      <c r="AB2706" s="25"/>
      <c r="AC2706" s="25"/>
      <c r="AD2706" s="25"/>
    </row>
    <row r="2707" customFormat="false" ht="15.75" hidden="false" customHeight="false" outlineLevel="0" collapsed="false">
      <c r="A2707" s="28" t="s">
        <v>3190</v>
      </c>
      <c r="B2707" s="27" t="s">
        <v>438</v>
      </c>
      <c r="C2707" s="27" t="s">
        <v>383</v>
      </c>
      <c r="D2707" s="25"/>
      <c r="E2707" s="25"/>
      <c r="F2707" s="25"/>
      <c r="G2707" s="25"/>
      <c r="H2707" s="25"/>
      <c r="I2707" s="25"/>
      <c r="J2707" s="27" t="s">
        <v>3119</v>
      </c>
      <c r="K2707" s="25" t="str">
        <f aca="false">IFERROR(__xludf.dummyfunction("SPLIT(J2707,"" "")"),"CIF")</f>
        <v>CIF</v>
      </c>
      <c r="L2707" s="28" t="str">
        <f aca="false">IFERROR(__xludf.dummyfunction("""COMPUTED_VALUE"""),"Vietnam")</f>
        <v>Vietnam</v>
      </c>
      <c r="M2707" s="27" t="str">
        <f aca="false">IFERROR(__xludf.dummyfunction("""COMPUTED_VALUE"""),"(Diff)")</f>
        <v>(Diff)</v>
      </c>
      <c r="N2707" s="25"/>
      <c r="O2707" s="25"/>
      <c r="P2707" s="25"/>
      <c r="Q2707" s="29" t="s">
        <v>389</v>
      </c>
      <c r="R2707" s="8" t="str">
        <f aca="false">B2707&amp;" "&amp;C2707&amp;" "&amp;D2707&amp;" "&amp;E2707&amp;" "&amp;G2707&amp;" "&amp;H2707&amp;" "&amp;J2707&amp;" "&amp;N2707</f>
        <v>Differentials Precursor     CIF Vietnam (Diff) </v>
      </c>
      <c r="S2707" s="25"/>
      <c r="T2707" s="8"/>
      <c r="U2707" s="8"/>
      <c r="V2707" s="25"/>
      <c r="W2707" s="25"/>
      <c r="X2707" s="25"/>
      <c r="Y2707" s="25"/>
      <c r="Z2707" s="25"/>
      <c r="AA2707" s="25"/>
      <c r="AB2707" s="25"/>
      <c r="AC2707" s="25"/>
      <c r="AD2707" s="25"/>
    </row>
    <row r="2708" customFormat="false" ht="15.75" hidden="false" customHeight="false" outlineLevel="0" collapsed="false">
      <c r="A2708" s="28" t="s">
        <v>3191</v>
      </c>
      <c r="B2708" s="27" t="s">
        <v>438</v>
      </c>
      <c r="C2708" s="27" t="s">
        <v>383</v>
      </c>
      <c r="D2708" s="25"/>
      <c r="E2708" s="25"/>
      <c r="F2708" s="25"/>
      <c r="G2708" s="25"/>
      <c r="H2708" s="25"/>
      <c r="I2708" s="25"/>
      <c r="J2708" s="27" t="s">
        <v>3119</v>
      </c>
      <c r="K2708" s="25" t="str">
        <f aca="false">IFERROR(__xludf.dummyfunction("SPLIT(J2708,"" "")"),"CIF")</f>
        <v>CIF</v>
      </c>
      <c r="L2708" s="28" t="str">
        <f aca="false">IFERROR(__xludf.dummyfunction("""COMPUTED_VALUE"""),"Vietnam")</f>
        <v>Vietnam</v>
      </c>
      <c r="M2708" s="27" t="str">
        <f aca="false">IFERROR(__xludf.dummyfunction("""COMPUTED_VALUE"""),"(Diff)")</f>
        <v>(Diff)</v>
      </c>
      <c r="N2708" s="25"/>
      <c r="O2708" s="25"/>
      <c r="P2708" s="25"/>
      <c r="Q2708" s="29" t="s">
        <v>387</v>
      </c>
      <c r="R2708" s="8" t="str">
        <f aca="false">B2708&amp;" "&amp;C2708&amp;" "&amp;D2708&amp;" "&amp;E2708&amp;" "&amp;G2708&amp;" "&amp;H2708&amp;" "&amp;J2708&amp;" "&amp;N2708</f>
        <v>Differentials Precursor     CIF Vietnam (Diff) </v>
      </c>
      <c r="S2708" s="25"/>
      <c r="T2708" s="8"/>
      <c r="U2708" s="8"/>
      <c r="V2708" s="25"/>
      <c r="W2708" s="25"/>
      <c r="X2708" s="25"/>
      <c r="Y2708" s="25"/>
      <c r="Z2708" s="25"/>
      <c r="AA2708" s="25"/>
      <c r="AB2708" s="25"/>
      <c r="AC2708" s="25"/>
      <c r="AD2708" s="25"/>
    </row>
    <row r="2709" customFormat="false" ht="15.75" hidden="false" customHeight="false" outlineLevel="0" collapsed="false">
      <c r="A2709" s="28" t="s">
        <v>3192</v>
      </c>
      <c r="B2709" s="27" t="s">
        <v>438</v>
      </c>
      <c r="C2709" s="27" t="s">
        <v>383</v>
      </c>
      <c r="D2709" s="25"/>
      <c r="E2709" s="25"/>
      <c r="F2709" s="25"/>
      <c r="G2709" s="25"/>
      <c r="H2709" s="25"/>
      <c r="I2709" s="25"/>
      <c r="J2709" s="27" t="s">
        <v>3119</v>
      </c>
      <c r="K2709" s="25" t="str">
        <f aca="false">IFERROR(__xludf.dummyfunction("SPLIT(J2709,"" "")"),"CIF")</f>
        <v>CIF</v>
      </c>
      <c r="L2709" s="28" t="str">
        <f aca="false">IFERROR(__xludf.dummyfunction("""COMPUTED_VALUE"""),"Vietnam")</f>
        <v>Vietnam</v>
      </c>
      <c r="M2709" s="27" t="str">
        <f aca="false">IFERROR(__xludf.dummyfunction("""COMPUTED_VALUE"""),"(Diff)")</f>
        <v>(Diff)</v>
      </c>
      <c r="N2709" s="25"/>
      <c r="O2709" s="25"/>
      <c r="P2709" s="25"/>
      <c r="Q2709" s="29" t="s">
        <v>385</v>
      </c>
      <c r="R2709" s="8" t="str">
        <f aca="false">B2709&amp;" "&amp;C2709&amp;" "&amp;D2709&amp;" "&amp;E2709&amp;" "&amp;G2709&amp;" "&amp;H2709&amp;" "&amp;J2709&amp;" "&amp;N2709</f>
        <v>Differentials Precursor     CIF Vietnam (Diff) </v>
      </c>
      <c r="S2709" s="25"/>
      <c r="T2709" s="8"/>
      <c r="U2709" s="8"/>
      <c r="V2709" s="25"/>
      <c r="W2709" s="25"/>
      <c r="X2709" s="25"/>
      <c r="Y2709" s="25"/>
      <c r="Z2709" s="25"/>
      <c r="AA2709" s="25"/>
      <c r="AB2709" s="25"/>
      <c r="AC2709" s="25"/>
      <c r="AD2709" s="25"/>
    </row>
    <row r="2710" customFormat="false" ht="15.75" hidden="false" customHeight="false" outlineLevel="0" collapsed="false">
      <c r="A2710" s="28" t="s">
        <v>3193</v>
      </c>
      <c r="B2710" s="27" t="s">
        <v>438</v>
      </c>
      <c r="C2710" s="27" t="s">
        <v>417</v>
      </c>
      <c r="D2710" s="25"/>
      <c r="E2710" s="25"/>
      <c r="F2710" s="25"/>
      <c r="G2710" s="25"/>
      <c r="H2710" s="25"/>
      <c r="I2710" s="25"/>
      <c r="J2710" s="27" t="s">
        <v>3119</v>
      </c>
      <c r="K2710" s="25" t="str">
        <f aca="false">IFERROR(__xludf.dummyfunction("SPLIT(J2710,"" "")"),"CIF")</f>
        <v>CIF</v>
      </c>
      <c r="L2710" s="28" t="str">
        <f aca="false">IFERROR(__xludf.dummyfunction("""COMPUTED_VALUE"""),"Vietnam")</f>
        <v>Vietnam</v>
      </c>
      <c r="M2710" s="27" t="str">
        <f aca="false">IFERROR(__xludf.dummyfunction("""COMPUTED_VALUE"""),"(Diff)")</f>
        <v>(Diff)</v>
      </c>
      <c r="N2710" s="25"/>
      <c r="O2710" s="25"/>
      <c r="P2710" s="25"/>
      <c r="Q2710" s="29" t="s">
        <v>436</v>
      </c>
      <c r="R2710" s="8" t="str">
        <f aca="false">B2710&amp;" "&amp;C2710&amp;" "&amp;D2710&amp;" "&amp;E2710&amp;" "&amp;G2710&amp;" "&amp;H2710&amp;" "&amp;J2710&amp;" "&amp;N2710</f>
        <v>Differentials Solvent     CIF Vietnam (Diff) </v>
      </c>
      <c r="S2710" s="25"/>
      <c r="T2710" s="8"/>
      <c r="U2710" s="8"/>
      <c r="V2710" s="25"/>
      <c r="W2710" s="25"/>
      <c r="X2710" s="25"/>
      <c r="Y2710" s="25"/>
      <c r="Z2710" s="25"/>
      <c r="AA2710" s="25"/>
      <c r="AB2710" s="25"/>
      <c r="AC2710" s="25"/>
      <c r="AD2710" s="25"/>
    </row>
    <row r="2711" customFormat="false" ht="15.75" hidden="false" customHeight="false" outlineLevel="0" collapsed="false">
      <c r="A2711" s="28" t="s">
        <v>3194</v>
      </c>
      <c r="B2711" s="27" t="s">
        <v>438</v>
      </c>
      <c r="C2711" s="27" t="s">
        <v>417</v>
      </c>
      <c r="D2711" s="25"/>
      <c r="E2711" s="25"/>
      <c r="F2711" s="25"/>
      <c r="G2711" s="25"/>
      <c r="H2711" s="25"/>
      <c r="I2711" s="25"/>
      <c r="J2711" s="27" t="s">
        <v>3119</v>
      </c>
      <c r="K2711" s="25" t="str">
        <f aca="false">IFERROR(__xludf.dummyfunction("SPLIT(J2711,"" "")"),"CIF")</f>
        <v>CIF</v>
      </c>
      <c r="L2711" s="28" t="str">
        <f aca="false">IFERROR(__xludf.dummyfunction("""COMPUTED_VALUE"""),"Vietnam")</f>
        <v>Vietnam</v>
      </c>
      <c r="M2711" s="27" t="str">
        <f aca="false">IFERROR(__xludf.dummyfunction("""COMPUTED_VALUE"""),"(Diff)")</f>
        <v>(Diff)</v>
      </c>
      <c r="N2711" s="25"/>
      <c r="O2711" s="25"/>
      <c r="P2711" s="25"/>
      <c r="Q2711" s="29" t="s">
        <v>434</v>
      </c>
      <c r="R2711" s="8" t="str">
        <f aca="false">B2711&amp;" "&amp;C2711&amp;" "&amp;D2711&amp;" "&amp;E2711&amp;" "&amp;G2711&amp;" "&amp;H2711&amp;" "&amp;J2711&amp;" "&amp;N2711</f>
        <v>Differentials Solvent     CIF Vietnam (Diff) </v>
      </c>
      <c r="S2711" s="25"/>
      <c r="T2711" s="8"/>
      <c r="U2711" s="8"/>
      <c r="V2711" s="25"/>
      <c r="W2711" s="25"/>
      <c r="X2711" s="25"/>
      <c r="Y2711" s="25"/>
      <c r="Z2711" s="25"/>
      <c r="AA2711" s="25"/>
      <c r="AB2711" s="25"/>
      <c r="AC2711" s="25"/>
      <c r="AD2711" s="25"/>
    </row>
    <row r="2712" customFormat="false" ht="15.75" hidden="false" customHeight="false" outlineLevel="0" collapsed="false">
      <c r="A2712" s="28" t="s">
        <v>3195</v>
      </c>
      <c r="B2712" s="27" t="s">
        <v>438</v>
      </c>
      <c r="C2712" s="27" t="s">
        <v>417</v>
      </c>
      <c r="D2712" s="25"/>
      <c r="E2712" s="25"/>
      <c r="F2712" s="25"/>
      <c r="G2712" s="25"/>
      <c r="H2712" s="25"/>
      <c r="I2712" s="25"/>
      <c r="J2712" s="27" t="s">
        <v>3119</v>
      </c>
      <c r="K2712" s="25" t="str">
        <f aca="false">IFERROR(__xludf.dummyfunction("SPLIT(J2712,"" "")"),"CIF")</f>
        <v>CIF</v>
      </c>
      <c r="L2712" s="28" t="str">
        <f aca="false">IFERROR(__xludf.dummyfunction("""COMPUTED_VALUE"""),"Vietnam")</f>
        <v>Vietnam</v>
      </c>
      <c r="M2712" s="27" t="str">
        <f aca="false">IFERROR(__xludf.dummyfunction("""COMPUTED_VALUE"""),"(Diff)")</f>
        <v>(Diff)</v>
      </c>
      <c r="N2712" s="25"/>
      <c r="O2712" s="25"/>
      <c r="P2712" s="25"/>
      <c r="Q2712" s="29" t="s">
        <v>432</v>
      </c>
      <c r="R2712" s="8" t="str">
        <f aca="false">B2712&amp;" "&amp;C2712&amp;" "&amp;D2712&amp;" "&amp;E2712&amp;" "&amp;G2712&amp;" "&amp;H2712&amp;" "&amp;J2712&amp;" "&amp;N2712</f>
        <v>Differentials Solvent     CIF Vietnam (Diff) </v>
      </c>
      <c r="S2712" s="25"/>
      <c r="T2712" s="8"/>
      <c r="U2712" s="8"/>
      <c r="V2712" s="25"/>
      <c r="W2712" s="25"/>
      <c r="X2712" s="25"/>
      <c r="Y2712" s="25"/>
      <c r="Z2712" s="25"/>
      <c r="AA2712" s="25"/>
      <c r="AB2712" s="25"/>
      <c r="AC2712" s="25"/>
      <c r="AD2712" s="25"/>
    </row>
    <row r="2713" customFormat="false" ht="15.75" hidden="false" customHeight="false" outlineLevel="0" collapsed="false">
      <c r="A2713" s="28" t="s">
        <v>3196</v>
      </c>
      <c r="B2713" s="27" t="s">
        <v>438</v>
      </c>
      <c r="C2713" s="27" t="s">
        <v>417</v>
      </c>
      <c r="D2713" s="25"/>
      <c r="E2713" s="25"/>
      <c r="F2713" s="25"/>
      <c r="G2713" s="25"/>
      <c r="H2713" s="25"/>
      <c r="I2713" s="25"/>
      <c r="J2713" s="27" t="s">
        <v>3119</v>
      </c>
      <c r="K2713" s="25" t="str">
        <f aca="false">IFERROR(__xludf.dummyfunction("SPLIT(J2713,"" "")"),"CIF")</f>
        <v>CIF</v>
      </c>
      <c r="L2713" s="28" t="str">
        <f aca="false">IFERROR(__xludf.dummyfunction("""COMPUTED_VALUE"""),"Vietnam")</f>
        <v>Vietnam</v>
      </c>
      <c r="M2713" s="27" t="str">
        <f aca="false">IFERROR(__xludf.dummyfunction("""COMPUTED_VALUE"""),"(Diff)")</f>
        <v>(Diff)</v>
      </c>
      <c r="N2713" s="25"/>
      <c r="O2713" s="25"/>
      <c r="P2713" s="25"/>
      <c r="Q2713" s="29" t="s">
        <v>430</v>
      </c>
      <c r="R2713" s="8" t="str">
        <f aca="false">B2713&amp;" "&amp;C2713&amp;" "&amp;D2713&amp;" "&amp;E2713&amp;" "&amp;G2713&amp;" "&amp;H2713&amp;" "&amp;J2713&amp;" "&amp;N2713</f>
        <v>Differentials Solvent     CIF Vietnam (Diff) </v>
      </c>
      <c r="S2713" s="25"/>
      <c r="T2713" s="8"/>
      <c r="U2713" s="8"/>
      <c r="V2713" s="25"/>
      <c r="W2713" s="25"/>
      <c r="X2713" s="25"/>
      <c r="Y2713" s="25"/>
      <c r="Z2713" s="25"/>
      <c r="AA2713" s="25"/>
      <c r="AB2713" s="25"/>
      <c r="AC2713" s="25"/>
      <c r="AD2713" s="25"/>
    </row>
    <row r="2714" customFormat="false" ht="15.75" hidden="false" customHeight="false" outlineLevel="0" collapsed="false">
      <c r="A2714" s="28" t="s">
        <v>3197</v>
      </c>
      <c r="B2714" s="27" t="s">
        <v>438</v>
      </c>
      <c r="C2714" s="27" t="s">
        <v>417</v>
      </c>
      <c r="D2714" s="25"/>
      <c r="E2714" s="25"/>
      <c r="F2714" s="25"/>
      <c r="G2714" s="25"/>
      <c r="H2714" s="25"/>
      <c r="I2714" s="25"/>
      <c r="J2714" s="27" t="s">
        <v>3119</v>
      </c>
      <c r="K2714" s="25" t="str">
        <f aca="false">IFERROR(__xludf.dummyfunction("SPLIT(J2714,"" "")"),"CIF")</f>
        <v>CIF</v>
      </c>
      <c r="L2714" s="28" t="str">
        <f aca="false">IFERROR(__xludf.dummyfunction("""COMPUTED_VALUE"""),"Vietnam")</f>
        <v>Vietnam</v>
      </c>
      <c r="M2714" s="27" t="str">
        <f aca="false">IFERROR(__xludf.dummyfunction("""COMPUTED_VALUE"""),"(Diff)")</f>
        <v>(Diff)</v>
      </c>
      <c r="N2714" s="25"/>
      <c r="O2714" s="25"/>
      <c r="P2714" s="25"/>
      <c r="Q2714" s="29" t="s">
        <v>428</v>
      </c>
      <c r="R2714" s="8" t="str">
        <f aca="false">B2714&amp;" "&amp;C2714&amp;" "&amp;D2714&amp;" "&amp;E2714&amp;" "&amp;G2714&amp;" "&amp;H2714&amp;" "&amp;J2714&amp;" "&amp;N2714</f>
        <v>Differentials Solvent     CIF Vietnam (Diff) </v>
      </c>
      <c r="S2714" s="25"/>
      <c r="T2714" s="8"/>
      <c r="U2714" s="8"/>
      <c r="V2714" s="25"/>
      <c r="W2714" s="25"/>
      <c r="X2714" s="25"/>
      <c r="Y2714" s="25"/>
      <c r="Z2714" s="25"/>
      <c r="AA2714" s="25"/>
      <c r="AB2714" s="25"/>
      <c r="AC2714" s="25"/>
      <c r="AD2714" s="25"/>
    </row>
    <row r="2715" customFormat="false" ht="15.75" hidden="false" customHeight="false" outlineLevel="0" collapsed="false">
      <c r="A2715" s="28" t="s">
        <v>3198</v>
      </c>
      <c r="B2715" s="27" t="s">
        <v>438</v>
      </c>
      <c r="C2715" s="27" t="s">
        <v>417</v>
      </c>
      <c r="D2715" s="25"/>
      <c r="E2715" s="25"/>
      <c r="F2715" s="25"/>
      <c r="G2715" s="25"/>
      <c r="H2715" s="25"/>
      <c r="I2715" s="25"/>
      <c r="J2715" s="27" t="s">
        <v>3119</v>
      </c>
      <c r="K2715" s="25" t="str">
        <f aca="false">IFERROR(__xludf.dummyfunction("SPLIT(J2715,"" "")"),"CIF")</f>
        <v>CIF</v>
      </c>
      <c r="L2715" s="28" t="str">
        <f aca="false">IFERROR(__xludf.dummyfunction("""COMPUTED_VALUE"""),"Vietnam")</f>
        <v>Vietnam</v>
      </c>
      <c r="M2715" s="27" t="str">
        <f aca="false">IFERROR(__xludf.dummyfunction("""COMPUTED_VALUE"""),"(Diff)")</f>
        <v>(Diff)</v>
      </c>
      <c r="N2715" s="25"/>
      <c r="O2715" s="25"/>
      <c r="P2715" s="25"/>
      <c r="Q2715" s="29" t="s">
        <v>426</v>
      </c>
      <c r="R2715" s="8" t="str">
        <f aca="false">B2715&amp;" "&amp;C2715&amp;" "&amp;D2715&amp;" "&amp;E2715&amp;" "&amp;G2715&amp;" "&amp;H2715&amp;" "&amp;J2715&amp;" "&amp;N2715</f>
        <v>Differentials Solvent     CIF Vietnam (Diff) </v>
      </c>
      <c r="S2715" s="25"/>
      <c r="T2715" s="8"/>
      <c r="U2715" s="8"/>
      <c r="V2715" s="25"/>
      <c r="W2715" s="25"/>
      <c r="X2715" s="25"/>
      <c r="Y2715" s="25"/>
      <c r="Z2715" s="25"/>
      <c r="AA2715" s="25"/>
      <c r="AB2715" s="25"/>
      <c r="AC2715" s="25"/>
      <c r="AD2715" s="25"/>
    </row>
    <row r="2716" customFormat="false" ht="15.75" hidden="false" customHeight="false" outlineLevel="0" collapsed="false">
      <c r="A2716" s="28" t="s">
        <v>3199</v>
      </c>
      <c r="B2716" s="27" t="s">
        <v>438</v>
      </c>
      <c r="C2716" s="27" t="s">
        <v>417</v>
      </c>
      <c r="D2716" s="25"/>
      <c r="E2716" s="25"/>
      <c r="F2716" s="25"/>
      <c r="G2716" s="25"/>
      <c r="H2716" s="25"/>
      <c r="I2716" s="25"/>
      <c r="J2716" s="27" t="s">
        <v>3119</v>
      </c>
      <c r="K2716" s="25" t="str">
        <f aca="false">IFERROR(__xludf.dummyfunction("SPLIT(J2716,"" "")"),"CIF")</f>
        <v>CIF</v>
      </c>
      <c r="L2716" s="28" t="str">
        <f aca="false">IFERROR(__xludf.dummyfunction("""COMPUTED_VALUE"""),"Vietnam")</f>
        <v>Vietnam</v>
      </c>
      <c r="M2716" s="27" t="str">
        <f aca="false">IFERROR(__xludf.dummyfunction("""COMPUTED_VALUE"""),"(Diff)")</f>
        <v>(Diff)</v>
      </c>
      <c r="N2716" s="25"/>
      <c r="O2716" s="25"/>
      <c r="P2716" s="25"/>
      <c r="Q2716" s="29" t="s">
        <v>424</v>
      </c>
      <c r="R2716" s="8" t="str">
        <f aca="false">B2716&amp;" "&amp;C2716&amp;" "&amp;D2716&amp;" "&amp;E2716&amp;" "&amp;G2716&amp;" "&amp;H2716&amp;" "&amp;J2716&amp;" "&amp;N2716</f>
        <v>Differentials Solvent     CIF Vietnam (Diff) </v>
      </c>
      <c r="S2716" s="25"/>
      <c r="T2716" s="8"/>
      <c r="U2716" s="8"/>
      <c r="V2716" s="25"/>
      <c r="W2716" s="25"/>
      <c r="X2716" s="25"/>
      <c r="Y2716" s="25"/>
      <c r="Z2716" s="25"/>
      <c r="AA2716" s="25"/>
      <c r="AB2716" s="25"/>
      <c r="AC2716" s="25"/>
      <c r="AD2716" s="25"/>
    </row>
    <row r="2717" customFormat="false" ht="15.75" hidden="false" customHeight="false" outlineLevel="0" collapsed="false">
      <c r="A2717" s="28" t="s">
        <v>3200</v>
      </c>
      <c r="B2717" s="27" t="s">
        <v>438</v>
      </c>
      <c r="C2717" s="27" t="s">
        <v>417</v>
      </c>
      <c r="D2717" s="25"/>
      <c r="E2717" s="25"/>
      <c r="F2717" s="25"/>
      <c r="G2717" s="25"/>
      <c r="H2717" s="25"/>
      <c r="I2717" s="25"/>
      <c r="J2717" s="27" t="s">
        <v>3119</v>
      </c>
      <c r="K2717" s="25" t="str">
        <f aca="false">IFERROR(__xludf.dummyfunction("SPLIT(J2717,"" "")"),"CIF")</f>
        <v>CIF</v>
      </c>
      <c r="L2717" s="28" t="str">
        <f aca="false">IFERROR(__xludf.dummyfunction("""COMPUTED_VALUE"""),"Vietnam")</f>
        <v>Vietnam</v>
      </c>
      <c r="M2717" s="27" t="str">
        <f aca="false">IFERROR(__xludf.dummyfunction("""COMPUTED_VALUE"""),"(Diff)")</f>
        <v>(Diff)</v>
      </c>
      <c r="N2717" s="25"/>
      <c r="O2717" s="25"/>
      <c r="P2717" s="25"/>
      <c r="Q2717" s="29" t="s">
        <v>422</v>
      </c>
      <c r="R2717" s="8" t="str">
        <f aca="false">B2717&amp;" "&amp;C2717&amp;" "&amp;D2717&amp;" "&amp;E2717&amp;" "&amp;G2717&amp;" "&amp;H2717&amp;" "&amp;J2717&amp;" "&amp;N2717</f>
        <v>Differentials Solvent     CIF Vietnam (Diff) </v>
      </c>
      <c r="S2717" s="25"/>
      <c r="T2717" s="8"/>
      <c r="U2717" s="8"/>
      <c r="V2717" s="25"/>
      <c r="W2717" s="25"/>
      <c r="X2717" s="25"/>
      <c r="Y2717" s="25"/>
      <c r="Z2717" s="25"/>
      <c r="AA2717" s="25"/>
      <c r="AB2717" s="25"/>
      <c r="AC2717" s="25"/>
      <c r="AD2717" s="25"/>
    </row>
    <row r="2718" customFormat="false" ht="15.75" hidden="false" customHeight="false" outlineLevel="0" collapsed="false">
      <c r="A2718" s="28" t="s">
        <v>3201</v>
      </c>
      <c r="B2718" s="27" t="s">
        <v>438</v>
      </c>
      <c r="C2718" s="27" t="s">
        <v>417</v>
      </c>
      <c r="D2718" s="25"/>
      <c r="E2718" s="25"/>
      <c r="F2718" s="25"/>
      <c r="G2718" s="25"/>
      <c r="H2718" s="25"/>
      <c r="I2718" s="25"/>
      <c r="J2718" s="27" t="s">
        <v>3119</v>
      </c>
      <c r="K2718" s="25" t="str">
        <f aca="false">IFERROR(__xludf.dummyfunction("SPLIT(J2718,"" "")"),"CIF")</f>
        <v>CIF</v>
      </c>
      <c r="L2718" s="28" t="str">
        <f aca="false">IFERROR(__xludf.dummyfunction("""COMPUTED_VALUE"""),"Vietnam")</f>
        <v>Vietnam</v>
      </c>
      <c r="M2718" s="27" t="str">
        <f aca="false">IFERROR(__xludf.dummyfunction("""COMPUTED_VALUE"""),"(Diff)")</f>
        <v>(Diff)</v>
      </c>
      <c r="N2718" s="25"/>
      <c r="O2718" s="25"/>
      <c r="P2718" s="25"/>
      <c r="Q2718" s="29" t="s">
        <v>420</v>
      </c>
      <c r="R2718" s="8" t="str">
        <f aca="false">B2718&amp;" "&amp;C2718&amp;" "&amp;D2718&amp;" "&amp;E2718&amp;" "&amp;G2718&amp;" "&amp;H2718&amp;" "&amp;J2718&amp;" "&amp;N2718</f>
        <v>Differentials Solvent     CIF Vietnam (Diff) </v>
      </c>
      <c r="S2718" s="25"/>
      <c r="T2718" s="8"/>
      <c r="U2718" s="8"/>
      <c r="V2718" s="25"/>
      <c r="W2718" s="25"/>
      <c r="X2718" s="25"/>
      <c r="Y2718" s="25"/>
      <c r="Z2718" s="25"/>
      <c r="AA2718" s="25"/>
      <c r="AB2718" s="25"/>
      <c r="AC2718" s="25"/>
      <c r="AD2718" s="25"/>
    </row>
    <row r="2719" customFormat="false" ht="15.75" hidden="false" customHeight="false" outlineLevel="0" collapsed="false">
      <c r="A2719" s="28" t="s">
        <v>3202</v>
      </c>
      <c r="B2719" s="27" t="s">
        <v>438</v>
      </c>
      <c r="C2719" s="27" t="s">
        <v>417</v>
      </c>
      <c r="D2719" s="25"/>
      <c r="E2719" s="25"/>
      <c r="F2719" s="25"/>
      <c r="G2719" s="25"/>
      <c r="H2719" s="25"/>
      <c r="I2719" s="25"/>
      <c r="J2719" s="27" t="s">
        <v>3119</v>
      </c>
      <c r="K2719" s="25" t="str">
        <f aca="false">IFERROR(__xludf.dummyfunction("SPLIT(J2719,"" "")"),"CIF")</f>
        <v>CIF</v>
      </c>
      <c r="L2719" s="28" t="str">
        <f aca="false">IFERROR(__xludf.dummyfunction("""COMPUTED_VALUE"""),"Vietnam")</f>
        <v>Vietnam</v>
      </c>
      <c r="M2719" s="27" t="str">
        <f aca="false">IFERROR(__xludf.dummyfunction("""COMPUTED_VALUE"""),"(Diff)")</f>
        <v>(Diff)</v>
      </c>
      <c r="N2719" s="25"/>
      <c r="O2719" s="25"/>
      <c r="P2719" s="25"/>
      <c r="Q2719" s="29" t="s">
        <v>418</v>
      </c>
      <c r="R2719" s="8" t="str">
        <f aca="false">B2719&amp;" "&amp;C2719&amp;" "&amp;D2719&amp;" "&amp;E2719&amp;" "&amp;G2719&amp;" "&amp;H2719&amp;" "&amp;J2719&amp;" "&amp;N2719</f>
        <v>Differentials Solvent     CIF Vietnam (Diff) </v>
      </c>
      <c r="S2719" s="25"/>
      <c r="T2719" s="8"/>
      <c r="U2719" s="8"/>
      <c r="V2719" s="25"/>
      <c r="W2719" s="25"/>
      <c r="X2719" s="25"/>
      <c r="Y2719" s="25"/>
      <c r="Z2719" s="25"/>
      <c r="AA2719" s="25"/>
      <c r="AB2719" s="25"/>
      <c r="AC2719" s="25"/>
      <c r="AD2719" s="25"/>
    </row>
    <row r="2720" customFormat="false" ht="15.75" hidden="false" customHeight="false" outlineLevel="0" collapsed="false">
      <c r="A2720" s="28" t="s">
        <v>3203</v>
      </c>
      <c r="B2720" s="27" t="s">
        <v>438</v>
      </c>
      <c r="C2720" s="27" t="s">
        <v>408</v>
      </c>
      <c r="D2720" s="25"/>
      <c r="E2720" s="25"/>
      <c r="F2720" s="25"/>
      <c r="G2720" s="25"/>
      <c r="H2720" s="25"/>
      <c r="I2720" s="25"/>
      <c r="J2720" s="27" t="s">
        <v>3204</v>
      </c>
      <c r="K2720" s="25" t="str">
        <f aca="false">IFERROR(__xludf.dummyfunction("SPLIT(J2720,"" "")"),"DDP")</f>
        <v>DDP</v>
      </c>
      <c r="L2720" s="28" t="str">
        <f aca="false">IFERROR(__xludf.dummyfunction("""COMPUTED_VALUE"""),"China")</f>
        <v>China</v>
      </c>
      <c r="M2720" s="27" t="str">
        <f aca="false">IFERROR(__xludf.dummyfunction("""COMPUTED_VALUE"""),"(Diff)")</f>
        <v>(Diff)</v>
      </c>
      <c r="N2720" s="25"/>
      <c r="O2720" s="25"/>
      <c r="P2720" s="25"/>
      <c r="Q2720" s="29" t="s">
        <v>415</v>
      </c>
      <c r="R2720" s="8" t="str">
        <f aca="false">B2720&amp;" "&amp;C2720&amp;" "&amp;D2720&amp;" "&amp;E2720&amp;" "&amp;G2720&amp;" "&amp;H2720&amp;" "&amp;J2720&amp;" "&amp;N2720</f>
        <v>Differentials Rare Earths     DDP China (Diff) </v>
      </c>
      <c r="S2720" s="25"/>
      <c r="T2720" s="8"/>
      <c r="U2720" s="8"/>
      <c r="V2720" s="25"/>
      <c r="W2720" s="25"/>
      <c r="X2720" s="25"/>
      <c r="Y2720" s="25"/>
      <c r="Z2720" s="25"/>
      <c r="AA2720" s="25"/>
      <c r="AB2720" s="25"/>
      <c r="AC2720" s="25"/>
      <c r="AD2720" s="25"/>
    </row>
    <row r="2721" customFormat="false" ht="15.75" hidden="false" customHeight="false" outlineLevel="0" collapsed="false">
      <c r="A2721" s="28" t="s">
        <v>3205</v>
      </c>
      <c r="B2721" s="27" t="s">
        <v>438</v>
      </c>
      <c r="C2721" s="27" t="s">
        <v>408</v>
      </c>
      <c r="D2721" s="25"/>
      <c r="E2721" s="25"/>
      <c r="F2721" s="25"/>
      <c r="G2721" s="25"/>
      <c r="H2721" s="25"/>
      <c r="I2721" s="25"/>
      <c r="J2721" s="27" t="s">
        <v>3204</v>
      </c>
      <c r="K2721" s="25" t="str">
        <f aca="false">IFERROR(__xludf.dummyfunction("SPLIT(J2721,"" "")"),"DDP")</f>
        <v>DDP</v>
      </c>
      <c r="L2721" s="28" t="str">
        <f aca="false">IFERROR(__xludf.dummyfunction("""COMPUTED_VALUE"""),"China")</f>
        <v>China</v>
      </c>
      <c r="M2721" s="27" t="str">
        <f aca="false">IFERROR(__xludf.dummyfunction("""COMPUTED_VALUE"""),"(Diff)")</f>
        <v>(Diff)</v>
      </c>
      <c r="N2721" s="25"/>
      <c r="O2721" s="25"/>
      <c r="P2721" s="25"/>
      <c r="Q2721" s="29" t="s">
        <v>413</v>
      </c>
      <c r="R2721" s="8" t="str">
        <f aca="false">B2721&amp;" "&amp;C2721&amp;" "&amp;D2721&amp;" "&amp;E2721&amp;" "&amp;G2721&amp;" "&amp;H2721&amp;" "&amp;J2721&amp;" "&amp;N2721</f>
        <v>Differentials Rare Earths     DDP China (Diff) </v>
      </c>
      <c r="S2721" s="25"/>
      <c r="T2721" s="8"/>
      <c r="U2721" s="8"/>
      <c r="V2721" s="25"/>
      <c r="W2721" s="25"/>
      <c r="X2721" s="25"/>
      <c r="Y2721" s="25"/>
      <c r="Z2721" s="25"/>
      <c r="AA2721" s="25"/>
      <c r="AB2721" s="25"/>
      <c r="AC2721" s="25"/>
      <c r="AD2721" s="25"/>
    </row>
    <row r="2722" customFormat="false" ht="15.75" hidden="false" customHeight="false" outlineLevel="0" collapsed="false">
      <c r="A2722" s="28" t="s">
        <v>3206</v>
      </c>
      <c r="B2722" s="27" t="s">
        <v>438</v>
      </c>
      <c r="C2722" s="27" t="s">
        <v>408</v>
      </c>
      <c r="D2722" s="25"/>
      <c r="E2722" s="25"/>
      <c r="F2722" s="25"/>
      <c r="G2722" s="25"/>
      <c r="H2722" s="25"/>
      <c r="I2722" s="25"/>
      <c r="J2722" s="27" t="s">
        <v>3204</v>
      </c>
      <c r="K2722" s="25" t="str">
        <f aca="false">IFERROR(__xludf.dummyfunction("SPLIT(J2722,"" "")"),"DDP")</f>
        <v>DDP</v>
      </c>
      <c r="L2722" s="28" t="str">
        <f aca="false">IFERROR(__xludf.dummyfunction("""COMPUTED_VALUE"""),"China")</f>
        <v>China</v>
      </c>
      <c r="M2722" s="27" t="str">
        <f aca="false">IFERROR(__xludf.dummyfunction("""COMPUTED_VALUE"""),"(Diff)")</f>
        <v>(Diff)</v>
      </c>
      <c r="N2722" s="25"/>
      <c r="O2722" s="25"/>
      <c r="P2722" s="25"/>
      <c r="Q2722" s="29" t="s">
        <v>411</v>
      </c>
      <c r="R2722" s="8" t="str">
        <f aca="false">B2722&amp;" "&amp;C2722&amp;" "&amp;D2722&amp;" "&amp;E2722&amp;" "&amp;G2722&amp;" "&amp;H2722&amp;" "&amp;J2722&amp;" "&amp;N2722</f>
        <v>Differentials Rare Earths     DDP China (Diff) </v>
      </c>
      <c r="S2722" s="25"/>
      <c r="T2722" s="8"/>
      <c r="U2722" s="8"/>
      <c r="V2722" s="25"/>
      <c r="W2722" s="25"/>
      <c r="X2722" s="25"/>
      <c r="Y2722" s="25"/>
      <c r="Z2722" s="25"/>
      <c r="AA2722" s="25"/>
      <c r="AB2722" s="25"/>
      <c r="AC2722" s="25"/>
      <c r="AD2722" s="25"/>
    </row>
    <row r="2723" customFormat="false" ht="15.75" hidden="false" customHeight="false" outlineLevel="0" collapsed="false">
      <c r="A2723" s="28" t="s">
        <v>3207</v>
      </c>
      <c r="B2723" s="27" t="s">
        <v>438</v>
      </c>
      <c r="C2723" s="27" t="s">
        <v>408</v>
      </c>
      <c r="D2723" s="25"/>
      <c r="E2723" s="25"/>
      <c r="F2723" s="25"/>
      <c r="G2723" s="25"/>
      <c r="H2723" s="25"/>
      <c r="I2723" s="25"/>
      <c r="J2723" s="27" t="s">
        <v>3204</v>
      </c>
      <c r="K2723" s="25" t="str">
        <f aca="false">IFERROR(__xludf.dummyfunction("SPLIT(J2723,"" "")"),"DDP")</f>
        <v>DDP</v>
      </c>
      <c r="L2723" s="28" t="str">
        <f aca="false">IFERROR(__xludf.dummyfunction("""COMPUTED_VALUE"""),"China")</f>
        <v>China</v>
      </c>
      <c r="M2723" s="27" t="str">
        <f aca="false">IFERROR(__xludf.dummyfunction("""COMPUTED_VALUE"""),"(Diff)")</f>
        <v>(Diff)</v>
      </c>
      <c r="N2723" s="25"/>
      <c r="O2723" s="25"/>
      <c r="P2723" s="25"/>
      <c r="Q2723" s="29" t="s">
        <v>409</v>
      </c>
      <c r="R2723" s="8" t="str">
        <f aca="false">B2723&amp;" "&amp;C2723&amp;" "&amp;D2723&amp;" "&amp;E2723&amp;" "&amp;G2723&amp;" "&amp;H2723&amp;" "&amp;J2723&amp;" "&amp;N2723</f>
        <v>Differentials Rare Earths     DDP China (Diff) </v>
      </c>
      <c r="S2723" s="25"/>
      <c r="T2723" s="8"/>
      <c r="U2723" s="8"/>
      <c r="V2723" s="25"/>
      <c r="W2723" s="25"/>
      <c r="X2723" s="25"/>
      <c r="Y2723" s="25"/>
      <c r="Z2723" s="25"/>
      <c r="AA2723" s="25"/>
      <c r="AB2723" s="25"/>
      <c r="AC2723" s="25"/>
      <c r="AD2723" s="25"/>
    </row>
  </sheetData>
  <mergeCells count="79">
    <mergeCell ref="U1261:V1261"/>
    <mergeCell ref="U1290:V1290"/>
    <mergeCell ref="U1291:V1291"/>
    <mergeCell ref="U1292:V1292"/>
    <mergeCell ref="U1298:V1298"/>
    <mergeCell ref="U1299:V1299"/>
    <mergeCell ref="U1300:V1300"/>
    <mergeCell ref="U1301:V1301"/>
    <mergeCell ref="U1302:V1302"/>
    <mergeCell ref="U1303:V1303"/>
    <mergeCell ref="U1304:V1304"/>
    <mergeCell ref="U1305:V1305"/>
    <mergeCell ref="U1306:V1306"/>
    <mergeCell ref="U1307:V1307"/>
    <mergeCell ref="U1308:V1308"/>
    <mergeCell ref="U1309:V1309"/>
    <mergeCell ref="U1784:V1784"/>
    <mergeCell ref="U2514:V2514"/>
    <mergeCell ref="U2515:V2515"/>
    <mergeCell ref="U2522:V2522"/>
    <mergeCell ref="U2523:V2523"/>
    <mergeCell ref="U2524:V2524"/>
    <mergeCell ref="U2525:V2525"/>
    <mergeCell ref="U2526:V2526"/>
    <mergeCell ref="U2527:V2527"/>
    <mergeCell ref="U2528:V2528"/>
    <mergeCell ref="U2529:V2529"/>
    <mergeCell ref="U2530:V2530"/>
    <mergeCell ref="U2531:V2531"/>
    <mergeCell ref="U2532:V2532"/>
    <mergeCell ref="U2533:V2533"/>
    <mergeCell ref="U2534:V2534"/>
    <mergeCell ref="U2535:V2535"/>
    <mergeCell ref="U2536:W2536"/>
    <mergeCell ref="U2537:V2537"/>
    <mergeCell ref="U2538:V2538"/>
    <mergeCell ref="U2544:V2544"/>
    <mergeCell ref="U2545:V2545"/>
    <mergeCell ref="U2546:V2546"/>
    <mergeCell ref="U2547:V2547"/>
    <mergeCell ref="U2548:V2548"/>
    <mergeCell ref="U2549:V2549"/>
    <mergeCell ref="U2550:V2550"/>
    <mergeCell ref="U2551:V2551"/>
    <mergeCell ref="U2552:V2552"/>
    <mergeCell ref="U2553:V2553"/>
    <mergeCell ref="U2554:W2554"/>
    <mergeCell ref="U2555:W2555"/>
    <mergeCell ref="U2556:W2556"/>
    <mergeCell ref="U2557:W2557"/>
    <mergeCell ref="U2558:W2558"/>
    <mergeCell ref="U2559:W2559"/>
    <mergeCell ref="U2560:V2560"/>
    <mergeCell ref="U2561:V2561"/>
    <mergeCell ref="U2562:V2562"/>
    <mergeCell ref="U2563:V2563"/>
    <mergeCell ref="U2564:V2564"/>
    <mergeCell ref="U2565:V2565"/>
    <mergeCell ref="U2566:V2566"/>
    <mergeCell ref="U2567:V2567"/>
    <mergeCell ref="U2568:V2568"/>
    <mergeCell ref="U2569:V2569"/>
    <mergeCell ref="U2570:V2570"/>
    <mergeCell ref="U2571:V2571"/>
    <mergeCell ref="U2572:V2572"/>
    <mergeCell ref="U2573:V2573"/>
    <mergeCell ref="U2574:V2574"/>
    <mergeCell ref="U2575:V2575"/>
    <mergeCell ref="U2576:V2576"/>
    <mergeCell ref="U2577:V2577"/>
    <mergeCell ref="U2578:V2578"/>
    <mergeCell ref="U2579:V2579"/>
    <mergeCell ref="U2582:V2582"/>
    <mergeCell ref="U2583:V2583"/>
    <mergeCell ref="U2584:V2584"/>
    <mergeCell ref="U2585:V2585"/>
    <mergeCell ref="U2586:V2586"/>
    <mergeCell ref="U2587:V2587"/>
    <mergeCell ref="U2616:V26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114.88"/>
    <col collapsed="false" customWidth="true" hidden="false" outlineLevel="0" max="41" min="3" style="0" width="19.38"/>
  </cols>
  <sheetData>
    <row r="1" customFormat="false" ht="15.75" hidden="false" customHeight="false" outlineLevel="0" collapsed="false">
      <c r="A1" s="38" t="s">
        <v>3</v>
      </c>
      <c r="B1" s="38" t="s">
        <v>25</v>
      </c>
      <c r="C1" s="38" t="s">
        <v>3208</v>
      </c>
      <c r="D1" s="39" t="s">
        <v>9</v>
      </c>
      <c r="E1" s="39" t="s">
        <v>4</v>
      </c>
      <c r="F1" s="39" t="s">
        <v>10</v>
      </c>
      <c r="G1" s="39" t="s">
        <v>23</v>
      </c>
      <c r="H1" s="39" t="s">
        <v>24</v>
      </c>
      <c r="I1" s="39" t="s">
        <v>22</v>
      </c>
      <c r="J1" s="39" t="s">
        <v>0</v>
      </c>
      <c r="K1" s="39" t="s">
        <v>3209</v>
      </c>
      <c r="L1" s="39" t="s">
        <v>14</v>
      </c>
      <c r="M1" s="39" t="s">
        <v>8</v>
      </c>
      <c r="N1" s="39" t="s">
        <v>3210</v>
      </c>
      <c r="O1" s="39" t="s">
        <v>18</v>
      </c>
      <c r="P1" s="39" t="s">
        <v>3211</v>
      </c>
      <c r="Q1" s="39" t="s">
        <v>3212</v>
      </c>
      <c r="R1" s="39" t="s">
        <v>3213</v>
      </c>
      <c r="S1" s="39" t="s">
        <v>3214</v>
      </c>
      <c r="T1" s="39" t="s">
        <v>33</v>
      </c>
      <c r="U1" s="39" t="s">
        <v>34</v>
      </c>
      <c r="V1" s="38" t="s">
        <v>3215</v>
      </c>
      <c r="W1" s="38" t="s">
        <v>3216</v>
      </c>
      <c r="X1" s="38" t="s">
        <v>3217</v>
      </c>
      <c r="Y1" s="38" t="s">
        <v>3218</v>
      </c>
      <c r="Z1" s="38" t="s">
        <v>3215</v>
      </c>
      <c r="AA1" s="38" t="s">
        <v>3219</v>
      </c>
      <c r="AB1" s="38" t="s">
        <v>3220</v>
      </c>
      <c r="AC1" s="38" t="s">
        <v>3221</v>
      </c>
      <c r="AD1" s="38" t="s">
        <v>3222</v>
      </c>
      <c r="AE1" s="38" t="s">
        <v>3223</v>
      </c>
      <c r="AF1" s="38" t="s">
        <v>3224</v>
      </c>
      <c r="AG1" s="38" t="s">
        <v>3225</v>
      </c>
      <c r="AH1" s="38" t="s">
        <v>3226</v>
      </c>
      <c r="AI1" s="38" t="s">
        <v>3227</v>
      </c>
      <c r="AJ1" s="38" t="s">
        <v>3228</v>
      </c>
      <c r="AK1" s="38" t="s">
        <v>3229</v>
      </c>
      <c r="AL1" s="38" t="s">
        <v>3230</v>
      </c>
      <c r="AM1" s="38" t="s">
        <v>3231</v>
      </c>
      <c r="AN1" s="38"/>
      <c r="AO1" s="38"/>
    </row>
    <row r="2" customFormat="false" ht="39.55" hidden="false" customHeight="false" outlineLevel="0" collapsed="false">
      <c r="A2" s="38" t="s">
        <v>177</v>
      </c>
      <c r="B2" s="38" t="s">
        <v>3232</v>
      </c>
      <c r="C2" s="38" t="s">
        <v>185</v>
      </c>
      <c r="D2" s="38"/>
      <c r="E2" s="38" t="s">
        <v>182</v>
      </c>
      <c r="F2" s="38" t="s">
        <v>3233</v>
      </c>
      <c r="G2" s="38" t="s">
        <v>52</v>
      </c>
      <c r="H2" s="38"/>
      <c r="I2" s="38" t="s">
        <v>51</v>
      </c>
      <c r="J2" s="38" t="s">
        <v>3234</v>
      </c>
      <c r="K2" s="38"/>
      <c r="L2" s="38"/>
      <c r="M2" s="38"/>
      <c r="N2" s="38"/>
      <c r="O2" s="38" t="s">
        <v>49</v>
      </c>
      <c r="P2" s="38" t="s">
        <v>3235</v>
      </c>
      <c r="Q2" s="40" t="b">
        <f aca="false">FALSE()</f>
        <v>0</v>
      </c>
      <c r="R2" s="40" t="b">
        <f aca="false">FALSE()</f>
        <v>0</v>
      </c>
      <c r="S2" s="40" t="b">
        <f aca="false">TRUE()</f>
        <v>1</v>
      </c>
      <c r="T2" s="40" t="b">
        <f aca="false">FALSE()</f>
        <v>0</v>
      </c>
      <c r="U2" s="40" t="b">
        <f aca="false">TRUE()</f>
        <v>1</v>
      </c>
      <c r="V2" s="38" t="s">
        <v>3236</v>
      </c>
      <c r="W2" s="38" t="s">
        <v>3237</v>
      </c>
      <c r="X2" s="38" t="s">
        <v>3238</v>
      </c>
      <c r="Y2" s="38" t="s">
        <v>3239</v>
      </c>
      <c r="Z2" s="38" t="s">
        <v>3236</v>
      </c>
      <c r="AA2" s="38" t="s">
        <v>3240</v>
      </c>
      <c r="AB2" s="38" t="s">
        <v>3241</v>
      </c>
      <c r="AC2" s="38" t="s">
        <v>3242</v>
      </c>
      <c r="AD2" s="38"/>
      <c r="AE2" s="38"/>
      <c r="AF2" s="38"/>
      <c r="AG2" s="38"/>
      <c r="AH2" s="38" t="s">
        <v>3243</v>
      </c>
      <c r="AI2" s="38" t="s">
        <v>3244</v>
      </c>
      <c r="AJ2" s="38" t="s">
        <v>3245</v>
      </c>
      <c r="AK2" s="38" t="s">
        <v>3246</v>
      </c>
      <c r="AL2" s="38" t="s">
        <v>182</v>
      </c>
      <c r="AM2" s="38"/>
      <c r="AN2" s="38"/>
      <c r="AO2" s="38"/>
    </row>
    <row r="3" customFormat="false" ht="39.55" hidden="false" customHeight="false" outlineLevel="0" collapsed="false">
      <c r="A3" s="38" t="s">
        <v>177</v>
      </c>
      <c r="B3" s="38" t="s">
        <v>3247</v>
      </c>
      <c r="C3" s="38" t="s">
        <v>185</v>
      </c>
      <c r="D3" s="38"/>
      <c r="E3" s="38" t="s">
        <v>182</v>
      </c>
      <c r="F3" s="38" t="s">
        <v>3248</v>
      </c>
      <c r="G3" s="38" t="s">
        <v>52</v>
      </c>
      <c r="H3" s="38"/>
      <c r="I3" s="38" t="s">
        <v>51</v>
      </c>
      <c r="J3" s="38" t="s">
        <v>3249</v>
      </c>
      <c r="K3" s="38"/>
      <c r="L3" s="38"/>
      <c r="M3" s="38"/>
      <c r="N3" s="38"/>
      <c r="O3" s="38" t="s">
        <v>49</v>
      </c>
      <c r="P3" s="38" t="s">
        <v>3235</v>
      </c>
      <c r="Q3" s="40" t="b">
        <f aca="false">FALSE()</f>
        <v>0</v>
      </c>
      <c r="R3" s="40" t="b">
        <f aca="false">FALSE()</f>
        <v>0</v>
      </c>
      <c r="S3" s="40" t="b">
        <f aca="false">TRUE()</f>
        <v>1</v>
      </c>
      <c r="T3" s="40" t="b">
        <f aca="false">FALSE()</f>
        <v>0</v>
      </c>
      <c r="U3" s="40" t="b">
        <f aca="false">TRUE()</f>
        <v>1</v>
      </c>
      <c r="V3" s="38" t="s">
        <v>3236</v>
      </c>
      <c r="W3" s="38" t="s">
        <v>3237</v>
      </c>
      <c r="X3" s="38" t="s">
        <v>3238</v>
      </c>
      <c r="Y3" s="38" t="s">
        <v>3239</v>
      </c>
      <c r="Z3" s="38" t="s">
        <v>3236</v>
      </c>
      <c r="AA3" s="38" t="s">
        <v>3250</v>
      </c>
      <c r="AB3" s="38" t="s">
        <v>3241</v>
      </c>
      <c r="AC3" s="38" t="s">
        <v>3242</v>
      </c>
      <c r="AD3" s="38"/>
      <c r="AE3" s="38"/>
      <c r="AF3" s="38"/>
      <c r="AG3" s="38"/>
      <c r="AH3" s="38" t="s">
        <v>3243</v>
      </c>
      <c r="AI3" s="38" t="s">
        <v>3244</v>
      </c>
      <c r="AJ3" s="38" t="s">
        <v>3251</v>
      </c>
      <c r="AK3" s="38" t="s">
        <v>3246</v>
      </c>
      <c r="AL3" s="38" t="s">
        <v>182</v>
      </c>
      <c r="AM3" s="38"/>
      <c r="AN3" s="38"/>
      <c r="AO3" s="38"/>
    </row>
    <row r="4" customFormat="false" ht="39.55" hidden="false" customHeight="false" outlineLevel="0" collapsed="false">
      <c r="A4" s="38" t="s">
        <v>177</v>
      </c>
      <c r="B4" s="38" t="s">
        <v>3252</v>
      </c>
      <c r="C4" s="38" t="s">
        <v>185</v>
      </c>
      <c r="D4" s="38"/>
      <c r="E4" s="38" t="s">
        <v>182</v>
      </c>
      <c r="F4" s="38" t="s">
        <v>3253</v>
      </c>
      <c r="G4" s="38" t="s">
        <v>52</v>
      </c>
      <c r="H4" s="38"/>
      <c r="I4" s="38" t="s">
        <v>51</v>
      </c>
      <c r="J4" s="38" t="s">
        <v>3254</v>
      </c>
      <c r="K4" s="38"/>
      <c r="L4" s="38"/>
      <c r="M4" s="38"/>
      <c r="N4" s="38"/>
      <c r="O4" s="38" t="s">
        <v>49</v>
      </c>
      <c r="P4" s="38" t="s">
        <v>3235</v>
      </c>
      <c r="Q4" s="40" t="b">
        <f aca="false">FALSE()</f>
        <v>0</v>
      </c>
      <c r="R4" s="40" t="b">
        <f aca="false">FALSE()</f>
        <v>0</v>
      </c>
      <c r="S4" s="40" t="b">
        <f aca="false">TRUE()</f>
        <v>1</v>
      </c>
      <c r="T4" s="40" t="b">
        <f aca="false">FALSE()</f>
        <v>0</v>
      </c>
      <c r="U4" s="40" t="b">
        <f aca="false">TRUE()</f>
        <v>1</v>
      </c>
      <c r="V4" s="38" t="s">
        <v>3236</v>
      </c>
      <c r="W4" s="38" t="s">
        <v>3237</v>
      </c>
      <c r="X4" s="38" t="s">
        <v>3238</v>
      </c>
      <c r="Y4" s="38" t="s">
        <v>3239</v>
      </c>
      <c r="Z4" s="38" t="s">
        <v>3236</v>
      </c>
      <c r="AA4" s="38" t="s">
        <v>3255</v>
      </c>
      <c r="AB4" s="38" t="s">
        <v>3241</v>
      </c>
      <c r="AC4" s="38" t="s">
        <v>3242</v>
      </c>
      <c r="AD4" s="38"/>
      <c r="AE4" s="38"/>
      <c r="AF4" s="38"/>
      <c r="AG4" s="38"/>
      <c r="AH4" s="38" t="s">
        <v>3243</v>
      </c>
      <c r="AI4" s="38" t="s">
        <v>3244</v>
      </c>
      <c r="AJ4" s="38" t="s">
        <v>3251</v>
      </c>
      <c r="AK4" s="38" t="s">
        <v>3246</v>
      </c>
      <c r="AL4" s="38" t="s">
        <v>182</v>
      </c>
      <c r="AM4" s="38"/>
      <c r="AN4" s="38"/>
      <c r="AO4" s="38"/>
    </row>
    <row r="5" customFormat="false" ht="39.55" hidden="false" customHeight="false" outlineLevel="0" collapsed="false">
      <c r="A5" s="38" t="s">
        <v>177</v>
      </c>
      <c r="B5" s="38" t="s">
        <v>3256</v>
      </c>
      <c r="C5" s="38" t="s">
        <v>185</v>
      </c>
      <c r="D5" s="38"/>
      <c r="E5" s="38" t="s">
        <v>182</v>
      </c>
      <c r="F5" s="38" t="s">
        <v>3257</v>
      </c>
      <c r="G5" s="38" t="s">
        <v>52</v>
      </c>
      <c r="H5" s="38"/>
      <c r="I5" s="38" t="s">
        <v>51</v>
      </c>
      <c r="J5" s="38" t="s">
        <v>3258</v>
      </c>
      <c r="K5" s="38"/>
      <c r="L5" s="38"/>
      <c r="M5" s="38"/>
      <c r="N5" s="38"/>
      <c r="O5" s="38" t="s">
        <v>49</v>
      </c>
      <c r="P5" s="38" t="s">
        <v>3235</v>
      </c>
      <c r="Q5" s="40" t="b">
        <f aca="false">FALSE()</f>
        <v>0</v>
      </c>
      <c r="R5" s="40" t="b">
        <f aca="false">FALSE()</f>
        <v>0</v>
      </c>
      <c r="S5" s="40" t="b">
        <f aca="false">TRUE()</f>
        <v>1</v>
      </c>
      <c r="T5" s="40" t="b">
        <f aca="false">FALSE()</f>
        <v>0</v>
      </c>
      <c r="U5" s="40" t="b">
        <f aca="false">TRUE()</f>
        <v>1</v>
      </c>
      <c r="V5" s="38" t="s">
        <v>3236</v>
      </c>
      <c r="W5" s="38" t="s">
        <v>3237</v>
      </c>
      <c r="X5" s="38" t="s">
        <v>3238</v>
      </c>
      <c r="Y5" s="38" t="s">
        <v>3239</v>
      </c>
      <c r="Z5" s="38" t="s">
        <v>3236</v>
      </c>
      <c r="AA5" s="38" t="s">
        <v>3259</v>
      </c>
      <c r="AB5" s="38" t="s">
        <v>3241</v>
      </c>
      <c r="AC5" s="38" t="s">
        <v>3242</v>
      </c>
      <c r="AD5" s="38"/>
      <c r="AE5" s="38"/>
      <c r="AF5" s="38"/>
      <c r="AG5" s="38"/>
      <c r="AH5" s="38" t="s">
        <v>3243</v>
      </c>
      <c r="AI5" s="38" t="s">
        <v>3244</v>
      </c>
      <c r="AJ5" s="38" t="s">
        <v>3251</v>
      </c>
      <c r="AK5" s="38" t="s">
        <v>3246</v>
      </c>
      <c r="AL5" s="38" t="s">
        <v>182</v>
      </c>
      <c r="AM5" s="38"/>
      <c r="AN5" s="38"/>
      <c r="AO5" s="38"/>
    </row>
    <row r="6" customFormat="false" ht="39.55" hidden="false" customHeight="false" outlineLevel="0" collapsed="false">
      <c r="A6" s="38" t="s">
        <v>177</v>
      </c>
      <c r="B6" s="38" t="s">
        <v>3260</v>
      </c>
      <c r="C6" s="38" t="s">
        <v>185</v>
      </c>
      <c r="D6" s="38"/>
      <c r="E6" s="38" t="s">
        <v>198</v>
      </c>
      <c r="F6" s="38" t="s">
        <v>3261</v>
      </c>
      <c r="G6" s="38" t="s">
        <v>52</v>
      </c>
      <c r="H6" s="38"/>
      <c r="I6" s="38" t="s">
        <v>51</v>
      </c>
      <c r="J6" s="38" t="s">
        <v>3262</v>
      </c>
      <c r="K6" s="38"/>
      <c r="L6" s="38"/>
      <c r="M6" s="38"/>
      <c r="N6" s="38"/>
      <c r="O6" s="38" t="s">
        <v>49</v>
      </c>
      <c r="P6" s="38" t="s">
        <v>3235</v>
      </c>
      <c r="Q6" s="40" t="b">
        <f aca="false">FALSE()</f>
        <v>0</v>
      </c>
      <c r="R6" s="40" t="b">
        <f aca="false">FALSE()</f>
        <v>0</v>
      </c>
      <c r="S6" s="40" t="b">
        <f aca="false">TRUE()</f>
        <v>1</v>
      </c>
      <c r="T6" s="40" t="b">
        <f aca="false">FALSE()</f>
        <v>0</v>
      </c>
      <c r="U6" s="40" t="b">
        <f aca="false">TRUE()</f>
        <v>1</v>
      </c>
      <c r="V6" s="38" t="s">
        <v>3263</v>
      </c>
      <c r="W6" s="38" t="s">
        <v>3237</v>
      </c>
      <c r="X6" s="38" t="s">
        <v>3264</v>
      </c>
      <c r="Y6" s="38" t="s">
        <v>3239</v>
      </c>
      <c r="Z6" s="38" t="s">
        <v>3263</v>
      </c>
      <c r="AA6" s="38" t="s">
        <v>3265</v>
      </c>
      <c r="AB6" s="38" t="s">
        <v>3241</v>
      </c>
      <c r="AC6" s="38" t="s">
        <v>3242</v>
      </c>
      <c r="AD6" s="38"/>
      <c r="AE6" s="38"/>
      <c r="AF6" s="38"/>
      <c r="AG6" s="38"/>
      <c r="AH6" s="38" t="s">
        <v>3243</v>
      </c>
      <c r="AI6" s="38" t="s">
        <v>3244</v>
      </c>
      <c r="AJ6" s="38" t="s">
        <v>3266</v>
      </c>
      <c r="AK6" s="38" t="s">
        <v>3246</v>
      </c>
      <c r="AL6" s="38" t="s">
        <v>198</v>
      </c>
      <c r="AM6" s="38"/>
      <c r="AN6" s="38"/>
      <c r="AO6" s="38"/>
    </row>
    <row r="7" customFormat="false" ht="39.55" hidden="false" customHeight="false" outlineLevel="0" collapsed="false">
      <c r="A7" s="38" t="s">
        <v>177</v>
      </c>
      <c r="B7" s="38" t="s">
        <v>3267</v>
      </c>
      <c r="C7" s="38" t="s">
        <v>185</v>
      </c>
      <c r="D7" s="38"/>
      <c r="E7" s="38" t="s">
        <v>198</v>
      </c>
      <c r="F7" s="38" t="s">
        <v>3268</v>
      </c>
      <c r="G7" s="38" t="s">
        <v>52</v>
      </c>
      <c r="H7" s="38"/>
      <c r="I7" s="38" t="s">
        <v>51</v>
      </c>
      <c r="J7" s="38" t="s">
        <v>3269</v>
      </c>
      <c r="K7" s="38"/>
      <c r="L7" s="38"/>
      <c r="M7" s="38"/>
      <c r="N7" s="38"/>
      <c r="O7" s="38" t="s">
        <v>49</v>
      </c>
      <c r="P7" s="38" t="s">
        <v>3235</v>
      </c>
      <c r="Q7" s="40" t="b">
        <f aca="false">FALSE()</f>
        <v>0</v>
      </c>
      <c r="R7" s="40" t="b">
        <f aca="false">FALSE()</f>
        <v>0</v>
      </c>
      <c r="S7" s="40" t="b">
        <f aca="false">TRUE()</f>
        <v>1</v>
      </c>
      <c r="T7" s="40" t="b">
        <f aca="false">FALSE()</f>
        <v>0</v>
      </c>
      <c r="U7" s="40" t="b">
        <f aca="false">TRUE()</f>
        <v>1</v>
      </c>
      <c r="V7" s="38" t="s">
        <v>3263</v>
      </c>
      <c r="W7" s="38" t="s">
        <v>3237</v>
      </c>
      <c r="X7" s="38" t="s">
        <v>3264</v>
      </c>
      <c r="Y7" s="38" t="s">
        <v>3239</v>
      </c>
      <c r="Z7" s="38" t="s">
        <v>3263</v>
      </c>
      <c r="AA7" s="38" t="s">
        <v>3270</v>
      </c>
      <c r="AB7" s="38" t="s">
        <v>3241</v>
      </c>
      <c r="AC7" s="38" t="s">
        <v>3242</v>
      </c>
      <c r="AD7" s="38"/>
      <c r="AE7" s="38"/>
      <c r="AF7" s="38"/>
      <c r="AG7" s="38"/>
      <c r="AH7" s="38" t="s">
        <v>3243</v>
      </c>
      <c r="AI7" s="38" t="s">
        <v>3244</v>
      </c>
      <c r="AJ7" s="38" t="s">
        <v>3251</v>
      </c>
      <c r="AK7" s="38" t="s">
        <v>3246</v>
      </c>
      <c r="AL7" s="38" t="s">
        <v>198</v>
      </c>
      <c r="AM7" s="38"/>
      <c r="AN7" s="38"/>
      <c r="AO7" s="38"/>
    </row>
    <row r="8" customFormat="false" ht="39.55" hidden="false" customHeight="false" outlineLevel="0" collapsed="false">
      <c r="A8" s="38" t="s">
        <v>177</v>
      </c>
      <c r="B8" s="38" t="s">
        <v>3271</v>
      </c>
      <c r="C8" s="38" t="s">
        <v>185</v>
      </c>
      <c r="D8" s="38"/>
      <c r="E8" s="38" t="s">
        <v>198</v>
      </c>
      <c r="F8" s="38" t="s">
        <v>3272</v>
      </c>
      <c r="G8" s="38" t="s">
        <v>52</v>
      </c>
      <c r="H8" s="38"/>
      <c r="I8" s="38" t="s">
        <v>51</v>
      </c>
      <c r="J8" s="38" t="s">
        <v>3273</v>
      </c>
      <c r="K8" s="38"/>
      <c r="L8" s="38"/>
      <c r="M8" s="38"/>
      <c r="N8" s="38"/>
      <c r="O8" s="38" t="s">
        <v>49</v>
      </c>
      <c r="P8" s="38" t="s">
        <v>3235</v>
      </c>
      <c r="Q8" s="40" t="b">
        <f aca="false">FALSE()</f>
        <v>0</v>
      </c>
      <c r="R8" s="40" t="b">
        <f aca="false">FALSE()</f>
        <v>0</v>
      </c>
      <c r="S8" s="40" t="b">
        <f aca="false">TRUE()</f>
        <v>1</v>
      </c>
      <c r="T8" s="40" t="b">
        <f aca="false">FALSE()</f>
        <v>0</v>
      </c>
      <c r="U8" s="40" t="b">
        <f aca="false">TRUE()</f>
        <v>1</v>
      </c>
      <c r="V8" s="38" t="s">
        <v>3263</v>
      </c>
      <c r="W8" s="38" t="s">
        <v>3237</v>
      </c>
      <c r="X8" s="38" t="s">
        <v>3264</v>
      </c>
      <c r="Y8" s="38" t="s">
        <v>3239</v>
      </c>
      <c r="Z8" s="38" t="s">
        <v>3263</v>
      </c>
      <c r="AA8" s="38" t="s">
        <v>3274</v>
      </c>
      <c r="AB8" s="38" t="s">
        <v>3241</v>
      </c>
      <c r="AC8" s="38" t="s">
        <v>3242</v>
      </c>
      <c r="AD8" s="38"/>
      <c r="AE8" s="38"/>
      <c r="AF8" s="38"/>
      <c r="AG8" s="38"/>
      <c r="AH8" s="38" t="s">
        <v>3243</v>
      </c>
      <c r="AI8" s="38" t="s">
        <v>3244</v>
      </c>
      <c r="AJ8" s="38" t="s">
        <v>3251</v>
      </c>
      <c r="AK8" s="38" t="s">
        <v>3246</v>
      </c>
      <c r="AL8" s="38" t="s">
        <v>198</v>
      </c>
      <c r="AM8" s="38"/>
      <c r="AN8" s="38"/>
      <c r="AO8" s="38"/>
    </row>
    <row r="9" customFormat="false" ht="39.55" hidden="false" customHeight="false" outlineLevel="0" collapsed="false">
      <c r="A9" s="38" t="s">
        <v>177</v>
      </c>
      <c r="B9" s="38" t="s">
        <v>3275</v>
      </c>
      <c r="C9" s="38" t="s">
        <v>185</v>
      </c>
      <c r="D9" s="38"/>
      <c r="E9" s="38" t="s">
        <v>198</v>
      </c>
      <c r="F9" s="38" t="s">
        <v>3276</v>
      </c>
      <c r="G9" s="38" t="s">
        <v>52</v>
      </c>
      <c r="H9" s="38"/>
      <c r="I9" s="38" t="s">
        <v>51</v>
      </c>
      <c r="J9" s="38" t="s">
        <v>3277</v>
      </c>
      <c r="K9" s="38"/>
      <c r="L9" s="38"/>
      <c r="M9" s="38"/>
      <c r="N9" s="38"/>
      <c r="O9" s="38" t="s">
        <v>49</v>
      </c>
      <c r="P9" s="38" t="s">
        <v>3235</v>
      </c>
      <c r="Q9" s="40" t="b">
        <f aca="false">FALSE()</f>
        <v>0</v>
      </c>
      <c r="R9" s="40" t="b">
        <f aca="false">FALSE()</f>
        <v>0</v>
      </c>
      <c r="S9" s="40" t="b">
        <f aca="false">TRUE()</f>
        <v>1</v>
      </c>
      <c r="T9" s="40" t="b">
        <f aca="false">FALSE()</f>
        <v>0</v>
      </c>
      <c r="U9" s="40" t="b">
        <f aca="false">TRUE()</f>
        <v>1</v>
      </c>
      <c r="V9" s="38" t="s">
        <v>3263</v>
      </c>
      <c r="W9" s="38" t="s">
        <v>3237</v>
      </c>
      <c r="X9" s="38" t="s">
        <v>3264</v>
      </c>
      <c r="Y9" s="38" t="s">
        <v>3239</v>
      </c>
      <c r="Z9" s="38" t="s">
        <v>3263</v>
      </c>
      <c r="AA9" s="38" t="s">
        <v>3278</v>
      </c>
      <c r="AB9" s="38" t="s">
        <v>3241</v>
      </c>
      <c r="AC9" s="38" t="s">
        <v>3242</v>
      </c>
      <c r="AD9" s="38"/>
      <c r="AE9" s="38"/>
      <c r="AF9" s="38"/>
      <c r="AG9" s="38"/>
      <c r="AH9" s="38" t="s">
        <v>3243</v>
      </c>
      <c r="AI9" s="38" t="s">
        <v>3244</v>
      </c>
      <c r="AJ9" s="38" t="s">
        <v>3251</v>
      </c>
      <c r="AK9" s="38" t="s">
        <v>3246</v>
      </c>
      <c r="AL9" s="38" t="s">
        <v>198</v>
      </c>
      <c r="AM9" s="38"/>
      <c r="AN9" s="38"/>
      <c r="AO9" s="38"/>
    </row>
    <row r="10" customFormat="false" ht="39.55" hidden="false" customHeight="false" outlineLevel="0" collapsed="false">
      <c r="A10" s="38" t="s">
        <v>165</v>
      </c>
      <c r="B10" s="38" t="s">
        <v>3279</v>
      </c>
      <c r="C10" s="38" t="s">
        <v>3280</v>
      </c>
      <c r="D10" s="38" t="s">
        <v>3281</v>
      </c>
      <c r="E10" s="38" t="s">
        <v>3282</v>
      </c>
      <c r="F10" s="38"/>
      <c r="G10" s="38" t="s">
        <v>52</v>
      </c>
      <c r="H10" s="38"/>
      <c r="I10" s="38" t="s">
        <v>3283</v>
      </c>
      <c r="J10" s="38" t="s">
        <v>3284</v>
      </c>
      <c r="K10" s="38"/>
      <c r="L10" s="38"/>
      <c r="M10" s="38"/>
      <c r="N10" s="38"/>
      <c r="O10" s="38" t="s">
        <v>3285</v>
      </c>
      <c r="P10" s="38" t="s">
        <v>50</v>
      </c>
      <c r="Q10" s="40" t="b">
        <f aca="false">FALSE()</f>
        <v>0</v>
      </c>
      <c r="R10" s="40" t="b">
        <f aca="false">FALSE()</f>
        <v>0</v>
      </c>
      <c r="S10" s="40" t="b">
        <f aca="false">FALSE()</f>
        <v>0</v>
      </c>
      <c r="T10" s="40" t="b">
        <f aca="false">FALSE()</f>
        <v>0</v>
      </c>
      <c r="U10" s="40" t="b">
        <f aca="false">FALSE()</f>
        <v>0</v>
      </c>
      <c r="V10" s="38" t="s">
        <v>3286</v>
      </c>
      <c r="W10" s="38" t="s">
        <v>3287</v>
      </c>
      <c r="X10" s="38" t="s">
        <v>3288</v>
      </c>
      <c r="Y10" s="38" t="s">
        <v>3289</v>
      </c>
      <c r="Z10" s="38" t="s">
        <v>3290</v>
      </c>
      <c r="AA10" s="38"/>
      <c r="AB10" s="38" t="s">
        <v>3241</v>
      </c>
      <c r="AC10" s="38" t="s">
        <v>3291</v>
      </c>
      <c r="AD10" s="38" t="s">
        <v>3286</v>
      </c>
      <c r="AE10" s="38"/>
      <c r="AF10" s="38"/>
      <c r="AG10" s="38"/>
      <c r="AH10" s="38" t="s">
        <v>3292</v>
      </c>
      <c r="AI10" s="38" t="s">
        <v>3293</v>
      </c>
      <c r="AJ10" s="38" t="s">
        <v>3251</v>
      </c>
      <c r="AK10" s="38" t="s">
        <v>3246</v>
      </c>
      <c r="AL10" s="38" t="s">
        <v>3281</v>
      </c>
      <c r="AM10" s="38"/>
      <c r="AN10" s="38"/>
      <c r="AO10" s="38"/>
    </row>
    <row r="11" customFormat="false" ht="39.55" hidden="false" customHeight="false" outlineLevel="0" collapsed="false">
      <c r="A11" s="38" t="s">
        <v>165</v>
      </c>
      <c r="B11" s="38" t="s">
        <v>3294</v>
      </c>
      <c r="C11" s="38" t="s">
        <v>3280</v>
      </c>
      <c r="D11" s="38" t="s">
        <v>3281</v>
      </c>
      <c r="E11" s="38" t="s">
        <v>3295</v>
      </c>
      <c r="F11" s="38"/>
      <c r="G11" s="38" t="s">
        <v>52</v>
      </c>
      <c r="H11" s="38"/>
      <c r="I11" s="38" t="s">
        <v>3283</v>
      </c>
      <c r="J11" s="38" t="s">
        <v>3296</v>
      </c>
      <c r="K11" s="38"/>
      <c r="L11" s="38"/>
      <c r="M11" s="38"/>
      <c r="N11" s="38"/>
      <c r="O11" s="38" t="s">
        <v>3285</v>
      </c>
      <c r="P11" s="38" t="s">
        <v>50</v>
      </c>
      <c r="Q11" s="40" t="b">
        <f aca="false">FALSE()</f>
        <v>0</v>
      </c>
      <c r="R11" s="40" t="b">
        <f aca="false">FALSE()</f>
        <v>0</v>
      </c>
      <c r="S11" s="40" t="b">
        <f aca="false">FALSE()</f>
        <v>0</v>
      </c>
      <c r="T11" s="40" t="b">
        <f aca="false">FALSE()</f>
        <v>0</v>
      </c>
      <c r="U11" s="40" t="b">
        <f aca="false">FALSE()</f>
        <v>0</v>
      </c>
      <c r="V11" s="38" t="s">
        <v>3286</v>
      </c>
      <c r="W11" s="38" t="s">
        <v>3287</v>
      </c>
      <c r="X11" s="38" t="s">
        <v>3288</v>
      </c>
      <c r="Y11" s="38" t="s">
        <v>3289</v>
      </c>
      <c r="Z11" s="38" t="s">
        <v>3297</v>
      </c>
      <c r="AA11" s="38"/>
      <c r="AB11" s="38" t="s">
        <v>3241</v>
      </c>
      <c r="AC11" s="38" t="s">
        <v>3291</v>
      </c>
      <c r="AD11" s="38" t="s">
        <v>3286</v>
      </c>
      <c r="AE11" s="38"/>
      <c r="AF11" s="38"/>
      <c r="AG11" s="38"/>
      <c r="AH11" s="38" t="s">
        <v>3292</v>
      </c>
      <c r="AI11" s="38" t="s">
        <v>3293</v>
      </c>
      <c r="AJ11" s="38" t="s">
        <v>3251</v>
      </c>
      <c r="AK11" s="38" t="s">
        <v>3246</v>
      </c>
      <c r="AL11" s="38" t="s">
        <v>3281</v>
      </c>
      <c r="AM11" s="38"/>
      <c r="AN11" s="38"/>
      <c r="AO11" s="38"/>
    </row>
    <row r="12" customFormat="false" ht="39.55" hidden="false" customHeight="false" outlineLevel="0" collapsed="false">
      <c r="A12" s="38" t="s">
        <v>165</v>
      </c>
      <c r="B12" s="38" t="s">
        <v>3298</v>
      </c>
      <c r="C12" s="38" t="s">
        <v>3299</v>
      </c>
      <c r="D12" s="38" t="s">
        <v>3281</v>
      </c>
      <c r="E12" s="38" t="s">
        <v>3282</v>
      </c>
      <c r="F12" s="38"/>
      <c r="G12" s="38" t="s">
        <v>52</v>
      </c>
      <c r="H12" s="38"/>
      <c r="I12" s="38" t="s">
        <v>3283</v>
      </c>
      <c r="J12" s="38" t="s">
        <v>3300</v>
      </c>
      <c r="K12" s="38"/>
      <c r="L12" s="38"/>
      <c r="M12" s="38"/>
      <c r="N12" s="38"/>
      <c r="O12" s="38" t="s">
        <v>3285</v>
      </c>
      <c r="P12" s="38" t="s">
        <v>50</v>
      </c>
      <c r="Q12" s="40" t="b">
        <f aca="false">FALSE()</f>
        <v>0</v>
      </c>
      <c r="R12" s="40" t="b">
        <f aca="false">FALSE()</f>
        <v>0</v>
      </c>
      <c r="S12" s="40" t="b">
        <f aca="false">FALSE()</f>
        <v>0</v>
      </c>
      <c r="T12" s="40" t="b">
        <f aca="false">FALSE()</f>
        <v>0</v>
      </c>
      <c r="U12" s="40" t="b">
        <f aca="false">FALSE()</f>
        <v>0</v>
      </c>
      <c r="V12" s="38" t="s">
        <v>3286</v>
      </c>
      <c r="W12" s="38" t="s">
        <v>3287</v>
      </c>
      <c r="X12" s="38" t="s">
        <v>3288</v>
      </c>
      <c r="Y12" s="38" t="s">
        <v>3301</v>
      </c>
      <c r="Z12" s="38" t="s">
        <v>3290</v>
      </c>
      <c r="AA12" s="38"/>
      <c r="AB12" s="38" t="s">
        <v>3241</v>
      </c>
      <c r="AC12" s="38" t="s">
        <v>3291</v>
      </c>
      <c r="AD12" s="38" t="s">
        <v>3286</v>
      </c>
      <c r="AE12" s="38"/>
      <c r="AF12" s="38"/>
      <c r="AG12" s="38"/>
      <c r="AH12" s="38" t="s">
        <v>3292</v>
      </c>
      <c r="AI12" s="38" t="s">
        <v>3293</v>
      </c>
      <c r="AJ12" s="38" t="s">
        <v>3251</v>
      </c>
      <c r="AK12" s="38" t="s">
        <v>3246</v>
      </c>
      <c r="AL12" s="38" t="s">
        <v>3281</v>
      </c>
      <c r="AM12" s="38"/>
      <c r="AN12" s="38"/>
      <c r="AO12" s="38"/>
    </row>
    <row r="13" customFormat="false" ht="39.55" hidden="false" customHeight="false" outlineLevel="0" collapsed="false">
      <c r="A13" s="38" t="s">
        <v>165</v>
      </c>
      <c r="B13" s="38" t="s">
        <v>3302</v>
      </c>
      <c r="C13" s="38" t="s">
        <v>3299</v>
      </c>
      <c r="D13" s="38" t="s">
        <v>3281</v>
      </c>
      <c r="E13" s="38" t="s">
        <v>3295</v>
      </c>
      <c r="F13" s="38"/>
      <c r="G13" s="38" t="s">
        <v>52</v>
      </c>
      <c r="H13" s="38"/>
      <c r="I13" s="38" t="s">
        <v>3283</v>
      </c>
      <c r="J13" s="38" t="s">
        <v>3303</v>
      </c>
      <c r="K13" s="38"/>
      <c r="L13" s="38"/>
      <c r="M13" s="38"/>
      <c r="N13" s="38"/>
      <c r="O13" s="38" t="s">
        <v>3285</v>
      </c>
      <c r="P13" s="38" t="s">
        <v>50</v>
      </c>
      <c r="Q13" s="40" t="b">
        <f aca="false">FALSE()</f>
        <v>0</v>
      </c>
      <c r="R13" s="40" t="b">
        <f aca="false">FALSE()</f>
        <v>0</v>
      </c>
      <c r="S13" s="40" t="b">
        <f aca="false">FALSE()</f>
        <v>0</v>
      </c>
      <c r="T13" s="40" t="b">
        <f aca="false">FALSE()</f>
        <v>0</v>
      </c>
      <c r="U13" s="40" t="b">
        <f aca="false">FALSE()</f>
        <v>0</v>
      </c>
      <c r="V13" s="38" t="s">
        <v>3286</v>
      </c>
      <c r="W13" s="38" t="s">
        <v>3287</v>
      </c>
      <c r="X13" s="38" t="s">
        <v>3288</v>
      </c>
      <c r="Y13" s="38" t="s">
        <v>3301</v>
      </c>
      <c r="Z13" s="38" t="s">
        <v>3297</v>
      </c>
      <c r="AA13" s="38"/>
      <c r="AB13" s="38" t="s">
        <v>3241</v>
      </c>
      <c r="AC13" s="38" t="s">
        <v>3291</v>
      </c>
      <c r="AD13" s="38" t="s">
        <v>3286</v>
      </c>
      <c r="AE13" s="38"/>
      <c r="AF13" s="38"/>
      <c r="AG13" s="38"/>
      <c r="AH13" s="38" t="s">
        <v>3292</v>
      </c>
      <c r="AI13" s="38" t="s">
        <v>3293</v>
      </c>
      <c r="AJ13" s="38" t="s">
        <v>3251</v>
      </c>
      <c r="AK13" s="38" t="s">
        <v>3246</v>
      </c>
      <c r="AL13" s="38" t="s">
        <v>3281</v>
      </c>
      <c r="AM13" s="38"/>
      <c r="AN13" s="38"/>
      <c r="AO13" s="38"/>
    </row>
    <row r="14" customFormat="false" ht="39.55" hidden="false" customHeight="false" outlineLevel="0" collapsed="false">
      <c r="A14" s="38" t="s">
        <v>165</v>
      </c>
      <c r="B14" s="38" t="s">
        <v>3304</v>
      </c>
      <c r="C14" s="38" t="s">
        <v>3305</v>
      </c>
      <c r="D14" s="38" t="s">
        <v>3281</v>
      </c>
      <c r="E14" s="38" t="s">
        <v>3306</v>
      </c>
      <c r="F14" s="38"/>
      <c r="G14" s="38" t="s">
        <v>52</v>
      </c>
      <c r="H14" s="38"/>
      <c r="I14" s="38" t="s">
        <v>3283</v>
      </c>
      <c r="J14" s="38" t="s">
        <v>3307</v>
      </c>
      <c r="K14" s="38"/>
      <c r="L14" s="38"/>
      <c r="M14" s="38"/>
      <c r="N14" s="38"/>
      <c r="O14" s="38" t="s">
        <v>3285</v>
      </c>
      <c r="P14" s="38" t="s">
        <v>50</v>
      </c>
      <c r="Q14" s="40" t="b">
        <f aca="false">FALSE()</f>
        <v>0</v>
      </c>
      <c r="R14" s="40" t="b">
        <f aca="false">FALSE()</f>
        <v>0</v>
      </c>
      <c r="S14" s="40" t="b">
        <f aca="false">FALSE()</f>
        <v>0</v>
      </c>
      <c r="T14" s="40" t="b">
        <f aca="false">FALSE()</f>
        <v>0</v>
      </c>
      <c r="U14" s="40" t="b">
        <f aca="false">FALSE()</f>
        <v>0</v>
      </c>
      <c r="V14" s="38" t="s">
        <v>3286</v>
      </c>
      <c r="W14" s="38" t="s">
        <v>3287</v>
      </c>
      <c r="X14" s="38" t="s">
        <v>3288</v>
      </c>
      <c r="Y14" s="38" t="s">
        <v>3308</v>
      </c>
      <c r="Z14" s="38" t="s">
        <v>3309</v>
      </c>
      <c r="AA14" s="38"/>
      <c r="AB14" s="38" t="s">
        <v>3241</v>
      </c>
      <c r="AC14" s="38" t="s">
        <v>3291</v>
      </c>
      <c r="AD14" s="38" t="s">
        <v>3286</v>
      </c>
      <c r="AE14" s="38"/>
      <c r="AF14" s="38"/>
      <c r="AG14" s="38"/>
      <c r="AH14" s="38" t="s">
        <v>3292</v>
      </c>
      <c r="AI14" s="38" t="s">
        <v>3293</v>
      </c>
      <c r="AJ14" s="38" t="s">
        <v>3251</v>
      </c>
      <c r="AK14" s="38" t="s">
        <v>3246</v>
      </c>
      <c r="AL14" s="38" t="s">
        <v>3281</v>
      </c>
      <c r="AM14" s="38"/>
      <c r="AN14" s="38"/>
      <c r="AO14" s="38"/>
    </row>
    <row r="15" customFormat="false" ht="39.55" hidden="false" customHeight="false" outlineLevel="0" collapsed="false">
      <c r="A15" s="38" t="s">
        <v>165</v>
      </c>
      <c r="B15" s="38" t="s">
        <v>3310</v>
      </c>
      <c r="C15" s="38" t="s">
        <v>3280</v>
      </c>
      <c r="D15" s="38" t="s">
        <v>269</v>
      </c>
      <c r="E15" s="38" t="s">
        <v>3306</v>
      </c>
      <c r="F15" s="38"/>
      <c r="G15" s="38" t="s">
        <v>52</v>
      </c>
      <c r="H15" s="38"/>
      <c r="I15" s="38" t="s">
        <v>3283</v>
      </c>
      <c r="J15" s="38" t="s">
        <v>3311</v>
      </c>
      <c r="K15" s="38"/>
      <c r="L15" s="38"/>
      <c r="M15" s="38"/>
      <c r="N15" s="38"/>
      <c r="O15" s="38" t="s">
        <v>3285</v>
      </c>
      <c r="P15" s="38" t="s">
        <v>50</v>
      </c>
      <c r="Q15" s="40" t="b">
        <f aca="false">FALSE()</f>
        <v>0</v>
      </c>
      <c r="R15" s="40" t="b">
        <f aca="false">FALSE()</f>
        <v>0</v>
      </c>
      <c r="S15" s="40" t="b">
        <f aca="false">FALSE()</f>
        <v>0</v>
      </c>
      <c r="T15" s="40" t="b">
        <f aca="false">FALSE()</f>
        <v>0</v>
      </c>
      <c r="U15" s="40" t="b">
        <f aca="false">FALSE()</f>
        <v>0</v>
      </c>
      <c r="V15" s="38" t="s">
        <v>3312</v>
      </c>
      <c r="W15" s="38" t="s">
        <v>3287</v>
      </c>
      <c r="X15" s="38" t="s">
        <v>3313</v>
      </c>
      <c r="Y15" s="38" t="s">
        <v>3289</v>
      </c>
      <c r="Z15" s="38" t="s">
        <v>3309</v>
      </c>
      <c r="AA15" s="38"/>
      <c r="AB15" s="38" t="s">
        <v>3241</v>
      </c>
      <c r="AC15" s="38" t="s">
        <v>3291</v>
      </c>
      <c r="AD15" s="38" t="s">
        <v>3312</v>
      </c>
      <c r="AE15" s="38"/>
      <c r="AF15" s="38"/>
      <c r="AG15" s="38"/>
      <c r="AH15" s="38" t="s">
        <v>3292</v>
      </c>
      <c r="AI15" s="38" t="s">
        <v>3293</v>
      </c>
      <c r="AJ15" s="38" t="s">
        <v>3251</v>
      </c>
      <c r="AK15" s="38" t="s">
        <v>3246</v>
      </c>
      <c r="AL15" s="38" t="s">
        <v>269</v>
      </c>
      <c r="AM15" s="38"/>
      <c r="AN15" s="38"/>
      <c r="AO15" s="38"/>
    </row>
    <row r="16" customFormat="false" ht="39.55" hidden="false" customHeight="false" outlineLevel="0" collapsed="false">
      <c r="A16" s="38" t="s">
        <v>165</v>
      </c>
      <c r="B16" s="38" t="s">
        <v>3314</v>
      </c>
      <c r="C16" s="38" t="s">
        <v>3280</v>
      </c>
      <c r="D16" s="38" t="s">
        <v>269</v>
      </c>
      <c r="E16" s="38" t="s">
        <v>3315</v>
      </c>
      <c r="F16" s="38"/>
      <c r="G16" s="38" t="s">
        <v>3316</v>
      </c>
      <c r="H16" s="38"/>
      <c r="I16" s="38" t="s">
        <v>160</v>
      </c>
      <c r="J16" s="38" t="s">
        <v>3317</v>
      </c>
      <c r="K16" s="38"/>
      <c r="L16" s="38"/>
      <c r="M16" s="38"/>
      <c r="N16" s="38"/>
      <c r="O16" s="38" t="s">
        <v>3285</v>
      </c>
      <c r="P16" s="38"/>
      <c r="Q16" s="40" t="b">
        <f aca="false">FALSE()</f>
        <v>0</v>
      </c>
      <c r="R16" s="40" t="b">
        <f aca="false">FALSE()</f>
        <v>0</v>
      </c>
      <c r="S16" s="40" t="b">
        <f aca="false">FALSE()</f>
        <v>0</v>
      </c>
      <c r="T16" s="40" t="b">
        <f aca="false">FALSE()</f>
        <v>0</v>
      </c>
      <c r="U16" s="40" t="b">
        <f aca="false">TRUE()</f>
        <v>1</v>
      </c>
      <c r="V16" s="38" t="s">
        <v>3312</v>
      </c>
      <c r="W16" s="38" t="s">
        <v>3287</v>
      </c>
      <c r="X16" s="38" t="s">
        <v>3313</v>
      </c>
      <c r="Y16" s="38" t="s">
        <v>3289</v>
      </c>
      <c r="Z16" s="38" t="s">
        <v>3318</v>
      </c>
      <c r="AA16" s="38"/>
      <c r="AB16" s="38" t="s">
        <v>3319</v>
      </c>
      <c r="AC16" s="38" t="s">
        <v>3320</v>
      </c>
      <c r="AD16" s="38" t="s">
        <v>3312</v>
      </c>
      <c r="AE16" s="38"/>
      <c r="AF16" s="38"/>
      <c r="AG16" s="38"/>
      <c r="AH16" s="38" t="s">
        <v>3292</v>
      </c>
      <c r="AI16" s="38"/>
      <c r="AJ16" s="38" t="s">
        <v>3251</v>
      </c>
      <c r="AK16" s="38" t="s">
        <v>3246</v>
      </c>
      <c r="AL16" s="38" t="s">
        <v>269</v>
      </c>
      <c r="AM16" s="38"/>
      <c r="AN16" s="38"/>
      <c r="AO16" s="38"/>
    </row>
    <row r="17" customFormat="false" ht="39.55" hidden="false" customHeight="false" outlineLevel="0" collapsed="false">
      <c r="A17" s="38" t="s">
        <v>165</v>
      </c>
      <c r="B17" s="38" t="s">
        <v>3321</v>
      </c>
      <c r="C17" s="38" t="s">
        <v>3299</v>
      </c>
      <c r="D17" s="38" t="s">
        <v>269</v>
      </c>
      <c r="E17" s="38" t="s">
        <v>3306</v>
      </c>
      <c r="F17" s="38"/>
      <c r="G17" s="38" t="s">
        <v>52</v>
      </c>
      <c r="H17" s="38"/>
      <c r="I17" s="38" t="s">
        <v>3283</v>
      </c>
      <c r="J17" s="38" t="s">
        <v>3322</v>
      </c>
      <c r="K17" s="38"/>
      <c r="L17" s="38"/>
      <c r="M17" s="38"/>
      <c r="N17" s="38"/>
      <c r="O17" s="38" t="s">
        <v>3285</v>
      </c>
      <c r="P17" s="38" t="s">
        <v>50</v>
      </c>
      <c r="Q17" s="40" t="b">
        <f aca="false">FALSE()</f>
        <v>0</v>
      </c>
      <c r="R17" s="40" t="b">
        <f aca="false">FALSE()</f>
        <v>0</v>
      </c>
      <c r="S17" s="40" t="b">
        <f aca="false">FALSE()</f>
        <v>0</v>
      </c>
      <c r="T17" s="40" t="b">
        <f aca="false">FALSE()</f>
        <v>0</v>
      </c>
      <c r="U17" s="40" t="b">
        <f aca="false">FALSE()</f>
        <v>0</v>
      </c>
      <c r="V17" s="38" t="s">
        <v>3312</v>
      </c>
      <c r="W17" s="38" t="s">
        <v>3287</v>
      </c>
      <c r="X17" s="38" t="s">
        <v>3313</v>
      </c>
      <c r="Y17" s="38" t="s">
        <v>3301</v>
      </c>
      <c r="Z17" s="38" t="s">
        <v>3309</v>
      </c>
      <c r="AA17" s="38"/>
      <c r="AB17" s="38" t="s">
        <v>3241</v>
      </c>
      <c r="AC17" s="38" t="s">
        <v>3291</v>
      </c>
      <c r="AD17" s="38" t="s">
        <v>3312</v>
      </c>
      <c r="AE17" s="38"/>
      <c r="AF17" s="38"/>
      <c r="AG17" s="38"/>
      <c r="AH17" s="38" t="s">
        <v>3292</v>
      </c>
      <c r="AI17" s="38" t="s">
        <v>3293</v>
      </c>
      <c r="AJ17" s="38" t="s">
        <v>3251</v>
      </c>
      <c r="AK17" s="38" t="s">
        <v>3246</v>
      </c>
      <c r="AL17" s="38" t="s">
        <v>269</v>
      </c>
      <c r="AM17" s="38"/>
      <c r="AN17" s="38"/>
      <c r="AO17" s="38"/>
    </row>
    <row r="18" customFormat="false" ht="39.55" hidden="false" customHeight="false" outlineLevel="0" collapsed="false">
      <c r="A18" s="38" t="s">
        <v>165</v>
      </c>
      <c r="B18" s="38" t="s">
        <v>3323</v>
      </c>
      <c r="C18" s="38" t="s">
        <v>3299</v>
      </c>
      <c r="D18" s="38" t="s">
        <v>269</v>
      </c>
      <c r="E18" s="38" t="s">
        <v>3324</v>
      </c>
      <c r="F18" s="38"/>
      <c r="G18" s="38" t="s">
        <v>3316</v>
      </c>
      <c r="H18" s="38"/>
      <c r="I18" s="38" t="s">
        <v>160</v>
      </c>
      <c r="J18" s="38" t="s">
        <v>3325</v>
      </c>
      <c r="K18" s="38"/>
      <c r="L18" s="38"/>
      <c r="M18" s="38"/>
      <c r="N18" s="38"/>
      <c r="O18" s="38" t="s">
        <v>3285</v>
      </c>
      <c r="P18" s="38"/>
      <c r="Q18" s="40" t="b">
        <f aca="false">FALSE()</f>
        <v>0</v>
      </c>
      <c r="R18" s="40" t="b">
        <f aca="false">FALSE()</f>
        <v>0</v>
      </c>
      <c r="S18" s="40" t="b">
        <f aca="false">FALSE()</f>
        <v>0</v>
      </c>
      <c r="T18" s="40" t="b">
        <f aca="false">FALSE()</f>
        <v>0</v>
      </c>
      <c r="U18" s="40" t="b">
        <f aca="false">TRUE()</f>
        <v>1</v>
      </c>
      <c r="V18" s="38" t="s">
        <v>3312</v>
      </c>
      <c r="W18" s="38" t="s">
        <v>3287</v>
      </c>
      <c r="X18" s="38" t="s">
        <v>3313</v>
      </c>
      <c r="Y18" s="38" t="s">
        <v>3301</v>
      </c>
      <c r="Z18" s="38" t="s">
        <v>3326</v>
      </c>
      <c r="AA18" s="38"/>
      <c r="AB18" s="38" t="s">
        <v>3319</v>
      </c>
      <c r="AC18" s="38" t="s">
        <v>3320</v>
      </c>
      <c r="AD18" s="38" t="s">
        <v>3312</v>
      </c>
      <c r="AE18" s="38"/>
      <c r="AF18" s="38"/>
      <c r="AG18" s="38"/>
      <c r="AH18" s="38" t="s">
        <v>3292</v>
      </c>
      <c r="AI18" s="38"/>
      <c r="AJ18" s="38" t="s">
        <v>3251</v>
      </c>
      <c r="AK18" s="38" t="s">
        <v>3327</v>
      </c>
      <c r="AL18" s="38" t="s">
        <v>269</v>
      </c>
      <c r="AM18" s="38"/>
      <c r="AN18" s="38"/>
      <c r="AO18" s="38"/>
    </row>
    <row r="19" customFormat="false" ht="39.55" hidden="false" customHeight="false" outlineLevel="0" collapsed="false">
      <c r="A19" s="38" t="s">
        <v>165</v>
      </c>
      <c r="B19" s="38" t="s">
        <v>3328</v>
      </c>
      <c r="C19" s="38" t="s">
        <v>3299</v>
      </c>
      <c r="D19" s="38" t="s">
        <v>269</v>
      </c>
      <c r="E19" s="38" t="s">
        <v>3324</v>
      </c>
      <c r="F19" s="38"/>
      <c r="G19" s="38" t="s">
        <v>52</v>
      </c>
      <c r="H19" s="38"/>
      <c r="I19" s="38" t="s">
        <v>3283</v>
      </c>
      <c r="J19" s="38" t="s">
        <v>3329</v>
      </c>
      <c r="K19" s="38"/>
      <c r="L19" s="38"/>
      <c r="M19" s="38"/>
      <c r="N19" s="38"/>
      <c r="O19" s="38" t="s">
        <v>3285</v>
      </c>
      <c r="P19" s="38" t="s">
        <v>50</v>
      </c>
      <c r="Q19" s="40" t="b">
        <f aca="false">FALSE()</f>
        <v>0</v>
      </c>
      <c r="R19" s="40" t="b">
        <f aca="false">FALSE()</f>
        <v>0</v>
      </c>
      <c r="S19" s="40" t="b">
        <f aca="false">FALSE()</f>
        <v>0</v>
      </c>
      <c r="T19" s="40" t="b">
        <f aca="false">FALSE()</f>
        <v>0</v>
      </c>
      <c r="U19" s="40" t="b">
        <f aca="false">FALSE()</f>
        <v>0</v>
      </c>
      <c r="V19" s="38" t="s">
        <v>3312</v>
      </c>
      <c r="W19" s="38" t="s">
        <v>3287</v>
      </c>
      <c r="X19" s="38" t="s">
        <v>3313</v>
      </c>
      <c r="Y19" s="38" t="s">
        <v>3301</v>
      </c>
      <c r="Z19" s="38" t="s">
        <v>3326</v>
      </c>
      <c r="AA19" s="38"/>
      <c r="AB19" s="38" t="s">
        <v>3241</v>
      </c>
      <c r="AC19" s="38" t="s">
        <v>3291</v>
      </c>
      <c r="AD19" s="38" t="s">
        <v>3312</v>
      </c>
      <c r="AE19" s="38"/>
      <c r="AF19" s="38"/>
      <c r="AG19" s="38"/>
      <c r="AH19" s="38" t="s">
        <v>3292</v>
      </c>
      <c r="AI19" s="38" t="s">
        <v>3293</v>
      </c>
      <c r="AJ19" s="38" t="s">
        <v>3251</v>
      </c>
      <c r="AK19" s="38" t="s">
        <v>3330</v>
      </c>
      <c r="AL19" s="38" t="s">
        <v>269</v>
      </c>
      <c r="AM19" s="38"/>
      <c r="AN19" s="38"/>
      <c r="AO19" s="38"/>
    </row>
    <row r="20" customFormat="false" ht="39.55" hidden="false" customHeight="false" outlineLevel="0" collapsed="false">
      <c r="A20" s="38" t="s">
        <v>165</v>
      </c>
      <c r="B20" s="38" t="s">
        <v>3331</v>
      </c>
      <c r="C20" s="38" t="s">
        <v>3299</v>
      </c>
      <c r="D20" s="38" t="s">
        <v>269</v>
      </c>
      <c r="E20" s="38" t="s">
        <v>3332</v>
      </c>
      <c r="F20" s="38"/>
      <c r="G20" s="38" t="s">
        <v>3316</v>
      </c>
      <c r="H20" s="38"/>
      <c r="I20" s="38" t="s">
        <v>160</v>
      </c>
      <c r="J20" s="38" t="s">
        <v>3333</v>
      </c>
      <c r="K20" s="38"/>
      <c r="L20" s="38"/>
      <c r="M20" s="38"/>
      <c r="N20" s="38"/>
      <c r="O20" s="38" t="s">
        <v>3285</v>
      </c>
      <c r="P20" s="38"/>
      <c r="Q20" s="40" t="b">
        <f aca="false">FALSE()</f>
        <v>0</v>
      </c>
      <c r="R20" s="40" t="b">
        <f aca="false">FALSE()</f>
        <v>0</v>
      </c>
      <c r="S20" s="40" t="b">
        <f aca="false">FALSE()</f>
        <v>0</v>
      </c>
      <c r="T20" s="40" t="b">
        <f aca="false">FALSE()</f>
        <v>0</v>
      </c>
      <c r="U20" s="40" t="b">
        <f aca="false">TRUE()</f>
        <v>1</v>
      </c>
      <c r="V20" s="38" t="s">
        <v>3312</v>
      </c>
      <c r="W20" s="38" t="s">
        <v>3287</v>
      </c>
      <c r="X20" s="38" t="s">
        <v>3313</v>
      </c>
      <c r="Y20" s="38" t="s">
        <v>3301</v>
      </c>
      <c r="Z20" s="38" t="s">
        <v>3334</v>
      </c>
      <c r="AA20" s="38"/>
      <c r="AB20" s="38" t="s">
        <v>3319</v>
      </c>
      <c r="AC20" s="38" t="s">
        <v>3320</v>
      </c>
      <c r="AD20" s="38" t="s">
        <v>3312</v>
      </c>
      <c r="AE20" s="38"/>
      <c r="AF20" s="38"/>
      <c r="AG20" s="38"/>
      <c r="AH20" s="38" t="s">
        <v>3292</v>
      </c>
      <c r="AI20" s="38"/>
      <c r="AJ20" s="38" t="s">
        <v>3251</v>
      </c>
      <c r="AK20" s="38" t="s">
        <v>3335</v>
      </c>
      <c r="AL20" s="38" t="s">
        <v>269</v>
      </c>
      <c r="AM20" s="38"/>
      <c r="AN20" s="38"/>
      <c r="AO20" s="38"/>
    </row>
    <row r="21" customFormat="false" ht="39.55" hidden="false" customHeight="false" outlineLevel="0" collapsed="false">
      <c r="A21" s="38" t="s">
        <v>165</v>
      </c>
      <c r="B21" s="38" t="s">
        <v>3336</v>
      </c>
      <c r="C21" s="38" t="s">
        <v>3299</v>
      </c>
      <c r="D21" s="38" t="s">
        <v>269</v>
      </c>
      <c r="E21" s="38" t="s">
        <v>3332</v>
      </c>
      <c r="F21" s="38"/>
      <c r="G21" s="38" t="s">
        <v>52</v>
      </c>
      <c r="H21" s="38"/>
      <c r="I21" s="38" t="s">
        <v>3283</v>
      </c>
      <c r="J21" s="38" t="s">
        <v>3337</v>
      </c>
      <c r="K21" s="38"/>
      <c r="L21" s="38"/>
      <c r="M21" s="38"/>
      <c r="N21" s="38"/>
      <c r="O21" s="38" t="s">
        <v>3285</v>
      </c>
      <c r="P21" s="38" t="s">
        <v>50</v>
      </c>
      <c r="Q21" s="40" t="b">
        <f aca="false">FALSE()</f>
        <v>0</v>
      </c>
      <c r="R21" s="40" t="b">
        <f aca="false">FALSE()</f>
        <v>0</v>
      </c>
      <c r="S21" s="40" t="b">
        <f aca="false">FALSE()</f>
        <v>0</v>
      </c>
      <c r="T21" s="40" t="b">
        <f aca="false">FALSE()</f>
        <v>0</v>
      </c>
      <c r="U21" s="40" t="b">
        <f aca="false">FALSE()</f>
        <v>0</v>
      </c>
      <c r="V21" s="38" t="s">
        <v>3312</v>
      </c>
      <c r="W21" s="38" t="s">
        <v>3287</v>
      </c>
      <c r="X21" s="38" t="s">
        <v>3313</v>
      </c>
      <c r="Y21" s="38" t="s">
        <v>3301</v>
      </c>
      <c r="Z21" s="38" t="s">
        <v>3334</v>
      </c>
      <c r="AA21" s="38"/>
      <c r="AB21" s="38" t="s">
        <v>3241</v>
      </c>
      <c r="AC21" s="38" t="s">
        <v>3291</v>
      </c>
      <c r="AD21" s="38" t="s">
        <v>3312</v>
      </c>
      <c r="AE21" s="38"/>
      <c r="AF21" s="38"/>
      <c r="AG21" s="38"/>
      <c r="AH21" s="38" t="s">
        <v>3292</v>
      </c>
      <c r="AI21" s="38" t="s">
        <v>3293</v>
      </c>
      <c r="AJ21" s="38" t="s">
        <v>3251</v>
      </c>
      <c r="AK21" s="38" t="s">
        <v>3338</v>
      </c>
      <c r="AL21" s="38" t="s">
        <v>269</v>
      </c>
      <c r="AM21" s="38"/>
      <c r="AN21" s="38"/>
      <c r="AO21" s="38"/>
    </row>
    <row r="22" customFormat="false" ht="39.55" hidden="false" customHeight="false" outlineLevel="0" collapsed="false">
      <c r="A22" s="38" t="s">
        <v>165</v>
      </c>
      <c r="B22" s="38" t="s">
        <v>3339</v>
      </c>
      <c r="C22" s="38" t="s">
        <v>3305</v>
      </c>
      <c r="D22" s="38" t="s">
        <v>269</v>
      </c>
      <c r="E22" s="38" t="s">
        <v>3315</v>
      </c>
      <c r="F22" s="38"/>
      <c r="G22" s="38" t="s">
        <v>3316</v>
      </c>
      <c r="H22" s="38"/>
      <c r="I22" s="38" t="s">
        <v>160</v>
      </c>
      <c r="J22" s="38" t="s">
        <v>3340</v>
      </c>
      <c r="K22" s="38"/>
      <c r="L22" s="38"/>
      <c r="M22" s="38"/>
      <c r="N22" s="38"/>
      <c r="O22" s="38" t="s">
        <v>3285</v>
      </c>
      <c r="P22" s="38"/>
      <c r="Q22" s="40" t="b">
        <f aca="false">FALSE()</f>
        <v>0</v>
      </c>
      <c r="R22" s="40" t="b">
        <f aca="false">FALSE()</f>
        <v>0</v>
      </c>
      <c r="S22" s="40" t="b">
        <f aca="false">FALSE()</f>
        <v>0</v>
      </c>
      <c r="T22" s="40" t="b">
        <f aca="false">FALSE()</f>
        <v>0</v>
      </c>
      <c r="U22" s="40" t="b">
        <f aca="false">TRUE()</f>
        <v>1</v>
      </c>
      <c r="V22" s="38" t="s">
        <v>3312</v>
      </c>
      <c r="W22" s="38" t="s">
        <v>3287</v>
      </c>
      <c r="X22" s="38" t="s">
        <v>3313</v>
      </c>
      <c r="Y22" s="38" t="s">
        <v>3308</v>
      </c>
      <c r="Z22" s="38" t="s">
        <v>3318</v>
      </c>
      <c r="AA22" s="38"/>
      <c r="AB22" s="38" t="s">
        <v>3319</v>
      </c>
      <c r="AC22" s="38" t="s">
        <v>3320</v>
      </c>
      <c r="AD22" s="38" t="s">
        <v>3312</v>
      </c>
      <c r="AE22" s="38"/>
      <c r="AF22" s="38"/>
      <c r="AG22" s="38"/>
      <c r="AH22" s="38" t="s">
        <v>3292</v>
      </c>
      <c r="AI22" s="38"/>
      <c r="AJ22" s="38" t="s">
        <v>3251</v>
      </c>
      <c r="AK22" s="38" t="s">
        <v>3246</v>
      </c>
      <c r="AL22" s="38" t="s">
        <v>269</v>
      </c>
      <c r="AM22" s="38"/>
      <c r="AN22" s="38"/>
      <c r="AO22" s="38"/>
    </row>
    <row r="23" customFormat="false" ht="39.55" hidden="false" customHeight="false" outlineLevel="0" collapsed="false">
      <c r="A23" s="38" t="s">
        <v>165</v>
      </c>
      <c r="B23" s="38" t="s">
        <v>3341</v>
      </c>
      <c r="C23" s="38" t="s">
        <v>3299</v>
      </c>
      <c r="D23" s="38" t="s">
        <v>264</v>
      </c>
      <c r="E23" s="38" t="s">
        <v>3306</v>
      </c>
      <c r="F23" s="38"/>
      <c r="G23" s="38" t="s">
        <v>52</v>
      </c>
      <c r="H23" s="38"/>
      <c r="I23" s="38" t="s">
        <v>3283</v>
      </c>
      <c r="J23" s="38" t="s">
        <v>3342</v>
      </c>
      <c r="K23" s="38"/>
      <c r="L23" s="38"/>
      <c r="M23" s="38"/>
      <c r="N23" s="38"/>
      <c r="O23" s="38" t="s">
        <v>3285</v>
      </c>
      <c r="P23" s="38" t="s">
        <v>50</v>
      </c>
      <c r="Q23" s="40" t="b">
        <f aca="false">FALSE()</f>
        <v>0</v>
      </c>
      <c r="R23" s="40" t="b">
        <f aca="false">FALSE()</f>
        <v>0</v>
      </c>
      <c r="S23" s="40" t="b">
        <f aca="false">FALSE()</f>
        <v>0</v>
      </c>
      <c r="T23" s="40" t="b">
        <f aca="false">FALSE()</f>
        <v>0</v>
      </c>
      <c r="U23" s="40" t="b">
        <f aca="false">FALSE()</f>
        <v>0</v>
      </c>
      <c r="V23" s="38" t="s">
        <v>3343</v>
      </c>
      <c r="W23" s="38" t="s">
        <v>3287</v>
      </c>
      <c r="X23" s="38" t="s">
        <v>3344</v>
      </c>
      <c r="Y23" s="38" t="s">
        <v>3301</v>
      </c>
      <c r="Z23" s="38" t="s">
        <v>3309</v>
      </c>
      <c r="AA23" s="38"/>
      <c r="AB23" s="38" t="s">
        <v>3241</v>
      </c>
      <c r="AC23" s="38" t="s">
        <v>3291</v>
      </c>
      <c r="AD23" s="38" t="s">
        <v>3343</v>
      </c>
      <c r="AE23" s="38"/>
      <c r="AF23" s="38"/>
      <c r="AG23" s="38"/>
      <c r="AH23" s="38" t="s">
        <v>3292</v>
      </c>
      <c r="AI23" s="38" t="s">
        <v>3293</v>
      </c>
      <c r="AJ23" s="38" t="s">
        <v>3251</v>
      </c>
      <c r="AK23" s="38" t="s">
        <v>3246</v>
      </c>
      <c r="AL23" s="38" t="s">
        <v>264</v>
      </c>
      <c r="AM23" s="38"/>
      <c r="AN23" s="38"/>
      <c r="AO23" s="38"/>
    </row>
    <row r="24" customFormat="false" ht="39.55" hidden="false" customHeight="false" outlineLevel="0" collapsed="false">
      <c r="A24" s="38" t="s">
        <v>165</v>
      </c>
      <c r="B24" s="38" t="s">
        <v>3345</v>
      </c>
      <c r="C24" s="38" t="s">
        <v>3299</v>
      </c>
      <c r="D24" s="38" t="s">
        <v>264</v>
      </c>
      <c r="E24" s="38" t="s">
        <v>3346</v>
      </c>
      <c r="F24" s="38"/>
      <c r="G24" s="38" t="s">
        <v>52</v>
      </c>
      <c r="H24" s="38"/>
      <c r="I24" s="38" t="s">
        <v>3347</v>
      </c>
      <c r="J24" s="38" t="s">
        <v>3348</v>
      </c>
      <c r="K24" s="38"/>
      <c r="L24" s="38"/>
      <c r="M24" s="38"/>
      <c r="N24" s="38"/>
      <c r="O24" s="38" t="s">
        <v>3285</v>
      </c>
      <c r="P24" s="38" t="s">
        <v>3235</v>
      </c>
      <c r="Q24" s="40" t="b">
        <f aca="false">FALSE()</f>
        <v>0</v>
      </c>
      <c r="R24" s="40" t="b">
        <f aca="false">FALSE()</f>
        <v>0</v>
      </c>
      <c r="S24" s="40" t="b">
        <f aca="false">FALSE()</f>
        <v>0</v>
      </c>
      <c r="T24" s="40" t="b">
        <f aca="false">FALSE()</f>
        <v>0</v>
      </c>
      <c r="U24" s="40" t="b">
        <f aca="false">TRUE()</f>
        <v>1</v>
      </c>
      <c r="V24" s="38" t="s">
        <v>3343</v>
      </c>
      <c r="W24" s="38" t="s">
        <v>3287</v>
      </c>
      <c r="X24" s="38" t="s">
        <v>3344</v>
      </c>
      <c r="Y24" s="38" t="s">
        <v>3301</v>
      </c>
      <c r="Z24" s="38" t="s">
        <v>3349</v>
      </c>
      <c r="AA24" s="38"/>
      <c r="AB24" s="38" t="s">
        <v>3241</v>
      </c>
      <c r="AC24" s="38" t="s">
        <v>3350</v>
      </c>
      <c r="AD24" s="38" t="s">
        <v>3343</v>
      </c>
      <c r="AE24" s="38"/>
      <c r="AF24" s="38"/>
      <c r="AG24" s="38"/>
      <c r="AH24" s="38" t="s">
        <v>3292</v>
      </c>
      <c r="AI24" s="38" t="s">
        <v>3244</v>
      </c>
      <c r="AJ24" s="38" t="s">
        <v>3251</v>
      </c>
      <c r="AK24" s="38" t="s">
        <v>3246</v>
      </c>
      <c r="AL24" s="38" t="s">
        <v>264</v>
      </c>
      <c r="AM24" s="38"/>
      <c r="AN24" s="38"/>
      <c r="AO24" s="38"/>
    </row>
    <row r="25" customFormat="false" ht="39.55" hidden="false" customHeight="false" outlineLevel="0" collapsed="false">
      <c r="A25" s="38" t="s">
        <v>165</v>
      </c>
      <c r="B25" s="38" t="s">
        <v>3351</v>
      </c>
      <c r="C25" s="38" t="s">
        <v>3280</v>
      </c>
      <c r="D25" s="38" t="s">
        <v>3352</v>
      </c>
      <c r="E25" s="38" t="s">
        <v>3306</v>
      </c>
      <c r="F25" s="38"/>
      <c r="G25" s="38" t="s">
        <v>52</v>
      </c>
      <c r="H25" s="38"/>
      <c r="I25" s="38" t="s">
        <v>3283</v>
      </c>
      <c r="J25" s="38" t="s">
        <v>3353</v>
      </c>
      <c r="K25" s="38"/>
      <c r="L25" s="38"/>
      <c r="M25" s="38"/>
      <c r="N25" s="38"/>
      <c r="O25" s="38" t="s">
        <v>3285</v>
      </c>
      <c r="P25" s="38" t="s">
        <v>50</v>
      </c>
      <c r="Q25" s="40" t="b">
        <f aca="false">FALSE()</f>
        <v>0</v>
      </c>
      <c r="R25" s="40" t="b">
        <f aca="false">FALSE()</f>
        <v>0</v>
      </c>
      <c r="S25" s="40" t="b">
        <f aca="false">FALSE()</f>
        <v>0</v>
      </c>
      <c r="T25" s="40" t="b">
        <f aca="false">FALSE()</f>
        <v>0</v>
      </c>
      <c r="U25" s="40" t="b">
        <f aca="false">FALSE()</f>
        <v>0</v>
      </c>
      <c r="V25" s="38" t="s">
        <v>3354</v>
      </c>
      <c r="W25" s="38" t="s">
        <v>3287</v>
      </c>
      <c r="X25" s="38" t="s">
        <v>3355</v>
      </c>
      <c r="Y25" s="38" t="s">
        <v>3289</v>
      </c>
      <c r="Z25" s="38" t="s">
        <v>3309</v>
      </c>
      <c r="AA25" s="38"/>
      <c r="AB25" s="38" t="s">
        <v>3241</v>
      </c>
      <c r="AC25" s="38" t="s">
        <v>3291</v>
      </c>
      <c r="AD25" s="38" t="s">
        <v>3354</v>
      </c>
      <c r="AE25" s="38"/>
      <c r="AF25" s="38"/>
      <c r="AG25" s="38"/>
      <c r="AH25" s="38" t="s">
        <v>3292</v>
      </c>
      <c r="AI25" s="38" t="s">
        <v>3293</v>
      </c>
      <c r="AJ25" s="38" t="s">
        <v>3251</v>
      </c>
      <c r="AK25" s="38" t="s">
        <v>3246</v>
      </c>
      <c r="AL25" s="38" t="s">
        <v>3352</v>
      </c>
      <c r="AM25" s="38"/>
      <c r="AN25" s="38"/>
      <c r="AO25" s="38"/>
    </row>
    <row r="26" customFormat="false" ht="39.55" hidden="false" customHeight="false" outlineLevel="0" collapsed="false">
      <c r="A26" s="38" t="s">
        <v>165</v>
      </c>
      <c r="B26" s="38" t="s">
        <v>3356</v>
      </c>
      <c r="C26" s="38" t="s">
        <v>3280</v>
      </c>
      <c r="D26" s="38" t="s">
        <v>3352</v>
      </c>
      <c r="E26" s="38" t="s">
        <v>3315</v>
      </c>
      <c r="F26" s="38"/>
      <c r="G26" s="38" t="s">
        <v>3316</v>
      </c>
      <c r="H26" s="38"/>
      <c r="I26" s="38" t="s">
        <v>160</v>
      </c>
      <c r="J26" s="38" t="s">
        <v>3357</v>
      </c>
      <c r="K26" s="38"/>
      <c r="L26" s="38"/>
      <c r="M26" s="38"/>
      <c r="N26" s="38"/>
      <c r="O26" s="38" t="s">
        <v>3285</v>
      </c>
      <c r="P26" s="38"/>
      <c r="Q26" s="40" t="b">
        <f aca="false">FALSE()</f>
        <v>0</v>
      </c>
      <c r="R26" s="40" t="b">
        <f aca="false">FALSE()</f>
        <v>0</v>
      </c>
      <c r="S26" s="40" t="b">
        <f aca="false">FALSE()</f>
        <v>0</v>
      </c>
      <c r="T26" s="40" t="b">
        <f aca="false">FALSE()</f>
        <v>0</v>
      </c>
      <c r="U26" s="40" t="b">
        <f aca="false">TRUE()</f>
        <v>1</v>
      </c>
      <c r="V26" s="38" t="s">
        <v>3354</v>
      </c>
      <c r="W26" s="38" t="s">
        <v>3287</v>
      </c>
      <c r="X26" s="38" t="s">
        <v>3355</v>
      </c>
      <c r="Y26" s="38" t="s">
        <v>3289</v>
      </c>
      <c r="Z26" s="38" t="s">
        <v>3318</v>
      </c>
      <c r="AA26" s="38"/>
      <c r="AB26" s="38" t="s">
        <v>3319</v>
      </c>
      <c r="AC26" s="38" t="s">
        <v>3320</v>
      </c>
      <c r="AD26" s="38" t="s">
        <v>3354</v>
      </c>
      <c r="AE26" s="38"/>
      <c r="AF26" s="38"/>
      <c r="AG26" s="38"/>
      <c r="AH26" s="38" t="s">
        <v>3292</v>
      </c>
      <c r="AI26" s="38"/>
      <c r="AJ26" s="38" t="s">
        <v>3251</v>
      </c>
      <c r="AK26" s="38" t="s">
        <v>3246</v>
      </c>
      <c r="AL26" s="38" t="s">
        <v>3352</v>
      </c>
      <c r="AM26" s="38"/>
      <c r="AN26" s="38"/>
      <c r="AO26" s="38"/>
    </row>
    <row r="27" customFormat="false" ht="39.55" hidden="false" customHeight="false" outlineLevel="0" collapsed="false">
      <c r="A27" s="38" t="s">
        <v>165</v>
      </c>
      <c r="B27" s="38" t="s">
        <v>3358</v>
      </c>
      <c r="C27" s="38" t="s">
        <v>3280</v>
      </c>
      <c r="D27" s="38" t="s">
        <v>3352</v>
      </c>
      <c r="E27" s="38" t="s">
        <v>3359</v>
      </c>
      <c r="F27" s="38"/>
      <c r="G27" s="38" t="s">
        <v>3316</v>
      </c>
      <c r="H27" s="38"/>
      <c r="I27" s="38" t="s">
        <v>160</v>
      </c>
      <c r="J27" s="38" t="s">
        <v>3360</v>
      </c>
      <c r="K27" s="38"/>
      <c r="L27" s="38"/>
      <c r="M27" s="38"/>
      <c r="N27" s="38"/>
      <c r="O27" s="38" t="s">
        <v>3285</v>
      </c>
      <c r="P27" s="38"/>
      <c r="Q27" s="40" t="b">
        <f aca="false">FALSE()</f>
        <v>0</v>
      </c>
      <c r="R27" s="40" t="b">
        <f aca="false">FALSE()</f>
        <v>0</v>
      </c>
      <c r="S27" s="40" t="b">
        <f aca="false">FALSE()</f>
        <v>0</v>
      </c>
      <c r="T27" s="40" t="b">
        <f aca="false">FALSE()</f>
        <v>0</v>
      </c>
      <c r="U27" s="40" t="b">
        <f aca="false">TRUE()</f>
        <v>1</v>
      </c>
      <c r="V27" s="38" t="s">
        <v>3354</v>
      </c>
      <c r="W27" s="38" t="s">
        <v>3287</v>
      </c>
      <c r="X27" s="38" t="s">
        <v>3355</v>
      </c>
      <c r="Y27" s="38" t="s">
        <v>3289</v>
      </c>
      <c r="Z27" s="38" t="s">
        <v>3361</v>
      </c>
      <c r="AA27" s="38"/>
      <c r="AB27" s="38" t="s">
        <v>3319</v>
      </c>
      <c r="AC27" s="38" t="s">
        <v>3320</v>
      </c>
      <c r="AD27" s="38" t="s">
        <v>3354</v>
      </c>
      <c r="AE27" s="38"/>
      <c r="AF27" s="38"/>
      <c r="AG27" s="38"/>
      <c r="AH27" s="38" t="s">
        <v>3292</v>
      </c>
      <c r="AI27" s="38"/>
      <c r="AJ27" s="38" t="s">
        <v>3251</v>
      </c>
      <c r="AK27" s="38" t="s">
        <v>3246</v>
      </c>
      <c r="AL27" s="38" t="s">
        <v>3352</v>
      </c>
      <c r="AM27" s="38"/>
      <c r="AN27" s="38"/>
      <c r="AO27" s="38"/>
    </row>
    <row r="28" customFormat="false" ht="39.55" hidden="false" customHeight="false" outlineLevel="0" collapsed="false">
      <c r="A28" s="38" t="s">
        <v>165</v>
      </c>
      <c r="B28" s="38" t="s">
        <v>3362</v>
      </c>
      <c r="C28" s="38" t="s">
        <v>3299</v>
      </c>
      <c r="D28" s="38" t="s">
        <v>3352</v>
      </c>
      <c r="E28" s="38" t="s">
        <v>3306</v>
      </c>
      <c r="F28" s="38"/>
      <c r="G28" s="38" t="s">
        <v>52</v>
      </c>
      <c r="H28" s="38"/>
      <c r="I28" s="38" t="s">
        <v>3283</v>
      </c>
      <c r="J28" s="38" t="s">
        <v>3363</v>
      </c>
      <c r="K28" s="38"/>
      <c r="L28" s="38"/>
      <c r="M28" s="38"/>
      <c r="N28" s="38"/>
      <c r="O28" s="38" t="s">
        <v>3285</v>
      </c>
      <c r="P28" s="38" t="s">
        <v>50</v>
      </c>
      <c r="Q28" s="40" t="b">
        <f aca="false">FALSE()</f>
        <v>0</v>
      </c>
      <c r="R28" s="40" t="b">
        <f aca="false">FALSE()</f>
        <v>0</v>
      </c>
      <c r="S28" s="40" t="b">
        <f aca="false">FALSE()</f>
        <v>0</v>
      </c>
      <c r="T28" s="40" t="b">
        <f aca="false">FALSE()</f>
        <v>0</v>
      </c>
      <c r="U28" s="40" t="b">
        <f aca="false">FALSE()</f>
        <v>0</v>
      </c>
      <c r="V28" s="38" t="s">
        <v>3354</v>
      </c>
      <c r="W28" s="38" t="s">
        <v>3287</v>
      </c>
      <c r="X28" s="38" t="s">
        <v>3355</v>
      </c>
      <c r="Y28" s="38" t="s">
        <v>3301</v>
      </c>
      <c r="Z28" s="38" t="s">
        <v>3309</v>
      </c>
      <c r="AA28" s="38"/>
      <c r="AB28" s="38" t="s">
        <v>3241</v>
      </c>
      <c r="AC28" s="38" t="s">
        <v>3291</v>
      </c>
      <c r="AD28" s="38" t="s">
        <v>3354</v>
      </c>
      <c r="AE28" s="38"/>
      <c r="AF28" s="38"/>
      <c r="AG28" s="38"/>
      <c r="AH28" s="38" t="s">
        <v>3292</v>
      </c>
      <c r="AI28" s="38" t="s">
        <v>3293</v>
      </c>
      <c r="AJ28" s="38" t="s">
        <v>3251</v>
      </c>
      <c r="AK28" s="38" t="s">
        <v>3246</v>
      </c>
      <c r="AL28" s="38" t="s">
        <v>3352</v>
      </c>
      <c r="AM28" s="38"/>
      <c r="AN28" s="38"/>
      <c r="AO28" s="38"/>
    </row>
    <row r="29" customFormat="false" ht="39.55" hidden="false" customHeight="false" outlineLevel="0" collapsed="false">
      <c r="A29" s="38" t="s">
        <v>165</v>
      </c>
      <c r="B29" s="38" t="s">
        <v>3364</v>
      </c>
      <c r="C29" s="38" t="s">
        <v>3299</v>
      </c>
      <c r="D29" s="38" t="s">
        <v>3352</v>
      </c>
      <c r="E29" s="38" t="s">
        <v>3324</v>
      </c>
      <c r="F29" s="38"/>
      <c r="G29" s="38" t="s">
        <v>3316</v>
      </c>
      <c r="H29" s="38"/>
      <c r="I29" s="38" t="s">
        <v>160</v>
      </c>
      <c r="J29" s="38" t="s">
        <v>3365</v>
      </c>
      <c r="K29" s="38"/>
      <c r="L29" s="38"/>
      <c r="M29" s="38"/>
      <c r="N29" s="38"/>
      <c r="O29" s="38" t="s">
        <v>3285</v>
      </c>
      <c r="P29" s="38"/>
      <c r="Q29" s="40" t="b">
        <f aca="false">FALSE()</f>
        <v>0</v>
      </c>
      <c r="R29" s="40" t="b">
        <f aca="false">FALSE()</f>
        <v>0</v>
      </c>
      <c r="S29" s="40" t="b">
        <f aca="false">FALSE()</f>
        <v>0</v>
      </c>
      <c r="T29" s="40" t="b">
        <f aca="false">FALSE()</f>
        <v>0</v>
      </c>
      <c r="U29" s="40" t="b">
        <f aca="false">TRUE()</f>
        <v>1</v>
      </c>
      <c r="V29" s="38" t="s">
        <v>3354</v>
      </c>
      <c r="W29" s="38" t="s">
        <v>3287</v>
      </c>
      <c r="X29" s="38" t="s">
        <v>3355</v>
      </c>
      <c r="Y29" s="38" t="s">
        <v>3301</v>
      </c>
      <c r="Z29" s="38" t="s">
        <v>3326</v>
      </c>
      <c r="AA29" s="38"/>
      <c r="AB29" s="38" t="s">
        <v>3319</v>
      </c>
      <c r="AC29" s="38" t="s">
        <v>3320</v>
      </c>
      <c r="AD29" s="38" t="s">
        <v>3354</v>
      </c>
      <c r="AE29" s="38"/>
      <c r="AF29" s="38"/>
      <c r="AG29" s="38"/>
      <c r="AH29" s="38" t="s">
        <v>3292</v>
      </c>
      <c r="AI29" s="38"/>
      <c r="AJ29" s="38" t="s">
        <v>3251</v>
      </c>
      <c r="AK29" s="38" t="s">
        <v>3366</v>
      </c>
      <c r="AL29" s="38" t="s">
        <v>3352</v>
      </c>
      <c r="AM29" s="38"/>
      <c r="AN29" s="38"/>
      <c r="AO29" s="38"/>
    </row>
    <row r="30" customFormat="false" ht="39.55" hidden="false" customHeight="false" outlineLevel="0" collapsed="false">
      <c r="A30" s="38" t="s">
        <v>165</v>
      </c>
      <c r="B30" s="38" t="s">
        <v>3367</v>
      </c>
      <c r="C30" s="38" t="s">
        <v>3299</v>
      </c>
      <c r="D30" s="38" t="s">
        <v>3352</v>
      </c>
      <c r="E30" s="38" t="s">
        <v>3324</v>
      </c>
      <c r="F30" s="38"/>
      <c r="G30" s="38" t="s">
        <v>52</v>
      </c>
      <c r="H30" s="38"/>
      <c r="I30" s="38" t="s">
        <v>3283</v>
      </c>
      <c r="J30" s="38" t="s">
        <v>3368</v>
      </c>
      <c r="K30" s="38"/>
      <c r="L30" s="38"/>
      <c r="M30" s="38"/>
      <c r="N30" s="38"/>
      <c r="O30" s="38" t="s">
        <v>3285</v>
      </c>
      <c r="P30" s="38" t="s">
        <v>50</v>
      </c>
      <c r="Q30" s="40" t="b">
        <f aca="false">FALSE()</f>
        <v>0</v>
      </c>
      <c r="R30" s="40" t="b">
        <f aca="false">FALSE()</f>
        <v>0</v>
      </c>
      <c r="S30" s="40" t="b">
        <f aca="false">FALSE()</f>
        <v>0</v>
      </c>
      <c r="T30" s="40" t="b">
        <f aca="false">FALSE()</f>
        <v>0</v>
      </c>
      <c r="U30" s="40" t="b">
        <f aca="false">FALSE()</f>
        <v>0</v>
      </c>
      <c r="V30" s="38" t="s">
        <v>3354</v>
      </c>
      <c r="W30" s="38" t="s">
        <v>3287</v>
      </c>
      <c r="X30" s="38" t="s">
        <v>3355</v>
      </c>
      <c r="Y30" s="38" t="s">
        <v>3301</v>
      </c>
      <c r="Z30" s="38" t="s">
        <v>3326</v>
      </c>
      <c r="AA30" s="38"/>
      <c r="AB30" s="38" t="s">
        <v>3241</v>
      </c>
      <c r="AC30" s="38" t="s">
        <v>3291</v>
      </c>
      <c r="AD30" s="38" t="s">
        <v>3354</v>
      </c>
      <c r="AE30" s="38"/>
      <c r="AF30" s="38"/>
      <c r="AG30" s="38"/>
      <c r="AH30" s="38" t="s">
        <v>3292</v>
      </c>
      <c r="AI30" s="38" t="s">
        <v>3293</v>
      </c>
      <c r="AJ30" s="38" t="s">
        <v>3251</v>
      </c>
      <c r="AK30" s="38" t="s">
        <v>3369</v>
      </c>
      <c r="AL30" s="38" t="s">
        <v>3352</v>
      </c>
      <c r="AM30" s="38"/>
      <c r="AN30" s="38"/>
      <c r="AO30" s="38"/>
    </row>
    <row r="31" customFormat="false" ht="39.55" hidden="false" customHeight="false" outlineLevel="0" collapsed="false">
      <c r="A31" s="38" t="s">
        <v>165</v>
      </c>
      <c r="B31" s="38" t="s">
        <v>3370</v>
      </c>
      <c r="C31" s="38" t="s">
        <v>3299</v>
      </c>
      <c r="D31" s="38" t="s">
        <v>3352</v>
      </c>
      <c r="E31" s="38" t="s">
        <v>3332</v>
      </c>
      <c r="F31" s="38"/>
      <c r="G31" s="38" t="s">
        <v>3316</v>
      </c>
      <c r="H31" s="38"/>
      <c r="I31" s="38" t="s">
        <v>160</v>
      </c>
      <c r="J31" s="38" t="s">
        <v>3371</v>
      </c>
      <c r="K31" s="38"/>
      <c r="L31" s="38"/>
      <c r="M31" s="38"/>
      <c r="N31" s="38"/>
      <c r="O31" s="38" t="s">
        <v>3285</v>
      </c>
      <c r="P31" s="38"/>
      <c r="Q31" s="40" t="b">
        <f aca="false">FALSE()</f>
        <v>0</v>
      </c>
      <c r="R31" s="40" t="b">
        <f aca="false">FALSE()</f>
        <v>0</v>
      </c>
      <c r="S31" s="40" t="b">
        <f aca="false">FALSE()</f>
        <v>0</v>
      </c>
      <c r="T31" s="40" t="b">
        <f aca="false">FALSE()</f>
        <v>0</v>
      </c>
      <c r="U31" s="40" t="b">
        <f aca="false">TRUE()</f>
        <v>1</v>
      </c>
      <c r="V31" s="38" t="s">
        <v>3354</v>
      </c>
      <c r="W31" s="38" t="s">
        <v>3287</v>
      </c>
      <c r="X31" s="38" t="s">
        <v>3355</v>
      </c>
      <c r="Y31" s="38" t="s">
        <v>3301</v>
      </c>
      <c r="Z31" s="38" t="s">
        <v>3334</v>
      </c>
      <c r="AA31" s="38"/>
      <c r="AB31" s="38" t="s">
        <v>3319</v>
      </c>
      <c r="AC31" s="38" t="s">
        <v>3320</v>
      </c>
      <c r="AD31" s="38" t="s">
        <v>3354</v>
      </c>
      <c r="AE31" s="38"/>
      <c r="AF31" s="38"/>
      <c r="AG31" s="38"/>
      <c r="AH31" s="38" t="s">
        <v>3292</v>
      </c>
      <c r="AI31" s="38"/>
      <c r="AJ31" s="38" t="s">
        <v>3251</v>
      </c>
      <c r="AK31" s="38" t="s">
        <v>3372</v>
      </c>
      <c r="AL31" s="38" t="s">
        <v>3352</v>
      </c>
      <c r="AM31" s="38"/>
      <c r="AN31" s="38"/>
      <c r="AO31" s="38"/>
    </row>
    <row r="32" customFormat="false" ht="39.55" hidden="false" customHeight="false" outlineLevel="0" collapsed="false">
      <c r="A32" s="38" t="s">
        <v>165</v>
      </c>
      <c r="B32" s="38" t="s">
        <v>3373</v>
      </c>
      <c r="C32" s="38" t="s">
        <v>3299</v>
      </c>
      <c r="D32" s="38" t="s">
        <v>3352</v>
      </c>
      <c r="E32" s="38" t="s">
        <v>3332</v>
      </c>
      <c r="F32" s="38"/>
      <c r="G32" s="38" t="s">
        <v>52</v>
      </c>
      <c r="H32" s="38"/>
      <c r="I32" s="38" t="s">
        <v>3283</v>
      </c>
      <c r="J32" s="38" t="s">
        <v>3374</v>
      </c>
      <c r="K32" s="38"/>
      <c r="L32" s="38"/>
      <c r="M32" s="38"/>
      <c r="N32" s="38"/>
      <c r="O32" s="38" t="s">
        <v>3285</v>
      </c>
      <c r="P32" s="38" t="s">
        <v>50</v>
      </c>
      <c r="Q32" s="40" t="b">
        <f aca="false">FALSE()</f>
        <v>0</v>
      </c>
      <c r="R32" s="40" t="b">
        <f aca="false">FALSE()</f>
        <v>0</v>
      </c>
      <c r="S32" s="40" t="b">
        <f aca="false">FALSE()</f>
        <v>0</v>
      </c>
      <c r="T32" s="40" t="b">
        <f aca="false">FALSE()</f>
        <v>0</v>
      </c>
      <c r="U32" s="40" t="b">
        <f aca="false">FALSE()</f>
        <v>0</v>
      </c>
      <c r="V32" s="38" t="s">
        <v>3354</v>
      </c>
      <c r="W32" s="38" t="s">
        <v>3287</v>
      </c>
      <c r="X32" s="38" t="s">
        <v>3355</v>
      </c>
      <c r="Y32" s="38" t="s">
        <v>3301</v>
      </c>
      <c r="Z32" s="38" t="s">
        <v>3334</v>
      </c>
      <c r="AA32" s="38"/>
      <c r="AB32" s="38" t="s">
        <v>3241</v>
      </c>
      <c r="AC32" s="38" t="s">
        <v>3291</v>
      </c>
      <c r="AD32" s="38" t="s">
        <v>3354</v>
      </c>
      <c r="AE32" s="38"/>
      <c r="AF32" s="38"/>
      <c r="AG32" s="38"/>
      <c r="AH32" s="38" t="s">
        <v>3292</v>
      </c>
      <c r="AI32" s="38" t="s">
        <v>3293</v>
      </c>
      <c r="AJ32" s="38" t="s">
        <v>3251</v>
      </c>
      <c r="AK32" s="38" t="s">
        <v>3375</v>
      </c>
      <c r="AL32" s="38" t="s">
        <v>3352</v>
      </c>
      <c r="AM32" s="38"/>
      <c r="AN32" s="38"/>
      <c r="AO32" s="38"/>
    </row>
    <row r="33" customFormat="false" ht="39.55" hidden="false" customHeight="false" outlineLevel="0" collapsed="false">
      <c r="A33" s="38" t="s">
        <v>165</v>
      </c>
      <c r="B33" s="38" t="s">
        <v>3376</v>
      </c>
      <c r="C33" s="38" t="s">
        <v>3299</v>
      </c>
      <c r="D33" s="38" t="s">
        <v>3352</v>
      </c>
      <c r="E33" s="38" t="s">
        <v>3377</v>
      </c>
      <c r="F33" s="38"/>
      <c r="G33" s="38" t="s">
        <v>3316</v>
      </c>
      <c r="H33" s="38"/>
      <c r="I33" s="38" t="s">
        <v>160</v>
      </c>
      <c r="J33" s="38" t="s">
        <v>3378</v>
      </c>
      <c r="K33" s="38"/>
      <c r="L33" s="38"/>
      <c r="M33" s="38"/>
      <c r="N33" s="38"/>
      <c r="O33" s="38" t="s">
        <v>3285</v>
      </c>
      <c r="P33" s="38"/>
      <c r="Q33" s="40" t="b">
        <f aca="false">FALSE()</f>
        <v>0</v>
      </c>
      <c r="R33" s="40" t="b">
        <f aca="false">FALSE()</f>
        <v>0</v>
      </c>
      <c r="S33" s="40" t="b">
        <f aca="false">FALSE()</f>
        <v>0</v>
      </c>
      <c r="T33" s="40" t="b">
        <f aca="false">FALSE()</f>
        <v>0</v>
      </c>
      <c r="U33" s="40" t="b">
        <f aca="false">TRUE()</f>
        <v>1</v>
      </c>
      <c r="V33" s="38" t="s">
        <v>3354</v>
      </c>
      <c r="W33" s="38" t="s">
        <v>3287</v>
      </c>
      <c r="X33" s="38" t="s">
        <v>3355</v>
      </c>
      <c r="Y33" s="38" t="s">
        <v>3301</v>
      </c>
      <c r="Z33" s="38" t="s">
        <v>3379</v>
      </c>
      <c r="AA33" s="38"/>
      <c r="AB33" s="38" t="s">
        <v>3319</v>
      </c>
      <c r="AC33" s="38" t="s">
        <v>3320</v>
      </c>
      <c r="AD33" s="38" t="s">
        <v>3354</v>
      </c>
      <c r="AE33" s="38"/>
      <c r="AF33" s="38"/>
      <c r="AG33" s="38"/>
      <c r="AH33" s="38" t="s">
        <v>3292</v>
      </c>
      <c r="AI33" s="38"/>
      <c r="AJ33" s="38" t="s">
        <v>3251</v>
      </c>
      <c r="AK33" s="38" t="s">
        <v>3380</v>
      </c>
      <c r="AL33" s="38" t="s">
        <v>3352</v>
      </c>
      <c r="AM33" s="38"/>
      <c r="AN33" s="38"/>
      <c r="AO33" s="38"/>
    </row>
    <row r="34" customFormat="false" ht="39.55" hidden="false" customHeight="false" outlineLevel="0" collapsed="false">
      <c r="A34" s="38" t="s">
        <v>165</v>
      </c>
      <c r="B34" s="38" t="s">
        <v>3381</v>
      </c>
      <c r="C34" s="38" t="s">
        <v>3299</v>
      </c>
      <c r="D34" s="38" t="s">
        <v>3352</v>
      </c>
      <c r="E34" s="38" t="s">
        <v>3377</v>
      </c>
      <c r="F34" s="38"/>
      <c r="G34" s="38" t="s">
        <v>52</v>
      </c>
      <c r="H34" s="38"/>
      <c r="I34" s="38" t="s">
        <v>3283</v>
      </c>
      <c r="J34" s="38" t="s">
        <v>3382</v>
      </c>
      <c r="K34" s="38"/>
      <c r="L34" s="38"/>
      <c r="M34" s="38"/>
      <c r="N34" s="38"/>
      <c r="O34" s="38" t="s">
        <v>3285</v>
      </c>
      <c r="P34" s="38" t="s">
        <v>50</v>
      </c>
      <c r="Q34" s="40" t="b">
        <f aca="false">FALSE()</f>
        <v>0</v>
      </c>
      <c r="R34" s="40" t="b">
        <f aca="false">FALSE()</f>
        <v>0</v>
      </c>
      <c r="S34" s="40" t="b">
        <f aca="false">FALSE()</f>
        <v>0</v>
      </c>
      <c r="T34" s="40" t="b">
        <f aca="false">FALSE()</f>
        <v>0</v>
      </c>
      <c r="U34" s="40" t="b">
        <f aca="false">FALSE()</f>
        <v>0</v>
      </c>
      <c r="V34" s="38" t="s">
        <v>3354</v>
      </c>
      <c r="W34" s="38" t="s">
        <v>3287</v>
      </c>
      <c r="X34" s="38" t="s">
        <v>3355</v>
      </c>
      <c r="Y34" s="38" t="s">
        <v>3301</v>
      </c>
      <c r="Z34" s="38" t="s">
        <v>3379</v>
      </c>
      <c r="AA34" s="38"/>
      <c r="AB34" s="38" t="s">
        <v>3241</v>
      </c>
      <c r="AC34" s="38" t="s">
        <v>3291</v>
      </c>
      <c r="AD34" s="38" t="s">
        <v>3354</v>
      </c>
      <c r="AE34" s="38"/>
      <c r="AF34" s="38"/>
      <c r="AG34" s="38"/>
      <c r="AH34" s="38" t="s">
        <v>3292</v>
      </c>
      <c r="AI34" s="38" t="s">
        <v>3293</v>
      </c>
      <c r="AJ34" s="38" t="s">
        <v>3251</v>
      </c>
      <c r="AK34" s="38" t="s">
        <v>3383</v>
      </c>
      <c r="AL34" s="38" t="s">
        <v>3352</v>
      </c>
      <c r="AM34" s="38"/>
      <c r="AN34" s="38"/>
      <c r="AO34" s="38"/>
    </row>
    <row r="35" customFormat="false" ht="39.55" hidden="false" customHeight="false" outlineLevel="0" collapsed="false">
      <c r="A35" s="38" t="s">
        <v>165</v>
      </c>
      <c r="B35" s="38" t="s">
        <v>3384</v>
      </c>
      <c r="C35" s="38" t="s">
        <v>3385</v>
      </c>
      <c r="D35" s="38" t="s">
        <v>3352</v>
      </c>
      <c r="E35" s="38" t="s">
        <v>3315</v>
      </c>
      <c r="F35" s="38"/>
      <c r="G35" s="38" t="s">
        <v>3316</v>
      </c>
      <c r="H35" s="38"/>
      <c r="I35" s="38" t="s">
        <v>160</v>
      </c>
      <c r="J35" s="38" t="s">
        <v>3386</v>
      </c>
      <c r="K35" s="38"/>
      <c r="L35" s="38"/>
      <c r="M35" s="38"/>
      <c r="N35" s="38"/>
      <c r="O35" s="38" t="s">
        <v>3285</v>
      </c>
      <c r="P35" s="38"/>
      <c r="Q35" s="40" t="b">
        <f aca="false">FALSE()</f>
        <v>0</v>
      </c>
      <c r="R35" s="40" t="b">
        <f aca="false">FALSE()</f>
        <v>0</v>
      </c>
      <c r="S35" s="40" t="b">
        <f aca="false">FALSE()</f>
        <v>0</v>
      </c>
      <c r="T35" s="40" t="b">
        <f aca="false">FALSE()</f>
        <v>0</v>
      </c>
      <c r="U35" s="40" t="b">
        <f aca="false">TRUE()</f>
        <v>1</v>
      </c>
      <c r="V35" s="38" t="s">
        <v>3354</v>
      </c>
      <c r="W35" s="38" t="s">
        <v>3287</v>
      </c>
      <c r="X35" s="38" t="s">
        <v>3355</v>
      </c>
      <c r="Y35" s="38" t="s">
        <v>3387</v>
      </c>
      <c r="Z35" s="38" t="s">
        <v>3318</v>
      </c>
      <c r="AA35" s="38"/>
      <c r="AB35" s="38" t="s">
        <v>3319</v>
      </c>
      <c r="AC35" s="38" t="s">
        <v>3320</v>
      </c>
      <c r="AD35" s="38" t="s">
        <v>3354</v>
      </c>
      <c r="AE35" s="38"/>
      <c r="AF35" s="38"/>
      <c r="AG35" s="38"/>
      <c r="AH35" s="38" t="s">
        <v>3292</v>
      </c>
      <c r="AI35" s="38"/>
      <c r="AJ35" s="38" t="s">
        <v>3251</v>
      </c>
      <c r="AK35" s="38" t="s">
        <v>3246</v>
      </c>
      <c r="AL35" s="38" t="s">
        <v>3352</v>
      </c>
      <c r="AM35" s="38"/>
      <c r="AN35" s="38"/>
      <c r="AO35" s="38"/>
    </row>
    <row r="36" customFormat="false" ht="39.55" hidden="false" customHeight="false" outlineLevel="0" collapsed="false">
      <c r="A36" s="38" t="s">
        <v>165</v>
      </c>
      <c r="B36" s="38" t="s">
        <v>3388</v>
      </c>
      <c r="C36" s="38" t="s">
        <v>3385</v>
      </c>
      <c r="D36" s="38" t="s">
        <v>3352</v>
      </c>
      <c r="E36" s="38" t="s">
        <v>3359</v>
      </c>
      <c r="F36" s="38"/>
      <c r="G36" s="38" t="s">
        <v>3316</v>
      </c>
      <c r="H36" s="38"/>
      <c r="I36" s="38" t="s">
        <v>160</v>
      </c>
      <c r="J36" s="38" t="s">
        <v>3389</v>
      </c>
      <c r="K36" s="38"/>
      <c r="L36" s="38"/>
      <c r="M36" s="38"/>
      <c r="N36" s="38"/>
      <c r="O36" s="38" t="s">
        <v>3285</v>
      </c>
      <c r="P36" s="38"/>
      <c r="Q36" s="40" t="b">
        <f aca="false">FALSE()</f>
        <v>0</v>
      </c>
      <c r="R36" s="40" t="b">
        <f aca="false">FALSE()</f>
        <v>0</v>
      </c>
      <c r="S36" s="40" t="b">
        <f aca="false">FALSE()</f>
        <v>0</v>
      </c>
      <c r="T36" s="40" t="b">
        <f aca="false">FALSE()</f>
        <v>0</v>
      </c>
      <c r="U36" s="40" t="b">
        <f aca="false">TRUE()</f>
        <v>1</v>
      </c>
      <c r="V36" s="38" t="s">
        <v>3354</v>
      </c>
      <c r="W36" s="38" t="s">
        <v>3287</v>
      </c>
      <c r="X36" s="38" t="s">
        <v>3355</v>
      </c>
      <c r="Y36" s="38" t="s">
        <v>3387</v>
      </c>
      <c r="Z36" s="38" t="s">
        <v>3361</v>
      </c>
      <c r="AA36" s="38"/>
      <c r="AB36" s="38" t="s">
        <v>3319</v>
      </c>
      <c r="AC36" s="38" t="s">
        <v>3320</v>
      </c>
      <c r="AD36" s="38" t="s">
        <v>3354</v>
      </c>
      <c r="AE36" s="38"/>
      <c r="AF36" s="38"/>
      <c r="AG36" s="38"/>
      <c r="AH36" s="38" t="s">
        <v>3292</v>
      </c>
      <c r="AI36" s="38"/>
      <c r="AJ36" s="38" t="s">
        <v>3251</v>
      </c>
      <c r="AK36" s="38" t="s">
        <v>3246</v>
      </c>
      <c r="AL36" s="38" t="s">
        <v>3352</v>
      </c>
      <c r="AM36" s="38"/>
      <c r="AN36" s="38"/>
      <c r="AO36" s="38"/>
    </row>
    <row r="37" customFormat="false" ht="39.55" hidden="false" customHeight="false" outlineLevel="0" collapsed="false">
      <c r="A37" s="38" t="s">
        <v>165</v>
      </c>
      <c r="B37" s="38" t="s">
        <v>3390</v>
      </c>
      <c r="C37" s="38" t="s">
        <v>3305</v>
      </c>
      <c r="D37" s="38" t="s">
        <v>3352</v>
      </c>
      <c r="E37" s="38" t="s">
        <v>3315</v>
      </c>
      <c r="F37" s="38"/>
      <c r="G37" s="38" t="s">
        <v>3316</v>
      </c>
      <c r="H37" s="38"/>
      <c r="I37" s="38" t="s">
        <v>160</v>
      </c>
      <c r="J37" s="38" t="s">
        <v>3391</v>
      </c>
      <c r="K37" s="38"/>
      <c r="L37" s="38"/>
      <c r="M37" s="38"/>
      <c r="N37" s="38"/>
      <c r="O37" s="38" t="s">
        <v>3285</v>
      </c>
      <c r="P37" s="38"/>
      <c r="Q37" s="40" t="b">
        <f aca="false">FALSE()</f>
        <v>0</v>
      </c>
      <c r="R37" s="40" t="b">
        <f aca="false">FALSE()</f>
        <v>0</v>
      </c>
      <c r="S37" s="40" t="b">
        <f aca="false">FALSE()</f>
        <v>0</v>
      </c>
      <c r="T37" s="40" t="b">
        <f aca="false">FALSE()</f>
        <v>0</v>
      </c>
      <c r="U37" s="40" t="b">
        <f aca="false">TRUE()</f>
        <v>1</v>
      </c>
      <c r="V37" s="38" t="s">
        <v>3354</v>
      </c>
      <c r="W37" s="38" t="s">
        <v>3287</v>
      </c>
      <c r="X37" s="38" t="s">
        <v>3355</v>
      </c>
      <c r="Y37" s="38" t="s">
        <v>3308</v>
      </c>
      <c r="Z37" s="38" t="s">
        <v>3318</v>
      </c>
      <c r="AA37" s="38"/>
      <c r="AB37" s="38" t="s">
        <v>3319</v>
      </c>
      <c r="AC37" s="38" t="s">
        <v>3320</v>
      </c>
      <c r="AD37" s="38" t="s">
        <v>3354</v>
      </c>
      <c r="AE37" s="38"/>
      <c r="AF37" s="38"/>
      <c r="AG37" s="38"/>
      <c r="AH37" s="38" t="s">
        <v>3292</v>
      </c>
      <c r="AI37" s="38"/>
      <c r="AJ37" s="38" t="s">
        <v>3251</v>
      </c>
      <c r="AK37" s="38" t="s">
        <v>3246</v>
      </c>
      <c r="AL37" s="38" t="s">
        <v>3352</v>
      </c>
      <c r="AM37" s="38"/>
      <c r="AN37" s="38"/>
      <c r="AO37" s="38"/>
    </row>
    <row r="38" customFormat="false" ht="39.55" hidden="false" customHeight="false" outlineLevel="0" collapsed="false">
      <c r="A38" s="38" t="s">
        <v>165</v>
      </c>
      <c r="B38" s="38" t="s">
        <v>3392</v>
      </c>
      <c r="C38" s="38" t="s">
        <v>3305</v>
      </c>
      <c r="D38" s="38" t="s">
        <v>3352</v>
      </c>
      <c r="E38" s="38" t="s">
        <v>3359</v>
      </c>
      <c r="F38" s="38"/>
      <c r="G38" s="38" t="s">
        <v>3316</v>
      </c>
      <c r="H38" s="38"/>
      <c r="I38" s="38" t="s">
        <v>160</v>
      </c>
      <c r="J38" s="38" t="s">
        <v>3393</v>
      </c>
      <c r="K38" s="38"/>
      <c r="L38" s="38"/>
      <c r="M38" s="38"/>
      <c r="N38" s="38"/>
      <c r="O38" s="38" t="s">
        <v>3285</v>
      </c>
      <c r="P38" s="38"/>
      <c r="Q38" s="40" t="b">
        <f aca="false">FALSE()</f>
        <v>0</v>
      </c>
      <c r="R38" s="40" t="b">
        <f aca="false">FALSE()</f>
        <v>0</v>
      </c>
      <c r="S38" s="40" t="b">
        <f aca="false">FALSE()</f>
        <v>0</v>
      </c>
      <c r="T38" s="40" t="b">
        <f aca="false">FALSE()</f>
        <v>0</v>
      </c>
      <c r="U38" s="40" t="b">
        <f aca="false">TRUE()</f>
        <v>1</v>
      </c>
      <c r="V38" s="38" t="s">
        <v>3354</v>
      </c>
      <c r="W38" s="38" t="s">
        <v>3287</v>
      </c>
      <c r="X38" s="38" t="s">
        <v>3355</v>
      </c>
      <c r="Y38" s="38" t="s">
        <v>3308</v>
      </c>
      <c r="Z38" s="38" t="s">
        <v>3361</v>
      </c>
      <c r="AA38" s="38"/>
      <c r="AB38" s="38" t="s">
        <v>3319</v>
      </c>
      <c r="AC38" s="38" t="s">
        <v>3320</v>
      </c>
      <c r="AD38" s="38" t="s">
        <v>3354</v>
      </c>
      <c r="AE38" s="38"/>
      <c r="AF38" s="38"/>
      <c r="AG38" s="38"/>
      <c r="AH38" s="38" t="s">
        <v>3292</v>
      </c>
      <c r="AI38" s="38"/>
      <c r="AJ38" s="38" t="s">
        <v>3251</v>
      </c>
      <c r="AK38" s="38" t="s">
        <v>3246</v>
      </c>
      <c r="AL38" s="38" t="s">
        <v>3352</v>
      </c>
      <c r="AM38" s="38"/>
      <c r="AN38" s="38"/>
      <c r="AO38" s="38"/>
    </row>
    <row r="39" customFormat="false" ht="39.55" hidden="false" customHeight="false" outlineLevel="0" collapsed="false">
      <c r="A39" s="38" t="s">
        <v>236</v>
      </c>
      <c r="B39" s="38" t="s">
        <v>3394</v>
      </c>
      <c r="C39" s="38" t="s">
        <v>185</v>
      </c>
      <c r="D39" s="38"/>
      <c r="E39" s="38" t="s">
        <v>3395</v>
      </c>
      <c r="F39" s="38"/>
      <c r="G39" s="38" t="s">
        <v>52</v>
      </c>
      <c r="H39" s="38"/>
      <c r="I39" s="38" t="s">
        <v>51</v>
      </c>
      <c r="J39" s="38" t="s">
        <v>3396</v>
      </c>
      <c r="K39" s="38"/>
      <c r="L39" s="38"/>
      <c r="M39" s="38"/>
      <c r="N39" s="38"/>
      <c r="O39" s="38" t="s">
        <v>49</v>
      </c>
      <c r="P39" s="38" t="s">
        <v>3235</v>
      </c>
      <c r="Q39" s="40" t="b">
        <f aca="false">FALSE()</f>
        <v>0</v>
      </c>
      <c r="R39" s="40" t="b">
        <f aca="false">FALSE()</f>
        <v>0</v>
      </c>
      <c r="S39" s="40" t="b">
        <f aca="false">TRUE()</f>
        <v>1</v>
      </c>
      <c r="T39" s="40" t="b">
        <f aca="false">FALSE()</f>
        <v>0</v>
      </c>
      <c r="U39" s="40" t="b">
        <f aca="false">TRUE()</f>
        <v>1</v>
      </c>
      <c r="V39" s="38" t="s">
        <v>3397</v>
      </c>
      <c r="W39" s="38" t="s">
        <v>3398</v>
      </c>
      <c r="X39" s="38" t="s">
        <v>3399</v>
      </c>
      <c r="Y39" s="38" t="s">
        <v>3239</v>
      </c>
      <c r="Z39" s="38" t="s">
        <v>3397</v>
      </c>
      <c r="AA39" s="38"/>
      <c r="AB39" s="38" t="s">
        <v>3241</v>
      </c>
      <c r="AC39" s="38" t="s">
        <v>3242</v>
      </c>
      <c r="AD39" s="38"/>
      <c r="AE39" s="38"/>
      <c r="AF39" s="38"/>
      <c r="AG39" s="38"/>
      <c r="AH39" s="38" t="s">
        <v>3243</v>
      </c>
      <c r="AI39" s="38" t="s">
        <v>3244</v>
      </c>
      <c r="AJ39" s="38" t="s">
        <v>3251</v>
      </c>
      <c r="AK39" s="38" t="s">
        <v>3246</v>
      </c>
      <c r="AL39" s="38" t="s">
        <v>3395</v>
      </c>
      <c r="AM39" s="38"/>
      <c r="AN39" s="38"/>
      <c r="AO39" s="38"/>
    </row>
    <row r="40" customFormat="false" ht="39.55" hidden="false" customHeight="false" outlineLevel="0" collapsed="false">
      <c r="A40" s="38" t="s">
        <v>236</v>
      </c>
      <c r="B40" s="38" t="s">
        <v>3400</v>
      </c>
      <c r="C40" s="38" t="s">
        <v>185</v>
      </c>
      <c r="D40" s="38"/>
      <c r="E40" s="38" t="s">
        <v>3401</v>
      </c>
      <c r="F40" s="38"/>
      <c r="G40" s="38" t="s">
        <v>52</v>
      </c>
      <c r="H40" s="38"/>
      <c r="I40" s="38" t="s">
        <v>51</v>
      </c>
      <c r="J40" s="38" t="s">
        <v>3402</v>
      </c>
      <c r="K40" s="38"/>
      <c r="L40" s="38"/>
      <c r="M40" s="38"/>
      <c r="N40" s="38"/>
      <c r="O40" s="38" t="s">
        <v>49</v>
      </c>
      <c r="P40" s="38" t="s">
        <v>3235</v>
      </c>
      <c r="Q40" s="40" t="b">
        <f aca="false">FALSE()</f>
        <v>0</v>
      </c>
      <c r="R40" s="40" t="b">
        <f aca="false">FALSE()</f>
        <v>0</v>
      </c>
      <c r="S40" s="40" t="b">
        <f aca="false">TRUE()</f>
        <v>1</v>
      </c>
      <c r="T40" s="40" t="b">
        <f aca="false">FALSE()</f>
        <v>0</v>
      </c>
      <c r="U40" s="40" t="b">
        <f aca="false">TRUE()</f>
        <v>1</v>
      </c>
      <c r="V40" s="38" t="s">
        <v>3403</v>
      </c>
      <c r="W40" s="38" t="s">
        <v>3398</v>
      </c>
      <c r="X40" s="38" t="s">
        <v>3404</v>
      </c>
      <c r="Y40" s="38" t="s">
        <v>3239</v>
      </c>
      <c r="Z40" s="38" t="s">
        <v>3403</v>
      </c>
      <c r="AA40" s="38"/>
      <c r="AB40" s="38" t="s">
        <v>3241</v>
      </c>
      <c r="AC40" s="38" t="s">
        <v>3242</v>
      </c>
      <c r="AD40" s="38"/>
      <c r="AE40" s="38"/>
      <c r="AF40" s="38"/>
      <c r="AG40" s="38"/>
      <c r="AH40" s="38" t="s">
        <v>3243</v>
      </c>
      <c r="AI40" s="38" t="s">
        <v>3244</v>
      </c>
      <c r="AJ40" s="38" t="s">
        <v>3251</v>
      </c>
      <c r="AK40" s="38" t="s">
        <v>3246</v>
      </c>
      <c r="AL40" s="38" t="s">
        <v>3401</v>
      </c>
      <c r="AM40" s="38"/>
      <c r="AN40" s="38"/>
      <c r="AO40" s="38"/>
    </row>
    <row r="41" customFormat="false" ht="39.55" hidden="false" customHeight="false" outlineLevel="0" collapsed="false">
      <c r="A41" s="38" t="s">
        <v>236</v>
      </c>
      <c r="B41" s="38" t="s">
        <v>3405</v>
      </c>
      <c r="C41" s="38" t="s">
        <v>185</v>
      </c>
      <c r="D41" s="38"/>
      <c r="E41" s="38" t="s">
        <v>3406</v>
      </c>
      <c r="F41" s="38"/>
      <c r="G41" s="38" t="s">
        <v>52</v>
      </c>
      <c r="H41" s="38"/>
      <c r="I41" s="38" t="s">
        <v>51</v>
      </c>
      <c r="J41" s="38" t="s">
        <v>3407</v>
      </c>
      <c r="K41" s="38"/>
      <c r="L41" s="38"/>
      <c r="M41" s="38"/>
      <c r="N41" s="38"/>
      <c r="O41" s="38" t="s">
        <v>49</v>
      </c>
      <c r="P41" s="38" t="s">
        <v>3235</v>
      </c>
      <c r="Q41" s="40" t="b">
        <f aca="false">FALSE()</f>
        <v>0</v>
      </c>
      <c r="R41" s="40" t="b">
        <f aca="false">FALSE()</f>
        <v>0</v>
      </c>
      <c r="S41" s="40" t="b">
        <f aca="false">TRUE()</f>
        <v>1</v>
      </c>
      <c r="T41" s="40" t="b">
        <f aca="false">FALSE()</f>
        <v>0</v>
      </c>
      <c r="U41" s="40" t="b">
        <f aca="false">TRUE()</f>
        <v>1</v>
      </c>
      <c r="V41" s="38" t="s">
        <v>3408</v>
      </c>
      <c r="W41" s="38" t="s">
        <v>3398</v>
      </c>
      <c r="X41" s="38" t="s">
        <v>3409</v>
      </c>
      <c r="Y41" s="38" t="s">
        <v>3239</v>
      </c>
      <c r="Z41" s="38" t="s">
        <v>3408</v>
      </c>
      <c r="AA41" s="38"/>
      <c r="AB41" s="38" t="s">
        <v>3241</v>
      </c>
      <c r="AC41" s="38" t="s">
        <v>3242</v>
      </c>
      <c r="AD41" s="38"/>
      <c r="AE41" s="38"/>
      <c r="AF41" s="38"/>
      <c r="AG41" s="38"/>
      <c r="AH41" s="38" t="s">
        <v>3243</v>
      </c>
      <c r="AI41" s="38" t="s">
        <v>3244</v>
      </c>
      <c r="AJ41" s="38" t="s">
        <v>3251</v>
      </c>
      <c r="AK41" s="38" t="s">
        <v>3246</v>
      </c>
      <c r="AL41" s="38" t="s">
        <v>3406</v>
      </c>
      <c r="AM41" s="38"/>
      <c r="AN41" s="38"/>
      <c r="AO41" s="38"/>
    </row>
    <row r="42" customFormat="false" ht="39.55" hidden="false" customHeight="false" outlineLevel="0" collapsed="false">
      <c r="A42" s="38" t="s">
        <v>236</v>
      </c>
      <c r="B42" s="38" t="s">
        <v>3410</v>
      </c>
      <c r="C42" s="38" t="s">
        <v>185</v>
      </c>
      <c r="D42" s="38"/>
      <c r="E42" s="38" t="s">
        <v>3411</v>
      </c>
      <c r="F42" s="38"/>
      <c r="G42" s="38" t="s">
        <v>52</v>
      </c>
      <c r="H42" s="38"/>
      <c r="I42" s="38" t="s">
        <v>51</v>
      </c>
      <c r="J42" s="38" t="s">
        <v>3412</v>
      </c>
      <c r="K42" s="38"/>
      <c r="L42" s="38"/>
      <c r="M42" s="38"/>
      <c r="N42" s="38"/>
      <c r="O42" s="38" t="s">
        <v>49</v>
      </c>
      <c r="P42" s="38" t="s">
        <v>3235</v>
      </c>
      <c r="Q42" s="40" t="b">
        <f aca="false">FALSE()</f>
        <v>0</v>
      </c>
      <c r="R42" s="40" t="b">
        <f aca="false">FALSE()</f>
        <v>0</v>
      </c>
      <c r="S42" s="40" t="b">
        <f aca="false">TRUE()</f>
        <v>1</v>
      </c>
      <c r="T42" s="40" t="b">
        <f aca="false">FALSE()</f>
        <v>0</v>
      </c>
      <c r="U42" s="40" t="b">
        <f aca="false">TRUE()</f>
        <v>1</v>
      </c>
      <c r="V42" s="38" t="s">
        <v>3413</v>
      </c>
      <c r="W42" s="38" t="s">
        <v>3398</v>
      </c>
      <c r="X42" s="38" t="s">
        <v>3414</v>
      </c>
      <c r="Y42" s="38" t="s">
        <v>3239</v>
      </c>
      <c r="Z42" s="38" t="s">
        <v>3413</v>
      </c>
      <c r="AA42" s="38"/>
      <c r="AB42" s="38" t="s">
        <v>3241</v>
      </c>
      <c r="AC42" s="38" t="s">
        <v>3242</v>
      </c>
      <c r="AD42" s="38"/>
      <c r="AE42" s="38"/>
      <c r="AF42" s="38"/>
      <c r="AG42" s="38"/>
      <c r="AH42" s="38" t="s">
        <v>3243</v>
      </c>
      <c r="AI42" s="38" t="s">
        <v>3244</v>
      </c>
      <c r="AJ42" s="38" t="s">
        <v>3251</v>
      </c>
      <c r="AK42" s="38" t="s">
        <v>3246</v>
      </c>
      <c r="AL42" s="38" t="s">
        <v>3411</v>
      </c>
      <c r="AM42" s="38"/>
      <c r="AN42" s="38"/>
      <c r="AO42" s="38"/>
    </row>
    <row r="43" customFormat="false" ht="39.55" hidden="false" customHeight="false" outlineLevel="0" collapsed="false">
      <c r="A43" s="38" t="s">
        <v>236</v>
      </c>
      <c r="B43" s="38" t="s">
        <v>3415</v>
      </c>
      <c r="C43" s="38" t="s">
        <v>185</v>
      </c>
      <c r="D43" s="38"/>
      <c r="E43" s="38" t="s">
        <v>3416</v>
      </c>
      <c r="F43" s="38"/>
      <c r="G43" s="38" t="s">
        <v>52</v>
      </c>
      <c r="H43" s="38"/>
      <c r="I43" s="38" t="s">
        <v>51</v>
      </c>
      <c r="J43" s="38" t="s">
        <v>3417</v>
      </c>
      <c r="K43" s="38"/>
      <c r="L43" s="38"/>
      <c r="M43" s="38"/>
      <c r="N43" s="38"/>
      <c r="O43" s="38" t="s">
        <v>49</v>
      </c>
      <c r="P43" s="38" t="s">
        <v>3235</v>
      </c>
      <c r="Q43" s="40" t="b">
        <f aca="false">FALSE()</f>
        <v>0</v>
      </c>
      <c r="R43" s="40" t="b">
        <f aca="false">FALSE()</f>
        <v>0</v>
      </c>
      <c r="S43" s="40" t="b">
        <f aca="false">TRUE()</f>
        <v>1</v>
      </c>
      <c r="T43" s="40" t="b">
        <f aca="false">FALSE()</f>
        <v>0</v>
      </c>
      <c r="U43" s="40" t="b">
        <f aca="false">TRUE()</f>
        <v>1</v>
      </c>
      <c r="V43" s="38" t="s">
        <v>3418</v>
      </c>
      <c r="W43" s="38" t="s">
        <v>3398</v>
      </c>
      <c r="X43" s="38" t="s">
        <v>3419</v>
      </c>
      <c r="Y43" s="38" t="s">
        <v>3239</v>
      </c>
      <c r="Z43" s="38" t="s">
        <v>3418</v>
      </c>
      <c r="AA43" s="38"/>
      <c r="AB43" s="38" t="s">
        <v>3241</v>
      </c>
      <c r="AC43" s="38" t="s">
        <v>3242</v>
      </c>
      <c r="AD43" s="38"/>
      <c r="AE43" s="38"/>
      <c r="AF43" s="38"/>
      <c r="AG43" s="38"/>
      <c r="AH43" s="38" t="s">
        <v>3243</v>
      </c>
      <c r="AI43" s="38" t="s">
        <v>3244</v>
      </c>
      <c r="AJ43" s="38" t="s">
        <v>3251</v>
      </c>
      <c r="AK43" s="38" t="s">
        <v>3246</v>
      </c>
      <c r="AL43" s="38" t="s">
        <v>3416</v>
      </c>
      <c r="AM43" s="38"/>
      <c r="AN43" s="38"/>
      <c r="AO43" s="38"/>
    </row>
    <row r="44" customFormat="false" ht="39.55" hidden="false" customHeight="false" outlineLevel="0" collapsed="false">
      <c r="A44" s="38" t="s">
        <v>236</v>
      </c>
      <c r="B44" s="38" t="s">
        <v>3420</v>
      </c>
      <c r="C44" s="38" t="s">
        <v>185</v>
      </c>
      <c r="D44" s="38"/>
      <c r="E44" s="38" t="s">
        <v>3421</v>
      </c>
      <c r="F44" s="38"/>
      <c r="G44" s="38" t="s">
        <v>52</v>
      </c>
      <c r="H44" s="38"/>
      <c r="I44" s="38" t="s">
        <v>51</v>
      </c>
      <c r="J44" s="38" t="s">
        <v>3422</v>
      </c>
      <c r="K44" s="38"/>
      <c r="L44" s="38"/>
      <c r="M44" s="38"/>
      <c r="N44" s="38"/>
      <c r="O44" s="38" t="s">
        <v>49</v>
      </c>
      <c r="P44" s="38" t="s">
        <v>3235</v>
      </c>
      <c r="Q44" s="40" t="b">
        <f aca="false">FALSE()</f>
        <v>0</v>
      </c>
      <c r="R44" s="40" t="b">
        <f aca="false">FALSE()</f>
        <v>0</v>
      </c>
      <c r="S44" s="40" t="b">
        <f aca="false">TRUE()</f>
        <v>1</v>
      </c>
      <c r="T44" s="40" t="b">
        <f aca="false">FALSE()</f>
        <v>0</v>
      </c>
      <c r="U44" s="40" t="b">
        <f aca="false">TRUE()</f>
        <v>1</v>
      </c>
      <c r="V44" s="38" t="s">
        <v>3423</v>
      </c>
      <c r="W44" s="38" t="s">
        <v>3398</v>
      </c>
      <c r="X44" s="38" t="s">
        <v>3424</v>
      </c>
      <c r="Y44" s="38" t="s">
        <v>3239</v>
      </c>
      <c r="Z44" s="38" t="s">
        <v>3423</v>
      </c>
      <c r="AA44" s="38"/>
      <c r="AB44" s="38" t="s">
        <v>3241</v>
      </c>
      <c r="AC44" s="38" t="s">
        <v>3242</v>
      </c>
      <c r="AD44" s="38"/>
      <c r="AE44" s="38"/>
      <c r="AF44" s="38"/>
      <c r="AG44" s="38"/>
      <c r="AH44" s="38" t="s">
        <v>3243</v>
      </c>
      <c r="AI44" s="38" t="s">
        <v>3244</v>
      </c>
      <c r="AJ44" s="38" t="s">
        <v>3251</v>
      </c>
      <c r="AK44" s="38" t="s">
        <v>3246</v>
      </c>
      <c r="AL44" s="38" t="s">
        <v>3421</v>
      </c>
      <c r="AM44" s="38"/>
      <c r="AN44" s="38"/>
      <c r="AO44" s="38"/>
    </row>
    <row r="45" customFormat="false" ht="39.55" hidden="false" customHeight="false" outlineLevel="0" collapsed="false">
      <c r="A45" s="38" t="s">
        <v>236</v>
      </c>
      <c r="B45" s="38" t="s">
        <v>3425</v>
      </c>
      <c r="C45" s="38" t="s">
        <v>185</v>
      </c>
      <c r="D45" s="38"/>
      <c r="E45" s="38" t="s">
        <v>3426</v>
      </c>
      <c r="F45" s="38"/>
      <c r="G45" s="38" t="s">
        <v>52</v>
      </c>
      <c r="H45" s="38"/>
      <c r="I45" s="38" t="s">
        <v>51</v>
      </c>
      <c r="J45" s="38" t="s">
        <v>3427</v>
      </c>
      <c r="K45" s="38"/>
      <c r="L45" s="38"/>
      <c r="M45" s="38"/>
      <c r="N45" s="38"/>
      <c r="O45" s="38" t="s">
        <v>49</v>
      </c>
      <c r="P45" s="38" t="s">
        <v>3235</v>
      </c>
      <c r="Q45" s="40" t="b">
        <f aca="false">FALSE()</f>
        <v>0</v>
      </c>
      <c r="R45" s="40" t="b">
        <f aca="false">FALSE()</f>
        <v>0</v>
      </c>
      <c r="S45" s="40" t="b">
        <f aca="false">TRUE()</f>
        <v>1</v>
      </c>
      <c r="T45" s="40" t="b">
        <f aca="false">FALSE()</f>
        <v>0</v>
      </c>
      <c r="U45" s="40" t="b">
        <f aca="false">TRUE()</f>
        <v>1</v>
      </c>
      <c r="V45" s="38" t="s">
        <v>3428</v>
      </c>
      <c r="W45" s="38" t="s">
        <v>3398</v>
      </c>
      <c r="X45" s="38" t="s">
        <v>3429</v>
      </c>
      <c r="Y45" s="38" t="s">
        <v>3239</v>
      </c>
      <c r="Z45" s="38" t="s">
        <v>3428</v>
      </c>
      <c r="AA45" s="38"/>
      <c r="AB45" s="38" t="s">
        <v>3241</v>
      </c>
      <c r="AC45" s="38" t="s">
        <v>3242</v>
      </c>
      <c r="AD45" s="38"/>
      <c r="AE45" s="38"/>
      <c r="AF45" s="38"/>
      <c r="AG45" s="38"/>
      <c r="AH45" s="38" t="s">
        <v>3243</v>
      </c>
      <c r="AI45" s="38" t="s">
        <v>3244</v>
      </c>
      <c r="AJ45" s="38" t="s">
        <v>3251</v>
      </c>
      <c r="AK45" s="38" t="s">
        <v>3246</v>
      </c>
      <c r="AL45" s="38" t="s">
        <v>3426</v>
      </c>
      <c r="AM45" s="38"/>
      <c r="AN45" s="38"/>
      <c r="AO45" s="38"/>
    </row>
    <row r="46" customFormat="false" ht="39.55" hidden="false" customHeight="false" outlineLevel="0" collapsed="false">
      <c r="A46" s="38" t="s">
        <v>236</v>
      </c>
      <c r="B46" s="38" t="s">
        <v>3430</v>
      </c>
      <c r="C46" s="38" t="s">
        <v>185</v>
      </c>
      <c r="D46" s="38"/>
      <c r="E46" s="38" t="s">
        <v>3431</v>
      </c>
      <c r="F46" s="38"/>
      <c r="G46" s="38" t="s">
        <v>52</v>
      </c>
      <c r="H46" s="38"/>
      <c r="I46" s="38" t="s">
        <v>51</v>
      </c>
      <c r="J46" s="38" t="s">
        <v>3432</v>
      </c>
      <c r="K46" s="38"/>
      <c r="L46" s="38"/>
      <c r="M46" s="38"/>
      <c r="N46" s="38"/>
      <c r="O46" s="38" t="s">
        <v>49</v>
      </c>
      <c r="P46" s="38" t="s">
        <v>3235</v>
      </c>
      <c r="Q46" s="40" t="b">
        <f aca="false">FALSE()</f>
        <v>0</v>
      </c>
      <c r="R46" s="40" t="b">
        <f aca="false">FALSE()</f>
        <v>0</v>
      </c>
      <c r="S46" s="40" t="b">
        <f aca="false">TRUE()</f>
        <v>1</v>
      </c>
      <c r="T46" s="40" t="b">
        <f aca="false">FALSE()</f>
        <v>0</v>
      </c>
      <c r="U46" s="40" t="b">
        <f aca="false">TRUE()</f>
        <v>1</v>
      </c>
      <c r="V46" s="38" t="s">
        <v>3433</v>
      </c>
      <c r="W46" s="38" t="s">
        <v>3398</v>
      </c>
      <c r="X46" s="38" t="s">
        <v>3434</v>
      </c>
      <c r="Y46" s="38" t="s">
        <v>3239</v>
      </c>
      <c r="Z46" s="38" t="s">
        <v>3433</v>
      </c>
      <c r="AA46" s="38"/>
      <c r="AB46" s="38" t="s">
        <v>3241</v>
      </c>
      <c r="AC46" s="38" t="s">
        <v>3242</v>
      </c>
      <c r="AD46" s="38"/>
      <c r="AE46" s="38"/>
      <c r="AF46" s="38"/>
      <c r="AG46" s="38"/>
      <c r="AH46" s="38" t="s">
        <v>3243</v>
      </c>
      <c r="AI46" s="38" t="s">
        <v>3244</v>
      </c>
      <c r="AJ46" s="38" t="s">
        <v>3251</v>
      </c>
      <c r="AK46" s="38" t="s">
        <v>3246</v>
      </c>
      <c r="AL46" s="38" t="s">
        <v>3431</v>
      </c>
      <c r="AM46" s="38"/>
      <c r="AN46" s="38"/>
      <c r="AO46" s="38"/>
    </row>
    <row r="47" customFormat="false" ht="39.55" hidden="false" customHeight="false" outlineLevel="0" collapsed="false">
      <c r="A47" s="38" t="s">
        <v>273</v>
      </c>
      <c r="B47" s="38" t="s">
        <v>3435</v>
      </c>
      <c r="C47" s="38" t="s">
        <v>3280</v>
      </c>
      <c r="D47" s="38"/>
      <c r="E47" s="38" t="s">
        <v>276</v>
      </c>
      <c r="F47" s="38" t="s">
        <v>3436</v>
      </c>
      <c r="G47" s="38" t="s">
        <v>52</v>
      </c>
      <c r="H47" s="38"/>
      <c r="I47" s="38" t="s">
        <v>3437</v>
      </c>
      <c r="J47" s="38" t="s">
        <v>3438</v>
      </c>
      <c r="K47" s="38"/>
      <c r="L47" s="38"/>
      <c r="M47" s="38"/>
      <c r="N47" s="38"/>
      <c r="O47" s="38" t="s">
        <v>3439</v>
      </c>
      <c r="P47" s="38" t="s">
        <v>50</v>
      </c>
      <c r="Q47" s="40" t="b">
        <f aca="false">FALSE()</f>
        <v>0</v>
      </c>
      <c r="R47" s="40" t="b">
        <f aca="false">FALSE()</f>
        <v>0</v>
      </c>
      <c r="S47" s="40" t="b">
        <f aca="false">FALSE()</f>
        <v>0</v>
      </c>
      <c r="T47" s="40" t="b">
        <f aca="false">FALSE()</f>
        <v>0</v>
      </c>
      <c r="U47" s="40" t="b">
        <f aca="false">TRUE()</f>
        <v>1</v>
      </c>
      <c r="V47" s="38" t="s">
        <v>3440</v>
      </c>
      <c r="W47" s="38" t="s">
        <v>3441</v>
      </c>
      <c r="X47" s="38" t="s">
        <v>3442</v>
      </c>
      <c r="Y47" s="38" t="s">
        <v>3289</v>
      </c>
      <c r="Z47" s="38" t="s">
        <v>3440</v>
      </c>
      <c r="AA47" s="38" t="s">
        <v>3443</v>
      </c>
      <c r="AB47" s="38" t="s">
        <v>3241</v>
      </c>
      <c r="AC47" s="38" t="s">
        <v>3444</v>
      </c>
      <c r="AD47" s="38"/>
      <c r="AE47" s="38"/>
      <c r="AF47" s="38"/>
      <c r="AG47" s="38"/>
      <c r="AH47" s="38" t="s">
        <v>3445</v>
      </c>
      <c r="AI47" s="38" t="s">
        <v>3293</v>
      </c>
      <c r="AJ47" s="38" t="s">
        <v>3446</v>
      </c>
      <c r="AK47" s="38" t="s">
        <v>3246</v>
      </c>
      <c r="AL47" s="38" t="s">
        <v>276</v>
      </c>
      <c r="AM47" s="38"/>
      <c r="AN47" s="38"/>
      <c r="AO47" s="38"/>
    </row>
    <row r="48" customFormat="false" ht="39.55" hidden="false" customHeight="false" outlineLevel="0" collapsed="false">
      <c r="A48" s="38" t="s">
        <v>273</v>
      </c>
      <c r="B48" s="38" t="s">
        <v>3447</v>
      </c>
      <c r="C48" s="38" t="s">
        <v>3280</v>
      </c>
      <c r="D48" s="38"/>
      <c r="E48" s="38" t="s">
        <v>276</v>
      </c>
      <c r="F48" s="38" t="s">
        <v>3436</v>
      </c>
      <c r="G48" s="38" t="s">
        <v>52</v>
      </c>
      <c r="H48" s="38"/>
      <c r="I48" s="38" t="s">
        <v>51</v>
      </c>
      <c r="J48" s="38" t="s">
        <v>3448</v>
      </c>
      <c r="K48" s="38"/>
      <c r="L48" s="38"/>
      <c r="M48" s="38"/>
      <c r="N48" s="38"/>
      <c r="O48" s="38" t="s">
        <v>3449</v>
      </c>
      <c r="P48" s="38" t="s">
        <v>50</v>
      </c>
      <c r="Q48" s="40" t="b">
        <f aca="false">FALSE()</f>
        <v>0</v>
      </c>
      <c r="R48" s="40" t="b">
        <f aca="false">FALSE()</f>
        <v>0</v>
      </c>
      <c r="S48" s="40" t="b">
        <f aca="false">FALSE()</f>
        <v>0</v>
      </c>
      <c r="T48" s="40" t="b">
        <f aca="false">FALSE()</f>
        <v>0</v>
      </c>
      <c r="U48" s="40" t="b">
        <f aca="false">TRUE()</f>
        <v>1</v>
      </c>
      <c r="V48" s="38" t="s">
        <v>3440</v>
      </c>
      <c r="W48" s="38" t="s">
        <v>3441</v>
      </c>
      <c r="X48" s="38" t="s">
        <v>3442</v>
      </c>
      <c r="Y48" s="38" t="s">
        <v>3289</v>
      </c>
      <c r="Z48" s="38" t="s">
        <v>3440</v>
      </c>
      <c r="AA48" s="38" t="s">
        <v>3443</v>
      </c>
      <c r="AB48" s="38" t="s">
        <v>3241</v>
      </c>
      <c r="AC48" s="38" t="s">
        <v>3242</v>
      </c>
      <c r="AD48" s="38"/>
      <c r="AE48" s="38"/>
      <c r="AF48" s="38"/>
      <c r="AG48" s="38"/>
      <c r="AH48" s="38" t="s">
        <v>3450</v>
      </c>
      <c r="AI48" s="38" t="s">
        <v>3293</v>
      </c>
      <c r="AJ48" s="38" t="s">
        <v>3251</v>
      </c>
      <c r="AK48" s="38" t="s">
        <v>3246</v>
      </c>
      <c r="AL48" s="38" t="s">
        <v>276</v>
      </c>
      <c r="AM48" s="38"/>
      <c r="AN48" s="38"/>
      <c r="AO48" s="38"/>
    </row>
    <row r="49" customFormat="false" ht="39.55" hidden="false" customHeight="false" outlineLevel="0" collapsed="false">
      <c r="A49" s="38" t="s">
        <v>273</v>
      </c>
      <c r="B49" s="38" t="s">
        <v>3451</v>
      </c>
      <c r="C49" s="38" t="s">
        <v>3385</v>
      </c>
      <c r="D49" s="38"/>
      <c r="E49" s="38" t="s">
        <v>282</v>
      </c>
      <c r="F49" s="38" t="s">
        <v>3452</v>
      </c>
      <c r="G49" s="38" t="s">
        <v>52</v>
      </c>
      <c r="H49" s="38"/>
      <c r="I49" s="38" t="s">
        <v>3437</v>
      </c>
      <c r="J49" s="38" t="s">
        <v>3453</v>
      </c>
      <c r="K49" s="38"/>
      <c r="L49" s="38"/>
      <c r="M49" s="38"/>
      <c r="N49" s="38"/>
      <c r="O49" s="38" t="s">
        <v>3439</v>
      </c>
      <c r="P49" s="38" t="s">
        <v>50</v>
      </c>
      <c r="Q49" s="40" t="b">
        <f aca="false">FALSE()</f>
        <v>0</v>
      </c>
      <c r="R49" s="40" t="b">
        <f aca="false">FALSE()</f>
        <v>0</v>
      </c>
      <c r="S49" s="40" t="b">
        <f aca="false">FALSE()</f>
        <v>0</v>
      </c>
      <c r="T49" s="40" t="b">
        <f aca="false">FALSE()</f>
        <v>0</v>
      </c>
      <c r="U49" s="40" t="b">
        <f aca="false">TRUE()</f>
        <v>1</v>
      </c>
      <c r="V49" s="38" t="s">
        <v>3454</v>
      </c>
      <c r="W49" s="38" t="s">
        <v>3441</v>
      </c>
      <c r="X49" s="38" t="s">
        <v>3455</v>
      </c>
      <c r="Y49" s="38" t="s">
        <v>3387</v>
      </c>
      <c r="Z49" s="38" t="s">
        <v>3454</v>
      </c>
      <c r="AA49" s="38" t="s">
        <v>3456</v>
      </c>
      <c r="AB49" s="38" t="s">
        <v>3241</v>
      </c>
      <c r="AC49" s="38" t="s">
        <v>3444</v>
      </c>
      <c r="AD49" s="38"/>
      <c r="AE49" s="38"/>
      <c r="AF49" s="38"/>
      <c r="AG49" s="38"/>
      <c r="AH49" s="38" t="s">
        <v>3445</v>
      </c>
      <c r="AI49" s="38" t="s">
        <v>3293</v>
      </c>
      <c r="AJ49" s="38" t="s">
        <v>3457</v>
      </c>
      <c r="AK49" s="38"/>
      <c r="AL49" s="38" t="s">
        <v>282</v>
      </c>
      <c r="AM49" s="38"/>
      <c r="AN49" s="38"/>
      <c r="AO49" s="38"/>
    </row>
    <row r="50" customFormat="false" ht="39.55" hidden="false" customHeight="false" outlineLevel="0" collapsed="false">
      <c r="A50" s="38" t="s">
        <v>273</v>
      </c>
      <c r="B50" s="38" t="s">
        <v>3458</v>
      </c>
      <c r="C50" s="38" t="s">
        <v>3385</v>
      </c>
      <c r="D50" s="38"/>
      <c r="E50" s="38" t="s">
        <v>282</v>
      </c>
      <c r="F50" s="38" t="s">
        <v>3452</v>
      </c>
      <c r="G50" s="38" t="s">
        <v>52</v>
      </c>
      <c r="H50" s="38"/>
      <c r="I50" s="38" t="s">
        <v>51</v>
      </c>
      <c r="J50" s="38" t="s">
        <v>3459</v>
      </c>
      <c r="K50" s="38"/>
      <c r="L50" s="38"/>
      <c r="M50" s="38"/>
      <c r="N50" s="38"/>
      <c r="O50" s="38" t="s">
        <v>3449</v>
      </c>
      <c r="P50" s="38" t="s">
        <v>50</v>
      </c>
      <c r="Q50" s="40" t="b">
        <f aca="false">FALSE()</f>
        <v>0</v>
      </c>
      <c r="R50" s="40" t="b">
        <f aca="false">FALSE()</f>
        <v>0</v>
      </c>
      <c r="S50" s="40" t="b">
        <f aca="false">FALSE()</f>
        <v>0</v>
      </c>
      <c r="T50" s="40" t="b">
        <f aca="false">FALSE()</f>
        <v>0</v>
      </c>
      <c r="U50" s="40" t="b">
        <f aca="false">TRUE()</f>
        <v>1</v>
      </c>
      <c r="V50" s="38" t="s">
        <v>3454</v>
      </c>
      <c r="W50" s="38" t="s">
        <v>3441</v>
      </c>
      <c r="X50" s="38" t="s">
        <v>3455</v>
      </c>
      <c r="Y50" s="38" t="s">
        <v>3387</v>
      </c>
      <c r="Z50" s="38" t="s">
        <v>3454</v>
      </c>
      <c r="AA50" s="38" t="s">
        <v>3456</v>
      </c>
      <c r="AB50" s="38" t="s">
        <v>3241</v>
      </c>
      <c r="AC50" s="38" t="s">
        <v>3242</v>
      </c>
      <c r="AD50" s="38"/>
      <c r="AE50" s="38"/>
      <c r="AF50" s="38"/>
      <c r="AG50" s="38"/>
      <c r="AH50" s="38" t="s">
        <v>3450</v>
      </c>
      <c r="AI50" s="38" t="s">
        <v>3293</v>
      </c>
      <c r="AJ50" s="38" t="s">
        <v>3251</v>
      </c>
      <c r="AK50" s="38" t="s">
        <v>3460</v>
      </c>
      <c r="AL50" s="38" t="s">
        <v>282</v>
      </c>
      <c r="AM50" s="38"/>
      <c r="AN50" s="38"/>
      <c r="AO50" s="38"/>
    </row>
    <row r="51" customFormat="false" ht="39.55" hidden="false" customHeight="false" outlineLevel="0" collapsed="false">
      <c r="A51" s="38" t="s">
        <v>273</v>
      </c>
      <c r="B51" s="38" t="s">
        <v>3461</v>
      </c>
      <c r="C51" s="38" t="s">
        <v>3299</v>
      </c>
      <c r="D51" s="38"/>
      <c r="E51" s="38" t="s">
        <v>280</v>
      </c>
      <c r="F51" s="38" t="s">
        <v>3462</v>
      </c>
      <c r="G51" s="38" t="s">
        <v>52</v>
      </c>
      <c r="H51" s="38"/>
      <c r="I51" s="38" t="s">
        <v>51</v>
      </c>
      <c r="J51" s="38" t="s">
        <v>3463</v>
      </c>
      <c r="K51" s="38"/>
      <c r="L51" s="38"/>
      <c r="M51" s="38"/>
      <c r="N51" s="38"/>
      <c r="O51" s="38" t="s">
        <v>3285</v>
      </c>
      <c r="P51" s="38" t="s">
        <v>3235</v>
      </c>
      <c r="Q51" s="40" t="b">
        <f aca="false">FALSE()</f>
        <v>0</v>
      </c>
      <c r="R51" s="40" t="b">
        <f aca="false">FALSE()</f>
        <v>0</v>
      </c>
      <c r="S51" s="40" t="b">
        <f aca="false">FALSE()</f>
        <v>0</v>
      </c>
      <c r="T51" s="40" t="b">
        <f aca="false">FALSE()</f>
        <v>0</v>
      </c>
      <c r="U51" s="40" t="b">
        <f aca="false">TRUE()</f>
        <v>1</v>
      </c>
      <c r="V51" s="38" t="s">
        <v>3464</v>
      </c>
      <c r="W51" s="38" t="s">
        <v>3441</v>
      </c>
      <c r="X51" s="38" t="s">
        <v>3465</v>
      </c>
      <c r="Y51" s="38" t="s">
        <v>3301</v>
      </c>
      <c r="Z51" s="38" t="s">
        <v>3464</v>
      </c>
      <c r="AA51" s="38" t="s">
        <v>3466</v>
      </c>
      <c r="AB51" s="38" t="s">
        <v>3241</v>
      </c>
      <c r="AC51" s="38" t="s">
        <v>3242</v>
      </c>
      <c r="AD51" s="38"/>
      <c r="AE51" s="38"/>
      <c r="AF51" s="38"/>
      <c r="AG51" s="38"/>
      <c r="AH51" s="38" t="s">
        <v>3292</v>
      </c>
      <c r="AI51" s="38" t="s">
        <v>3244</v>
      </c>
      <c r="AJ51" s="38" t="s">
        <v>3251</v>
      </c>
      <c r="AK51" s="38" t="s">
        <v>3246</v>
      </c>
      <c r="AL51" s="38" t="s">
        <v>280</v>
      </c>
      <c r="AM51" s="38"/>
      <c r="AN51" s="38"/>
      <c r="AO51" s="38"/>
    </row>
    <row r="52" customFormat="false" ht="39.55" hidden="false" customHeight="false" outlineLevel="0" collapsed="false">
      <c r="A52" s="38" t="s">
        <v>273</v>
      </c>
      <c r="B52" s="38" t="s">
        <v>3467</v>
      </c>
      <c r="C52" s="38" t="s">
        <v>3299</v>
      </c>
      <c r="D52" s="38"/>
      <c r="E52" s="38" t="s">
        <v>274</v>
      </c>
      <c r="F52" s="38" t="s">
        <v>3468</v>
      </c>
      <c r="G52" s="38" t="s">
        <v>52</v>
      </c>
      <c r="H52" s="38"/>
      <c r="I52" s="38" t="s">
        <v>51</v>
      </c>
      <c r="J52" s="38" t="s">
        <v>3469</v>
      </c>
      <c r="K52" s="38"/>
      <c r="L52" s="38"/>
      <c r="M52" s="38"/>
      <c r="N52" s="38"/>
      <c r="O52" s="38" t="s">
        <v>3449</v>
      </c>
      <c r="P52" s="38" t="s">
        <v>3235</v>
      </c>
      <c r="Q52" s="40" t="b">
        <f aca="false">FALSE()</f>
        <v>0</v>
      </c>
      <c r="R52" s="40" t="b">
        <f aca="false">FALSE()</f>
        <v>0</v>
      </c>
      <c r="S52" s="40" t="b">
        <f aca="false">FALSE()</f>
        <v>0</v>
      </c>
      <c r="T52" s="40" t="b">
        <f aca="false">FALSE()</f>
        <v>0</v>
      </c>
      <c r="U52" s="40" t="b">
        <f aca="false">TRUE()</f>
        <v>1</v>
      </c>
      <c r="V52" s="38" t="s">
        <v>3470</v>
      </c>
      <c r="W52" s="38" t="s">
        <v>3441</v>
      </c>
      <c r="X52" s="38" t="s">
        <v>3471</v>
      </c>
      <c r="Y52" s="38" t="s">
        <v>3301</v>
      </c>
      <c r="Z52" s="38" t="s">
        <v>3470</v>
      </c>
      <c r="AA52" s="38" t="s">
        <v>3472</v>
      </c>
      <c r="AB52" s="38" t="s">
        <v>3241</v>
      </c>
      <c r="AC52" s="38" t="s">
        <v>3242</v>
      </c>
      <c r="AD52" s="38"/>
      <c r="AE52" s="38"/>
      <c r="AF52" s="38"/>
      <c r="AG52" s="38"/>
      <c r="AH52" s="38" t="s">
        <v>3450</v>
      </c>
      <c r="AI52" s="38" t="s">
        <v>3244</v>
      </c>
      <c r="AJ52" s="38" t="s">
        <v>3251</v>
      </c>
      <c r="AK52" s="38" t="s">
        <v>3246</v>
      </c>
      <c r="AL52" s="38" t="s">
        <v>274</v>
      </c>
      <c r="AM52" s="38"/>
      <c r="AN52" s="38"/>
      <c r="AO52" s="38"/>
    </row>
    <row r="53" customFormat="false" ht="39.55" hidden="false" customHeight="false" outlineLevel="0" collapsed="false">
      <c r="A53" s="38" t="s">
        <v>273</v>
      </c>
      <c r="B53" s="38" t="s">
        <v>3473</v>
      </c>
      <c r="C53" s="38" t="s">
        <v>3280</v>
      </c>
      <c r="D53" s="38"/>
      <c r="E53" s="38" t="s">
        <v>3474</v>
      </c>
      <c r="F53" s="38" t="s">
        <v>3475</v>
      </c>
      <c r="G53" s="38" t="s">
        <v>52</v>
      </c>
      <c r="H53" s="38"/>
      <c r="I53" s="38" t="s">
        <v>51</v>
      </c>
      <c r="J53" s="38" t="s">
        <v>3476</v>
      </c>
      <c r="K53" s="38"/>
      <c r="L53" s="38"/>
      <c r="M53" s="38"/>
      <c r="N53" s="38"/>
      <c r="O53" s="38" t="s">
        <v>3285</v>
      </c>
      <c r="P53" s="38" t="s">
        <v>50</v>
      </c>
      <c r="Q53" s="40" t="b">
        <f aca="false">FALSE()</f>
        <v>0</v>
      </c>
      <c r="R53" s="40" t="b">
        <f aca="false">FALSE()</f>
        <v>0</v>
      </c>
      <c r="S53" s="40" t="b">
        <f aca="false">FALSE()</f>
        <v>0</v>
      </c>
      <c r="T53" s="40" t="b">
        <f aca="false">FALSE()</f>
        <v>0</v>
      </c>
      <c r="U53" s="40" t="b">
        <f aca="false">TRUE()</f>
        <v>1</v>
      </c>
      <c r="V53" s="38" t="s">
        <v>3477</v>
      </c>
      <c r="W53" s="38" t="s">
        <v>3441</v>
      </c>
      <c r="X53" s="38" t="s">
        <v>3478</v>
      </c>
      <c r="Y53" s="38" t="s">
        <v>3289</v>
      </c>
      <c r="Z53" s="38" t="s">
        <v>3477</v>
      </c>
      <c r="AA53" s="38" t="s">
        <v>3479</v>
      </c>
      <c r="AB53" s="38" t="s">
        <v>3241</v>
      </c>
      <c r="AC53" s="38" t="s">
        <v>3242</v>
      </c>
      <c r="AD53" s="38"/>
      <c r="AE53" s="38"/>
      <c r="AF53" s="38"/>
      <c r="AG53" s="38"/>
      <c r="AH53" s="38" t="s">
        <v>3292</v>
      </c>
      <c r="AI53" s="38" t="s">
        <v>3293</v>
      </c>
      <c r="AJ53" s="38" t="s">
        <v>3251</v>
      </c>
      <c r="AK53" s="38" t="s">
        <v>3246</v>
      </c>
      <c r="AL53" s="38" t="s">
        <v>3474</v>
      </c>
      <c r="AM53" s="38"/>
      <c r="AN53" s="38"/>
      <c r="AO53" s="38"/>
    </row>
    <row r="54" customFormat="false" ht="39.55" hidden="false" customHeight="false" outlineLevel="0" collapsed="false">
      <c r="A54" s="38" t="s">
        <v>273</v>
      </c>
      <c r="B54" s="38" t="s">
        <v>3480</v>
      </c>
      <c r="C54" s="38" t="s">
        <v>3280</v>
      </c>
      <c r="D54" s="38"/>
      <c r="E54" s="38" t="s">
        <v>3474</v>
      </c>
      <c r="F54" s="38" t="s">
        <v>3481</v>
      </c>
      <c r="G54" s="38" t="s">
        <v>3316</v>
      </c>
      <c r="H54" s="38"/>
      <c r="I54" s="38" t="s">
        <v>160</v>
      </c>
      <c r="J54" s="38" t="s">
        <v>3482</v>
      </c>
      <c r="K54" s="38"/>
      <c r="L54" s="38"/>
      <c r="M54" s="38"/>
      <c r="N54" s="38"/>
      <c r="O54" s="38" t="s">
        <v>3285</v>
      </c>
      <c r="P54" s="38"/>
      <c r="Q54" s="40" t="b">
        <f aca="false">FALSE()</f>
        <v>0</v>
      </c>
      <c r="R54" s="40" t="b">
        <f aca="false">FALSE()</f>
        <v>0</v>
      </c>
      <c r="S54" s="40" t="b">
        <f aca="false">FALSE()</f>
        <v>0</v>
      </c>
      <c r="T54" s="40" t="b">
        <f aca="false">FALSE()</f>
        <v>0</v>
      </c>
      <c r="U54" s="40" t="b">
        <f aca="false">TRUE()</f>
        <v>1</v>
      </c>
      <c r="V54" s="38" t="s">
        <v>3477</v>
      </c>
      <c r="W54" s="38" t="s">
        <v>3441</v>
      </c>
      <c r="X54" s="38" t="s">
        <v>3478</v>
      </c>
      <c r="Y54" s="38" t="s">
        <v>3289</v>
      </c>
      <c r="Z54" s="38" t="s">
        <v>3477</v>
      </c>
      <c r="AA54" s="38" t="s">
        <v>3483</v>
      </c>
      <c r="AB54" s="38" t="s">
        <v>3319</v>
      </c>
      <c r="AC54" s="38" t="s">
        <v>3320</v>
      </c>
      <c r="AD54" s="38"/>
      <c r="AE54" s="38"/>
      <c r="AF54" s="38"/>
      <c r="AG54" s="38"/>
      <c r="AH54" s="38" t="s">
        <v>3292</v>
      </c>
      <c r="AI54" s="38"/>
      <c r="AJ54" s="38" t="s">
        <v>3251</v>
      </c>
      <c r="AK54" s="38" t="s">
        <v>3246</v>
      </c>
      <c r="AL54" s="38" t="s">
        <v>3474</v>
      </c>
      <c r="AM54" s="38"/>
      <c r="AN54" s="38"/>
      <c r="AO54" s="38"/>
    </row>
    <row r="55" customFormat="false" ht="39.55" hidden="false" customHeight="false" outlineLevel="0" collapsed="false">
      <c r="A55" s="38" t="s">
        <v>289</v>
      </c>
      <c r="B55" s="38" t="s">
        <v>3484</v>
      </c>
      <c r="C55" s="38" t="s">
        <v>3299</v>
      </c>
      <c r="D55" s="38"/>
      <c r="E55" s="38" t="s">
        <v>290</v>
      </c>
      <c r="F55" s="41" t="n">
        <v>0.9995</v>
      </c>
      <c r="G55" s="38" t="s">
        <v>52</v>
      </c>
      <c r="H55" s="38"/>
      <c r="I55" s="38" t="s">
        <v>51</v>
      </c>
      <c r="J55" s="38" t="s">
        <v>3485</v>
      </c>
      <c r="K55" s="38"/>
      <c r="L55" s="38"/>
      <c r="M55" s="38"/>
      <c r="N55" s="38"/>
      <c r="O55" s="38" t="s">
        <v>3285</v>
      </c>
      <c r="P55" s="38" t="s">
        <v>3235</v>
      </c>
      <c r="Q55" s="40" t="b">
        <f aca="false">FALSE()</f>
        <v>0</v>
      </c>
      <c r="R55" s="40" t="b">
        <f aca="false">FALSE()</f>
        <v>0</v>
      </c>
      <c r="S55" s="40" t="b">
        <f aca="false">FALSE()</f>
        <v>0</v>
      </c>
      <c r="T55" s="40" t="b">
        <f aca="false">FALSE()</f>
        <v>0</v>
      </c>
      <c r="U55" s="40" t="b">
        <f aca="false">TRUE()</f>
        <v>1</v>
      </c>
      <c r="V55" s="38" t="s">
        <v>3486</v>
      </c>
      <c r="W55" s="38" t="s">
        <v>3487</v>
      </c>
      <c r="X55" s="38" t="s">
        <v>3488</v>
      </c>
      <c r="Y55" s="38" t="s">
        <v>3301</v>
      </c>
      <c r="Z55" s="38" t="s">
        <v>3486</v>
      </c>
      <c r="AA55" s="38" t="s">
        <v>3489</v>
      </c>
      <c r="AB55" s="38" t="s">
        <v>3241</v>
      </c>
      <c r="AC55" s="38" t="s">
        <v>3242</v>
      </c>
      <c r="AD55" s="38"/>
      <c r="AE55" s="38"/>
      <c r="AF55" s="38"/>
      <c r="AG55" s="38"/>
      <c r="AH55" s="38" t="s">
        <v>3292</v>
      </c>
      <c r="AI55" s="38" t="s">
        <v>3244</v>
      </c>
      <c r="AJ55" s="38" t="s">
        <v>3251</v>
      </c>
      <c r="AK55" s="38" t="s">
        <v>3246</v>
      </c>
      <c r="AL55" s="38" t="s">
        <v>290</v>
      </c>
      <c r="AM55" s="38"/>
      <c r="AN55" s="38"/>
      <c r="AO55" s="38"/>
    </row>
    <row r="56" customFormat="false" ht="39.55" hidden="false" customHeight="false" outlineLevel="0" collapsed="false">
      <c r="A56" s="38" t="s">
        <v>360</v>
      </c>
      <c r="B56" s="38" t="s">
        <v>3490</v>
      </c>
      <c r="C56" s="38" t="s">
        <v>3280</v>
      </c>
      <c r="D56" s="38"/>
      <c r="E56" s="38" t="s">
        <v>361</v>
      </c>
      <c r="F56" s="38" t="s">
        <v>3491</v>
      </c>
      <c r="G56" s="38" t="s">
        <v>52</v>
      </c>
      <c r="H56" s="38"/>
      <c r="I56" s="38" t="s">
        <v>51</v>
      </c>
      <c r="J56" s="38" t="s">
        <v>3492</v>
      </c>
      <c r="K56" s="38"/>
      <c r="L56" s="38"/>
      <c r="M56" s="38"/>
      <c r="N56" s="38"/>
      <c r="O56" s="38" t="s">
        <v>3285</v>
      </c>
      <c r="P56" s="38" t="s">
        <v>50</v>
      </c>
      <c r="Q56" s="40" t="b">
        <f aca="false">FALSE()</f>
        <v>0</v>
      </c>
      <c r="R56" s="40" t="b">
        <f aca="false">FALSE()</f>
        <v>0</v>
      </c>
      <c r="S56" s="40" t="b">
        <f aca="false">FALSE()</f>
        <v>0</v>
      </c>
      <c r="T56" s="40" t="b">
        <f aca="false">FALSE()</f>
        <v>0</v>
      </c>
      <c r="U56" s="40" t="b">
        <f aca="false">TRUE()</f>
        <v>1</v>
      </c>
      <c r="V56" s="38" t="s">
        <v>3493</v>
      </c>
      <c r="W56" s="38" t="s">
        <v>3494</v>
      </c>
      <c r="X56" s="38" t="s">
        <v>3495</v>
      </c>
      <c r="Y56" s="38" t="s">
        <v>3289</v>
      </c>
      <c r="Z56" s="38" t="s">
        <v>3493</v>
      </c>
      <c r="AA56" s="38" t="s">
        <v>3496</v>
      </c>
      <c r="AB56" s="38" t="s">
        <v>3241</v>
      </c>
      <c r="AC56" s="38" t="s">
        <v>3242</v>
      </c>
      <c r="AD56" s="38"/>
      <c r="AE56" s="38"/>
      <c r="AF56" s="38"/>
      <c r="AG56" s="38"/>
      <c r="AH56" s="38" t="s">
        <v>3292</v>
      </c>
      <c r="AI56" s="38" t="s">
        <v>3293</v>
      </c>
      <c r="AJ56" s="38" t="s">
        <v>3251</v>
      </c>
      <c r="AK56" s="38" t="s">
        <v>3246</v>
      </c>
      <c r="AL56" s="38" t="s">
        <v>361</v>
      </c>
      <c r="AM56" s="38"/>
      <c r="AN56" s="38"/>
      <c r="AO56" s="38"/>
    </row>
    <row r="57" customFormat="false" ht="39.55" hidden="false" customHeight="false" outlineLevel="0" collapsed="false">
      <c r="A57" s="38" t="s">
        <v>360</v>
      </c>
      <c r="B57" s="38" t="s">
        <v>3497</v>
      </c>
      <c r="C57" s="38" t="s">
        <v>3498</v>
      </c>
      <c r="D57" s="38"/>
      <c r="E57" s="38" t="s">
        <v>361</v>
      </c>
      <c r="F57" s="38" t="s">
        <v>3491</v>
      </c>
      <c r="G57" s="38" t="s">
        <v>52</v>
      </c>
      <c r="H57" s="38"/>
      <c r="I57" s="38" t="s">
        <v>51</v>
      </c>
      <c r="J57" s="38" t="s">
        <v>3499</v>
      </c>
      <c r="K57" s="38"/>
      <c r="L57" s="38"/>
      <c r="M57" s="38"/>
      <c r="N57" s="38"/>
      <c r="O57" s="38" t="s">
        <v>3285</v>
      </c>
      <c r="P57" s="38" t="s">
        <v>50</v>
      </c>
      <c r="Q57" s="40" t="b">
        <f aca="false">FALSE()</f>
        <v>0</v>
      </c>
      <c r="R57" s="40" t="b">
        <f aca="false">FALSE()</f>
        <v>0</v>
      </c>
      <c r="S57" s="40" t="b">
        <f aca="false">FALSE()</f>
        <v>0</v>
      </c>
      <c r="T57" s="40" t="b">
        <f aca="false">FALSE()</f>
        <v>0</v>
      </c>
      <c r="U57" s="40" t="b">
        <f aca="false">TRUE()</f>
        <v>1</v>
      </c>
      <c r="V57" s="38" t="s">
        <v>3493</v>
      </c>
      <c r="W57" s="38" t="s">
        <v>3494</v>
      </c>
      <c r="X57" s="38" t="s">
        <v>3495</v>
      </c>
      <c r="Y57" s="38" t="s">
        <v>3500</v>
      </c>
      <c r="Z57" s="38" t="s">
        <v>3493</v>
      </c>
      <c r="AA57" s="38" t="s">
        <v>3496</v>
      </c>
      <c r="AB57" s="38" t="s">
        <v>3241</v>
      </c>
      <c r="AC57" s="38" t="s">
        <v>3242</v>
      </c>
      <c r="AD57" s="38"/>
      <c r="AE57" s="38"/>
      <c r="AF57" s="38"/>
      <c r="AG57" s="38"/>
      <c r="AH57" s="38" t="s">
        <v>3292</v>
      </c>
      <c r="AI57" s="38" t="s">
        <v>3293</v>
      </c>
      <c r="AJ57" s="38" t="s">
        <v>3251</v>
      </c>
      <c r="AK57" s="38" t="s">
        <v>3246</v>
      </c>
      <c r="AL57" s="38" t="s">
        <v>361</v>
      </c>
      <c r="AM57" s="38"/>
      <c r="AN57" s="38"/>
      <c r="AO57" s="38"/>
    </row>
    <row r="58" customFormat="false" ht="39.55" hidden="false" customHeight="false" outlineLevel="0" collapsed="false">
      <c r="A58" s="38" t="s">
        <v>360</v>
      </c>
      <c r="B58" s="38" t="s">
        <v>3501</v>
      </c>
      <c r="C58" s="38" t="s">
        <v>3502</v>
      </c>
      <c r="D58" s="38"/>
      <c r="E58" s="38" t="s">
        <v>361</v>
      </c>
      <c r="F58" s="38" t="s">
        <v>3503</v>
      </c>
      <c r="G58" s="38" t="s">
        <v>52</v>
      </c>
      <c r="H58" s="38"/>
      <c r="I58" s="38" t="s">
        <v>51</v>
      </c>
      <c r="J58" s="38" t="s">
        <v>3504</v>
      </c>
      <c r="K58" s="38"/>
      <c r="L58" s="38"/>
      <c r="M58" s="38"/>
      <c r="N58" s="38"/>
      <c r="O58" s="38" t="s">
        <v>3285</v>
      </c>
      <c r="P58" s="38" t="s">
        <v>50</v>
      </c>
      <c r="Q58" s="40" t="b">
        <f aca="false">TRUE()</f>
        <v>1</v>
      </c>
      <c r="R58" s="40" t="b">
        <f aca="false">TRUE()</f>
        <v>1</v>
      </c>
      <c r="S58" s="40" t="b">
        <f aca="false">FALSE()</f>
        <v>0</v>
      </c>
      <c r="T58" s="40" t="b">
        <f aca="false">FALSE()</f>
        <v>0</v>
      </c>
      <c r="U58" s="40" t="b">
        <f aca="false">TRUE()</f>
        <v>1</v>
      </c>
      <c r="V58" s="38" t="s">
        <v>3493</v>
      </c>
      <c r="W58" s="38" t="s">
        <v>3494</v>
      </c>
      <c r="X58" s="38" t="s">
        <v>3505</v>
      </c>
      <c r="Y58" s="38" t="s">
        <v>3506</v>
      </c>
      <c r="Z58" s="38" t="s">
        <v>3493</v>
      </c>
      <c r="AA58" s="38" t="s">
        <v>3507</v>
      </c>
      <c r="AB58" s="38" t="s">
        <v>3241</v>
      </c>
      <c r="AC58" s="38" t="s">
        <v>3242</v>
      </c>
      <c r="AD58" s="38"/>
      <c r="AE58" s="38"/>
      <c r="AF58" s="38"/>
      <c r="AG58" s="38"/>
      <c r="AH58" s="38" t="s">
        <v>3292</v>
      </c>
      <c r="AI58" s="38" t="s">
        <v>3293</v>
      </c>
      <c r="AJ58" s="38" t="s">
        <v>3251</v>
      </c>
      <c r="AK58" s="38" t="s">
        <v>3246</v>
      </c>
      <c r="AL58" s="38" t="s">
        <v>361</v>
      </c>
      <c r="AM58" s="38"/>
      <c r="AN58" s="38"/>
      <c r="AO58" s="38"/>
    </row>
    <row r="59" customFormat="false" ht="39.55" hidden="false" customHeight="false" outlineLevel="0" collapsed="false">
      <c r="A59" s="38" t="s">
        <v>360</v>
      </c>
      <c r="B59" s="38" t="s">
        <v>3508</v>
      </c>
      <c r="C59" s="38" t="s">
        <v>3502</v>
      </c>
      <c r="D59" s="38"/>
      <c r="E59" s="38" t="s">
        <v>361</v>
      </c>
      <c r="F59" s="38" t="s">
        <v>3491</v>
      </c>
      <c r="G59" s="38" t="s">
        <v>52</v>
      </c>
      <c r="H59" s="38"/>
      <c r="I59" s="38" t="s">
        <v>51</v>
      </c>
      <c r="J59" s="38" t="s">
        <v>3509</v>
      </c>
      <c r="K59" s="38"/>
      <c r="L59" s="38"/>
      <c r="M59" s="38"/>
      <c r="N59" s="38"/>
      <c r="O59" s="38" t="s">
        <v>3449</v>
      </c>
      <c r="P59" s="38" t="s">
        <v>50</v>
      </c>
      <c r="Q59" s="40" t="b">
        <f aca="false">FALSE()</f>
        <v>0</v>
      </c>
      <c r="R59" s="40" t="b">
        <f aca="false">TRUE()</f>
        <v>1</v>
      </c>
      <c r="S59" s="40" t="b">
        <f aca="false">FALSE()</f>
        <v>0</v>
      </c>
      <c r="T59" s="40" t="b">
        <f aca="false">FALSE()</f>
        <v>0</v>
      </c>
      <c r="U59" s="40" t="b">
        <f aca="false">TRUE()</f>
        <v>1</v>
      </c>
      <c r="V59" s="38" t="s">
        <v>3493</v>
      </c>
      <c r="W59" s="38" t="s">
        <v>3494</v>
      </c>
      <c r="X59" s="38" t="s">
        <v>3495</v>
      </c>
      <c r="Y59" s="38" t="s">
        <v>3506</v>
      </c>
      <c r="Z59" s="38" t="s">
        <v>3493</v>
      </c>
      <c r="AA59" s="38" t="s">
        <v>3496</v>
      </c>
      <c r="AB59" s="38" t="s">
        <v>3241</v>
      </c>
      <c r="AC59" s="38" t="s">
        <v>3242</v>
      </c>
      <c r="AD59" s="38"/>
      <c r="AE59" s="38"/>
      <c r="AF59" s="38"/>
      <c r="AG59" s="38"/>
      <c r="AH59" s="38" t="s">
        <v>3450</v>
      </c>
      <c r="AI59" s="38" t="s">
        <v>3293</v>
      </c>
      <c r="AJ59" s="38" t="s">
        <v>3251</v>
      </c>
      <c r="AK59" s="38" t="s">
        <v>3246</v>
      </c>
      <c r="AL59" s="38" t="s">
        <v>361</v>
      </c>
      <c r="AM59" s="38"/>
      <c r="AN59" s="38"/>
      <c r="AO59" s="38"/>
    </row>
    <row r="60" customFormat="false" ht="39.55" hidden="false" customHeight="false" outlineLevel="0" collapsed="false">
      <c r="A60" s="38" t="s">
        <v>360</v>
      </c>
      <c r="B60" s="38" t="s">
        <v>3510</v>
      </c>
      <c r="C60" s="38" t="s">
        <v>3502</v>
      </c>
      <c r="D60" s="38"/>
      <c r="E60" s="38" t="s">
        <v>361</v>
      </c>
      <c r="F60" s="38" t="s">
        <v>3511</v>
      </c>
      <c r="G60" s="38" t="s">
        <v>52</v>
      </c>
      <c r="H60" s="38"/>
      <c r="I60" s="38" t="s">
        <v>3437</v>
      </c>
      <c r="J60" s="38" t="s">
        <v>3512</v>
      </c>
      <c r="K60" s="38"/>
      <c r="L60" s="38"/>
      <c r="M60" s="38"/>
      <c r="N60" s="38"/>
      <c r="O60" s="38" t="s">
        <v>3439</v>
      </c>
      <c r="P60" s="38" t="s">
        <v>50</v>
      </c>
      <c r="Q60" s="40" t="b">
        <f aca="false">FALSE()</f>
        <v>0</v>
      </c>
      <c r="R60" s="40" t="b">
        <f aca="false">TRUE()</f>
        <v>1</v>
      </c>
      <c r="S60" s="40" t="b">
        <f aca="false">FALSE()</f>
        <v>0</v>
      </c>
      <c r="T60" s="40" t="b">
        <f aca="false">FALSE()</f>
        <v>0</v>
      </c>
      <c r="U60" s="40" t="b">
        <f aca="false">TRUE()</f>
        <v>1</v>
      </c>
      <c r="V60" s="38" t="s">
        <v>3493</v>
      </c>
      <c r="W60" s="38" t="s">
        <v>3494</v>
      </c>
      <c r="X60" s="38" t="s">
        <v>3495</v>
      </c>
      <c r="Y60" s="38" t="s">
        <v>3506</v>
      </c>
      <c r="Z60" s="38" t="s">
        <v>3493</v>
      </c>
      <c r="AA60" s="38" t="s">
        <v>3513</v>
      </c>
      <c r="AB60" s="38" t="s">
        <v>3241</v>
      </c>
      <c r="AC60" s="38" t="s">
        <v>3444</v>
      </c>
      <c r="AD60" s="38"/>
      <c r="AE60" s="38"/>
      <c r="AF60" s="38"/>
      <c r="AG60" s="38"/>
      <c r="AH60" s="38" t="s">
        <v>3445</v>
      </c>
      <c r="AI60" s="38" t="s">
        <v>3293</v>
      </c>
      <c r="AJ60" s="38" t="s">
        <v>3514</v>
      </c>
      <c r="AK60" s="38" t="s">
        <v>3515</v>
      </c>
      <c r="AL60" s="38" t="s">
        <v>361</v>
      </c>
      <c r="AM60" s="38"/>
      <c r="AN60" s="38"/>
      <c r="AO60" s="38"/>
    </row>
    <row r="61" customFormat="false" ht="39.55" hidden="false" customHeight="false" outlineLevel="0" collapsed="false">
      <c r="A61" s="38" t="s">
        <v>360</v>
      </c>
      <c r="B61" s="38" t="s">
        <v>3516</v>
      </c>
      <c r="C61" s="38" t="s">
        <v>3517</v>
      </c>
      <c r="D61" s="38"/>
      <c r="E61" s="38" t="s">
        <v>361</v>
      </c>
      <c r="F61" s="38" t="s">
        <v>3503</v>
      </c>
      <c r="G61" s="38" t="s">
        <v>52</v>
      </c>
      <c r="H61" s="38"/>
      <c r="I61" s="38" t="s">
        <v>51</v>
      </c>
      <c r="J61" s="38" t="s">
        <v>3518</v>
      </c>
      <c r="K61" s="38"/>
      <c r="L61" s="38"/>
      <c r="M61" s="38"/>
      <c r="N61" s="38"/>
      <c r="O61" s="38" t="s">
        <v>3285</v>
      </c>
      <c r="P61" s="38" t="s">
        <v>50</v>
      </c>
      <c r="Q61" s="40" t="b">
        <f aca="false">FALSE()</f>
        <v>0</v>
      </c>
      <c r="R61" s="40" t="b">
        <f aca="false">FALSE()</f>
        <v>0</v>
      </c>
      <c r="S61" s="40" t="b">
        <f aca="false">TRUE()</f>
        <v>1</v>
      </c>
      <c r="T61" s="40" t="b">
        <f aca="false">FALSE()</f>
        <v>0</v>
      </c>
      <c r="U61" s="40" t="b">
        <f aca="false">TRUE()</f>
        <v>1</v>
      </c>
      <c r="V61" s="38" t="s">
        <v>3493</v>
      </c>
      <c r="W61" s="38" t="s">
        <v>3494</v>
      </c>
      <c r="X61" s="38" t="s">
        <v>3495</v>
      </c>
      <c r="Y61" s="38" t="s">
        <v>3519</v>
      </c>
      <c r="Z61" s="38" t="s">
        <v>3493</v>
      </c>
      <c r="AA61" s="38" t="s">
        <v>3507</v>
      </c>
      <c r="AB61" s="38" t="s">
        <v>3241</v>
      </c>
      <c r="AC61" s="38" t="s">
        <v>3242</v>
      </c>
      <c r="AD61" s="38"/>
      <c r="AE61" s="38"/>
      <c r="AF61" s="38"/>
      <c r="AG61" s="38"/>
      <c r="AH61" s="38" t="s">
        <v>3292</v>
      </c>
      <c r="AI61" s="38" t="s">
        <v>3293</v>
      </c>
      <c r="AJ61" s="38" t="s">
        <v>3251</v>
      </c>
      <c r="AK61" s="38" t="s">
        <v>3246</v>
      </c>
      <c r="AL61" s="38" t="s">
        <v>361</v>
      </c>
      <c r="AM61" s="38"/>
      <c r="AN61" s="38"/>
      <c r="AO61" s="38"/>
    </row>
    <row r="62" customFormat="false" ht="39.55" hidden="false" customHeight="false" outlineLevel="0" collapsed="false">
      <c r="A62" s="38" t="s">
        <v>360</v>
      </c>
      <c r="B62" s="38" t="s">
        <v>3520</v>
      </c>
      <c r="C62" s="38" t="s">
        <v>3521</v>
      </c>
      <c r="D62" s="38"/>
      <c r="E62" s="38" t="s">
        <v>361</v>
      </c>
      <c r="F62" s="38" t="s">
        <v>3503</v>
      </c>
      <c r="G62" s="38" t="s">
        <v>52</v>
      </c>
      <c r="H62" s="38"/>
      <c r="I62" s="38" t="s">
        <v>51</v>
      </c>
      <c r="J62" s="38" t="s">
        <v>3522</v>
      </c>
      <c r="K62" s="38"/>
      <c r="L62" s="38"/>
      <c r="M62" s="38"/>
      <c r="N62" s="38"/>
      <c r="O62" s="38" t="s">
        <v>3285</v>
      </c>
      <c r="P62" s="38" t="s">
        <v>50</v>
      </c>
      <c r="Q62" s="40" t="b">
        <f aca="false">FALSE()</f>
        <v>0</v>
      </c>
      <c r="R62" s="40" t="b">
        <f aca="false">TRUE()</f>
        <v>1</v>
      </c>
      <c r="S62" s="40" t="b">
        <f aca="false">TRUE()</f>
        <v>1</v>
      </c>
      <c r="T62" s="40" t="b">
        <f aca="false">FALSE()</f>
        <v>0</v>
      </c>
      <c r="U62" s="40" t="b">
        <f aca="false">TRUE()</f>
        <v>1</v>
      </c>
      <c r="V62" s="38" t="s">
        <v>3493</v>
      </c>
      <c r="W62" s="38" t="s">
        <v>3494</v>
      </c>
      <c r="X62" s="38" t="s">
        <v>3495</v>
      </c>
      <c r="Y62" s="38" t="s">
        <v>3523</v>
      </c>
      <c r="Z62" s="38" t="s">
        <v>3493</v>
      </c>
      <c r="AA62" s="38" t="s">
        <v>3507</v>
      </c>
      <c r="AB62" s="38" t="s">
        <v>3241</v>
      </c>
      <c r="AC62" s="38" t="s">
        <v>3242</v>
      </c>
      <c r="AD62" s="38"/>
      <c r="AE62" s="38"/>
      <c r="AF62" s="38"/>
      <c r="AG62" s="38"/>
      <c r="AH62" s="38" t="s">
        <v>3292</v>
      </c>
      <c r="AI62" s="38" t="s">
        <v>3293</v>
      </c>
      <c r="AJ62" s="38" t="s">
        <v>3251</v>
      </c>
      <c r="AK62" s="38" t="s">
        <v>3246</v>
      </c>
      <c r="AL62" s="38" t="s">
        <v>361</v>
      </c>
      <c r="AM62" s="38"/>
      <c r="AN62" s="38"/>
      <c r="AO62" s="38"/>
    </row>
    <row r="63" customFormat="false" ht="39.55" hidden="false" customHeight="false" outlineLevel="0" collapsed="false">
      <c r="A63" s="38" t="s">
        <v>360</v>
      </c>
      <c r="B63" s="38" t="s">
        <v>3524</v>
      </c>
      <c r="C63" s="38" t="s">
        <v>3525</v>
      </c>
      <c r="D63" s="38"/>
      <c r="E63" s="38" t="s">
        <v>361</v>
      </c>
      <c r="F63" s="38" t="s">
        <v>3503</v>
      </c>
      <c r="G63" s="38" t="s">
        <v>52</v>
      </c>
      <c r="H63" s="38"/>
      <c r="I63" s="38" t="s">
        <v>51</v>
      </c>
      <c r="J63" s="38" t="s">
        <v>3526</v>
      </c>
      <c r="K63" s="38"/>
      <c r="L63" s="38"/>
      <c r="M63" s="38"/>
      <c r="N63" s="38"/>
      <c r="O63" s="38" t="s">
        <v>3285</v>
      </c>
      <c r="P63" s="38" t="s">
        <v>50</v>
      </c>
      <c r="Q63" s="40" t="b">
        <f aca="false">FALSE()</f>
        <v>0</v>
      </c>
      <c r="R63" s="40" t="b">
        <f aca="false">FALSE()</f>
        <v>0</v>
      </c>
      <c r="S63" s="40" t="b">
        <f aca="false">TRUE()</f>
        <v>1</v>
      </c>
      <c r="T63" s="40" t="b">
        <f aca="false">FALSE()</f>
        <v>0</v>
      </c>
      <c r="U63" s="40" t="b">
        <f aca="false">TRUE()</f>
        <v>1</v>
      </c>
      <c r="V63" s="38" t="s">
        <v>3493</v>
      </c>
      <c r="W63" s="38" t="s">
        <v>3494</v>
      </c>
      <c r="X63" s="38" t="s">
        <v>3495</v>
      </c>
      <c r="Y63" s="38" t="s">
        <v>3527</v>
      </c>
      <c r="Z63" s="38" t="s">
        <v>3493</v>
      </c>
      <c r="AA63" s="38" t="s">
        <v>3507</v>
      </c>
      <c r="AB63" s="38" t="s">
        <v>3241</v>
      </c>
      <c r="AC63" s="38" t="s">
        <v>3242</v>
      </c>
      <c r="AD63" s="38"/>
      <c r="AE63" s="38"/>
      <c r="AF63" s="38"/>
      <c r="AG63" s="38"/>
      <c r="AH63" s="38" t="s">
        <v>3292</v>
      </c>
      <c r="AI63" s="38" t="s">
        <v>3293</v>
      </c>
      <c r="AJ63" s="38" t="s">
        <v>3251</v>
      </c>
      <c r="AK63" s="38" t="s">
        <v>3246</v>
      </c>
      <c r="AL63" s="38" t="s">
        <v>361</v>
      </c>
      <c r="AM63" s="38"/>
      <c r="AN63" s="38"/>
      <c r="AO63" s="38"/>
    </row>
    <row r="64" customFormat="false" ht="39.55" hidden="false" customHeight="false" outlineLevel="0" collapsed="false">
      <c r="A64" s="38" t="s">
        <v>360</v>
      </c>
      <c r="B64" s="38" t="s">
        <v>3528</v>
      </c>
      <c r="C64" s="38" t="s">
        <v>3529</v>
      </c>
      <c r="D64" s="38"/>
      <c r="E64" s="38" t="s">
        <v>361</v>
      </c>
      <c r="F64" s="38" t="s">
        <v>3503</v>
      </c>
      <c r="G64" s="38" t="s">
        <v>52</v>
      </c>
      <c r="H64" s="38"/>
      <c r="I64" s="38" t="s">
        <v>51</v>
      </c>
      <c r="J64" s="38" t="s">
        <v>3530</v>
      </c>
      <c r="K64" s="38"/>
      <c r="L64" s="38"/>
      <c r="M64" s="38"/>
      <c r="N64" s="38"/>
      <c r="O64" s="38" t="s">
        <v>3285</v>
      </c>
      <c r="P64" s="38" t="s">
        <v>50</v>
      </c>
      <c r="Q64" s="40" t="b">
        <f aca="false">FALSE()</f>
        <v>0</v>
      </c>
      <c r="R64" s="40" t="b">
        <f aca="false">TRUE()</f>
        <v>1</v>
      </c>
      <c r="S64" s="40" t="b">
        <f aca="false">TRUE()</f>
        <v>1</v>
      </c>
      <c r="T64" s="40" t="b">
        <f aca="false">FALSE()</f>
        <v>0</v>
      </c>
      <c r="U64" s="40" t="b">
        <f aca="false">TRUE()</f>
        <v>1</v>
      </c>
      <c r="V64" s="38" t="s">
        <v>3493</v>
      </c>
      <c r="W64" s="38" t="s">
        <v>3494</v>
      </c>
      <c r="X64" s="38" t="s">
        <v>3495</v>
      </c>
      <c r="Y64" s="38" t="s">
        <v>3531</v>
      </c>
      <c r="Z64" s="38" t="s">
        <v>3493</v>
      </c>
      <c r="AA64" s="38" t="s">
        <v>3507</v>
      </c>
      <c r="AB64" s="38" t="s">
        <v>3241</v>
      </c>
      <c r="AC64" s="38" t="s">
        <v>3242</v>
      </c>
      <c r="AD64" s="38"/>
      <c r="AE64" s="38"/>
      <c r="AF64" s="38"/>
      <c r="AG64" s="38"/>
      <c r="AH64" s="38" t="s">
        <v>3292</v>
      </c>
      <c r="AI64" s="38" t="s">
        <v>3293</v>
      </c>
      <c r="AJ64" s="38" t="s">
        <v>3251</v>
      </c>
      <c r="AK64" s="38" t="s">
        <v>3246</v>
      </c>
      <c r="AL64" s="38" t="s">
        <v>361</v>
      </c>
      <c r="AM64" s="38"/>
      <c r="AN64" s="38"/>
      <c r="AO64" s="38"/>
    </row>
    <row r="65" customFormat="false" ht="39.55" hidden="false" customHeight="false" outlineLevel="0" collapsed="false">
      <c r="A65" s="38" t="s">
        <v>360</v>
      </c>
      <c r="B65" s="38" t="s">
        <v>3532</v>
      </c>
      <c r="C65" s="38" t="s">
        <v>3299</v>
      </c>
      <c r="D65" s="38"/>
      <c r="E65" s="38" t="s">
        <v>361</v>
      </c>
      <c r="F65" s="38" t="s">
        <v>3503</v>
      </c>
      <c r="G65" s="38" t="s">
        <v>52</v>
      </c>
      <c r="H65" s="38" t="s">
        <v>3533</v>
      </c>
      <c r="I65" s="38" t="s">
        <v>51</v>
      </c>
      <c r="J65" s="38" t="s">
        <v>3534</v>
      </c>
      <c r="K65" s="38"/>
      <c r="L65" s="38"/>
      <c r="M65" s="38"/>
      <c r="N65" s="38"/>
      <c r="O65" s="38" t="s">
        <v>3449</v>
      </c>
      <c r="P65" s="38" t="s">
        <v>3235</v>
      </c>
      <c r="Q65" s="40" t="b">
        <f aca="false">FALSE()</f>
        <v>0</v>
      </c>
      <c r="R65" s="40" t="b">
        <f aca="false">TRUE()</f>
        <v>1</v>
      </c>
      <c r="S65" s="40" t="b">
        <f aca="false">FALSE()</f>
        <v>0</v>
      </c>
      <c r="T65" s="40" t="b">
        <f aca="false">FALSE()</f>
        <v>0</v>
      </c>
      <c r="U65" s="40" t="b">
        <f aca="false">TRUE()</f>
        <v>1</v>
      </c>
      <c r="V65" s="38" t="s">
        <v>3493</v>
      </c>
      <c r="W65" s="38" t="s">
        <v>3494</v>
      </c>
      <c r="X65" s="38" t="s">
        <v>3495</v>
      </c>
      <c r="Y65" s="38" t="s">
        <v>3301</v>
      </c>
      <c r="Z65" s="38" t="s">
        <v>3493</v>
      </c>
      <c r="AA65" s="38" t="s">
        <v>3507</v>
      </c>
      <c r="AB65" s="38" t="s">
        <v>3241</v>
      </c>
      <c r="AC65" s="38" t="s">
        <v>3242</v>
      </c>
      <c r="AD65" s="38"/>
      <c r="AE65" s="38"/>
      <c r="AF65" s="38"/>
      <c r="AG65" s="38"/>
      <c r="AH65" s="38" t="s">
        <v>3450</v>
      </c>
      <c r="AI65" s="38" t="s">
        <v>3244</v>
      </c>
      <c r="AJ65" s="38" t="s">
        <v>3251</v>
      </c>
      <c r="AK65" s="38" t="s">
        <v>3246</v>
      </c>
      <c r="AL65" s="38" t="s">
        <v>361</v>
      </c>
      <c r="AM65" s="38"/>
      <c r="AN65" s="38"/>
      <c r="AO65" s="38"/>
    </row>
    <row r="66" customFormat="false" ht="39.55" hidden="false" customHeight="false" outlineLevel="0" collapsed="false">
      <c r="A66" s="38" t="s">
        <v>360</v>
      </c>
      <c r="B66" s="38" t="s">
        <v>3535</v>
      </c>
      <c r="C66" s="38" t="s">
        <v>3299</v>
      </c>
      <c r="D66" s="38"/>
      <c r="E66" s="38" t="s">
        <v>361</v>
      </c>
      <c r="F66" s="38" t="s">
        <v>3511</v>
      </c>
      <c r="G66" s="38" t="s">
        <v>52</v>
      </c>
      <c r="H66" s="38" t="s">
        <v>3536</v>
      </c>
      <c r="I66" s="38" t="s">
        <v>51</v>
      </c>
      <c r="J66" s="38" t="s">
        <v>3537</v>
      </c>
      <c r="K66" s="38"/>
      <c r="L66" s="38"/>
      <c r="M66" s="38"/>
      <c r="N66" s="38"/>
      <c r="O66" s="38" t="s">
        <v>3449</v>
      </c>
      <c r="P66" s="38" t="s">
        <v>3235</v>
      </c>
      <c r="Q66" s="40" t="b">
        <f aca="false">FALSE()</f>
        <v>0</v>
      </c>
      <c r="R66" s="40" t="b">
        <f aca="false">TRUE()</f>
        <v>1</v>
      </c>
      <c r="S66" s="40" t="b">
        <f aca="false">FALSE()</f>
        <v>0</v>
      </c>
      <c r="T66" s="40" t="b">
        <f aca="false">FALSE()</f>
        <v>0</v>
      </c>
      <c r="U66" s="40" t="b">
        <f aca="false">TRUE()</f>
        <v>1</v>
      </c>
      <c r="V66" s="38" t="s">
        <v>3493</v>
      </c>
      <c r="W66" s="38" t="s">
        <v>3494</v>
      </c>
      <c r="X66" s="38" t="s">
        <v>3495</v>
      </c>
      <c r="Y66" s="38" t="s">
        <v>3301</v>
      </c>
      <c r="Z66" s="38" t="s">
        <v>3493</v>
      </c>
      <c r="AA66" s="38" t="s">
        <v>3513</v>
      </c>
      <c r="AB66" s="38" t="s">
        <v>3241</v>
      </c>
      <c r="AC66" s="38" t="s">
        <v>3242</v>
      </c>
      <c r="AD66" s="38"/>
      <c r="AE66" s="38"/>
      <c r="AF66" s="38"/>
      <c r="AG66" s="38"/>
      <c r="AH66" s="38" t="s">
        <v>3450</v>
      </c>
      <c r="AI66" s="38" t="s">
        <v>3244</v>
      </c>
      <c r="AJ66" s="38" t="s">
        <v>3251</v>
      </c>
      <c r="AK66" s="38" t="s">
        <v>3246</v>
      </c>
      <c r="AL66" s="38" t="s">
        <v>361</v>
      </c>
      <c r="AM66" s="38"/>
      <c r="AN66" s="38"/>
      <c r="AO66" s="38"/>
    </row>
    <row r="67" customFormat="false" ht="39.55" hidden="false" customHeight="false" outlineLevel="0" collapsed="false">
      <c r="A67" s="38" t="s">
        <v>360</v>
      </c>
      <c r="B67" s="38" t="s">
        <v>3538</v>
      </c>
      <c r="C67" s="38" t="s">
        <v>3299</v>
      </c>
      <c r="D67" s="38"/>
      <c r="E67" s="38" t="s">
        <v>361</v>
      </c>
      <c r="F67" s="38" t="s">
        <v>3511</v>
      </c>
      <c r="G67" s="38" t="s">
        <v>52</v>
      </c>
      <c r="H67" s="38" t="s">
        <v>3536</v>
      </c>
      <c r="I67" s="38" t="s">
        <v>3437</v>
      </c>
      <c r="J67" s="38" t="s">
        <v>3539</v>
      </c>
      <c r="K67" s="38"/>
      <c r="L67" s="38"/>
      <c r="M67" s="38"/>
      <c r="N67" s="38"/>
      <c r="O67" s="38" t="s">
        <v>3439</v>
      </c>
      <c r="P67" s="38" t="s">
        <v>3235</v>
      </c>
      <c r="Q67" s="40" t="b">
        <f aca="false">FALSE()</f>
        <v>0</v>
      </c>
      <c r="R67" s="40" t="b">
        <f aca="false">FALSE()</f>
        <v>0</v>
      </c>
      <c r="S67" s="40" t="b">
        <f aca="false">FALSE()</f>
        <v>0</v>
      </c>
      <c r="T67" s="40" t="b">
        <f aca="false">FALSE()</f>
        <v>0</v>
      </c>
      <c r="U67" s="40" t="b">
        <f aca="false">TRUE()</f>
        <v>1</v>
      </c>
      <c r="V67" s="38" t="s">
        <v>3493</v>
      </c>
      <c r="W67" s="38" t="s">
        <v>3494</v>
      </c>
      <c r="X67" s="38" t="s">
        <v>3495</v>
      </c>
      <c r="Y67" s="38" t="s">
        <v>3301</v>
      </c>
      <c r="Z67" s="38" t="s">
        <v>3493</v>
      </c>
      <c r="AA67" s="38" t="s">
        <v>3513</v>
      </c>
      <c r="AB67" s="38" t="s">
        <v>3241</v>
      </c>
      <c r="AC67" s="38" t="s">
        <v>3444</v>
      </c>
      <c r="AD67" s="38"/>
      <c r="AE67" s="38"/>
      <c r="AF67" s="38"/>
      <c r="AG67" s="38"/>
      <c r="AH67" s="38" t="s">
        <v>3445</v>
      </c>
      <c r="AI67" s="38" t="s">
        <v>3244</v>
      </c>
      <c r="AJ67" s="38" t="s">
        <v>3540</v>
      </c>
      <c r="AK67" s="38" t="s">
        <v>3541</v>
      </c>
      <c r="AL67" s="38" t="s">
        <v>361</v>
      </c>
      <c r="AM67" s="38"/>
      <c r="AN67" s="38"/>
      <c r="AO67" s="38"/>
    </row>
    <row r="68" customFormat="false" ht="39.55" hidden="false" customHeight="false" outlineLevel="0" collapsed="false">
      <c r="A68" s="38" t="s">
        <v>360</v>
      </c>
      <c r="B68" s="38" t="s">
        <v>3542</v>
      </c>
      <c r="C68" s="38" t="s">
        <v>3299</v>
      </c>
      <c r="D68" s="38"/>
      <c r="E68" s="38" t="s">
        <v>361</v>
      </c>
      <c r="F68" s="38" t="s">
        <v>3511</v>
      </c>
      <c r="G68" s="38" t="s">
        <v>52</v>
      </c>
      <c r="H68" s="38" t="s">
        <v>3536</v>
      </c>
      <c r="I68" s="38" t="s">
        <v>3543</v>
      </c>
      <c r="J68" s="38" t="s">
        <v>3544</v>
      </c>
      <c r="K68" s="38"/>
      <c r="L68" s="38"/>
      <c r="M68" s="38"/>
      <c r="N68" s="38"/>
      <c r="O68" s="38" t="s">
        <v>3439</v>
      </c>
      <c r="P68" s="38" t="s">
        <v>50</v>
      </c>
      <c r="Q68" s="40" t="b">
        <f aca="false">FALSE()</f>
        <v>0</v>
      </c>
      <c r="R68" s="40" t="b">
        <f aca="false">FALSE()</f>
        <v>0</v>
      </c>
      <c r="S68" s="40" t="b">
        <f aca="false">FALSE()</f>
        <v>0</v>
      </c>
      <c r="T68" s="40" t="b">
        <f aca="false">FALSE()</f>
        <v>0</v>
      </c>
      <c r="U68" s="40" t="b">
        <f aca="false">TRUE()</f>
        <v>1</v>
      </c>
      <c r="V68" s="38" t="s">
        <v>3493</v>
      </c>
      <c r="W68" s="38" t="s">
        <v>3494</v>
      </c>
      <c r="X68" s="38" t="s">
        <v>3495</v>
      </c>
      <c r="Y68" s="38" t="s">
        <v>3301</v>
      </c>
      <c r="Z68" s="38" t="s">
        <v>3493</v>
      </c>
      <c r="AA68" s="38" t="s">
        <v>3513</v>
      </c>
      <c r="AB68" s="38" t="s">
        <v>3241</v>
      </c>
      <c r="AC68" s="38" t="s">
        <v>3545</v>
      </c>
      <c r="AD68" s="38"/>
      <c r="AE68" s="38"/>
      <c r="AF68" s="38"/>
      <c r="AG68" s="38"/>
      <c r="AH68" s="38" t="s">
        <v>3445</v>
      </c>
      <c r="AI68" s="38" t="s">
        <v>3293</v>
      </c>
      <c r="AJ68" s="38" t="s">
        <v>3251</v>
      </c>
      <c r="AK68" s="38" t="s">
        <v>3246</v>
      </c>
      <c r="AL68" s="38" t="s">
        <v>361</v>
      </c>
      <c r="AM68" s="38"/>
      <c r="AN68" s="38"/>
      <c r="AO68" s="38"/>
    </row>
    <row r="69" customFormat="false" ht="39.55" hidden="false" customHeight="false" outlineLevel="0" collapsed="false">
      <c r="A69" s="38" t="s">
        <v>360</v>
      </c>
      <c r="B69" s="38" t="s">
        <v>3546</v>
      </c>
      <c r="C69" s="38" t="s">
        <v>3547</v>
      </c>
      <c r="D69" s="38"/>
      <c r="E69" s="38" t="s">
        <v>361</v>
      </c>
      <c r="F69" s="38" t="s">
        <v>3503</v>
      </c>
      <c r="G69" s="38" t="s">
        <v>52</v>
      </c>
      <c r="H69" s="38"/>
      <c r="I69" s="38" t="s">
        <v>51</v>
      </c>
      <c r="J69" s="38" t="s">
        <v>3548</v>
      </c>
      <c r="K69" s="38"/>
      <c r="L69" s="38"/>
      <c r="M69" s="38"/>
      <c r="N69" s="38"/>
      <c r="O69" s="38" t="s">
        <v>3285</v>
      </c>
      <c r="P69" s="38" t="s">
        <v>50</v>
      </c>
      <c r="Q69" s="40" t="b">
        <f aca="false">FALSE()</f>
        <v>0</v>
      </c>
      <c r="R69" s="40" t="b">
        <f aca="false">FALSE()</f>
        <v>0</v>
      </c>
      <c r="S69" s="40" t="b">
        <f aca="false">FALSE()</f>
        <v>0</v>
      </c>
      <c r="T69" s="40" t="b">
        <f aca="false">FALSE()</f>
        <v>0</v>
      </c>
      <c r="U69" s="40" t="b">
        <f aca="false">TRUE()</f>
        <v>1</v>
      </c>
      <c r="V69" s="38" t="s">
        <v>3493</v>
      </c>
      <c r="W69" s="38" t="s">
        <v>3494</v>
      </c>
      <c r="X69" s="38" t="s">
        <v>3495</v>
      </c>
      <c r="Y69" s="38" t="s">
        <v>3549</v>
      </c>
      <c r="Z69" s="38" t="s">
        <v>3493</v>
      </c>
      <c r="AA69" s="38" t="s">
        <v>3507</v>
      </c>
      <c r="AB69" s="38" t="s">
        <v>3241</v>
      </c>
      <c r="AC69" s="38" t="s">
        <v>3242</v>
      </c>
      <c r="AD69" s="38"/>
      <c r="AE69" s="38"/>
      <c r="AF69" s="38"/>
      <c r="AG69" s="38"/>
      <c r="AH69" s="38" t="s">
        <v>3292</v>
      </c>
      <c r="AI69" s="38" t="s">
        <v>3293</v>
      </c>
      <c r="AJ69" s="38" t="s">
        <v>3251</v>
      </c>
      <c r="AK69" s="38" t="s">
        <v>3246</v>
      </c>
      <c r="AL69" s="38" t="s">
        <v>361</v>
      </c>
      <c r="AM69" s="38"/>
      <c r="AN69" s="38"/>
      <c r="AO69" s="38"/>
    </row>
    <row r="70" customFormat="false" ht="39.55" hidden="false" customHeight="false" outlineLevel="0" collapsed="false">
      <c r="A70" s="38" t="s">
        <v>360</v>
      </c>
      <c r="B70" s="38" t="s">
        <v>3550</v>
      </c>
      <c r="C70" s="38"/>
      <c r="D70" s="38"/>
      <c r="E70" s="38" t="s">
        <v>361</v>
      </c>
      <c r="F70" s="38" t="s">
        <v>3503</v>
      </c>
      <c r="G70" s="38" t="s">
        <v>52</v>
      </c>
      <c r="H70" s="38"/>
      <c r="I70" s="38" t="s">
        <v>3551</v>
      </c>
      <c r="J70" s="38" t="s">
        <v>3552</v>
      </c>
      <c r="K70" s="38"/>
      <c r="L70" s="38"/>
      <c r="M70" s="38"/>
      <c r="N70" s="38"/>
      <c r="O70" s="38" t="s">
        <v>3285</v>
      </c>
      <c r="P70" s="38" t="s">
        <v>50</v>
      </c>
      <c r="Q70" s="40" t="b">
        <f aca="false">FALSE()</f>
        <v>0</v>
      </c>
      <c r="R70" s="40" t="b">
        <f aca="false">FALSE()</f>
        <v>0</v>
      </c>
      <c r="S70" s="40" t="b">
        <f aca="false">FALSE()</f>
        <v>0</v>
      </c>
      <c r="T70" s="40" t="b">
        <f aca="false">FALSE()</f>
        <v>0</v>
      </c>
      <c r="U70" s="40" t="b">
        <f aca="false">TRUE()</f>
        <v>1</v>
      </c>
      <c r="V70" s="38" t="s">
        <v>3493</v>
      </c>
      <c r="W70" s="38" t="s">
        <v>3494</v>
      </c>
      <c r="X70" s="38" t="s">
        <v>3495</v>
      </c>
      <c r="Y70" s="38"/>
      <c r="Z70" s="38" t="s">
        <v>3493</v>
      </c>
      <c r="AA70" s="38" t="s">
        <v>3507</v>
      </c>
      <c r="AB70" s="38" t="s">
        <v>3241</v>
      </c>
      <c r="AC70" s="38" t="s">
        <v>3553</v>
      </c>
      <c r="AD70" s="38"/>
      <c r="AE70" s="38"/>
      <c r="AF70" s="38"/>
      <c r="AG70" s="38"/>
      <c r="AH70" s="38" t="s">
        <v>3292</v>
      </c>
      <c r="AI70" s="38" t="s">
        <v>3293</v>
      </c>
      <c r="AJ70" s="38" t="s">
        <v>3251</v>
      </c>
      <c r="AK70" s="38" t="s">
        <v>3246</v>
      </c>
      <c r="AL70" s="38" t="s">
        <v>361</v>
      </c>
      <c r="AM70" s="38"/>
      <c r="AN70" s="38"/>
      <c r="AO70" s="38"/>
    </row>
    <row r="71" customFormat="false" ht="39.55" hidden="false" customHeight="false" outlineLevel="0" collapsed="false">
      <c r="A71" s="38" t="s">
        <v>360</v>
      </c>
      <c r="B71" s="38" t="s">
        <v>3554</v>
      </c>
      <c r="C71" s="38" t="s">
        <v>3280</v>
      </c>
      <c r="D71" s="38"/>
      <c r="E71" s="38" t="s">
        <v>368</v>
      </c>
      <c r="F71" s="38" t="s">
        <v>3555</v>
      </c>
      <c r="G71" s="38" t="s">
        <v>52</v>
      </c>
      <c r="H71" s="38"/>
      <c r="I71" s="38" t="s">
        <v>51</v>
      </c>
      <c r="J71" s="38" t="s">
        <v>3556</v>
      </c>
      <c r="K71" s="38"/>
      <c r="L71" s="38"/>
      <c r="M71" s="38"/>
      <c r="N71" s="38"/>
      <c r="O71" s="38" t="s">
        <v>3285</v>
      </c>
      <c r="P71" s="38" t="s">
        <v>50</v>
      </c>
      <c r="Q71" s="40" t="b">
        <f aca="false">FALSE()</f>
        <v>0</v>
      </c>
      <c r="R71" s="40" t="b">
        <f aca="false">FALSE()</f>
        <v>0</v>
      </c>
      <c r="S71" s="40" t="b">
        <f aca="false">FALSE()</f>
        <v>0</v>
      </c>
      <c r="T71" s="40" t="b">
        <f aca="false">FALSE()</f>
        <v>0</v>
      </c>
      <c r="U71" s="40" t="b">
        <f aca="false">TRUE()</f>
        <v>1</v>
      </c>
      <c r="V71" s="38" t="s">
        <v>3557</v>
      </c>
      <c r="W71" s="38" t="s">
        <v>3494</v>
      </c>
      <c r="X71" s="38" t="s">
        <v>3558</v>
      </c>
      <c r="Y71" s="38" t="s">
        <v>3289</v>
      </c>
      <c r="Z71" s="38" t="s">
        <v>3557</v>
      </c>
      <c r="AA71" s="38" t="s">
        <v>3559</v>
      </c>
      <c r="AB71" s="38" t="s">
        <v>3241</v>
      </c>
      <c r="AC71" s="38" t="s">
        <v>3242</v>
      </c>
      <c r="AD71" s="38"/>
      <c r="AE71" s="38"/>
      <c r="AF71" s="38"/>
      <c r="AG71" s="38"/>
      <c r="AH71" s="38" t="s">
        <v>3292</v>
      </c>
      <c r="AI71" s="38" t="s">
        <v>3293</v>
      </c>
      <c r="AJ71" s="38" t="s">
        <v>3251</v>
      </c>
      <c r="AK71" s="38" t="s">
        <v>3246</v>
      </c>
      <c r="AL71" s="38" t="s">
        <v>368</v>
      </c>
      <c r="AM71" s="38"/>
      <c r="AN71" s="38"/>
      <c r="AO71" s="38"/>
    </row>
    <row r="72" customFormat="false" ht="39.55" hidden="false" customHeight="false" outlineLevel="0" collapsed="false">
      <c r="A72" s="38" t="s">
        <v>360</v>
      </c>
      <c r="B72" s="38" t="s">
        <v>3560</v>
      </c>
      <c r="C72" s="38" t="s">
        <v>3498</v>
      </c>
      <c r="D72" s="38"/>
      <c r="E72" s="38" t="s">
        <v>368</v>
      </c>
      <c r="F72" s="38" t="s">
        <v>3555</v>
      </c>
      <c r="G72" s="38" t="s">
        <v>52</v>
      </c>
      <c r="H72" s="38"/>
      <c r="I72" s="38" t="s">
        <v>51</v>
      </c>
      <c r="J72" s="38" t="s">
        <v>3561</v>
      </c>
      <c r="K72" s="38"/>
      <c r="L72" s="38"/>
      <c r="M72" s="38"/>
      <c r="N72" s="38"/>
      <c r="O72" s="38" t="s">
        <v>3285</v>
      </c>
      <c r="P72" s="38" t="s">
        <v>50</v>
      </c>
      <c r="Q72" s="40" t="b">
        <f aca="false">FALSE()</f>
        <v>0</v>
      </c>
      <c r="R72" s="40" t="b">
        <f aca="false">FALSE()</f>
        <v>0</v>
      </c>
      <c r="S72" s="40" t="b">
        <f aca="false">TRUE()</f>
        <v>1</v>
      </c>
      <c r="T72" s="40" t="b">
        <f aca="false">FALSE()</f>
        <v>0</v>
      </c>
      <c r="U72" s="40" t="b">
        <f aca="false">TRUE()</f>
        <v>1</v>
      </c>
      <c r="V72" s="38" t="s">
        <v>3557</v>
      </c>
      <c r="W72" s="38" t="s">
        <v>3494</v>
      </c>
      <c r="X72" s="38" t="s">
        <v>3558</v>
      </c>
      <c r="Y72" s="38" t="s">
        <v>3500</v>
      </c>
      <c r="Z72" s="38" t="s">
        <v>3557</v>
      </c>
      <c r="AA72" s="38" t="s">
        <v>3559</v>
      </c>
      <c r="AB72" s="38" t="s">
        <v>3241</v>
      </c>
      <c r="AC72" s="38" t="s">
        <v>3242</v>
      </c>
      <c r="AD72" s="38"/>
      <c r="AE72" s="38"/>
      <c r="AF72" s="38"/>
      <c r="AG72" s="38"/>
      <c r="AH72" s="38" t="s">
        <v>3292</v>
      </c>
      <c r="AI72" s="38" t="s">
        <v>3293</v>
      </c>
      <c r="AJ72" s="38" t="s">
        <v>3251</v>
      </c>
      <c r="AK72" s="38" t="s">
        <v>3246</v>
      </c>
      <c r="AL72" s="38" t="s">
        <v>368</v>
      </c>
      <c r="AM72" s="38"/>
      <c r="AN72" s="38"/>
      <c r="AO72" s="38"/>
    </row>
    <row r="73" customFormat="false" ht="39.55" hidden="false" customHeight="false" outlineLevel="0" collapsed="false">
      <c r="A73" s="38" t="s">
        <v>360</v>
      </c>
      <c r="B73" s="38" t="s">
        <v>3562</v>
      </c>
      <c r="C73" s="38" t="s">
        <v>3502</v>
      </c>
      <c r="D73" s="38"/>
      <c r="E73" s="38" t="s">
        <v>368</v>
      </c>
      <c r="F73" s="38" t="s">
        <v>3555</v>
      </c>
      <c r="G73" s="38" t="s">
        <v>52</v>
      </c>
      <c r="H73" s="38"/>
      <c r="I73" s="38" t="s">
        <v>3437</v>
      </c>
      <c r="J73" s="38" t="s">
        <v>3563</v>
      </c>
      <c r="K73" s="38"/>
      <c r="L73" s="38"/>
      <c r="M73" s="38"/>
      <c r="N73" s="38"/>
      <c r="O73" s="38" t="s">
        <v>3439</v>
      </c>
      <c r="P73" s="38" t="s">
        <v>50</v>
      </c>
      <c r="Q73" s="40" t="b">
        <f aca="false">FALSE()</f>
        <v>0</v>
      </c>
      <c r="R73" s="40" t="b">
        <f aca="false">TRUE()</f>
        <v>1</v>
      </c>
      <c r="S73" s="40" t="b">
        <f aca="false">FALSE()</f>
        <v>0</v>
      </c>
      <c r="T73" s="40" t="b">
        <f aca="false">FALSE()</f>
        <v>0</v>
      </c>
      <c r="U73" s="40" t="b">
        <f aca="false">TRUE()</f>
        <v>1</v>
      </c>
      <c r="V73" s="38" t="s">
        <v>3557</v>
      </c>
      <c r="W73" s="38" t="s">
        <v>3494</v>
      </c>
      <c r="X73" s="38" t="s">
        <v>3558</v>
      </c>
      <c r="Y73" s="38" t="s">
        <v>3506</v>
      </c>
      <c r="Z73" s="38" t="s">
        <v>3557</v>
      </c>
      <c r="AA73" s="38" t="s">
        <v>3559</v>
      </c>
      <c r="AB73" s="38" t="s">
        <v>3241</v>
      </c>
      <c r="AC73" s="38" t="s">
        <v>3444</v>
      </c>
      <c r="AD73" s="38"/>
      <c r="AE73" s="38"/>
      <c r="AF73" s="38"/>
      <c r="AG73" s="38"/>
      <c r="AH73" s="38" t="s">
        <v>3445</v>
      </c>
      <c r="AI73" s="38" t="s">
        <v>3293</v>
      </c>
      <c r="AJ73" s="38" t="s">
        <v>3564</v>
      </c>
      <c r="AK73" s="38" t="s">
        <v>3565</v>
      </c>
      <c r="AL73" s="38" t="s">
        <v>368</v>
      </c>
      <c r="AM73" s="38"/>
      <c r="AN73" s="38"/>
      <c r="AO73" s="38"/>
    </row>
    <row r="74" customFormat="false" ht="39.55" hidden="false" customHeight="false" outlineLevel="0" collapsed="false">
      <c r="A74" s="38" t="s">
        <v>360</v>
      </c>
      <c r="B74" s="38" t="s">
        <v>3566</v>
      </c>
      <c r="C74" s="38" t="s">
        <v>3502</v>
      </c>
      <c r="D74" s="38"/>
      <c r="E74" s="38" t="s">
        <v>368</v>
      </c>
      <c r="F74" s="38" t="s">
        <v>3555</v>
      </c>
      <c r="G74" s="38" t="s">
        <v>52</v>
      </c>
      <c r="H74" s="38"/>
      <c r="I74" s="38" t="s">
        <v>51</v>
      </c>
      <c r="J74" s="38" t="s">
        <v>3567</v>
      </c>
      <c r="K74" s="38"/>
      <c r="L74" s="38"/>
      <c r="M74" s="38"/>
      <c r="N74" s="38"/>
      <c r="O74" s="38" t="s">
        <v>3449</v>
      </c>
      <c r="P74" s="38" t="s">
        <v>50</v>
      </c>
      <c r="Q74" s="40" t="b">
        <f aca="false">FALSE()</f>
        <v>0</v>
      </c>
      <c r="R74" s="40" t="b">
        <f aca="false">TRUE()</f>
        <v>1</v>
      </c>
      <c r="S74" s="40" t="b">
        <f aca="false">TRUE()</f>
        <v>1</v>
      </c>
      <c r="T74" s="40" t="b">
        <f aca="false">FALSE()</f>
        <v>0</v>
      </c>
      <c r="U74" s="40" t="b">
        <f aca="false">TRUE()</f>
        <v>1</v>
      </c>
      <c r="V74" s="38" t="s">
        <v>3557</v>
      </c>
      <c r="W74" s="38" t="s">
        <v>3494</v>
      </c>
      <c r="X74" s="38" t="s">
        <v>3558</v>
      </c>
      <c r="Y74" s="38" t="s">
        <v>3506</v>
      </c>
      <c r="Z74" s="38" t="s">
        <v>3557</v>
      </c>
      <c r="AA74" s="38" t="s">
        <v>3559</v>
      </c>
      <c r="AB74" s="38" t="s">
        <v>3241</v>
      </c>
      <c r="AC74" s="38" t="s">
        <v>3242</v>
      </c>
      <c r="AD74" s="38"/>
      <c r="AE74" s="38"/>
      <c r="AF74" s="38"/>
      <c r="AG74" s="38"/>
      <c r="AH74" s="38" t="s">
        <v>3450</v>
      </c>
      <c r="AI74" s="38" t="s">
        <v>3293</v>
      </c>
      <c r="AJ74" s="38" t="s">
        <v>3251</v>
      </c>
      <c r="AK74" s="38" t="s">
        <v>3246</v>
      </c>
      <c r="AL74" s="38" t="s">
        <v>368</v>
      </c>
      <c r="AM74" s="38"/>
      <c r="AN74" s="38"/>
      <c r="AO74" s="38"/>
    </row>
    <row r="75" customFormat="false" ht="39.55" hidden="false" customHeight="false" outlineLevel="0" collapsed="false">
      <c r="A75" s="38" t="s">
        <v>360</v>
      </c>
      <c r="B75" s="38" t="s">
        <v>3568</v>
      </c>
      <c r="C75" s="38" t="s">
        <v>3517</v>
      </c>
      <c r="D75" s="38"/>
      <c r="E75" s="38" t="s">
        <v>368</v>
      </c>
      <c r="F75" s="38" t="s">
        <v>3569</v>
      </c>
      <c r="G75" s="38" t="s">
        <v>52</v>
      </c>
      <c r="H75" s="38"/>
      <c r="I75" s="38" t="s">
        <v>51</v>
      </c>
      <c r="J75" s="38" t="s">
        <v>3570</v>
      </c>
      <c r="K75" s="38"/>
      <c r="L75" s="38"/>
      <c r="M75" s="38"/>
      <c r="N75" s="38"/>
      <c r="O75" s="38" t="s">
        <v>3285</v>
      </c>
      <c r="P75" s="38" t="s">
        <v>50</v>
      </c>
      <c r="Q75" s="40" t="b">
        <f aca="false">FALSE()</f>
        <v>0</v>
      </c>
      <c r="R75" s="40" t="b">
        <f aca="false">FALSE()</f>
        <v>0</v>
      </c>
      <c r="S75" s="40" t="b">
        <f aca="false">TRUE()</f>
        <v>1</v>
      </c>
      <c r="T75" s="40" t="b">
        <f aca="false">FALSE()</f>
        <v>0</v>
      </c>
      <c r="U75" s="40" t="b">
        <f aca="false">TRUE()</f>
        <v>1</v>
      </c>
      <c r="V75" s="38" t="s">
        <v>3557</v>
      </c>
      <c r="W75" s="38" t="s">
        <v>3494</v>
      </c>
      <c r="X75" s="38" t="s">
        <v>3558</v>
      </c>
      <c r="Y75" s="38" t="s">
        <v>3519</v>
      </c>
      <c r="Z75" s="38" t="s">
        <v>3557</v>
      </c>
      <c r="AA75" s="38" t="s">
        <v>3571</v>
      </c>
      <c r="AB75" s="38" t="s">
        <v>3241</v>
      </c>
      <c r="AC75" s="38" t="s">
        <v>3242</v>
      </c>
      <c r="AD75" s="38"/>
      <c r="AE75" s="38"/>
      <c r="AF75" s="38"/>
      <c r="AG75" s="38"/>
      <c r="AH75" s="38" t="s">
        <v>3292</v>
      </c>
      <c r="AI75" s="38" t="s">
        <v>3293</v>
      </c>
      <c r="AJ75" s="38" t="s">
        <v>3251</v>
      </c>
      <c r="AK75" s="38" t="s">
        <v>3246</v>
      </c>
      <c r="AL75" s="38" t="s">
        <v>368</v>
      </c>
      <c r="AM75" s="38"/>
      <c r="AN75" s="38"/>
      <c r="AO75" s="38"/>
    </row>
    <row r="76" customFormat="false" ht="39.55" hidden="false" customHeight="false" outlineLevel="0" collapsed="false">
      <c r="A76" s="38" t="s">
        <v>360</v>
      </c>
      <c r="B76" s="38" t="s">
        <v>3572</v>
      </c>
      <c r="C76" s="38" t="s">
        <v>3521</v>
      </c>
      <c r="D76" s="38"/>
      <c r="E76" s="38" t="s">
        <v>368</v>
      </c>
      <c r="F76" s="38" t="s">
        <v>3569</v>
      </c>
      <c r="G76" s="38" t="s">
        <v>52</v>
      </c>
      <c r="H76" s="38"/>
      <c r="I76" s="38" t="s">
        <v>51</v>
      </c>
      <c r="J76" s="38" t="s">
        <v>3573</v>
      </c>
      <c r="K76" s="38"/>
      <c r="L76" s="38"/>
      <c r="M76" s="38"/>
      <c r="N76" s="38"/>
      <c r="O76" s="38" t="s">
        <v>3285</v>
      </c>
      <c r="P76" s="38" t="s">
        <v>50</v>
      </c>
      <c r="Q76" s="40" t="b">
        <f aca="false">FALSE()</f>
        <v>0</v>
      </c>
      <c r="R76" s="40" t="b">
        <f aca="false">TRUE()</f>
        <v>1</v>
      </c>
      <c r="S76" s="40" t="b">
        <f aca="false">TRUE()</f>
        <v>1</v>
      </c>
      <c r="T76" s="40" t="b">
        <f aca="false">FALSE()</f>
        <v>0</v>
      </c>
      <c r="U76" s="40" t="b">
        <f aca="false">TRUE()</f>
        <v>1</v>
      </c>
      <c r="V76" s="38" t="s">
        <v>3557</v>
      </c>
      <c r="W76" s="38" t="s">
        <v>3494</v>
      </c>
      <c r="X76" s="38" t="s">
        <v>3558</v>
      </c>
      <c r="Y76" s="38" t="s">
        <v>3523</v>
      </c>
      <c r="Z76" s="38" t="s">
        <v>3557</v>
      </c>
      <c r="AA76" s="38" t="s">
        <v>3571</v>
      </c>
      <c r="AB76" s="38" t="s">
        <v>3241</v>
      </c>
      <c r="AC76" s="38" t="s">
        <v>3242</v>
      </c>
      <c r="AD76" s="38"/>
      <c r="AE76" s="38"/>
      <c r="AF76" s="38"/>
      <c r="AG76" s="38"/>
      <c r="AH76" s="38" t="s">
        <v>3292</v>
      </c>
      <c r="AI76" s="38" t="s">
        <v>3293</v>
      </c>
      <c r="AJ76" s="38" t="s">
        <v>3251</v>
      </c>
      <c r="AK76" s="38" t="s">
        <v>3246</v>
      </c>
      <c r="AL76" s="38" t="s">
        <v>368</v>
      </c>
      <c r="AM76" s="38"/>
      <c r="AN76" s="38"/>
      <c r="AO76" s="38"/>
    </row>
    <row r="77" customFormat="false" ht="39.55" hidden="false" customHeight="false" outlineLevel="0" collapsed="false">
      <c r="A77" s="38" t="s">
        <v>360</v>
      </c>
      <c r="B77" s="38" t="s">
        <v>3574</v>
      </c>
      <c r="C77" s="38" t="s">
        <v>3525</v>
      </c>
      <c r="D77" s="38"/>
      <c r="E77" s="38" t="s">
        <v>368</v>
      </c>
      <c r="F77" s="38" t="s">
        <v>3569</v>
      </c>
      <c r="G77" s="38" t="s">
        <v>52</v>
      </c>
      <c r="H77" s="38"/>
      <c r="I77" s="38" t="s">
        <v>51</v>
      </c>
      <c r="J77" s="38" t="s">
        <v>3575</v>
      </c>
      <c r="K77" s="38"/>
      <c r="L77" s="38"/>
      <c r="M77" s="38"/>
      <c r="N77" s="38"/>
      <c r="O77" s="38" t="s">
        <v>3285</v>
      </c>
      <c r="P77" s="38" t="s">
        <v>50</v>
      </c>
      <c r="Q77" s="40" t="b">
        <f aca="false">FALSE()</f>
        <v>0</v>
      </c>
      <c r="R77" s="40" t="b">
        <f aca="false">FALSE()</f>
        <v>0</v>
      </c>
      <c r="S77" s="40" t="b">
        <f aca="false">FALSE()</f>
        <v>0</v>
      </c>
      <c r="T77" s="40" t="b">
        <f aca="false">FALSE()</f>
        <v>0</v>
      </c>
      <c r="U77" s="40" t="b">
        <f aca="false">TRUE()</f>
        <v>1</v>
      </c>
      <c r="V77" s="38" t="s">
        <v>3557</v>
      </c>
      <c r="W77" s="38" t="s">
        <v>3494</v>
      </c>
      <c r="X77" s="38" t="s">
        <v>3558</v>
      </c>
      <c r="Y77" s="38" t="s">
        <v>3527</v>
      </c>
      <c r="Z77" s="38" t="s">
        <v>3557</v>
      </c>
      <c r="AA77" s="38" t="s">
        <v>3571</v>
      </c>
      <c r="AB77" s="38" t="s">
        <v>3241</v>
      </c>
      <c r="AC77" s="38" t="s">
        <v>3242</v>
      </c>
      <c r="AD77" s="38"/>
      <c r="AE77" s="38"/>
      <c r="AF77" s="38"/>
      <c r="AG77" s="38"/>
      <c r="AH77" s="38" t="s">
        <v>3292</v>
      </c>
      <c r="AI77" s="38" t="s">
        <v>3293</v>
      </c>
      <c r="AJ77" s="38" t="s">
        <v>3251</v>
      </c>
      <c r="AK77" s="38" t="s">
        <v>3246</v>
      </c>
      <c r="AL77" s="38" t="s">
        <v>368</v>
      </c>
      <c r="AM77" s="38"/>
      <c r="AN77" s="38"/>
      <c r="AO77" s="38"/>
    </row>
    <row r="78" customFormat="false" ht="39.55" hidden="false" customHeight="false" outlineLevel="0" collapsed="false">
      <c r="A78" s="38" t="s">
        <v>360</v>
      </c>
      <c r="B78" s="38" t="s">
        <v>3576</v>
      </c>
      <c r="C78" s="38" t="s">
        <v>3529</v>
      </c>
      <c r="D78" s="38"/>
      <c r="E78" s="38" t="s">
        <v>368</v>
      </c>
      <c r="F78" s="38" t="s">
        <v>3569</v>
      </c>
      <c r="G78" s="38" t="s">
        <v>52</v>
      </c>
      <c r="H78" s="38"/>
      <c r="I78" s="38" t="s">
        <v>51</v>
      </c>
      <c r="J78" s="38" t="s">
        <v>3577</v>
      </c>
      <c r="K78" s="38"/>
      <c r="L78" s="38"/>
      <c r="M78" s="38"/>
      <c r="N78" s="38"/>
      <c r="O78" s="38" t="s">
        <v>3285</v>
      </c>
      <c r="P78" s="38" t="s">
        <v>50</v>
      </c>
      <c r="Q78" s="40" t="b">
        <f aca="false">FALSE()</f>
        <v>0</v>
      </c>
      <c r="R78" s="40" t="b">
        <f aca="false">TRUE()</f>
        <v>1</v>
      </c>
      <c r="S78" s="40" t="b">
        <f aca="false">TRUE()</f>
        <v>1</v>
      </c>
      <c r="T78" s="40" t="b">
        <f aca="false">FALSE()</f>
        <v>0</v>
      </c>
      <c r="U78" s="40" t="b">
        <f aca="false">TRUE()</f>
        <v>1</v>
      </c>
      <c r="V78" s="38" t="s">
        <v>3557</v>
      </c>
      <c r="W78" s="38" t="s">
        <v>3494</v>
      </c>
      <c r="X78" s="38" t="s">
        <v>3558</v>
      </c>
      <c r="Y78" s="38" t="s">
        <v>3531</v>
      </c>
      <c r="Z78" s="38" t="s">
        <v>3557</v>
      </c>
      <c r="AA78" s="38" t="s">
        <v>3571</v>
      </c>
      <c r="AB78" s="38" t="s">
        <v>3241</v>
      </c>
      <c r="AC78" s="38" t="s">
        <v>3242</v>
      </c>
      <c r="AD78" s="38"/>
      <c r="AE78" s="38"/>
      <c r="AF78" s="38"/>
      <c r="AG78" s="38"/>
      <c r="AH78" s="38" t="s">
        <v>3292</v>
      </c>
      <c r="AI78" s="38" t="s">
        <v>3293</v>
      </c>
      <c r="AJ78" s="38" t="s">
        <v>3251</v>
      </c>
      <c r="AK78" s="38" t="s">
        <v>3246</v>
      </c>
      <c r="AL78" s="38" t="s">
        <v>368</v>
      </c>
      <c r="AM78" s="38"/>
      <c r="AN78" s="38"/>
      <c r="AO78" s="38"/>
    </row>
    <row r="79" customFormat="false" ht="39.55" hidden="false" customHeight="false" outlineLevel="0" collapsed="false">
      <c r="A79" s="38" t="s">
        <v>360</v>
      </c>
      <c r="B79" s="38" t="s">
        <v>3578</v>
      </c>
      <c r="C79" s="38" t="s">
        <v>3299</v>
      </c>
      <c r="D79" s="38"/>
      <c r="E79" s="38" t="s">
        <v>368</v>
      </c>
      <c r="F79" s="38" t="s">
        <v>3555</v>
      </c>
      <c r="G79" s="38" t="s">
        <v>52</v>
      </c>
      <c r="H79" s="38"/>
      <c r="I79" s="38" t="s">
        <v>51</v>
      </c>
      <c r="J79" s="38" t="s">
        <v>3579</v>
      </c>
      <c r="K79" s="38"/>
      <c r="L79" s="38"/>
      <c r="M79" s="38"/>
      <c r="N79" s="38"/>
      <c r="O79" s="38" t="s">
        <v>3449</v>
      </c>
      <c r="P79" s="38" t="s">
        <v>3235</v>
      </c>
      <c r="Q79" s="40" t="b">
        <f aca="false">FALSE()</f>
        <v>0</v>
      </c>
      <c r="R79" s="40" t="b">
        <f aca="false">TRUE()</f>
        <v>1</v>
      </c>
      <c r="S79" s="40" t="b">
        <f aca="false">FALSE()</f>
        <v>0</v>
      </c>
      <c r="T79" s="40" t="b">
        <f aca="false">FALSE()</f>
        <v>0</v>
      </c>
      <c r="U79" s="40" t="b">
        <f aca="false">TRUE()</f>
        <v>1</v>
      </c>
      <c r="V79" s="38" t="s">
        <v>3557</v>
      </c>
      <c r="W79" s="38" t="s">
        <v>3494</v>
      </c>
      <c r="X79" s="38" t="s">
        <v>3558</v>
      </c>
      <c r="Y79" s="38" t="s">
        <v>3301</v>
      </c>
      <c r="Z79" s="38" t="s">
        <v>3557</v>
      </c>
      <c r="AA79" s="38" t="s">
        <v>3559</v>
      </c>
      <c r="AB79" s="38" t="s">
        <v>3241</v>
      </c>
      <c r="AC79" s="38" t="s">
        <v>3242</v>
      </c>
      <c r="AD79" s="38"/>
      <c r="AE79" s="38"/>
      <c r="AF79" s="38"/>
      <c r="AG79" s="38"/>
      <c r="AH79" s="38" t="s">
        <v>3450</v>
      </c>
      <c r="AI79" s="38" t="s">
        <v>3244</v>
      </c>
      <c r="AJ79" s="38" t="s">
        <v>3251</v>
      </c>
      <c r="AK79" s="38" t="s">
        <v>3246</v>
      </c>
      <c r="AL79" s="38" t="s">
        <v>368</v>
      </c>
      <c r="AM79" s="38"/>
      <c r="AN79" s="38"/>
      <c r="AO79" s="38"/>
    </row>
    <row r="80" customFormat="false" ht="39.55" hidden="false" customHeight="false" outlineLevel="0" collapsed="false">
      <c r="A80" s="38" t="s">
        <v>360</v>
      </c>
      <c r="B80" s="38" t="s">
        <v>3580</v>
      </c>
      <c r="C80" s="38" t="s">
        <v>3299</v>
      </c>
      <c r="D80" s="38"/>
      <c r="E80" s="38" t="s">
        <v>368</v>
      </c>
      <c r="F80" s="38" t="s">
        <v>3555</v>
      </c>
      <c r="G80" s="38" t="s">
        <v>52</v>
      </c>
      <c r="H80" s="38"/>
      <c r="I80" s="38" t="s">
        <v>3437</v>
      </c>
      <c r="J80" s="38" t="s">
        <v>3581</v>
      </c>
      <c r="K80" s="38"/>
      <c r="L80" s="38"/>
      <c r="M80" s="38"/>
      <c r="N80" s="38"/>
      <c r="O80" s="38" t="s">
        <v>3439</v>
      </c>
      <c r="P80" s="38" t="s">
        <v>3235</v>
      </c>
      <c r="Q80" s="40" t="b">
        <f aca="false">FALSE()</f>
        <v>0</v>
      </c>
      <c r="R80" s="40" t="b">
        <f aca="false">FALSE()</f>
        <v>0</v>
      </c>
      <c r="S80" s="40" t="b">
        <f aca="false">FALSE()</f>
        <v>0</v>
      </c>
      <c r="T80" s="40" t="b">
        <f aca="false">FALSE()</f>
        <v>0</v>
      </c>
      <c r="U80" s="40" t="b">
        <f aca="false">TRUE()</f>
        <v>1</v>
      </c>
      <c r="V80" s="38" t="s">
        <v>3557</v>
      </c>
      <c r="W80" s="38" t="s">
        <v>3494</v>
      </c>
      <c r="X80" s="38" t="s">
        <v>3558</v>
      </c>
      <c r="Y80" s="38" t="s">
        <v>3301</v>
      </c>
      <c r="Z80" s="38" t="s">
        <v>3557</v>
      </c>
      <c r="AA80" s="38" t="s">
        <v>3559</v>
      </c>
      <c r="AB80" s="38" t="s">
        <v>3241</v>
      </c>
      <c r="AC80" s="38" t="s">
        <v>3444</v>
      </c>
      <c r="AD80" s="38"/>
      <c r="AE80" s="38"/>
      <c r="AF80" s="38"/>
      <c r="AG80" s="38"/>
      <c r="AH80" s="38" t="s">
        <v>3445</v>
      </c>
      <c r="AI80" s="38" t="s">
        <v>3244</v>
      </c>
      <c r="AJ80" s="38" t="s">
        <v>3582</v>
      </c>
      <c r="AK80" s="38" t="s">
        <v>3583</v>
      </c>
      <c r="AL80" s="38" t="s">
        <v>368</v>
      </c>
      <c r="AM80" s="38"/>
      <c r="AN80" s="38"/>
      <c r="AO80" s="38"/>
    </row>
    <row r="81" customFormat="false" ht="39.55" hidden="false" customHeight="false" outlineLevel="0" collapsed="false">
      <c r="A81" s="38" t="s">
        <v>360</v>
      </c>
      <c r="B81" s="38" t="s">
        <v>3584</v>
      </c>
      <c r="C81" s="38"/>
      <c r="D81" s="38"/>
      <c r="E81" s="38" t="s">
        <v>368</v>
      </c>
      <c r="F81" s="38" t="s">
        <v>3569</v>
      </c>
      <c r="G81" s="38" t="s">
        <v>52</v>
      </c>
      <c r="H81" s="38"/>
      <c r="I81" s="38" t="s">
        <v>3551</v>
      </c>
      <c r="J81" s="38" t="s">
        <v>3585</v>
      </c>
      <c r="K81" s="38"/>
      <c r="L81" s="38"/>
      <c r="M81" s="38"/>
      <c r="N81" s="38"/>
      <c r="O81" s="38" t="s">
        <v>3285</v>
      </c>
      <c r="P81" s="38" t="s">
        <v>50</v>
      </c>
      <c r="Q81" s="40" t="b">
        <f aca="false">FALSE()</f>
        <v>0</v>
      </c>
      <c r="R81" s="40" t="b">
        <f aca="false">FALSE()</f>
        <v>0</v>
      </c>
      <c r="S81" s="40" t="b">
        <f aca="false">FALSE()</f>
        <v>0</v>
      </c>
      <c r="T81" s="40" t="b">
        <f aca="false">FALSE()</f>
        <v>0</v>
      </c>
      <c r="U81" s="40" t="b">
        <f aca="false">TRUE()</f>
        <v>1</v>
      </c>
      <c r="V81" s="38" t="s">
        <v>3557</v>
      </c>
      <c r="W81" s="38" t="s">
        <v>3494</v>
      </c>
      <c r="X81" s="38" t="s">
        <v>3558</v>
      </c>
      <c r="Y81" s="38"/>
      <c r="Z81" s="38" t="s">
        <v>3557</v>
      </c>
      <c r="AA81" s="38" t="s">
        <v>3571</v>
      </c>
      <c r="AB81" s="38" t="s">
        <v>3241</v>
      </c>
      <c r="AC81" s="38" t="s">
        <v>3553</v>
      </c>
      <c r="AD81" s="38"/>
      <c r="AE81" s="38"/>
      <c r="AF81" s="38"/>
      <c r="AG81" s="38"/>
      <c r="AH81" s="38" t="s">
        <v>3292</v>
      </c>
      <c r="AI81" s="38" t="s">
        <v>3293</v>
      </c>
      <c r="AJ81" s="38" t="s">
        <v>3251</v>
      </c>
      <c r="AK81" s="38" t="s">
        <v>3246</v>
      </c>
      <c r="AL81" s="38" t="s">
        <v>368</v>
      </c>
      <c r="AM81" s="38"/>
      <c r="AN81" s="38"/>
      <c r="AO81" s="38"/>
    </row>
    <row r="82" customFormat="false" ht="39.55" hidden="false" customHeight="false" outlineLevel="0" collapsed="false">
      <c r="A82" s="38" t="s">
        <v>360</v>
      </c>
      <c r="B82" s="38" t="s">
        <v>3586</v>
      </c>
      <c r="C82" s="38" t="s">
        <v>3587</v>
      </c>
      <c r="D82" s="38"/>
      <c r="E82" s="38" t="s">
        <v>3588</v>
      </c>
      <c r="F82" s="42" t="n">
        <v>0.06</v>
      </c>
      <c r="G82" s="38" t="s">
        <v>52</v>
      </c>
      <c r="H82" s="38"/>
      <c r="I82" s="38" t="s">
        <v>3437</v>
      </c>
      <c r="J82" s="38" t="s">
        <v>3589</v>
      </c>
      <c r="K82" s="38"/>
      <c r="L82" s="38"/>
      <c r="M82" s="38"/>
      <c r="N82" s="38"/>
      <c r="O82" s="38" t="s">
        <v>3439</v>
      </c>
      <c r="P82" s="38" t="s">
        <v>50</v>
      </c>
      <c r="Q82" s="40" t="b">
        <f aca="false">FALSE()</f>
        <v>0</v>
      </c>
      <c r="R82" s="40" t="b">
        <f aca="false">TRUE()</f>
        <v>1</v>
      </c>
      <c r="S82" s="40" t="b">
        <f aca="false">FALSE()</f>
        <v>0</v>
      </c>
      <c r="T82" s="40" t="b">
        <f aca="false">FALSE()</f>
        <v>0</v>
      </c>
      <c r="U82" s="40" t="b">
        <f aca="false">TRUE()</f>
        <v>1</v>
      </c>
      <c r="V82" s="38" t="s">
        <v>3590</v>
      </c>
      <c r="W82" s="38" t="s">
        <v>3494</v>
      </c>
      <c r="X82" s="38" t="s">
        <v>3591</v>
      </c>
      <c r="Y82" s="38" t="s">
        <v>3592</v>
      </c>
      <c r="Z82" s="38" t="s">
        <v>3590</v>
      </c>
      <c r="AA82" s="38" t="s">
        <v>3593</v>
      </c>
      <c r="AB82" s="38" t="s">
        <v>3241</v>
      </c>
      <c r="AC82" s="38" t="s">
        <v>3444</v>
      </c>
      <c r="AD82" s="38"/>
      <c r="AE82" s="38"/>
      <c r="AF82" s="38"/>
      <c r="AG82" s="38"/>
      <c r="AH82" s="38" t="s">
        <v>3445</v>
      </c>
      <c r="AI82" s="38" t="s">
        <v>3293</v>
      </c>
      <c r="AJ82" s="38" t="s">
        <v>3594</v>
      </c>
      <c r="AK82" s="38" t="s">
        <v>3246</v>
      </c>
      <c r="AL82" s="38" t="s">
        <v>3588</v>
      </c>
      <c r="AM82" s="38"/>
      <c r="AN82" s="38"/>
      <c r="AO82" s="38"/>
    </row>
    <row r="83" customFormat="false" ht="39.55" hidden="false" customHeight="false" outlineLevel="0" collapsed="false">
      <c r="A83" s="38" t="s">
        <v>360</v>
      </c>
      <c r="B83" s="38" t="s">
        <v>3595</v>
      </c>
      <c r="C83" s="38" t="s">
        <v>3587</v>
      </c>
      <c r="D83" s="38"/>
      <c r="E83" s="38" t="s">
        <v>3588</v>
      </c>
      <c r="F83" s="42" t="n">
        <v>0.06</v>
      </c>
      <c r="G83" s="38" t="s">
        <v>52</v>
      </c>
      <c r="H83" s="38"/>
      <c r="I83" s="38" t="s">
        <v>51</v>
      </c>
      <c r="J83" s="38" t="s">
        <v>3596</v>
      </c>
      <c r="K83" s="38"/>
      <c r="L83" s="38"/>
      <c r="M83" s="38"/>
      <c r="N83" s="38"/>
      <c r="O83" s="38" t="s">
        <v>3449</v>
      </c>
      <c r="P83" s="38" t="s">
        <v>50</v>
      </c>
      <c r="Q83" s="40" t="b">
        <f aca="false">FALSE()</f>
        <v>0</v>
      </c>
      <c r="R83" s="40" t="b">
        <f aca="false">FALSE()</f>
        <v>0</v>
      </c>
      <c r="S83" s="40" t="b">
        <f aca="false">FALSE()</f>
        <v>0</v>
      </c>
      <c r="T83" s="40" t="b">
        <f aca="false">FALSE()</f>
        <v>0</v>
      </c>
      <c r="U83" s="40" t="b">
        <f aca="false">TRUE()</f>
        <v>1</v>
      </c>
      <c r="V83" s="38" t="s">
        <v>3590</v>
      </c>
      <c r="W83" s="38" t="s">
        <v>3494</v>
      </c>
      <c r="X83" s="38" t="s">
        <v>3591</v>
      </c>
      <c r="Y83" s="38" t="s">
        <v>3592</v>
      </c>
      <c r="Z83" s="38" t="s">
        <v>3590</v>
      </c>
      <c r="AA83" s="38" t="s">
        <v>3593</v>
      </c>
      <c r="AB83" s="38" t="s">
        <v>3241</v>
      </c>
      <c r="AC83" s="38" t="s">
        <v>3242</v>
      </c>
      <c r="AD83" s="38"/>
      <c r="AE83" s="38"/>
      <c r="AF83" s="38"/>
      <c r="AG83" s="38"/>
      <c r="AH83" s="38" t="s">
        <v>3450</v>
      </c>
      <c r="AI83" s="38" t="s">
        <v>3293</v>
      </c>
      <c r="AJ83" s="38" t="s">
        <v>3251</v>
      </c>
      <c r="AK83" s="38" t="s">
        <v>3246</v>
      </c>
      <c r="AL83" s="38" t="s">
        <v>3588</v>
      </c>
      <c r="AM83" s="38"/>
      <c r="AN83" s="38"/>
      <c r="AO83" s="38"/>
    </row>
    <row r="84" customFormat="false" ht="39.55" hidden="false" customHeight="false" outlineLevel="0" collapsed="false">
      <c r="A84" s="38" t="s">
        <v>3597</v>
      </c>
      <c r="B84" s="38" t="s">
        <v>3598</v>
      </c>
      <c r="C84" s="38"/>
      <c r="D84" s="38"/>
      <c r="E84" s="38" t="s">
        <v>3599</v>
      </c>
      <c r="F84" s="38"/>
      <c r="G84" s="38" t="s">
        <v>3600</v>
      </c>
      <c r="H84" s="38"/>
      <c r="I84" s="38" t="s">
        <v>3551</v>
      </c>
      <c r="J84" s="38" t="s">
        <v>3601</v>
      </c>
      <c r="K84" s="38"/>
      <c r="L84" s="38"/>
      <c r="M84" s="38"/>
      <c r="N84" s="38"/>
      <c r="O84" s="38" t="s">
        <v>49</v>
      </c>
      <c r="P84" s="38" t="s">
        <v>50</v>
      </c>
      <c r="Q84" s="40" t="b">
        <f aca="false">FALSE()</f>
        <v>0</v>
      </c>
      <c r="R84" s="40" t="b">
        <f aca="false">FALSE()</f>
        <v>0</v>
      </c>
      <c r="S84" s="40" t="b">
        <f aca="false">FALSE()</f>
        <v>0</v>
      </c>
      <c r="T84" s="40" t="b">
        <f aca="false">FALSE()</f>
        <v>0</v>
      </c>
      <c r="U84" s="40" t="b">
        <f aca="false">TRUE()</f>
        <v>1</v>
      </c>
      <c r="V84" s="38" t="s">
        <v>3602</v>
      </c>
      <c r="W84" s="38" t="s">
        <v>3603</v>
      </c>
      <c r="X84" s="38" t="s">
        <v>3604</v>
      </c>
      <c r="Y84" s="38"/>
      <c r="Z84" s="38" t="s">
        <v>3602</v>
      </c>
      <c r="AA84" s="38"/>
      <c r="AB84" s="38" t="s">
        <v>3605</v>
      </c>
      <c r="AC84" s="38" t="s">
        <v>3553</v>
      </c>
      <c r="AD84" s="38"/>
      <c r="AE84" s="38"/>
      <c r="AF84" s="38"/>
      <c r="AG84" s="38"/>
      <c r="AH84" s="38" t="s">
        <v>3243</v>
      </c>
      <c r="AI84" s="38" t="s">
        <v>3293</v>
      </c>
      <c r="AJ84" s="38" t="s">
        <v>3606</v>
      </c>
      <c r="AK84" s="38" t="s">
        <v>3246</v>
      </c>
      <c r="AL84" s="38" t="s">
        <v>3599</v>
      </c>
      <c r="AM84" s="38"/>
      <c r="AN84" s="38"/>
      <c r="AO84" s="38"/>
    </row>
    <row r="85" customFormat="false" ht="39.55" hidden="false" customHeight="false" outlineLevel="0" collapsed="false">
      <c r="A85" s="38" t="s">
        <v>3597</v>
      </c>
      <c r="B85" s="38" t="s">
        <v>3607</v>
      </c>
      <c r="C85" s="38" t="s">
        <v>3608</v>
      </c>
      <c r="D85" s="38"/>
      <c r="E85" s="38" t="s">
        <v>269</v>
      </c>
      <c r="F85" s="38"/>
      <c r="G85" s="38" t="s">
        <v>3600</v>
      </c>
      <c r="H85" s="38"/>
      <c r="I85" s="38" t="s">
        <v>51</v>
      </c>
      <c r="J85" s="38" t="s">
        <v>3609</v>
      </c>
      <c r="K85" s="38"/>
      <c r="L85" s="38"/>
      <c r="M85" s="38" t="s">
        <v>3610</v>
      </c>
      <c r="N85" s="38"/>
      <c r="O85" s="38" t="s">
        <v>49</v>
      </c>
      <c r="P85" s="38" t="s">
        <v>50</v>
      </c>
      <c r="Q85" s="40" t="b">
        <f aca="false">FALSE()</f>
        <v>0</v>
      </c>
      <c r="R85" s="40" t="b">
        <f aca="false">FALSE()</f>
        <v>0</v>
      </c>
      <c r="S85" s="40" t="b">
        <f aca="false">FALSE()</f>
        <v>0</v>
      </c>
      <c r="T85" s="40" t="b">
        <f aca="false">FALSE()</f>
        <v>0</v>
      </c>
      <c r="U85" s="40" t="b">
        <f aca="false">TRUE()</f>
        <v>1</v>
      </c>
      <c r="V85" s="38" t="s">
        <v>3312</v>
      </c>
      <c r="W85" s="38" t="s">
        <v>3603</v>
      </c>
      <c r="X85" s="38" t="s">
        <v>3611</v>
      </c>
      <c r="Y85" s="38" t="s">
        <v>3612</v>
      </c>
      <c r="Z85" s="38" t="s">
        <v>3312</v>
      </c>
      <c r="AA85" s="38"/>
      <c r="AB85" s="38" t="s">
        <v>3605</v>
      </c>
      <c r="AC85" s="38" t="s">
        <v>3242</v>
      </c>
      <c r="AD85" s="38"/>
      <c r="AE85" s="38"/>
      <c r="AF85" s="38"/>
      <c r="AG85" s="38" t="s">
        <v>3613</v>
      </c>
      <c r="AH85" s="38" t="s">
        <v>3243</v>
      </c>
      <c r="AI85" s="38" t="s">
        <v>3293</v>
      </c>
      <c r="AJ85" s="38" t="s">
        <v>3251</v>
      </c>
      <c r="AK85" s="38" t="s">
        <v>3246</v>
      </c>
      <c r="AL85" s="38" t="s">
        <v>269</v>
      </c>
      <c r="AM85" s="38"/>
      <c r="AN85" s="38"/>
      <c r="AO85" s="38"/>
    </row>
    <row r="86" customFormat="false" ht="39.55" hidden="false" customHeight="false" outlineLevel="0" collapsed="false">
      <c r="A86" s="38" t="s">
        <v>3597</v>
      </c>
      <c r="B86" s="38" t="s">
        <v>3614</v>
      </c>
      <c r="C86" s="38" t="s">
        <v>3299</v>
      </c>
      <c r="D86" s="38"/>
      <c r="E86" s="38" t="s">
        <v>269</v>
      </c>
      <c r="F86" s="38"/>
      <c r="G86" s="38" t="s">
        <v>3600</v>
      </c>
      <c r="H86" s="38"/>
      <c r="I86" s="38" t="s">
        <v>51</v>
      </c>
      <c r="J86" s="38" t="s">
        <v>3615</v>
      </c>
      <c r="K86" s="38"/>
      <c r="L86" s="38"/>
      <c r="M86" s="38" t="s">
        <v>3610</v>
      </c>
      <c r="N86" s="38"/>
      <c r="O86" s="38" t="s">
        <v>49</v>
      </c>
      <c r="P86" s="38" t="s">
        <v>50</v>
      </c>
      <c r="Q86" s="40" t="b">
        <f aca="false">FALSE()</f>
        <v>0</v>
      </c>
      <c r="R86" s="40" t="b">
        <f aca="false">FALSE()</f>
        <v>0</v>
      </c>
      <c r="S86" s="40" t="b">
        <f aca="false">FALSE()</f>
        <v>0</v>
      </c>
      <c r="T86" s="40" t="b">
        <f aca="false">FALSE()</f>
        <v>0</v>
      </c>
      <c r="U86" s="40" t="b">
        <f aca="false">TRUE()</f>
        <v>1</v>
      </c>
      <c r="V86" s="38" t="s">
        <v>3312</v>
      </c>
      <c r="W86" s="38" t="s">
        <v>3603</v>
      </c>
      <c r="X86" s="38" t="s">
        <v>3611</v>
      </c>
      <c r="Y86" s="38" t="s">
        <v>3301</v>
      </c>
      <c r="Z86" s="38" t="s">
        <v>3312</v>
      </c>
      <c r="AA86" s="38"/>
      <c r="AB86" s="38" t="s">
        <v>3605</v>
      </c>
      <c r="AC86" s="38" t="s">
        <v>3242</v>
      </c>
      <c r="AD86" s="38"/>
      <c r="AE86" s="38"/>
      <c r="AF86" s="38"/>
      <c r="AG86" s="38" t="s">
        <v>3613</v>
      </c>
      <c r="AH86" s="38" t="s">
        <v>3243</v>
      </c>
      <c r="AI86" s="38" t="s">
        <v>3293</v>
      </c>
      <c r="AJ86" s="38" t="s">
        <v>3251</v>
      </c>
      <c r="AK86" s="38" t="s">
        <v>3246</v>
      </c>
      <c r="AL86" s="38" t="s">
        <v>269</v>
      </c>
      <c r="AM86" s="38"/>
      <c r="AN86" s="38"/>
      <c r="AO86" s="38"/>
    </row>
    <row r="87" customFormat="false" ht="39.55" hidden="false" customHeight="false" outlineLevel="0" collapsed="false">
      <c r="A87" s="38" t="s">
        <v>3597</v>
      </c>
      <c r="B87" s="38" t="s">
        <v>3616</v>
      </c>
      <c r="C87" s="38" t="s">
        <v>3299</v>
      </c>
      <c r="D87" s="38"/>
      <c r="E87" s="38" t="s">
        <v>264</v>
      </c>
      <c r="F87" s="38"/>
      <c r="G87" s="38" t="s">
        <v>3600</v>
      </c>
      <c r="H87" s="38"/>
      <c r="I87" s="38" t="s">
        <v>51</v>
      </c>
      <c r="J87" s="38" t="s">
        <v>3617</v>
      </c>
      <c r="K87" s="38"/>
      <c r="L87" s="38"/>
      <c r="M87" s="38" t="s">
        <v>3618</v>
      </c>
      <c r="N87" s="38"/>
      <c r="O87" s="38" t="s">
        <v>49</v>
      </c>
      <c r="P87" s="38" t="s">
        <v>50</v>
      </c>
      <c r="Q87" s="40" t="b">
        <f aca="false">FALSE()</f>
        <v>0</v>
      </c>
      <c r="R87" s="40" t="b">
        <f aca="false">FALSE()</f>
        <v>0</v>
      </c>
      <c r="S87" s="40" t="b">
        <f aca="false">FALSE()</f>
        <v>0</v>
      </c>
      <c r="T87" s="40" t="b">
        <f aca="false">FALSE()</f>
        <v>0</v>
      </c>
      <c r="U87" s="40" t="b">
        <f aca="false">TRUE()</f>
        <v>1</v>
      </c>
      <c r="V87" s="38" t="s">
        <v>3343</v>
      </c>
      <c r="W87" s="38" t="s">
        <v>3603</v>
      </c>
      <c r="X87" s="38" t="s">
        <v>3619</v>
      </c>
      <c r="Y87" s="38" t="s">
        <v>3301</v>
      </c>
      <c r="Z87" s="38" t="s">
        <v>3343</v>
      </c>
      <c r="AA87" s="38"/>
      <c r="AB87" s="38" t="s">
        <v>3605</v>
      </c>
      <c r="AC87" s="38" t="s">
        <v>3242</v>
      </c>
      <c r="AD87" s="38"/>
      <c r="AE87" s="38"/>
      <c r="AF87" s="38"/>
      <c r="AG87" s="38" t="s">
        <v>3620</v>
      </c>
      <c r="AH87" s="38" t="s">
        <v>3243</v>
      </c>
      <c r="AI87" s="38" t="s">
        <v>3293</v>
      </c>
      <c r="AJ87" s="38" t="s">
        <v>3251</v>
      </c>
      <c r="AK87" s="38" t="s">
        <v>3246</v>
      </c>
      <c r="AL87" s="38" t="s">
        <v>264</v>
      </c>
      <c r="AM87" s="38"/>
      <c r="AN87" s="38"/>
      <c r="AO87" s="38"/>
    </row>
    <row r="88" customFormat="false" ht="39.55" hidden="false" customHeight="false" outlineLevel="0" collapsed="false">
      <c r="A88" s="38" t="s">
        <v>3597</v>
      </c>
      <c r="B88" s="38" t="s">
        <v>3621</v>
      </c>
      <c r="C88" s="38" t="s">
        <v>3299</v>
      </c>
      <c r="D88" s="38"/>
      <c r="E88" s="38" t="s">
        <v>264</v>
      </c>
      <c r="F88" s="38"/>
      <c r="G88" s="38" t="s">
        <v>3600</v>
      </c>
      <c r="H88" s="38"/>
      <c r="I88" s="38" t="s">
        <v>51</v>
      </c>
      <c r="J88" s="38" t="s">
        <v>3622</v>
      </c>
      <c r="K88" s="38"/>
      <c r="L88" s="38"/>
      <c r="M88" s="38" t="s">
        <v>3623</v>
      </c>
      <c r="N88" s="38" t="s">
        <v>3624</v>
      </c>
      <c r="O88" s="38" t="s">
        <v>49</v>
      </c>
      <c r="P88" s="38" t="s">
        <v>50</v>
      </c>
      <c r="Q88" s="40" t="b">
        <f aca="false">FALSE()</f>
        <v>0</v>
      </c>
      <c r="R88" s="40" t="b">
        <f aca="false">FALSE()</f>
        <v>0</v>
      </c>
      <c r="S88" s="40" t="b">
        <f aca="false">FALSE()</f>
        <v>0</v>
      </c>
      <c r="T88" s="40" t="b">
        <f aca="false">FALSE()</f>
        <v>0</v>
      </c>
      <c r="U88" s="40" t="b">
        <f aca="false">TRUE()</f>
        <v>1</v>
      </c>
      <c r="V88" s="38" t="s">
        <v>3343</v>
      </c>
      <c r="W88" s="38" t="s">
        <v>3603</v>
      </c>
      <c r="X88" s="38" t="s">
        <v>3619</v>
      </c>
      <c r="Y88" s="38" t="s">
        <v>3301</v>
      </c>
      <c r="Z88" s="38" t="s">
        <v>3343</v>
      </c>
      <c r="AA88" s="38"/>
      <c r="AB88" s="38" t="s">
        <v>3605</v>
      </c>
      <c r="AC88" s="38" t="s">
        <v>3242</v>
      </c>
      <c r="AD88" s="38"/>
      <c r="AE88" s="38"/>
      <c r="AF88" s="38"/>
      <c r="AG88" s="38" t="s">
        <v>3625</v>
      </c>
      <c r="AH88" s="38" t="s">
        <v>3243</v>
      </c>
      <c r="AI88" s="38" t="s">
        <v>3293</v>
      </c>
      <c r="AJ88" s="38" t="s">
        <v>3626</v>
      </c>
      <c r="AK88" s="38"/>
      <c r="AL88" s="38" t="s">
        <v>264</v>
      </c>
      <c r="AM88" s="38" t="s">
        <v>3627</v>
      </c>
      <c r="AN88" s="38"/>
      <c r="AO88" s="38"/>
    </row>
    <row r="89" customFormat="false" ht="39.55" hidden="false" customHeight="false" outlineLevel="0" collapsed="false">
      <c r="A89" s="38" t="s">
        <v>3597</v>
      </c>
      <c r="B89" s="38" t="s">
        <v>3628</v>
      </c>
      <c r="C89" s="38" t="s">
        <v>3299</v>
      </c>
      <c r="D89" s="38"/>
      <c r="E89" s="38" t="s">
        <v>264</v>
      </c>
      <c r="F89" s="38"/>
      <c r="G89" s="38" t="s">
        <v>3600</v>
      </c>
      <c r="H89" s="38"/>
      <c r="I89" s="38" t="s">
        <v>51</v>
      </c>
      <c r="J89" s="38" t="s">
        <v>3629</v>
      </c>
      <c r="K89" s="38"/>
      <c r="L89" s="38"/>
      <c r="M89" s="38" t="s">
        <v>3623</v>
      </c>
      <c r="N89" s="38"/>
      <c r="O89" s="38" t="s">
        <v>49</v>
      </c>
      <c r="P89" s="38" t="s">
        <v>50</v>
      </c>
      <c r="Q89" s="40" t="b">
        <f aca="false">FALSE()</f>
        <v>0</v>
      </c>
      <c r="R89" s="40" t="b">
        <f aca="false">FALSE()</f>
        <v>0</v>
      </c>
      <c r="S89" s="40" t="b">
        <f aca="false">FALSE()</f>
        <v>0</v>
      </c>
      <c r="T89" s="40" t="b">
        <f aca="false">FALSE()</f>
        <v>0</v>
      </c>
      <c r="U89" s="40" t="b">
        <f aca="false">TRUE()</f>
        <v>1</v>
      </c>
      <c r="V89" s="38" t="s">
        <v>3343</v>
      </c>
      <c r="W89" s="38" t="s">
        <v>3603</v>
      </c>
      <c r="X89" s="38" t="s">
        <v>3619</v>
      </c>
      <c r="Y89" s="38" t="s">
        <v>3301</v>
      </c>
      <c r="Z89" s="38" t="s">
        <v>3343</v>
      </c>
      <c r="AA89" s="38"/>
      <c r="AB89" s="38" t="s">
        <v>3605</v>
      </c>
      <c r="AC89" s="38" t="s">
        <v>3242</v>
      </c>
      <c r="AD89" s="38"/>
      <c r="AE89" s="38"/>
      <c r="AF89" s="38"/>
      <c r="AG89" s="38" t="s">
        <v>3625</v>
      </c>
      <c r="AH89" s="38" t="s">
        <v>3243</v>
      </c>
      <c r="AI89" s="38" t="s">
        <v>3293</v>
      </c>
      <c r="AJ89" s="38" t="s">
        <v>3251</v>
      </c>
      <c r="AK89" s="38" t="s">
        <v>3246</v>
      </c>
      <c r="AL89" s="38" t="s">
        <v>264</v>
      </c>
      <c r="AM89" s="38"/>
      <c r="AN89" s="38"/>
      <c r="AO89" s="38"/>
    </row>
    <row r="90" customFormat="false" ht="39.55" hidden="false" customHeight="false" outlineLevel="0" collapsed="false">
      <c r="A90" s="38" t="s">
        <v>3597</v>
      </c>
      <c r="B90" s="38" t="s">
        <v>3630</v>
      </c>
      <c r="C90" s="38"/>
      <c r="D90" s="38"/>
      <c r="E90" s="38" t="s">
        <v>264</v>
      </c>
      <c r="F90" s="38"/>
      <c r="G90" s="38" t="s">
        <v>3600</v>
      </c>
      <c r="H90" s="38"/>
      <c r="I90" s="38" t="s">
        <v>3551</v>
      </c>
      <c r="J90" s="38" t="s">
        <v>3631</v>
      </c>
      <c r="K90" s="38"/>
      <c r="L90" s="38"/>
      <c r="M90" s="38"/>
      <c r="N90" s="38"/>
      <c r="O90" s="38" t="s">
        <v>49</v>
      </c>
      <c r="P90" s="38" t="s">
        <v>50</v>
      </c>
      <c r="Q90" s="40" t="b">
        <f aca="false">FALSE()</f>
        <v>0</v>
      </c>
      <c r="R90" s="40" t="b">
        <f aca="false">FALSE()</f>
        <v>0</v>
      </c>
      <c r="S90" s="40" t="b">
        <f aca="false">FALSE()</f>
        <v>0</v>
      </c>
      <c r="T90" s="40" t="b">
        <f aca="false">FALSE()</f>
        <v>0</v>
      </c>
      <c r="U90" s="40" t="b">
        <f aca="false">TRUE()</f>
        <v>1</v>
      </c>
      <c r="V90" s="38" t="s">
        <v>3343</v>
      </c>
      <c r="W90" s="38" t="s">
        <v>3603</v>
      </c>
      <c r="X90" s="38" t="s">
        <v>3619</v>
      </c>
      <c r="Y90" s="38"/>
      <c r="Z90" s="38" t="s">
        <v>3343</v>
      </c>
      <c r="AA90" s="38"/>
      <c r="AB90" s="38" t="s">
        <v>3605</v>
      </c>
      <c r="AC90" s="38" t="s">
        <v>3553</v>
      </c>
      <c r="AD90" s="38"/>
      <c r="AE90" s="38"/>
      <c r="AF90" s="38"/>
      <c r="AG90" s="38"/>
      <c r="AH90" s="38" t="s">
        <v>3243</v>
      </c>
      <c r="AI90" s="38" t="s">
        <v>3293</v>
      </c>
      <c r="AJ90" s="38" t="s">
        <v>3632</v>
      </c>
      <c r="AK90" s="38" t="s">
        <v>3246</v>
      </c>
      <c r="AL90" s="38" t="s">
        <v>264</v>
      </c>
      <c r="AM90" s="38"/>
      <c r="AN90" s="38"/>
      <c r="AO90" s="38"/>
    </row>
    <row r="91" customFormat="false" ht="39.55" hidden="false" customHeight="false" outlineLevel="0" collapsed="false">
      <c r="A91" s="38" t="s">
        <v>3597</v>
      </c>
      <c r="B91" s="38" t="s">
        <v>3633</v>
      </c>
      <c r="C91" s="38"/>
      <c r="D91" s="38"/>
      <c r="E91" s="38" t="s">
        <v>3634</v>
      </c>
      <c r="F91" s="38"/>
      <c r="G91" s="38" t="s">
        <v>3600</v>
      </c>
      <c r="H91" s="38"/>
      <c r="I91" s="38" t="s">
        <v>3551</v>
      </c>
      <c r="J91" s="38" t="s">
        <v>3635</v>
      </c>
      <c r="K91" s="38"/>
      <c r="L91" s="38"/>
      <c r="M91" s="38"/>
      <c r="N91" s="38"/>
      <c r="O91" s="38" t="s">
        <v>49</v>
      </c>
      <c r="P91" s="38" t="s">
        <v>50</v>
      </c>
      <c r="Q91" s="40" t="b">
        <f aca="false">FALSE()</f>
        <v>0</v>
      </c>
      <c r="R91" s="40" t="b">
        <f aca="false">FALSE()</f>
        <v>0</v>
      </c>
      <c r="S91" s="40" t="b">
        <f aca="false">FALSE()</f>
        <v>0</v>
      </c>
      <c r="T91" s="40" t="b">
        <f aca="false">FALSE()</f>
        <v>0</v>
      </c>
      <c r="U91" s="40" t="b">
        <f aca="false">TRUE()</f>
        <v>1</v>
      </c>
      <c r="V91" s="38" t="s">
        <v>3636</v>
      </c>
      <c r="W91" s="38" t="s">
        <v>3603</v>
      </c>
      <c r="X91" s="38" t="s">
        <v>3637</v>
      </c>
      <c r="Y91" s="38"/>
      <c r="Z91" s="38" t="s">
        <v>3636</v>
      </c>
      <c r="AA91" s="38"/>
      <c r="AB91" s="38" t="s">
        <v>3605</v>
      </c>
      <c r="AC91" s="38" t="s">
        <v>3553</v>
      </c>
      <c r="AD91" s="38"/>
      <c r="AE91" s="38"/>
      <c r="AF91" s="38"/>
      <c r="AG91" s="38"/>
      <c r="AH91" s="38" t="s">
        <v>3243</v>
      </c>
      <c r="AI91" s="38" t="s">
        <v>3293</v>
      </c>
      <c r="AJ91" s="38" t="s">
        <v>3251</v>
      </c>
      <c r="AK91" s="38" t="s">
        <v>3246</v>
      </c>
      <c r="AL91" s="38" t="s">
        <v>3634</v>
      </c>
      <c r="AM91" s="38"/>
      <c r="AN91" s="38"/>
      <c r="AO91" s="38"/>
    </row>
    <row r="92" customFormat="false" ht="39.55" hidden="false" customHeight="false" outlineLevel="0" collapsed="false">
      <c r="A92" s="38" t="s">
        <v>3597</v>
      </c>
      <c r="B92" s="38" t="s">
        <v>3638</v>
      </c>
      <c r="C92" s="38" t="s">
        <v>3608</v>
      </c>
      <c r="D92" s="38"/>
      <c r="E92" s="38" t="s">
        <v>259</v>
      </c>
      <c r="F92" s="38"/>
      <c r="G92" s="38" t="s">
        <v>3600</v>
      </c>
      <c r="H92" s="38"/>
      <c r="I92" s="38" t="s">
        <v>51</v>
      </c>
      <c r="J92" s="38" t="s">
        <v>3639</v>
      </c>
      <c r="K92" s="38"/>
      <c r="L92" s="38"/>
      <c r="M92" s="38" t="s">
        <v>3618</v>
      </c>
      <c r="N92" s="38"/>
      <c r="O92" s="38" t="s">
        <v>49</v>
      </c>
      <c r="P92" s="38" t="s">
        <v>50</v>
      </c>
      <c r="Q92" s="40" t="b">
        <f aca="false">FALSE()</f>
        <v>0</v>
      </c>
      <c r="R92" s="40" t="b">
        <f aca="false">FALSE()</f>
        <v>0</v>
      </c>
      <c r="S92" s="40" t="b">
        <f aca="false">FALSE()</f>
        <v>0</v>
      </c>
      <c r="T92" s="40" t="b">
        <f aca="false">FALSE()</f>
        <v>0</v>
      </c>
      <c r="U92" s="40" t="b">
        <f aca="false">TRUE()</f>
        <v>1</v>
      </c>
      <c r="V92" s="38" t="s">
        <v>3640</v>
      </c>
      <c r="W92" s="38" t="s">
        <v>3603</v>
      </c>
      <c r="X92" s="38" t="s">
        <v>3641</v>
      </c>
      <c r="Y92" s="38" t="s">
        <v>3612</v>
      </c>
      <c r="Z92" s="38" t="s">
        <v>3640</v>
      </c>
      <c r="AA92" s="38"/>
      <c r="AB92" s="38" t="s">
        <v>3605</v>
      </c>
      <c r="AC92" s="38" t="s">
        <v>3242</v>
      </c>
      <c r="AD92" s="38"/>
      <c r="AE92" s="38"/>
      <c r="AF92" s="38"/>
      <c r="AG92" s="38" t="s">
        <v>3620</v>
      </c>
      <c r="AH92" s="38" t="s">
        <v>3243</v>
      </c>
      <c r="AI92" s="38" t="s">
        <v>3293</v>
      </c>
      <c r="AJ92" s="38" t="s">
        <v>3251</v>
      </c>
      <c r="AK92" s="38" t="s">
        <v>3246</v>
      </c>
      <c r="AL92" s="38" t="s">
        <v>259</v>
      </c>
      <c r="AM92" s="38"/>
      <c r="AN92" s="38"/>
      <c r="AO92" s="38"/>
    </row>
    <row r="93" customFormat="false" ht="39.55" hidden="false" customHeight="false" outlineLevel="0" collapsed="false">
      <c r="A93" s="38" t="s">
        <v>3597</v>
      </c>
      <c r="B93" s="38" t="s">
        <v>3642</v>
      </c>
      <c r="C93" s="38" t="s">
        <v>3608</v>
      </c>
      <c r="D93" s="38"/>
      <c r="E93" s="38" t="s">
        <v>259</v>
      </c>
      <c r="F93" s="38"/>
      <c r="G93" s="38" t="s">
        <v>3600</v>
      </c>
      <c r="H93" s="38"/>
      <c r="I93" s="38" t="s">
        <v>51</v>
      </c>
      <c r="J93" s="38" t="s">
        <v>3643</v>
      </c>
      <c r="K93" s="38"/>
      <c r="L93" s="38"/>
      <c r="M93" s="38" t="s">
        <v>3610</v>
      </c>
      <c r="N93" s="38"/>
      <c r="O93" s="38" t="s">
        <v>49</v>
      </c>
      <c r="P93" s="38" t="s">
        <v>50</v>
      </c>
      <c r="Q93" s="40" t="b">
        <f aca="false">FALSE()</f>
        <v>0</v>
      </c>
      <c r="R93" s="40" t="b">
        <f aca="false">FALSE()</f>
        <v>0</v>
      </c>
      <c r="S93" s="40" t="b">
        <f aca="false">FALSE()</f>
        <v>0</v>
      </c>
      <c r="T93" s="40" t="b">
        <f aca="false">FALSE()</f>
        <v>0</v>
      </c>
      <c r="U93" s="40" t="b">
        <f aca="false">TRUE()</f>
        <v>1</v>
      </c>
      <c r="V93" s="38" t="s">
        <v>3640</v>
      </c>
      <c r="W93" s="38" t="s">
        <v>3603</v>
      </c>
      <c r="X93" s="38" t="s">
        <v>3641</v>
      </c>
      <c r="Y93" s="38" t="s">
        <v>3612</v>
      </c>
      <c r="Z93" s="38" t="s">
        <v>3640</v>
      </c>
      <c r="AA93" s="38"/>
      <c r="AB93" s="38" t="s">
        <v>3605</v>
      </c>
      <c r="AC93" s="38" t="s">
        <v>3242</v>
      </c>
      <c r="AD93" s="38"/>
      <c r="AE93" s="38"/>
      <c r="AF93" s="38"/>
      <c r="AG93" s="38" t="s">
        <v>3613</v>
      </c>
      <c r="AH93" s="38" t="s">
        <v>3243</v>
      </c>
      <c r="AI93" s="38" t="s">
        <v>3293</v>
      </c>
      <c r="AJ93" s="38" t="s">
        <v>3251</v>
      </c>
      <c r="AK93" s="38" t="s">
        <v>3246</v>
      </c>
      <c r="AL93" s="38" t="s">
        <v>259</v>
      </c>
      <c r="AM93" s="38"/>
      <c r="AN93" s="38"/>
      <c r="AO93" s="38"/>
    </row>
    <row r="94" customFormat="false" ht="39.55" hidden="false" customHeight="false" outlineLevel="0" collapsed="false">
      <c r="A94" s="38" t="s">
        <v>3597</v>
      </c>
      <c r="B94" s="38" t="s">
        <v>3644</v>
      </c>
      <c r="C94" s="38" t="s">
        <v>3608</v>
      </c>
      <c r="D94" s="38"/>
      <c r="E94" s="38" t="s">
        <v>259</v>
      </c>
      <c r="F94" s="38"/>
      <c r="G94" s="38" t="s">
        <v>3600</v>
      </c>
      <c r="H94" s="38"/>
      <c r="I94" s="38" t="s">
        <v>51</v>
      </c>
      <c r="J94" s="38" t="s">
        <v>3645</v>
      </c>
      <c r="K94" s="38"/>
      <c r="L94" s="38"/>
      <c r="M94" s="38" t="s">
        <v>3623</v>
      </c>
      <c r="N94" s="38"/>
      <c r="O94" s="38" t="s">
        <v>49</v>
      </c>
      <c r="P94" s="38" t="s">
        <v>50</v>
      </c>
      <c r="Q94" s="40" t="b">
        <f aca="false">FALSE()</f>
        <v>0</v>
      </c>
      <c r="R94" s="40" t="b">
        <f aca="false">FALSE()</f>
        <v>0</v>
      </c>
      <c r="S94" s="40" t="b">
        <f aca="false">FALSE()</f>
        <v>0</v>
      </c>
      <c r="T94" s="40" t="b">
        <f aca="false">FALSE()</f>
        <v>0</v>
      </c>
      <c r="U94" s="40" t="b">
        <f aca="false">TRUE()</f>
        <v>1</v>
      </c>
      <c r="V94" s="38" t="s">
        <v>3640</v>
      </c>
      <c r="W94" s="38" t="s">
        <v>3603</v>
      </c>
      <c r="X94" s="38" t="s">
        <v>3641</v>
      </c>
      <c r="Y94" s="38" t="s">
        <v>3612</v>
      </c>
      <c r="Z94" s="38" t="s">
        <v>3640</v>
      </c>
      <c r="AA94" s="38"/>
      <c r="AB94" s="38" t="s">
        <v>3605</v>
      </c>
      <c r="AC94" s="38" t="s">
        <v>3242</v>
      </c>
      <c r="AD94" s="38"/>
      <c r="AE94" s="38"/>
      <c r="AF94" s="38"/>
      <c r="AG94" s="38" t="s">
        <v>3625</v>
      </c>
      <c r="AH94" s="38" t="s">
        <v>3243</v>
      </c>
      <c r="AI94" s="38" t="s">
        <v>3293</v>
      </c>
      <c r="AJ94" s="38" t="s">
        <v>3251</v>
      </c>
      <c r="AK94" s="38" t="s">
        <v>3246</v>
      </c>
      <c r="AL94" s="38" t="s">
        <v>259</v>
      </c>
      <c r="AM94" s="38"/>
      <c r="AN94" s="38"/>
      <c r="AO94" s="38"/>
    </row>
    <row r="95" customFormat="false" ht="39.55" hidden="false" customHeight="false" outlineLevel="0" collapsed="false">
      <c r="A95" s="38" t="s">
        <v>3597</v>
      </c>
      <c r="B95" s="38" t="s">
        <v>3646</v>
      </c>
      <c r="C95" s="38" t="s">
        <v>3299</v>
      </c>
      <c r="D95" s="38"/>
      <c r="E95" s="38" t="s">
        <v>259</v>
      </c>
      <c r="F95" s="38"/>
      <c r="G95" s="38" t="s">
        <v>3600</v>
      </c>
      <c r="H95" s="38"/>
      <c r="I95" s="38" t="s">
        <v>51</v>
      </c>
      <c r="J95" s="38" t="s">
        <v>3647</v>
      </c>
      <c r="K95" s="38"/>
      <c r="L95" s="38"/>
      <c r="M95" s="38" t="s">
        <v>3610</v>
      </c>
      <c r="N95" s="38"/>
      <c r="O95" s="38" t="s">
        <v>49</v>
      </c>
      <c r="P95" s="38" t="s">
        <v>50</v>
      </c>
      <c r="Q95" s="40" t="b">
        <f aca="false">FALSE()</f>
        <v>0</v>
      </c>
      <c r="R95" s="40" t="b">
        <f aca="false">FALSE()</f>
        <v>0</v>
      </c>
      <c r="S95" s="40" t="b">
        <f aca="false">FALSE()</f>
        <v>0</v>
      </c>
      <c r="T95" s="40" t="b">
        <f aca="false">FALSE()</f>
        <v>0</v>
      </c>
      <c r="U95" s="40" t="b">
        <f aca="false">TRUE()</f>
        <v>1</v>
      </c>
      <c r="V95" s="38" t="s">
        <v>3640</v>
      </c>
      <c r="W95" s="38" t="s">
        <v>3603</v>
      </c>
      <c r="X95" s="38" t="s">
        <v>3641</v>
      </c>
      <c r="Y95" s="38" t="s">
        <v>3301</v>
      </c>
      <c r="Z95" s="38" t="s">
        <v>3640</v>
      </c>
      <c r="AA95" s="38"/>
      <c r="AB95" s="38" t="s">
        <v>3605</v>
      </c>
      <c r="AC95" s="38" t="s">
        <v>3242</v>
      </c>
      <c r="AD95" s="38"/>
      <c r="AE95" s="38"/>
      <c r="AF95" s="38"/>
      <c r="AG95" s="38" t="s">
        <v>3613</v>
      </c>
      <c r="AH95" s="38" t="s">
        <v>3243</v>
      </c>
      <c r="AI95" s="38" t="s">
        <v>3293</v>
      </c>
      <c r="AJ95" s="38" t="s">
        <v>3251</v>
      </c>
      <c r="AK95" s="38" t="s">
        <v>3246</v>
      </c>
      <c r="AL95" s="38" t="s">
        <v>259</v>
      </c>
      <c r="AM95" s="38"/>
      <c r="AN95" s="38"/>
      <c r="AO95" s="38"/>
    </row>
    <row r="96" customFormat="false" ht="39.55" hidden="false" customHeight="false" outlineLevel="0" collapsed="false">
      <c r="A96" s="38" t="s">
        <v>3597</v>
      </c>
      <c r="B96" s="38" t="s">
        <v>3648</v>
      </c>
      <c r="C96" s="38" t="s">
        <v>3299</v>
      </c>
      <c r="D96" s="38"/>
      <c r="E96" s="38" t="s">
        <v>259</v>
      </c>
      <c r="F96" s="38"/>
      <c r="G96" s="38" t="s">
        <v>3600</v>
      </c>
      <c r="H96" s="38"/>
      <c r="I96" s="38" t="s">
        <v>51</v>
      </c>
      <c r="J96" s="38" t="s">
        <v>3649</v>
      </c>
      <c r="K96" s="38"/>
      <c r="L96" s="38"/>
      <c r="M96" s="38" t="s">
        <v>3623</v>
      </c>
      <c r="N96" s="38"/>
      <c r="O96" s="38" t="s">
        <v>49</v>
      </c>
      <c r="P96" s="38" t="s">
        <v>50</v>
      </c>
      <c r="Q96" s="40" t="b">
        <f aca="false">FALSE()</f>
        <v>0</v>
      </c>
      <c r="R96" s="40" t="b">
        <f aca="false">FALSE()</f>
        <v>0</v>
      </c>
      <c r="S96" s="40" t="b">
        <f aca="false">FALSE()</f>
        <v>0</v>
      </c>
      <c r="T96" s="40" t="b">
        <f aca="false">FALSE()</f>
        <v>0</v>
      </c>
      <c r="U96" s="40" t="b">
        <f aca="false">TRUE()</f>
        <v>1</v>
      </c>
      <c r="V96" s="38" t="s">
        <v>3640</v>
      </c>
      <c r="W96" s="38" t="s">
        <v>3603</v>
      </c>
      <c r="X96" s="38" t="s">
        <v>3641</v>
      </c>
      <c r="Y96" s="38" t="s">
        <v>3301</v>
      </c>
      <c r="Z96" s="38" t="s">
        <v>3640</v>
      </c>
      <c r="AA96" s="38"/>
      <c r="AB96" s="38" t="s">
        <v>3605</v>
      </c>
      <c r="AC96" s="38" t="s">
        <v>3242</v>
      </c>
      <c r="AD96" s="38"/>
      <c r="AE96" s="38"/>
      <c r="AF96" s="38"/>
      <c r="AG96" s="38" t="s">
        <v>3625</v>
      </c>
      <c r="AH96" s="38" t="s">
        <v>3243</v>
      </c>
      <c r="AI96" s="38" t="s">
        <v>3293</v>
      </c>
      <c r="AJ96" s="38" t="s">
        <v>3251</v>
      </c>
      <c r="AK96" s="38" t="s">
        <v>3246</v>
      </c>
      <c r="AL96" s="38" t="s">
        <v>259</v>
      </c>
      <c r="AM96" s="38"/>
      <c r="AN96" s="38"/>
      <c r="AO96" s="38"/>
    </row>
    <row r="97" customFormat="false" ht="39.55" hidden="false" customHeight="false" outlineLevel="0" collapsed="false">
      <c r="A97" s="38" t="s">
        <v>3597</v>
      </c>
      <c r="B97" s="38" t="s">
        <v>3650</v>
      </c>
      <c r="C97" s="38" t="s">
        <v>3385</v>
      </c>
      <c r="D97" s="38"/>
      <c r="E97" s="38" t="s">
        <v>259</v>
      </c>
      <c r="F97" s="38"/>
      <c r="G97" s="38" t="s">
        <v>3600</v>
      </c>
      <c r="H97" s="38"/>
      <c r="I97" s="38" t="s">
        <v>51</v>
      </c>
      <c r="J97" s="38" t="s">
        <v>3651</v>
      </c>
      <c r="K97" s="38"/>
      <c r="L97" s="38"/>
      <c r="M97" s="38" t="s">
        <v>3610</v>
      </c>
      <c r="N97" s="38"/>
      <c r="O97" s="38" t="s">
        <v>49</v>
      </c>
      <c r="P97" s="38" t="s">
        <v>50</v>
      </c>
      <c r="Q97" s="40" t="b">
        <f aca="false">FALSE()</f>
        <v>0</v>
      </c>
      <c r="R97" s="40" t="b">
        <f aca="false">FALSE()</f>
        <v>0</v>
      </c>
      <c r="S97" s="40" t="b">
        <f aca="false">FALSE()</f>
        <v>0</v>
      </c>
      <c r="T97" s="40" t="b">
        <f aca="false">FALSE()</f>
        <v>0</v>
      </c>
      <c r="U97" s="40" t="b">
        <f aca="false">TRUE()</f>
        <v>1</v>
      </c>
      <c r="V97" s="38" t="s">
        <v>3640</v>
      </c>
      <c r="W97" s="38" t="s">
        <v>3603</v>
      </c>
      <c r="X97" s="38" t="s">
        <v>3641</v>
      </c>
      <c r="Y97" s="38" t="s">
        <v>3387</v>
      </c>
      <c r="Z97" s="38" t="s">
        <v>3640</v>
      </c>
      <c r="AA97" s="38"/>
      <c r="AB97" s="38" t="s">
        <v>3605</v>
      </c>
      <c r="AC97" s="38" t="s">
        <v>3242</v>
      </c>
      <c r="AD97" s="38"/>
      <c r="AE97" s="38"/>
      <c r="AF97" s="38"/>
      <c r="AG97" s="38" t="s">
        <v>3613</v>
      </c>
      <c r="AH97" s="38" t="s">
        <v>3243</v>
      </c>
      <c r="AI97" s="38" t="s">
        <v>3293</v>
      </c>
      <c r="AJ97" s="38" t="s">
        <v>3251</v>
      </c>
      <c r="AK97" s="38" t="s">
        <v>3246</v>
      </c>
      <c r="AL97" s="38" t="s">
        <v>259</v>
      </c>
      <c r="AM97" s="38"/>
      <c r="AN97" s="38"/>
      <c r="AO97" s="38"/>
    </row>
    <row r="98" customFormat="false" ht="39.55" hidden="false" customHeight="false" outlineLevel="0" collapsed="false">
      <c r="A98" s="38" t="s">
        <v>3597</v>
      </c>
      <c r="B98" s="38" t="s">
        <v>3652</v>
      </c>
      <c r="C98" s="38" t="s">
        <v>3385</v>
      </c>
      <c r="D98" s="38"/>
      <c r="E98" s="38" t="s">
        <v>259</v>
      </c>
      <c r="F98" s="38"/>
      <c r="G98" s="38" t="s">
        <v>3600</v>
      </c>
      <c r="H98" s="38"/>
      <c r="I98" s="38" t="s">
        <v>51</v>
      </c>
      <c r="J98" s="38" t="s">
        <v>3653</v>
      </c>
      <c r="K98" s="38"/>
      <c r="L98" s="38"/>
      <c r="M98" s="38" t="s">
        <v>3623</v>
      </c>
      <c r="N98" s="38"/>
      <c r="O98" s="38" t="s">
        <v>49</v>
      </c>
      <c r="P98" s="38" t="s">
        <v>50</v>
      </c>
      <c r="Q98" s="40" t="b">
        <f aca="false">FALSE()</f>
        <v>0</v>
      </c>
      <c r="R98" s="40" t="b">
        <f aca="false">FALSE()</f>
        <v>0</v>
      </c>
      <c r="S98" s="40" t="b">
        <f aca="false">FALSE()</f>
        <v>0</v>
      </c>
      <c r="T98" s="40" t="b">
        <f aca="false">FALSE()</f>
        <v>0</v>
      </c>
      <c r="U98" s="40" t="b">
        <f aca="false">TRUE()</f>
        <v>1</v>
      </c>
      <c r="V98" s="38" t="s">
        <v>3640</v>
      </c>
      <c r="W98" s="38" t="s">
        <v>3603</v>
      </c>
      <c r="X98" s="38" t="s">
        <v>3641</v>
      </c>
      <c r="Y98" s="38" t="s">
        <v>3387</v>
      </c>
      <c r="Z98" s="38" t="s">
        <v>3640</v>
      </c>
      <c r="AA98" s="38"/>
      <c r="AB98" s="38" t="s">
        <v>3605</v>
      </c>
      <c r="AC98" s="38" t="s">
        <v>3242</v>
      </c>
      <c r="AD98" s="38"/>
      <c r="AE98" s="38"/>
      <c r="AF98" s="38"/>
      <c r="AG98" s="38" t="s">
        <v>3625</v>
      </c>
      <c r="AH98" s="38" t="s">
        <v>3243</v>
      </c>
      <c r="AI98" s="38" t="s">
        <v>3293</v>
      </c>
      <c r="AJ98" s="38" t="s">
        <v>3251</v>
      </c>
      <c r="AK98" s="38" t="s">
        <v>3246</v>
      </c>
      <c r="AL98" s="38" t="s">
        <v>259</v>
      </c>
      <c r="AM98" s="38"/>
      <c r="AN98" s="38"/>
      <c r="AO98" s="38"/>
    </row>
    <row r="99" customFormat="false" ht="39.55" hidden="false" customHeight="false" outlineLevel="0" collapsed="false">
      <c r="A99" s="38" t="s">
        <v>3597</v>
      </c>
      <c r="B99" s="38" t="s">
        <v>3654</v>
      </c>
      <c r="C99" s="38" t="s">
        <v>3305</v>
      </c>
      <c r="D99" s="38"/>
      <c r="E99" s="38" t="s">
        <v>259</v>
      </c>
      <c r="F99" s="38"/>
      <c r="G99" s="38" t="s">
        <v>3600</v>
      </c>
      <c r="H99" s="38"/>
      <c r="I99" s="38" t="s">
        <v>51</v>
      </c>
      <c r="J99" s="38" t="s">
        <v>3655</v>
      </c>
      <c r="K99" s="38"/>
      <c r="L99" s="38"/>
      <c r="M99" s="38" t="s">
        <v>3618</v>
      </c>
      <c r="N99" s="38"/>
      <c r="O99" s="38" t="s">
        <v>49</v>
      </c>
      <c r="P99" s="38" t="s">
        <v>50</v>
      </c>
      <c r="Q99" s="40" t="b">
        <f aca="false">FALSE()</f>
        <v>0</v>
      </c>
      <c r="R99" s="40" t="b">
        <f aca="false">FALSE()</f>
        <v>0</v>
      </c>
      <c r="S99" s="40" t="b">
        <f aca="false">FALSE()</f>
        <v>0</v>
      </c>
      <c r="T99" s="40" t="b">
        <f aca="false">FALSE()</f>
        <v>0</v>
      </c>
      <c r="U99" s="40" t="b">
        <f aca="false">TRUE()</f>
        <v>1</v>
      </c>
      <c r="V99" s="38" t="s">
        <v>3640</v>
      </c>
      <c r="W99" s="38" t="s">
        <v>3603</v>
      </c>
      <c r="X99" s="38" t="s">
        <v>3641</v>
      </c>
      <c r="Y99" s="38" t="s">
        <v>3308</v>
      </c>
      <c r="Z99" s="38" t="s">
        <v>3640</v>
      </c>
      <c r="AA99" s="38"/>
      <c r="AB99" s="38" t="s">
        <v>3605</v>
      </c>
      <c r="AC99" s="38" t="s">
        <v>3242</v>
      </c>
      <c r="AD99" s="38"/>
      <c r="AE99" s="38"/>
      <c r="AF99" s="38"/>
      <c r="AG99" s="38" t="s">
        <v>3620</v>
      </c>
      <c r="AH99" s="38" t="s">
        <v>3243</v>
      </c>
      <c r="AI99" s="38" t="s">
        <v>3293</v>
      </c>
      <c r="AJ99" s="38" t="s">
        <v>3251</v>
      </c>
      <c r="AK99" s="38" t="s">
        <v>3246</v>
      </c>
      <c r="AL99" s="38" t="s">
        <v>259</v>
      </c>
      <c r="AM99" s="38"/>
      <c r="AN99" s="38"/>
      <c r="AO99" s="38"/>
    </row>
    <row r="100" customFormat="false" ht="39.55" hidden="false" customHeight="false" outlineLevel="0" collapsed="false">
      <c r="A100" s="38" t="s">
        <v>3597</v>
      </c>
      <c r="B100" s="38" t="s">
        <v>3656</v>
      </c>
      <c r="C100" s="38" t="s">
        <v>3305</v>
      </c>
      <c r="D100" s="38"/>
      <c r="E100" s="38" t="s">
        <v>259</v>
      </c>
      <c r="F100" s="38"/>
      <c r="G100" s="38" t="s">
        <v>3600</v>
      </c>
      <c r="H100" s="38"/>
      <c r="I100" s="38" t="s">
        <v>51</v>
      </c>
      <c r="J100" s="38" t="s">
        <v>3657</v>
      </c>
      <c r="K100" s="38"/>
      <c r="L100" s="38"/>
      <c r="M100" s="38" t="s">
        <v>3610</v>
      </c>
      <c r="N100" s="38"/>
      <c r="O100" s="38" t="s">
        <v>49</v>
      </c>
      <c r="P100" s="38" t="s">
        <v>50</v>
      </c>
      <c r="Q100" s="40" t="b">
        <f aca="false">FALSE()</f>
        <v>0</v>
      </c>
      <c r="R100" s="40" t="b">
        <f aca="false">FALSE()</f>
        <v>0</v>
      </c>
      <c r="S100" s="40" t="b">
        <f aca="false">FALSE()</f>
        <v>0</v>
      </c>
      <c r="T100" s="40" t="b">
        <f aca="false">FALSE()</f>
        <v>0</v>
      </c>
      <c r="U100" s="40" t="b">
        <f aca="false">TRUE()</f>
        <v>1</v>
      </c>
      <c r="V100" s="38" t="s">
        <v>3640</v>
      </c>
      <c r="W100" s="38" t="s">
        <v>3603</v>
      </c>
      <c r="X100" s="38" t="s">
        <v>3641</v>
      </c>
      <c r="Y100" s="38" t="s">
        <v>3308</v>
      </c>
      <c r="Z100" s="38" t="s">
        <v>3640</v>
      </c>
      <c r="AA100" s="38"/>
      <c r="AB100" s="38" t="s">
        <v>3605</v>
      </c>
      <c r="AC100" s="38" t="s">
        <v>3242</v>
      </c>
      <c r="AD100" s="38"/>
      <c r="AE100" s="38"/>
      <c r="AF100" s="38"/>
      <c r="AG100" s="38" t="s">
        <v>3613</v>
      </c>
      <c r="AH100" s="38" t="s">
        <v>3243</v>
      </c>
      <c r="AI100" s="38" t="s">
        <v>3293</v>
      </c>
      <c r="AJ100" s="38" t="s">
        <v>3251</v>
      </c>
      <c r="AK100" s="38" t="s">
        <v>3246</v>
      </c>
      <c r="AL100" s="38" t="s">
        <v>259</v>
      </c>
      <c r="AM100" s="38"/>
      <c r="AN100" s="38"/>
      <c r="AO100" s="38"/>
    </row>
    <row r="101" customFormat="false" ht="39.55" hidden="false" customHeight="false" outlineLevel="0" collapsed="false">
      <c r="A101" s="38" t="s">
        <v>3597</v>
      </c>
      <c r="B101" s="38" t="s">
        <v>3658</v>
      </c>
      <c r="C101" s="38" t="s">
        <v>3305</v>
      </c>
      <c r="D101" s="38"/>
      <c r="E101" s="38" t="s">
        <v>259</v>
      </c>
      <c r="F101" s="38"/>
      <c r="G101" s="38" t="s">
        <v>3600</v>
      </c>
      <c r="H101" s="38"/>
      <c r="I101" s="38" t="s">
        <v>51</v>
      </c>
      <c r="J101" s="38" t="s">
        <v>3659</v>
      </c>
      <c r="K101" s="38"/>
      <c r="L101" s="38"/>
      <c r="M101" s="38" t="s">
        <v>3623</v>
      </c>
      <c r="N101" s="38"/>
      <c r="O101" s="38" t="s">
        <v>49</v>
      </c>
      <c r="P101" s="38" t="s">
        <v>50</v>
      </c>
      <c r="Q101" s="40" t="b">
        <f aca="false">FALSE()</f>
        <v>0</v>
      </c>
      <c r="R101" s="40" t="b">
        <f aca="false">FALSE()</f>
        <v>0</v>
      </c>
      <c r="S101" s="40" t="b">
        <f aca="false">FALSE()</f>
        <v>0</v>
      </c>
      <c r="T101" s="40" t="b">
        <f aca="false">FALSE()</f>
        <v>0</v>
      </c>
      <c r="U101" s="40" t="b">
        <f aca="false">TRUE()</f>
        <v>1</v>
      </c>
      <c r="V101" s="38" t="s">
        <v>3640</v>
      </c>
      <c r="W101" s="38" t="s">
        <v>3603</v>
      </c>
      <c r="X101" s="38" t="s">
        <v>3641</v>
      </c>
      <c r="Y101" s="38" t="s">
        <v>3308</v>
      </c>
      <c r="Z101" s="38" t="s">
        <v>3640</v>
      </c>
      <c r="AA101" s="38"/>
      <c r="AB101" s="38" t="s">
        <v>3605</v>
      </c>
      <c r="AC101" s="38" t="s">
        <v>3242</v>
      </c>
      <c r="AD101" s="38"/>
      <c r="AE101" s="38"/>
      <c r="AF101" s="38"/>
      <c r="AG101" s="38" t="s">
        <v>3625</v>
      </c>
      <c r="AH101" s="38" t="s">
        <v>3243</v>
      </c>
      <c r="AI101" s="38" t="s">
        <v>3293</v>
      </c>
      <c r="AJ101" s="38" t="s">
        <v>3251</v>
      </c>
      <c r="AK101" s="38" t="s">
        <v>3246</v>
      </c>
      <c r="AL101" s="38" t="s">
        <v>259</v>
      </c>
      <c r="AM101" s="38"/>
      <c r="AN101" s="38"/>
      <c r="AO101" s="38"/>
    </row>
    <row r="102" customFormat="false" ht="39.55" hidden="false" customHeight="false" outlineLevel="0" collapsed="false">
      <c r="A102" s="38" t="s">
        <v>3597</v>
      </c>
      <c r="B102" s="38" t="s">
        <v>3660</v>
      </c>
      <c r="C102" s="38"/>
      <c r="D102" s="38"/>
      <c r="E102" s="38" t="s">
        <v>259</v>
      </c>
      <c r="F102" s="38"/>
      <c r="G102" s="38" t="s">
        <v>3600</v>
      </c>
      <c r="H102" s="38"/>
      <c r="I102" s="38" t="s">
        <v>3551</v>
      </c>
      <c r="J102" s="38" t="s">
        <v>3661</v>
      </c>
      <c r="K102" s="38"/>
      <c r="L102" s="38"/>
      <c r="M102" s="38"/>
      <c r="N102" s="38"/>
      <c r="O102" s="38" t="s">
        <v>49</v>
      </c>
      <c r="P102" s="38" t="s">
        <v>50</v>
      </c>
      <c r="Q102" s="40" t="b">
        <f aca="false">FALSE()</f>
        <v>0</v>
      </c>
      <c r="R102" s="40" t="b">
        <f aca="false">FALSE()</f>
        <v>0</v>
      </c>
      <c r="S102" s="40" t="b">
        <f aca="false">FALSE()</f>
        <v>0</v>
      </c>
      <c r="T102" s="40" t="b">
        <f aca="false">FALSE()</f>
        <v>0</v>
      </c>
      <c r="U102" s="40" t="b">
        <f aca="false">TRUE()</f>
        <v>1</v>
      </c>
      <c r="V102" s="38" t="s">
        <v>3640</v>
      </c>
      <c r="W102" s="38" t="s">
        <v>3603</v>
      </c>
      <c r="X102" s="38" t="s">
        <v>3641</v>
      </c>
      <c r="Y102" s="38"/>
      <c r="Z102" s="38" t="s">
        <v>3640</v>
      </c>
      <c r="AA102" s="38"/>
      <c r="AB102" s="38" t="s">
        <v>3605</v>
      </c>
      <c r="AC102" s="38" t="s">
        <v>3553</v>
      </c>
      <c r="AD102" s="38"/>
      <c r="AE102" s="38"/>
      <c r="AF102" s="38"/>
      <c r="AG102" s="38"/>
      <c r="AH102" s="38" t="s">
        <v>3243</v>
      </c>
      <c r="AI102" s="38" t="s">
        <v>3293</v>
      </c>
      <c r="AJ102" s="38" t="s">
        <v>3662</v>
      </c>
      <c r="AK102" s="38" t="s">
        <v>3246</v>
      </c>
      <c r="AL102" s="38" t="s">
        <v>259</v>
      </c>
      <c r="AM102" s="38"/>
      <c r="AN102" s="38"/>
      <c r="AO102" s="38"/>
    </row>
    <row r="103" customFormat="false" ht="39.55" hidden="false" customHeight="false" outlineLevel="0" collapsed="false">
      <c r="A103" s="38" t="s">
        <v>3597</v>
      </c>
      <c r="B103" s="38" t="s">
        <v>3663</v>
      </c>
      <c r="C103" s="38" t="s">
        <v>3608</v>
      </c>
      <c r="D103" s="38"/>
      <c r="E103" s="38" t="s">
        <v>241</v>
      </c>
      <c r="F103" s="38"/>
      <c r="G103" s="38" t="s">
        <v>3600</v>
      </c>
      <c r="H103" s="38"/>
      <c r="I103" s="38" t="s">
        <v>51</v>
      </c>
      <c r="J103" s="38" t="s">
        <v>3664</v>
      </c>
      <c r="K103" s="38"/>
      <c r="L103" s="38"/>
      <c r="M103" s="38" t="s">
        <v>3610</v>
      </c>
      <c r="N103" s="38"/>
      <c r="O103" s="38" t="s">
        <v>49</v>
      </c>
      <c r="P103" s="38" t="s">
        <v>50</v>
      </c>
      <c r="Q103" s="40" t="b">
        <f aca="false">FALSE()</f>
        <v>0</v>
      </c>
      <c r="R103" s="40" t="b">
        <f aca="false">FALSE()</f>
        <v>0</v>
      </c>
      <c r="S103" s="40" t="b">
        <f aca="false">FALSE()</f>
        <v>0</v>
      </c>
      <c r="T103" s="40" t="b">
        <f aca="false">FALSE()</f>
        <v>0</v>
      </c>
      <c r="U103" s="40" t="b">
        <f aca="false">TRUE()</f>
        <v>1</v>
      </c>
      <c r="V103" s="38" t="s">
        <v>3665</v>
      </c>
      <c r="W103" s="38" t="s">
        <v>3603</v>
      </c>
      <c r="X103" s="38" t="s">
        <v>3666</v>
      </c>
      <c r="Y103" s="38" t="s">
        <v>3612</v>
      </c>
      <c r="Z103" s="38" t="s">
        <v>3665</v>
      </c>
      <c r="AA103" s="38"/>
      <c r="AB103" s="38" t="s">
        <v>3605</v>
      </c>
      <c r="AC103" s="38" t="s">
        <v>3242</v>
      </c>
      <c r="AD103" s="38"/>
      <c r="AE103" s="38"/>
      <c r="AF103" s="38"/>
      <c r="AG103" s="38" t="s">
        <v>3613</v>
      </c>
      <c r="AH103" s="38" t="s">
        <v>3243</v>
      </c>
      <c r="AI103" s="38" t="s">
        <v>3293</v>
      </c>
      <c r="AJ103" s="38" t="s">
        <v>3251</v>
      </c>
      <c r="AK103" s="38" t="s">
        <v>3246</v>
      </c>
      <c r="AL103" s="38" t="s">
        <v>241</v>
      </c>
      <c r="AM103" s="38"/>
      <c r="AN103" s="38"/>
      <c r="AO103" s="38"/>
    </row>
    <row r="104" customFormat="false" ht="39.55" hidden="false" customHeight="false" outlineLevel="0" collapsed="false">
      <c r="A104" s="38" t="s">
        <v>3597</v>
      </c>
      <c r="B104" s="38" t="s">
        <v>3667</v>
      </c>
      <c r="C104" s="38" t="s">
        <v>3608</v>
      </c>
      <c r="D104" s="38"/>
      <c r="E104" s="38" t="s">
        <v>241</v>
      </c>
      <c r="F104" s="38"/>
      <c r="G104" s="38" t="s">
        <v>3600</v>
      </c>
      <c r="H104" s="38"/>
      <c r="I104" s="38" t="s">
        <v>51</v>
      </c>
      <c r="J104" s="38" t="s">
        <v>3668</v>
      </c>
      <c r="K104" s="38"/>
      <c r="L104" s="38"/>
      <c r="M104" s="38" t="s">
        <v>3623</v>
      </c>
      <c r="N104" s="38"/>
      <c r="O104" s="38" t="s">
        <v>49</v>
      </c>
      <c r="P104" s="38" t="s">
        <v>50</v>
      </c>
      <c r="Q104" s="40" t="b">
        <f aca="false">FALSE()</f>
        <v>0</v>
      </c>
      <c r="R104" s="40" t="b">
        <f aca="false">FALSE()</f>
        <v>0</v>
      </c>
      <c r="S104" s="40" t="b">
        <f aca="false">FALSE()</f>
        <v>0</v>
      </c>
      <c r="T104" s="40" t="b">
        <f aca="false">FALSE()</f>
        <v>0</v>
      </c>
      <c r="U104" s="40" t="b">
        <f aca="false">TRUE()</f>
        <v>1</v>
      </c>
      <c r="V104" s="38" t="s">
        <v>3665</v>
      </c>
      <c r="W104" s="38" t="s">
        <v>3603</v>
      </c>
      <c r="X104" s="38" t="s">
        <v>3666</v>
      </c>
      <c r="Y104" s="38" t="s">
        <v>3612</v>
      </c>
      <c r="Z104" s="38" t="s">
        <v>3665</v>
      </c>
      <c r="AA104" s="38"/>
      <c r="AB104" s="38" t="s">
        <v>3605</v>
      </c>
      <c r="AC104" s="38" t="s">
        <v>3242</v>
      </c>
      <c r="AD104" s="38"/>
      <c r="AE104" s="38"/>
      <c r="AF104" s="38"/>
      <c r="AG104" s="38" t="s">
        <v>3625</v>
      </c>
      <c r="AH104" s="38" t="s">
        <v>3243</v>
      </c>
      <c r="AI104" s="38" t="s">
        <v>3293</v>
      </c>
      <c r="AJ104" s="38" t="s">
        <v>3251</v>
      </c>
      <c r="AK104" s="38" t="s">
        <v>3246</v>
      </c>
      <c r="AL104" s="38" t="s">
        <v>241</v>
      </c>
      <c r="AM104" s="38"/>
      <c r="AN104" s="38"/>
      <c r="AO104" s="38"/>
    </row>
    <row r="105" customFormat="false" ht="39.55" hidden="false" customHeight="false" outlineLevel="0" collapsed="false">
      <c r="A105" s="38" t="s">
        <v>3597</v>
      </c>
      <c r="B105" s="38" t="s">
        <v>3669</v>
      </c>
      <c r="C105" s="38" t="s">
        <v>3299</v>
      </c>
      <c r="D105" s="38"/>
      <c r="E105" s="38" t="s">
        <v>241</v>
      </c>
      <c r="F105" s="38"/>
      <c r="G105" s="38" t="s">
        <v>3600</v>
      </c>
      <c r="H105" s="38"/>
      <c r="I105" s="38" t="s">
        <v>51</v>
      </c>
      <c r="J105" s="38" t="s">
        <v>3670</v>
      </c>
      <c r="K105" s="38"/>
      <c r="L105" s="38"/>
      <c r="M105" s="38" t="s">
        <v>3610</v>
      </c>
      <c r="N105" s="38"/>
      <c r="O105" s="38" t="s">
        <v>49</v>
      </c>
      <c r="P105" s="38" t="s">
        <v>50</v>
      </c>
      <c r="Q105" s="40" t="b">
        <f aca="false">FALSE()</f>
        <v>0</v>
      </c>
      <c r="R105" s="40" t="b">
        <f aca="false">FALSE()</f>
        <v>0</v>
      </c>
      <c r="S105" s="40" t="b">
        <f aca="false">FALSE()</f>
        <v>0</v>
      </c>
      <c r="T105" s="40" t="b">
        <f aca="false">FALSE()</f>
        <v>0</v>
      </c>
      <c r="U105" s="40" t="b">
        <f aca="false">TRUE()</f>
        <v>1</v>
      </c>
      <c r="V105" s="38" t="s">
        <v>3665</v>
      </c>
      <c r="W105" s="38" t="s">
        <v>3603</v>
      </c>
      <c r="X105" s="38" t="s">
        <v>3666</v>
      </c>
      <c r="Y105" s="38" t="s">
        <v>3301</v>
      </c>
      <c r="Z105" s="38" t="s">
        <v>3665</v>
      </c>
      <c r="AA105" s="38"/>
      <c r="AB105" s="38" t="s">
        <v>3605</v>
      </c>
      <c r="AC105" s="38" t="s">
        <v>3242</v>
      </c>
      <c r="AD105" s="38"/>
      <c r="AE105" s="38"/>
      <c r="AF105" s="38"/>
      <c r="AG105" s="38" t="s">
        <v>3613</v>
      </c>
      <c r="AH105" s="38" t="s">
        <v>3243</v>
      </c>
      <c r="AI105" s="38" t="s">
        <v>3293</v>
      </c>
      <c r="AJ105" s="38" t="s">
        <v>3251</v>
      </c>
      <c r="AK105" s="38" t="s">
        <v>3246</v>
      </c>
      <c r="AL105" s="38" t="s">
        <v>241</v>
      </c>
      <c r="AM105" s="38"/>
      <c r="AN105" s="38"/>
      <c r="AO105" s="38"/>
    </row>
    <row r="106" customFormat="false" ht="39.55" hidden="false" customHeight="false" outlineLevel="0" collapsed="false">
      <c r="A106" s="38" t="s">
        <v>3597</v>
      </c>
      <c r="B106" s="38" t="s">
        <v>3671</v>
      </c>
      <c r="C106" s="38" t="s">
        <v>3299</v>
      </c>
      <c r="D106" s="38"/>
      <c r="E106" s="38" t="s">
        <v>241</v>
      </c>
      <c r="F106" s="38"/>
      <c r="G106" s="38" t="s">
        <v>3600</v>
      </c>
      <c r="H106" s="38"/>
      <c r="I106" s="38" t="s">
        <v>51</v>
      </c>
      <c r="J106" s="38" t="s">
        <v>3672</v>
      </c>
      <c r="K106" s="38"/>
      <c r="L106" s="38"/>
      <c r="M106" s="38" t="s">
        <v>3623</v>
      </c>
      <c r="N106" s="38"/>
      <c r="O106" s="38" t="s">
        <v>49</v>
      </c>
      <c r="P106" s="38" t="s">
        <v>50</v>
      </c>
      <c r="Q106" s="40" t="b">
        <f aca="false">FALSE()</f>
        <v>0</v>
      </c>
      <c r="R106" s="40" t="b">
        <f aca="false">FALSE()</f>
        <v>0</v>
      </c>
      <c r="S106" s="40" t="b">
        <f aca="false">FALSE()</f>
        <v>0</v>
      </c>
      <c r="T106" s="40" t="b">
        <f aca="false">FALSE()</f>
        <v>0</v>
      </c>
      <c r="U106" s="40" t="b">
        <f aca="false">TRUE()</f>
        <v>1</v>
      </c>
      <c r="V106" s="38" t="s">
        <v>3665</v>
      </c>
      <c r="W106" s="38" t="s">
        <v>3603</v>
      </c>
      <c r="X106" s="38" t="s">
        <v>3666</v>
      </c>
      <c r="Y106" s="38" t="s">
        <v>3301</v>
      </c>
      <c r="Z106" s="38" t="s">
        <v>3665</v>
      </c>
      <c r="AA106" s="38"/>
      <c r="AB106" s="38" t="s">
        <v>3605</v>
      </c>
      <c r="AC106" s="38" t="s">
        <v>3242</v>
      </c>
      <c r="AD106" s="38"/>
      <c r="AE106" s="38"/>
      <c r="AF106" s="38"/>
      <c r="AG106" s="38" t="s">
        <v>3625</v>
      </c>
      <c r="AH106" s="38" t="s">
        <v>3243</v>
      </c>
      <c r="AI106" s="38" t="s">
        <v>3293</v>
      </c>
      <c r="AJ106" s="38" t="s">
        <v>3251</v>
      </c>
      <c r="AK106" s="38" t="s">
        <v>3246</v>
      </c>
      <c r="AL106" s="38" t="s">
        <v>241</v>
      </c>
      <c r="AM106" s="38"/>
      <c r="AN106" s="38"/>
      <c r="AO106" s="38"/>
    </row>
    <row r="107" customFormat="false" ht="39.55" hidden="false" customHeight="false" outlineLevel="0" collapsed="false">
      <c r="A107" s="38" t="s">
        <v>3597</v>
      </c>
      <c r="B107" s="38" t="s">
        <v>3673</v>
      </c>
      <c r="C107" s="38" t="s">
        <v>3385</v>
      </c>
      <c r="D107" s="38"/>
      <c r="E107" s="38" t="s">
        <v>241</v>
      </c>
      <c r="F107" s="38"/>
      <c r="G107" s="38" t="s">
        <v>3600</v>
      </c>
      <c r="H107" s="38"/>
      <c r="I107" s="38" t="s">
        <v>51</v>
      </c>
      <c r="J107" s="38" t="s">
        <v>3674</v>
      </c>
      <c r="K107" s="38"/>
      <c r="L107" s="38"/>
      <c r="M107" s="38" t="s">
        <v>3610</v>
      </c>
      <c r="N107" s="38"/>
      <c r="O107" s="38" t="s">
        <v>49</v>
      </c>
      <c r="P107" s="38" t="s">
        <v>50</v>
      </c>
      <c r="Q107" s="40" t="b">
        <f aca="false">FALSE()</f>
        <v>0</v>
      </c>
      <c r="R107" s="40" t="b">
        <f aca="false">FALSE()</f>
        <v>0</v>
      </c>
      <c r="S107" s="40" t="b">
        <f aca="false">FALSE()</f>
        <v>0</v>
      </c>
      <c r="T107" s="40" t="b">
        <f aca="false">FALSE()</f>
        <v>0</v>
      </c>
      <c r="U107" s="40" t="b">
        <f aca="false">TRUE()</f>
        <v>1</v>
      </c>
      <c r="V107" s="38" t="s">
        <v>3665</v>
      </c>
      <c r="W107" s="38" t="s">
        <v>3603</v>
      </c>
      <c r="X107" s="38" t="s">
        <v>3666</v>
      </c>
      <c r="Y107" s="38" t="s">
        <v>3387</v>
      </c>
      <c r="Z107" s="38" t="s">
        <v>3665</v>
      </c>
      <c r="AA107" s="38"/>
      <c r="AB107" s="38" t="s">
        <v>3605</v>
      </c>
      <c r="AC107" s="38" t="s">
        <v>3242</v>
      </c>
      <c r="AD107" s="38"/>
      <c r="AE107" s="38"/>
      <c r="AF107" s="38"/>
      <c r="AG107" s="38" t="s">
        <v>3613</v>
      </c>
      <c r="AH107" s="38" t="s">
        <v>3243</v>
      </c>
      <c r="AI107" s="38" t="s">
        <v>3293</v>
      </c>
      <c r="AJ107" s="38" t="s">
        <v>3251</v>
      </c>
      <c r="AK107" s="38" t="s">
        <v>3246</v>
      </c>
      <c r="AL107" s="38" t="s">
        <v>241</v>
      </c>
      <c r="AM107" s="38"/>
      <c r="AN107" s="38"/>
      <c r="AO107" s="38"/>
    </row>
    <row r="108" customFormat="false" ht="39.55" hidden="false" customHeight="false" outlineLevel="0" collapsed="false">
      <c r="A108" s="38" t="s">
        <v>3597</v>
      </c>
      <c r="B108" s="38" t="s">
        <v>3675</v>
      </c>
      <c r="C108" s="38" t="s">
        <v>3385</v>
      </c>
      <c r="D108" s="38"/>
      <c r="E108" s="38" t="s">
        <v>241</v>
      </c>
      <c r="F108" s="38"/>
      <c r="G108" s="38" t="s">
        <v>3600</v>
      </c>
      <c r="H108" s="38"/>
      <c r="I108" s="38" t="s">
        <v>51</v>
      </c>
      <c r="J108" s="38" t="s">
        <v>3676</v>
      </c>
      <c r="K108" s="38"/>
      <c r="L108" s="38"/>
      <c r="M108" s="38" t="s">
        <v>3623</v>
      </c>
      <c r="N108" s="38"/>
      <c r="O108" s="38" t="s">
        <v>49</v>
      </c>
      <c r="P108" s="38" t="s">
        <v>50</v>
      </c>
      <c r="Q108" s="40" t="b">
        <f aca="false">FALSE()</f>
        <v>0</v>
      </c>
      <c r="R108" s="40" t="b">
        <f aca="false">FALSE()</f>
        <v>0</v>
      </c>
      <c r="S108" s="40" t="b">
        <f aca="false">FALSE()</f>
        <v>0</v>
      </c>
      <c r="T108" s="40" t="b">
        <f aca="false">FALSE()</f>
        <v>0</v>
      </c>
      <c r="U108" s="40" t="b">
        <f aca="false">TRUE()</f>
        <v>1</v>
      </c>
      <c r="V108" s="38" t="s">
        <v>3665</v>
      </c>
      <c r="W108" s="38" t="s">
        <v>3603</v>
      </c>
      <c r="X108" s="38" t="s">
        <v>3666</v>
      </c>
      <c r="Y108" s="38" t="s">
        <v>3387</v>
      </c>
      <c r="Z108" s="38" t="s">
        <v>3665</v>
      </c>
      <c r="AA108" s="38"/>
      <c r="AB108" s="38" t="s">
        <v>3605</v>
      </c>
      <c r="AC108" s="38" t="s">
        <v>3242</v>
      </c>
      <c r="AD108" s="38"/>
      <c r="AE108" s="38"/>
      <c r="AF108" s="38"/>
      <c r="AG108" s="38" t="s">
        <v>3625</v>
      </c>
      <c r="AH108" s="38" t="s">
        <v>3243</v>
      </c>
      <c r="AI108" s="38" t="s">
        <v>3293</v>
      </c>
      <c r="AJ108" s="38" t="s">
        <v>3251</v>
      </c>
      <c r="AK108" s="38" t="s">
        <v>3246</v>
      </c>
      <c r="AL108" s="38" t="s">
        <v>241</v>
      </c>
      <c r="AM108" s="38"/>
      <c r="AN108" s="38"/>
      <c r="AO108" s="38"/>
    </row>
    <row r="109" customFormat="false" ht="39.55" hidden="false" customHeight="false" outlineLevel="0" collapsed="false">
      <c r="A109" s="38" t="s">
        <v>3597</v>
      </c>
      <c r="B109" s="38" t="s">
        <v>3677</v>
      </c>
      <c r="C109" s="38" t="s">
        <v>3305</v>
      </c>
      <c r="D109" s="38"/>
      <c r="E109" s="38" t="s">
        <v>241</v>
      </c>
      <c r="F109" s="38"/>
      <c r="G109" s="38" t="s">
        <v>3600</v>
      </c>
      <c r="H109" s="38"/>
      <c r="I109" s="38" t="s">
        <v>51</v>
      </c>
      <c r="J109" s="38" t="s">
        <v>3678</v>
      </c>
      <c r="K109" s="38"/>
      <c r="L109" s="38"/>
      <c r="M109" s="38" t="s">
        <v>3610</v>
      </c>
      <c r="N109" s="38"/>
      <c r="O109" s="38" t="s">
        <v>49</v>
      </c>
      <c r="P109" s="38" t="s">
        <v>50</v>
      </c>
      <c r="Q109" s="40" t="b">
        <f aca="false">FALSE()</f>
        <v>0</v>
      </c>
      <c r="R109" s="40" t="b">
        <f aca="false">FALSE()</f>
        <v>0</v>
      </c>
      <c r="S109" s="40" t="b">
        <f aca="false">FALSE()</f>
        <v>0</v>
      </c>
      <c r="T109" s="40" t="b">
        <f aca="false">FALSE()</f>
        <v>0</v>
      </c>
      <c r="U109" s="40" t="b">
        <f aca="false">TRUE()</f>
        <v>1</v>
      </c>
      <c r="V109" s="38" t="s">
        <v>3665</v>
      </c>
      <c r="W109" s="38" t="s">
        <v>3603</v>
      </c>
      <c r="X109" s="38" t="s">
        <v>3666</v>
      </c>
      <c r="Y109" s="38" t="s">
        <v>3308</v>
      </c>
      <c r="Z109" s="38" t="s">
        <v>3665</v>
      </c>
      <c r="AA109" s="38"/>
      <c r="AB109" s="38" t="s">
        <v>3605</v>
      </c>
      <c r="AC109" s="38" t="s">
        <v>3242</v>
      </c>
      <c r="AD109" s="38"/>
      <c r="AE109" s="38"/>
      <c r="AF109" s="38"/>
      <c r="AG109" s="38" t="s">
        <v>3613</v>
      </c>
      <c r="AH109" s="38" t="s">
        <v>3243</v>
      </c>
      <c r="AI109" s="38" t="s">
        <v>3293</v>
      </c>
      <c r="AJ109" s="38" t="s">
        <v>3251</v>
      </c>
      <c r="AK109" s="38" t="s">
        <v>3246</v>
      </c>
      <c r="AL109" s="38" t="s">
        <v>241</v>
      </c>
      <c r="AM109" s="38"/>
      <c r="AN109" s="38"/>
      <c r="AO109" s="38"/>
    </row>
    <row r="110" customFormat="false" ht="39.55" hidden="false" customHeight="false" outlineLevel="0" collapsed="false">
      <c r="A110" s="38" t="s">
        <v>3597</v>
      </c>
      <c r="B110" s="38" t="s">
        <v>3679</v>
      </c>
      <c r="C110" s="38" t="s">
        <v>3305</v>
      </c>
      <c r="D110" s="38"/>
      <c r="E110" s="38" t="s">
        <v>241</v>
      </c>
      <c r="F110" s="38"/>
      <c r="G110" s="38" t="s">
        <v>3600</v>
      </c>
      <c r="H110" s="38"/>
      <c r="I110" s="38" t="s">
        <v>51</v>
      </c>
      <c r="J110" s="38" t="s">
        <v>3680</v>
      </c>
      <c r="K110" s="38"/>
      <c r="L110" s="38"/>
      <c r="M110" s="38" t="s">
        <v>3623</v>
      </c>
      <c r="N110" s="38"/>
      <c r="O110" s="38" t="s">
        <v>49</v>
      </c>
      <c r="P110" s="38" t="s">
        <v>50</v>
      </c>
      <c r="Q110" s="40" t="b">
        <f aca="false">FALSE()</f>
        <v>0</v>
      </c>
      <c r="R110" s="40" t="b">
        <f aca="false">FALSE()</f>
        <v>0</v>
      </c>
      <c r="S110" s="40" t="b">
        <f aca="false">FALSE()</f>
        <v>0</v>
      </c>
      <c r="T110" s="40" t="b">
        <f aca="false">FALSE()</f>
        <v>0</v>
      </c>
      <c r="U110" s="40" t="b">
        <f aca="false">TRUE()</f>
        <v>1</v>
      </c>
      <c r="V110" s="38" t="s">
        <v>3665</v>
      </c>
      <c r="W110" s="38" t="s">
        <v>3603</v>
      </c>
      <c r="X110" s="38" t="s">
        <v>3666</v>
      </c>
      <c r="Y110" s="38" t="s">
        <v>3308</v>
      </c>
      <c r="Z110" s="38" t="s">
        <v>3665</v>
      </c>
      <c r="AA110" s="38"/>
      <c r="AB110" s="38" t="s">
        <v>3605</v>
      </c>
      <c r="AC110" s="38" t="s">
        <v>3242</v>
      </c>
      <c r="AD110" s="38"/>
      <c r="AE110" s="38"/>
      <c r="AF110" s="38"/>
      <c r="AG110" s="38" t="s">
        <v>3625</v>
      </c>
      <c r="AH110" s="38" t="s">
        <v>3243</v>
      </c>
      <c r="AI110" s="38" t="s">
        <v>3293</v>
      </c>
      <c r="AJ110" s="38" t="s">
        <v>3251</v>
      </c>
      <c r="AK110" s="38" t="s">
        <v>3246</v>
      </c>
      <c r="AL110" s="38" t="s">
        <v>241</v>
      </c>
      <c r="AM110" s="38"/>
      <c r="AN110" s="38"/>
      <c r="AO110" s="38"/>
    </row>
    <row r="111" customFormat="false" ht="39.55" hidden="false" customHeight="false" outlineLevel="0" collapsed="false">
      <c r="A111" s="38" t="s">
        <v>3597</v>
      </c>
      <c r="B111" s="38" t="s">
        <v>3681</v>
      </c>
      <c r="C111" s="38" t="s">
        <v>3608</v>
      </c>
      <c r="D111" s="38"/>
      <c r="E111" s="38" t="s">
        <v>245</v>
      </c>
      <c r="F111" s="38"/>
      <c r="G111" s="38" t="s">
        <v>3600</v>
      </c>
      <c r="H111" s="38"/>
      <c r="I111" s="38" t="s">
        <v>51</v>
      </c>
      <c r="J111" s="38" t="s">
        <v>3682</v>
      </c>
      <c r="K111" s="38"/>
      <c r="L111" s="38"/>
      <c r="M111" s="38" t="s">
        <v>3610</v>
      </c>
      <c r="N111" s="38"/>
      <c r="O111" s="38" t="s">
        <v>49</v>
      </c>
      <c r="P111" s="38" t="s">
        <v>50</v>
      </c>
      <c r="Q111" s="40" t="b">
        <f aca="false">FALSE()</f>
        <v>0</v>
      </c>
      <c r="R111" s="40" t="b">
        <f aca="false">FALSE()</f>
        <v>0</v>
      </c>
      <c r="S111" s="40" t="b">
        <f aca="false">FALSE()</f>
        <v>0</v>
      </c>
      <c r="T111" s="40" t="b">
        <f aca="false">FALSE()</f>
        <v>0</v>
      </c>
      <c r="U111" s="40" t="b">
        <f aca="false">TRUE()</f>
        <v>1</v>
      </c>
      <c r="V111" s="38" t="s">
        <v>3683</v>
      </c>
      <c r="W111" s="38" t="s">
        <v>3603</v>
      </c>
      <c r="X111" s="38" t="s">
        <v>3684</v>
      </c>
      <c r="Y111" s="38" t="s">
        <v>3612</v>
      </c>
      <c r="Z111" s="38" t="s">
        <v>3683</v>
      </c>
      <c r="AA111" s="38"/>
      <c r="AB111" s="38" t="s">
        <v>3605</v>
      </c>
      <c r="AC111" s="38" t="s">
        <v>3242</v>
      </c>
      <c r="AD111" s="38"/>
      <c r="AE111" s="38"/>
      <c r="AF111" s="38"/>
      <c r="AG111" s="38" t="s">
        <v>3613</v>
      </c>
      <c r="AH111" s="38" t="s">
        <v>3243</v>
      </c>
      <c r="AI111" s="38" t="s">
        <v>3293</v>
      </c>
      <c r="AJ111" s="38" t="s">
        <v>3251</v>
      </c>
      <c r="AK111" s="38" t="s">
        <v>3246</v>
      </c>
      <c r="AL111" s="38" t="s">
        <v>245</v>
      </c>
      <c r="AM111" s="38"/>
      <c r="AN111" s="38"/>
      <c r="AO111" s="38"/>
    </row>
    <row r="112" customFormat="false" ht="39.55" hidden="false" customHeight="false" outlineLevel="0" collapsed="false">
      <c r="A112" s="38" t="s">
        <v>3597</v>
      </c>
      <c r="B112" s="38" t="s">
        <v>3685</v>
      </c>
      <c r="C112" s="38" t="s">
        <v>3608</v>
      </c>
      <c r="D112" s="38"/>
      <c r="E112" s="38" t="s">
        <v>245</v>
      </c>
      <c r="F112" s="38"/>
      <c r="G112" s="38" t="s">
        <v>3600</v>
      </c>
      <c r="H112" s="38"/>
      <c r="I112" s="38" t="s">
        <v>51</v>
      </c>
      <c r="J112" s="38" t="s">
        <v>3686</v>
      </c>
      <c r="K112" s="38"/>
      <c r="L112" s="38"/>
      <c r="M112" s="38" t="s">
        <v>3623</v>
      </c>
      <c r="N112" s="38"/>
      <c r="O112" s="38" t="s">
        <v>49</v>
      </c>
      <c r="P112" s="38" t="s">
        <v>50</v>
      </c>
      <c r="Q112" s="40" t="b">
        <f aca="false">FALSE()</f>
        <v>0</v>
      </c>
      <c r="R112" s="40" t="b">
        <f aca="false">FALSE()</f>
        <v>0</v>
      </c>
      <c r="S112" s="40" t="b">
        <f aca="false">FALSE()</f>
        <v>0</v>
      </c>
      <c r="T112" s="40" t="b">
        <f aca="false">FALSE()</f>
        <v>0</v>
      </c>
      <c r="U112" s="40" t="b">
        <f aca="false">TRUE()</f>
        <v>1</v>
      </c>
      <c r="V112" s="38" t="s">
        <v>3683</v>
      </c>
      <c r="W112" s="38" t="s">
        <v>3603</v>
      </c>
      <c r="X112" s="38" t="s">
        <v>3684</v>
      </c>
      <c r="Y112" s="38" t="s">
        <v>3612</v>
      </c>
      <c r="Z112" s="38" t="s">
        <v>3683</v>
      </c>
      <c r="AA112" s="38"/>
      <c r="AB112" s="38" t="s">
        <v>3605</v>
      </c>
      <c r="AC112" s="38" t="s">
        <v>3242</v>
      </c>
      <c r="AD112" s="38"/>
      <c r="AE112" s="38"/>
      <c r="AF112" s="38"/>
      <c r="AG112" s="38" t="s">
        <v>3625</v>
      </c>
      <c r="AH112" s="38" t="s">
        <v>3243</v>
      </c>
      <c r="AI112" s="38" t="s">
        <v>3293</v>
      </c>
      <c r="AJ112" s="38" t="s">
        <v>3251</v>
      </c>
      <c r="AK112" s="38" t="s">
        <v>3246</v>
      </c>
      <c r="AL112" s="38" t="s">
        <v>245</v>
      </c>
      <c r="AM112" s="38"/>
      <c r="AN112" s="38"/>
      <c r="AO112" s="38"/>
    </row>
    <row r="113" customFormat="false" ht="39.55" hidden="false" customHeight="false" outlineLevel="0" collapsed="false">
      <c r="A113" s="38" t="s">
        <v>3597</v>
      </c>
      <c r="B113" s="38" t="s">
        <v>3687</v>
      </c>
      <c r="C113" s="38" t="s">
        <v>3299</v>
      </c>
      <c r="D113" s="38"/>
      <c r="E113" s="38" t="s">
        <v>245</v>
      </c>
      <c r="F113" s="38"/>
      <c r="G113" s="38" t="s">
        <v>3600</v>
      </c>
      <c r="H113" s="38"/>
      <c r="I113" s="38" t="s">
        <v>51</v>
      </c>
      <c r="J113" s="38" t="s">
        <v>3688</v>
      </c>
      <c r="K113" s="38"/>
      <c r="L113" s="38"/>
      <c r="M113" s="38" t="s">
        <v>3610</v>
      </c>
      <c r="N113" s="38"/>
      <c r="O113" s="38" t="s">
        <v>49</v>
      </c>
      <c r="P113" s="38" t="s">
        <v>50</v>
      </c>
      <c r="Q113" s="40" t="b">
        <f aca="false">FALSE()</f>
        <v>0</v>
      </c>
      <c r="R113" s="40" t="b">
        <f aca="false">FALSE()</f>
        <v>0</v>
      </c>
      <c r="S113" s="40" t="b">
        <f aca="false">FALSE()</f>
        <v>0</v>
      </c>
      <c r="T113" s="40" t="b">
        <f aca="false">FALSE()</f>
        <v>0</v>
      </c>
      <c r="U113" s="40" t="b">
        <f aca="false">TRUE()</f>
        <v>1</v>
      </c>
      <c r="V113" s="38" t="s">
        <v>3683</v>
      </c>
      <c r="W113" s="38" t="s">
        <v>3603</v>
      </c>
      <c r="X113" s="38" t="s">
        <v>3684</v>
      </c>
      <c r="Y113" s="38" t="s">
        <v>3301</v>
      </c>
      <c r="Z113" s="38" t="s">
        <v>3683</v>
      </c>
      <c r="AA113" s="38"/>
      <c r="AB113" s="38" t="s">
        <v>3605</v>
      </c>
      <c r="AC113" s="38" t="s">
        <v>3242</v>
      </c>
      <c r="AD113" s="38"/>
      <c r="AE113" s="38"/>
      <c r="AF113" s="38"/>
      <c r="AG113" s="38" t="s">
        <v>3613</v>
      </c>
      <c r="AH113" s="38" t="s">
        <v>3243</v>
      </c>
      <c r="AI113" s="38" t="s">
        <v>3293</v>
      </c>
      <c r="AJ113" s="38" t="s">
        <v>3251</v>
      </c>
      <c r="AK113" s="38" t="s">
        <v>3246</v>
      </c>
      <c r="AL113" s="38" t="s">
        <v>245</v>
      </c>
      <c r="AM113" s="38"/>
      <c r="AN113" s="38"/>
      <c r="AO113" s="38"/>
    </row>
    <row r="114" customFormat="false" ht="39.55" hidden="false" customHeight="false" outlineLevel="0" collapsed="false">
      <c r="A114" s="38" t="s">
        <v>3597</v>
      </c>
      <c r="B114" s="38" t="s">
        <v>3689</v>
      </c>
      <c r="C114" s="38" t="s">
        <v>3299</v>
      </c>
      <c r="D114" s="38"/>
      <c r="E114" s="38" t="s">
        <v>245</v>
      </c>
      <c r="F114" s="38"/>
      <c r="G114" s="38" t="s">
        <v>3600</v>
      </c>
      <c r="H114" s="38"/>
      <c r="I114" s="38" t="s">
        <v>51</v>
      </c>
      <c r="J114" s="38" t="s">
        <v>3690</v>
      </c>
      <c r="K114" s="38"/>
      <c r="L114" s="38"/>
      <c r="M114" s="38" t="s">
        <v>3623</v>
      </c>
      <c r="N114" s="38"/>
      <c r="O114" s="38" t="s">
        <v>49</v>
      </c>
      <c r="P114" s="38" t="s">
        <v>50</v>
      </c>
      <c r="Q114" s="40" t="b">
        <f aca="false">FALSE()</f>
        <v>0</v>
      </c>
      <c r="R114" s="40" t="b">
        <f aca="false">FALSE()</f>
        <v>0</v>
      </c>
      <c r="S114" s="40" t="b">
        <f aca="false">FALSE()</f>
        <v>0</v>
      </c>
      <c r="T114" s="40" t="b">
        <f aca="false">FALSE()</f>
        <v>0</v>
      </c>
      <c r="U114" s="40" t="b">
        <f aca="false">TRUE()</f>
        <v>1</v>
      </c>
      <c r="V114" s="38" t="s">
        <v>3683</v>
      </c>
      <c r="W114" s="38" t="s">
        <v>3603</v>
      </c>
      <c r="X114" s="38" t="s">
        <v>3684</v>
      </c>
      <c r="Y114" s="38" t="s">
        <v>3301</v>
      </c>
      <c r="Z114" s="38" t="s">
        <v>3683</v>
      </c>
      <c r="AA114" s="38"/>
      <c r="AB114" s="38" t="s">
        <v>3605</v>
      </c>
      <c r="AC114" s="38" t="s">
        <v>3242</v>
      </c>
      <c r="AD114" s="38"/>
      <c r="AE114" s="38"/>
      <c r="AF114" s="38"/>
      <c r="AG114" s="38" t="s">
        <v>3625</v>
      </c>
      <c r="AH114" s="38" t="s">
        <v>3243</v>
      </c>
      <c r="AI114" s="38" t="s">
        <v>3293</v>
      </c>
      <c r="AJ114" s="38" t="s">
        <v>3251</v>
      </c>
      <c r="AK114" s="38" t="s">
        <v>3246</v>
      </c>
      <c r="AL114" s="38" t="s">
        <v>245</v>
      </c>
      <c r="AM114" s="38"/>
      <c r="AN114" s="38"/>
      <c r="AO114" s="38"/>
    </row>
    <row r="115" customFormat="false" ht="39.55" hidden="false" customHeight="false" outlineLevel="0" collapsed="false">
      <c r="A115" s="38" t="s">
        <v>3597</v>
      </c>
      <c r="B115" s="38" t="s">
        <v>3691</v>
      </c>
      <c r="C115" s="38" t="s">
        <v>3385</v>
      </c>
      <c r="D115" s="38"/>
      <c r="E115" s="38" t="s">
        <v>245</v>
      </c>
      <c r="F115" s="38"/>
      <c r="G115" s="38" t="s">
        <v>3600</v>
      </c>
      <c r="H115" s="38"/>
      <c r="I115" s="38" t="s">
        <v>51</v>
      </c>
      <c r="J115" s="38" t="s">
        <v>3692</v>
      </c>
      <c r="K115" s="38"/>
      <c r="L115" s="38"/>
      <c r="M115" s="38" t="s">
        <v>3610</v>
      </c>
      <c r="N115" s="38"/>
      <c r="O115" s="38" t="s">
        <v>49</v>
      </c>
      <c r="P115" s="38" t="s">
        <v>50</v>
      </c>
      <c r="Q115" s="40" t="b">
        <f aca="false">FALSE()</f>
        <v>0</v>
      </c>
      <c r="R115" s="40" t="b">
        <f aca="false">FALSE()</f>
        <v>0</v>
      </c>
      <c r="S115" s="40" t="b">
        <f aca="false">FALSE()</f>
        <v>0</v>
      </c>
      <c r="T115" s="40" t="b">
        <f aca="false">FALSE()</f>
        <v>0</v>
      </c>
      <c r="U115" s="40" t="b">
        <f aca="false">TRUE()</f>
        <v>1</v>
      </c>
      <c r="V115" s="38" t="s">
        <v>3683</v>
      </c>
      <c r="W115" s="38" t="s">
        <v>3603</v>
      </c>
      <c r="X115" s="38" t="s">
        <v>3684</v>
      </c>
      <c r="Y115" s="38" t="s">
        <v>3387</v>
      </c>
      <c r="Z115" s="38" t="s">
        <v>3683</v>
      </c>
      <c r="AA115" s="38"/>
      <c r="AB115" s="38" t="s">
        <v>3605</v>
      </c>
      <c r="AC115" s="38" t="s">
        <v>3242</v>
      </c>
      <c r="AD115" s="38"/>
      <c r="AE115" s="38"/>
      <c r="AF115" s="38"/>
      <c r="AG115" s="38" t="s">
        <v>3613</v>
      </c>
      <c r="AH115" s="38" t="s">
        <v>3243</v>
      </c>
      <c r="AI115" s="38" t="s">
        <v>3293</v>
      </c>
      <c r="AJ115" s="38" t="s">
        <v>3251</v>
      </c>
      <c r="AK115" s="38" t="s">
        <v>3246</v>
      </c>
      <c r="AL115" s="38" t="s">
        <v>245</v>
      </c>
      <c r="AM115" s="38"/>
      <c r="AN115" s="38"/>
      <c r="AO115" s="38"/>
    </row>
    <row r="116" customFormat="false" ht="39.55" hidden="false" customHeight="false" outlineLevel="0" collapsed="false">
      <c r="A116" s="38" t="s">
        <v>3597</v>
      </c>
      <c r="B116" s="38" t="s">
        <v>3693</v>
      </c>
      <c r="C116" s="38" t="s">
        <v>3385</v>
      </c>
      <c r="D116" s="38"/>
      <c r="E116" s="38" t="s">
        <v>245</v>
      </c>
      <c r="F116" s="38"/>
      <c r="G116" s="38" t="s">
        <v>3600</v>
      </c>
      <c r="H116" s="38"/>
      <c r="I116" s="38" t="s">
        <v>51</v>
      </c>
      <c r="J116" s="38" t="s">
        <v>3694</v>
      </c>
      <c r="K116" s="38"/>
      <c r="L116" s="38"/>
      <c r="M116" s="38" t="s">
        <v>3623</v>
      </c>
      <c r="N116" s="38"/>
      <c r="O116" s="38" t="s">
        <v>49</v>
      </c>
      <c r="P116" s="38" t="s">
        <v>50</v>
      </c>
      <c r="Q116" s="40" t="b">
        <f aca="false">FALSE()</f>
        <v>0</v>
      </c>
      <c r="R116" s="40" t="b">
        <f aca="false">FALSE()</f>
        <v>0</v>
      </c>
      <c r="S116" s="40" t="b">
        <f aca="false">FALSE()</f>
        <v>0</v>
      </c>
      <c r="T116" s="40" t="b">
        <f aca="false">FALSE()</f>
        <v>0</v>
      </c>
      <c r="U116" s="40" t="b">
        <f aca="false">TRUE()</f>
        <v>1</v>
      </c>
      <c r="V116" s="38" t="s">
        <v>3683</v>
      </c>
      <c r="W116" s="38" t="s">
        <v>3603</v>
      </c>
      <c r="X116" s="38" t="s">
        <v>3684</v>
      </c>
      <c r="Y116" s="38" t="s">
        <v>3387</v>
      </c>
      <c r="Z116" s="38" t="s">
        <v>3683</v>
      </c>
      <c r="AA116" s="38"/>
      <c r="AB116" s="38" t="s">
        <v>3605</v>
      </c>
      <c r="AC116" s="38" t="s">
        <v>3242</v>
      </c>
      <c r="AD116" s="38"/>
      <c r="AE116" s="38"/>
      <c r="AF116" s="38"/>
      <c r="AG116" s="38" t="s">
        <v>3625</v>
      </c>
      <c r="AH116" s="38" t="s">
        <v>3243</v>
      </c>
      <c r="AI116" s="38" t="s">
        <v>3293</v>
      </c>
      <c r="AJ116" s="38" t="s">
        <v>3251</v>
      </c>
      <c r="AK116" s="38" t="s">
        <v>3246</v>
      </c>
      <c r="AL116" s="38" t="s">
        <v>245</v>
      </c>
      <c r="AM116" s="38"/>
      <c r="AN116" s="38"/>
      <c r="AO116" s="38"/>
    </row>
    <row r="117" customFormat="false" ht="39.55" hidden="false" customHeight="false" outlineLevel="0" collapsed="false">
      <c r="A117" s="38" t="s">
        <v>3597</v>
      </c>
      <c r="B117" s="38" t="s">
        <v>3695</v>
      </c>
      <c r="C117" s="38" t="s">
        <v>3305</v>
      </c>
      <c r="D117" s="38"/>
      <c r="E117" s="38" t="s">
        <v>245</v>
      </c>
      <c r="F117" s="38"/>
      <c r="G117" s="38" t="s">
        <v>3600</v>
      </c>
      <c r="H117" s="38"/>
      <c r="I117" s="38" t="s">
        <v>51</v>
      </c>
      <c r="J117" s="38" t="s">
        <v>3696</v>
      </c>
      <c r="K117" s="38"/>
      <c r="L117" s="38"/>
      <c r="M117" s="38" t="s">
        <v>3610</v>
      </c>
      <c r="N117" s="38"/>
      <c r="O117" s="38" t="s">
        <v>49</v>
      </c>
      <c r="P117" s="38" t="s">
        <v>50</v>
      </c>
      <c r="Q117" s="40" t="b">
        <f aca="false">FALSE()</f>
        <v>0</v>
      </c>
      <c r="R117" s="40" t="b">
        <f aca="false">FALSE()</f>
        <v>0</v>
      </c>
      <c r="S117" s="40" t="b">
        <f aca="false">FALSE()</f>
        <v>0</v>
      </c>
      <c r="T117" s="40" t="b">
        <f aca="false">FALSE()</f>
        <v>0</v>
      </c>
      <c r="U117" s="40" t="b">
        <f aca="false">TRUE()</f>
        <v>1</v>
      </c>
      <c r="V117" s="38" t="s">
        <v>3683</v>
      </c>
      <c r="W117" s="38" t="s">
        <v>3603</v>
      </c>
      <c r="X117" s="38" t="s">
        <v>3684</v>
      </c>
      <c r="Y117" s="38" t="s">
        <v>3308</v>
      </c>
      <c r="Z117" s="38" t="s">
        <v>3683</v>
      </c>
      <c r="AA117" s="38"/>
      <c r="AB117" s="38" t="s">
        <v>3605</v>
      </c>
      <c r="AC117" s="38" t="s">
        <v>3242</v>
      </c>
      <c r="AD117" s="38"/>
      <c r="AE117" s="38"/>
      <c r="AF117" s="38"/>
      <c r="AG117" s="38" t="s">
        <v>3613</v>
      </c>
      <c r="AH117" s="38" t="s">
        <v>3243</v>
      </c>
      <c r="AI117" s="38" t="s">
        <v>3293</v>
      </c>
      <c r="AJ117" s="38" t="s">
        <v>3251</v>
      </c>
      <c r="AK117" s="38" t="s">
        <v>3246</v>
      </c>
      <c r="AL117" s="38" t="s">
        <v>245</v>
      </c>
      <c r="AM117" s="38"/>
      <c r="AN117" s="38"/>
      <c r="AO117" s="38"/>
    </row>
    <row r="118" customFormat="false" ht="39.55" hidden="false" customHeight="false" outlineLevel="0" collapsed="false">
      <c r="A118" s="38" t="s">
        <v>3597</v>
      </c>
      <c r="B118" s="38" t="s">
        <v>3697</v>
      </c>
      <c r="C118" s="38" t="s">
        <v>3305</v>
      </c>
      <c r="D118" s="38"/>
      <c r="E118" s="38" t="s">
        <v>245</v>
      </c>
      <c r="F118" s="38"/>
      <c r="G118" s="38" t="s">
        <v>3600</v>
      </c>
      <c r="H118" s="38"/>
      <c r="I118" s="38" t="s">
        <v>51</v>
      </c>
      <c r="J118" s="38" t="s">
        <v>3698</v>
      </c>
      <c r="K118" s="38"/>
      <c r="L118" s="38"/>
      <c r="M118" s="38" t="s">
        <v>3623</v>
      </c>
      <c r="N118" s="38"/>
      <c r="O118" s="38" t="s">
        <v>49</v>
      </c>
      <c r="P118" s="38" t="s">
        <v>50</v>
      </c>
      <c r="Q118" s="40" t="b">
        <f aca="false">FALSE()</f>
        <v>0</v>
      </c>
      <c r="R118" s="40" t="b">
        <f aca="false">FALSE()</f>
        <v>0</v>
      </c>
      <c r="S118" s="40" t="b">
        <f aca="false">FALSE()</f>
        <v>0</v>
      </c>
      <c r="T118" s="40" t="b">
        <f aca="false">FALSE()</f>
        <v>0</v>
      </c>
      <c r="U118" s="40" t="b">
        <f aca="false">TRUE()</f>
        <v>1</v>
      </c>
      <c r="V118" s="38" t="s">
        <v>3683</v>
      </c>
      <c r="W118" s="38" t="s">
        <v>3603</v>
      </c>
      <c r="X118" s="38" t="s">
        <v>3684</v>
      </c>
      <c r="Y118" s="38" t="s">
        <v>3308</v>
      </c>
      <c r="Z118" s="38" t="s">
        <v>3683</v>
      </c>
      <c r="AA118" s="38"/>
      <c r="AB118" s="38" t="s">
        <v>3605</v>
      </c>
      <c r="AC118" s="38" t="s">
        <v>3242</v>
      </c>
      <c r="AD118" s="38"/>
      <c r="AE118" s="38"/>
      <c r="AF118" s="38"/>
      <c r="AG118" s="38" t="s">
        <v>3625</v>
      </c>
      <c r="AH118" s="38" t="s">
        <v>3243</v>
      </c>
      <c r="AI118" s="38" t="s">
        <v>3293</v>
      </c>
      <c r="AJ118" s="38" t="s">
        <v>3251</v>
      </c>
      <c r="AK118" s="38" t="s">
        <v>3246</v>
      </c>
      <c r="AL118" s="38" t="s">
        <v>245</v>
      </c>
      <c r="AM118" s="38"/>
      <c r="AN118" s="38"/>
      <c r="AO118" s="38"/>
    </row>
    <row r="119" customFormat="false" ht="39.55" hidden="false" customHeight="false" outlineLevel="0" collapsed="false">
      <c r="A119" s="38" t="s">
        <v>3597</v>
      </c>
      <c r="B119" s="38" t="s">
        <v>3699</v>
      </c>
      <c r="C119" s="38" t="s">
        <v>3608</v>
      </c>
      <c r="D119" s="38"/>
      <c r="E119" s="38" t="s">
        <v>249</v>
      </c>
      <c r="F119" s="38"/>
      <c r="G119" s="38" t="s">
        <v>3600</v>
      </c>
      <c r="H119" s="38"/>
      <c r="I119" s="38" t="s">
        <v>51</v>
      </c>
      <c r="J119" s="38" t="s">
        <v>3700</v>
      </c>
      <c r="K119" s="38"/>
      <c r="L119" s="38"/>
      <c r="M119" s="38" t="s">
        <v>3610</v>
      </c>
      <c r="N119" s="38"/>
      <c r="O119" s="38" t="s">
        <v>49</v>
      </c>
      <c r="P119" s="38" t="s">
        <v>50</v>
      </c>
      <c r="Q119" s="40" t="b">
        <f aca="false">FALSE()</f>
        <v>0</v>
      </c>
      <c r="R119" s="40" t="b">
        <f aca="false">FALSE()</f>
        <v>0</v>
      </c>
      <c r="S119" s="40" t="b">
        <f aca="false">FALSE()</f>
        <v>0</v>
      </c>
      <c r="T119" s="40" t="b">
        <f aca="false">FALSE()</f>
        <v>0</v>
      </c>
      <c r="U119" s="40" t="b">
        <f aca="false">TRUE()</f>
        <v>1</v>
      </c>
      <c r="V119" s="38" t="s">
        <v>3701</v>
      </c>
      <c r="W119" s="38" t="s">
        <v>3603</v>
      </c>
      <c r="X119" s="38" t="s">
        <v>3702</v>
      </c>
      <c r="Y119" s="38" t="s">
        <v>3612</v>
      </c>
      <c r="Z119" s="38" t="s">
        <v>3701</v>
      </c>
      <c r="AA119" s="38"/>
      <c r="AB119" s="38" t="s">
        <v>3605</v>
      </c>
      <c r="AC119" s="38" t="s">
        <v>3242</v>
      </c>
      <c r="AD119" s="38"/>
      <c r="AE119" s="38"/>
      <c r="AF119" s="38"/>
      <c r="AG119" s="38" t="s">
        <v>3613</v>
      </c>
      <c r="AH119" s="38" t="s">
        <v>3243</v>
      </c>
      <c r="AI119" s="38" t="s">
        <v>3293</v>
      </c>
      <c r="AJ119" s="38" t="s">
        <v>3251</v>
      </c>
      <c r="AK119" s="38" t="s">
        <v>3246</v>
      </c>
      <c r="AL119" s="38" t="s">
        <v>249</v>
      </c>
      <c r="AM119" s="38"/>
      <c r="AN119" s="38"/>
      <c r="AO119" s="38"/>
    </row>
    <row r="120" customFormat="false" ht="39.55" hidden="false" customHeight="false" outlineLevel="0" collapsed="false">
      <c r="A120" s="38" t="s">
        <v>3597</v>
      </c>
      <c r="B120" s="38" t="s">
        <v>3703</v>
      </c>
      <c r="C120" s="38" t="s">
        <v>3608</v>
      </c>
      <c r="D120" s="38"/>
      <c r="E120" s="38" t="s">
        <v>249</v>
      </c>
      <c r="F120" s="38"/>
      <c r="G120" s="38" t="s">
        <v>3600</v>
      </c>
      <c r="H120" s="38"/>
      <c r="I120" s="38" t="s">
        <v>51</v>
      </c>
      <c r="J120" s="38" t="s">
        <v>3704</v>
      </c>
      <c r="K120" s="38"/>
      <c r="L120" s="38"/>
      <c r="M120" s="38" t="s">
        <v>3623</v>
      </c>
      <c r="N120" s="38"/>
      <c r="O120" s="38" t="s">
        <v>49</v>
      </c>
      <c r="P120" s="38" t="s">
        <v>50</v>
      </c>
      <c r="Q120" s="40" t="b">
        <f aca="false">FALSE()</f>
        <v>0</v>
      </c>
      <c r="R120" s="40" t="b">
        <f aca="false">FALSE()</f>
        <v>0</v>
      </c>
      <c r="S120" s="40" t="b">
        <f aca="false">FALSE()</f>
        <v>0</v>
      </c>
      <c r="T120" s="40" t="b">
        <f aca="false">FALSE()</f>
        <v>0</v>
      </c>
      <c r="U120" s="40" t="b">
        <f aca="false">TRUE()</f>
        <v>1</v>
      </c>
      <c r="V120" s="38" t="s">
        <v>3701</v>
      </c>
      <c r="W120" s="38" t="s">
        <v>3603</v>
      </c>
      <c r="X120" s="38" t="s">
        <v>3702</v>
      </c>
      <c r="Y120" s="38" t="s">
        <v>3612</v>
      </c>
      <c r="Z120" s="38" t="s">
        <v>3701</v>
      </c>
      <c r="AA120" s="38"/>
      <c r="AB120" s="38" t="s">
        <v>3605</v>
      </c>
      <c r="AC120" s="38" t="s">
        <v>3242</v>
      </c>
      <c r="AD120" s="38"/>
      <c r="AE120" s="38"/>
      <c r="AF120" s="38"/>
      <c r="AG120" s="38" t="s">
        <v>3625</v>
      </c>
      <c r="AH120" s="38" t="s">
        <v>3243</v>
      </c>
      <c r="AI120" s="38" t="s">
        <v>3293</v>
      </c>
      <c r="AJ120" s="38" t="s">
        <v>3251</v>
      </c>
      <c r="AK120" s="38" t="s">
        <v>3246</v>
      </c>
      <c r="AL120" s="38" t="s">
        <v>249</v>
      </c>
      <c r="AM120" s="38"/>
      <c r="AN120" s="38"/>
      <c r="AO120" s="38"/>
    </row>
    <row r="121" customFormat="false" ht="39.55" hidden="false" customHeight="false" outlineLevel="0" collapsed="false">
      <c r="A121" s="38" t="s">
        <v>3597</v>
      </c>
      <c r="B121" s="38" t="s">
        <v>3705</v>
      </c>
      <c r="C121" s="38" t="s">
        <v>3299</v>
      </c>
      <c r="D121" s="38"/>
      <c r="E121" s="38" t="s">
        <v>249</v>
      </c>
      <c r="F121" s="38"/>
      <c r="G121" s="38" t="s">
        <v>3600</v>
      </c>
      <c r="H121" s="38"/>
      <c r="I121" s="38" t="s">
        <v>51</v>
      </c>
      <c r="J121" s="38" t="s">
        <v>3706</v>
      </c>
      <c r="K121" s="38"/>
      <c r="L121" s="38"/>
      <c r="M121" s="38" t="s">
        <v>3610</v>
      </c>
      <c r="N121" s="38"/>
      <c r="O121" s="38" t="s">
        <v>49</v>
      </c>
      <c r="P121" s="38" t="s">
        <v>50</v>
      </c>
      <c r="Q121" s="40" t="b">
        <f aca="false">FALSE()</f>
        <v>0</v>
      </c>
      <c r="R121" s="40" t="b">
        <f aca="false">FALSE()</f>
        <v>0</v>
      </c>
      <c r="S121" s="40" t="b">
        <f aca="false">FALSE()</f>
        <v>0</v>
      </c>
      <c r="T121" s="40" t="b">
        <f aca="false">FALSE()</f>
        <v>0</v>
      </c>
      <c r="U121" s="40" t="b">
        <f aca="false">TRUE()</f>
        <v>1</v>
      </c>
      <c r="V121" s="38" t="s">
        <v>3701</v>
      </c>
      <c r="W121" s="38" t="s">
        <v>3603</v>
      </c>
      <c r="X121" s="38" t="s">
        <v>3702</v>
      </c>
      <c r="Y121" s="38" t="s">
        <v>3301</v>
      </c>
      <c r="Z121" s="38" t="s">
        <v>3701</v>
      </c>
      <c r="AA121" s="38"/>
      <c r="AB121" s="38" t="s">
        <v>3605</v>
      </c>
      <c r="AC121" s="38" t="s">
        <v>3242</v>
      </c>
      <c r="AD121" s="38"/>
      <c r="AE121" s="38"/>
      <c r="AF121" s="38"/>
      <c r="AG121" s="38" t="s">
        <v>3613</v>
      </c>
      <c r="AH121" s="38" t="s">
        <v>3243</v>
      </c>
      <c r="AI121" s="38" t="s">
        <v>3293</v>
      </c>
      <c r="AJ121" s="38" t="s">
        <v>3251</v>
      </c>
      <c r="AK121" s="38" t="s">
        <v>3246</v>
      </c>
      <c r="AL121" s="38" t="s">
        <v>249</v>
      </c>
      <c r="AM121" s="38"/>
      <c r="AN121" s="38"/>
      <c r="AO121" s="38"/>
    </row>
    <row r="122" customFormat="false" ht="39.55" hidden="false" customHeight="false" outlineLevel="0" collapsed="false">
      <c r="A122" s="38" t="s">
        <v>3597</v>
      </c>
      <c r="B122" s="38" t="s">
        <v>3707</v>
      </c>
      <c r="C122" s="38" t="s">
        <v>3299</v>
      </c>
      <c r="D122" s="38"/>
      <c r="E122" s="38" t="s">
        <v>249</v>
      </c>
      <c r="F122" s="38"/>
      <c r="G122" s="38" t="s">
        <v>3600</v>
      </c>
      <c r="H122" s="38"/>
      <c r="I122" s="38" t="s">
        <v>51</v>
      </c>
      <c r="J122" s="38" t="s">
        <v>3708</v>
      </c>
      <c r="K122" s="38"/>
      <c r="L122" s="38"/>
      <c r="M122" s="38" t="s">
        <v>3623</v>
      </c>
      <c r="N122" s="38"/>
      <c r="O122" s="38" t="s">
        <v>49</v>
      </c>
      <c r="P122" s="38" t="s">
        <v>50</v>
      </c>
      <c r="Q122" s="40" t="b">
        <f aca="false">FALSE()</f>
        <v>0</v>
      </c>
      <c r="R122" s="40" t="b">
        <f aca="false">FALSE()</f>
        <v>0</v>
      </c>
      <c r="S122" s="40" t="b">
        <f aca="false">FALSE()</f>
        <v>0</v>
      </c>
      <c r="T122" s="40" t="b">
        <f aca="false">FALSE()</f>
        <v>0</v>
      </c>
      <c r="U122" s="40" t="b">
        <f aca="false">TRUE()</f>
        <v>1</v>
      </c>
      <c r="V122" s="38" t="s">
        <v>3701</v>
      </c>
      <c r="W122" s="38" t="s">
        <v>3603</v>
      </c>
      <c r="X122" s="38" t="s">
        <v>3702</v>
      </c>
      <c r="Y122" s="38" t="s">
        <v>3301</v>
      </c>
      <c r="Z122" s="38" t="s">
        <v>3701</v>
      </c>
      <c r="AA122" s="38"/>
      <c r="AB122" s="38" t="s">
        <v>3605</v>
      </c>
      <c r="AC122" s="38" t="s">
        <v>3242</v>
      </c>
      <c r="AD122" s="38"/>
      <c r="AE122" s="38"/>
      <c r="AF122" s="38"/>
      <c r="AG122" s="38" t="s">
        <v>3625</v>
      </c>
      <c r="AH122" s="38" t="s">
        <v>3243</v>
      </c>
      <c r="AI122" s="38" t="s">
        <v>3293</v>
      </c>
      <c r="AJ122" s="38" t="s">
        <v>3251</v>
      </c>
      <c r="AK122" s="38" t="s">
        <v>3246</v>
      </c>
      <c r="AL122" s="38" t="s">
        <v>249</v>
      </c>
      <c r="AM122" s="38"/>
      <c r="AN122" s="38"/>
      <c r="AO122" s="38"/>
    </row>
    <row r="123" customFormat="false" ht="39.55" hidden="false" customHeight="false" outlineLevel="0" collapsed="false">
      <c r="A123" s="38" t="s">
        <v>3597</v>
      </c>
      <c r="B123" s="38" t="s">
        <v>3709</v>
      </c>
      <c r="C123" s="38" t="s">
        <v>3385</v>
      </c>
      <c r="D123" s="38"/>
      <c r="E123" s="38" t="s">
        <v>249</v>
      </c>
      <c r="F123" s="38"/>
      <c r="G123" s="38" t="s">
        <v>3600</v>
      </c>
      <c r="H123" s="38"/>
      <c r="I123" s="38" t="s">
        <v>51</v>
      </c>
      <c r="J123" s="38" t="s">
        <v>3710</v>
      </c>
      <c r="K123" s="38"/>
      <c r="L123" s="38"/>
      <c r="M123" s="38" t="s">
        <v>3610</v>
      </c>
      <c r="N123" s="38"/>
      <c r="O123" s="38" t="s">
        <v>49</v>
      </c>
      <c r="P123" s="38" t="s">
        <v>50</v>
      </c>
      <c r="Q123" s="40" t="b">
        <f aca="false">FALSE()</f>
        <v>0</v>
      </c>
      <c r="R123" s="40" t="b">
        <f aca="false">FALSE()</f>
        <v>0</v>
      </c>
      <c r="S123" s="40" t="b">
        <f aca="false">FALSE()</f>
        <v>0</v>
      </c>
      <c r="T123" s="40" t="b">
        <f aca="false">FALSE()</f>
        <v>0</v>
      </c>
      <c r="U123" s="40" t="b">
        <f aca="false">TRUE()</f>
        <v>1</v>
      </c>
      <c r="V123" s="38" t="s">
        <v>3701</v>
      </c>
      <c r="W123" s="38" t="s">
        <v>3603</v>
      </c>
      <c r="X123" s="38" t="s">
        <v>3702</v>
      </c>
      <c r="Y123" s="38" t="s">
        <v>3387</v>
      </c>
      <c r="Z123" s="38" t="s">
        <v>3701</v>
      </c>
      <c r="AA123" s="38"/>
      <c r="AB123" s="38" t="s">
        <v>3605</v>
      </c>
      <c r="AC123" s="38" t="s">
        <v>3242</v>
      </c>
      <c r="AD123" s="38"/>
      <c r="AE123" s="38"/>
      <c r="AF123" s="38"/>
      <c r="AG123" s="38" t="s">
        <v>3613</v>
      </c>
      <c r="AH123" s="38" t="s">
        <v>3243</v>
      </c>
      <c r="AI123" s="38" t="s">
        <v>3293</v>
      </c>
      <c r="AJ123" s="38" t="s">
        <v>3251</v>
      </c>
      <c r="AK123" s="38" t="s">
        <v>3246</v>
      </c>
      <c r="AL123" s="38" t="s">
        <v>249</v>
      </c>
      <c r="AM123" s="38"/>
      <c r="AN123" s="38"/>
      <c r="AO123" s="38"/>
    </row>
    <row r="124" customFormat="false" ht="39.55" hidden="false" customHeight="false" outlineLevel="0" collapsed="false">
      <c r="A124" s="38" t="s">
        <v>3597</v>
      </c>
      <c r="B124" s="38" t="s">
        <v>3711</v>
      </c>
      <c r="C124" s="38" t="s">
        <v>3385</v>
      </c>
      <c r="D124" s="38"/>
      <c r="E124" s="38" t="s">
        <v>249</v>
      </c>
      <c r="F124" s="38"/>
      <c r="G124" s="38" t="s">
        <v>3600</v>
      </c>
      <c r="H124" s="38"/>
      <c r="I124" s="38" t="s">
        <v>51</v>
      </c>
      <c r="J124" s="38" t="s">
        <v>3712</v>
      </c>
      <c r="K124" s="38"/>
      <c r="L124" s="38"/>
      <c r="M124" s="38" t="s">
        <v>3623</v>
      </c>
      <c r="N124" s="38"/>
      <c r="O124" s="38" t="s">
        <v>49</v>
      </c>
      <c r="P124" s="38" t="s">
        <v>50</v>
      </c>
      <c r="Q124" s="40" t="b">
        <f aca="false">FALSE()</f>
        <v>0</v>
      </c>
      <c r="R124" s="40" t="b">
        <f aca="false">FALSE()</f>
        <v>0</v>
      </c>
      <c r="S124" s="40" t="b">
        <f aca="false">FALSE()</f>
        <v>0</v>
      </c>
      <c r="T124" s="40" t="b">
        <f aca="false">FALSE()</f>
        <v>0</v>
      </c>
      <c r="U124" s="40" t="b">
        <f aca="false">TRUE()</f>
        <v>1</v>
      </c>
      <c r="V124" s="38" t="s">
        <v>3701</v>
      </c>
      <c r="W124" s="38" t="s">
        <v>3603</v>
      </c>
      <c r="X124" s="38" t="s">
        <v>3702</v>
      </c>
      <c r="Y124" s="38" t="s">
        <v>3387</v>
      </c>
      <c r="Z124" s="38" t="s">
        <v>3701</v>
      </c>
      <c r="AA124" s="38"/>
      <c r="AB124" s="38" t="s">
        <v>3605</v>
      </c>
      <c r="AC124" s="38" t="s">
        <v>3242</v>
      </c>
      <c r="AD124" s="38"/>
      <c r="AE124" s="38"/>
      <c r="AF124" s="38"/>
      <c r="AG124" s="38" t="s">
        <v>3625</v>
      </c>
      <c r="AH124" s="38" t="s">
        <v>3243</v>
      </c>
      <c r="AI124" s="38" t="s">
        <v>3293</v>
      </c>
      <c r="AJ124" s="38" t="s">
        <v>3251</v>
      </c>
      <c r="AK124" s="38" t="s">
        <v>3246</v>
      </c>
      <c r="AL124" s="38" t="s">
        <v>249</v>
      </c>
      <c r="AM124" s="38"/>
      <c r="AN124" s="38"/>
      <c r="AO124" s="38"/>
    </row>
    <row r="125" customFormat="false" ht="39.55" hidden="false" customHeight="false" outlineLevel="0" collapsed="false">
      <c r="A125" s="38" t="s">
        <v>3597</v>
      </c>
      <c r="B125" s="38" t="s">
        <v>3713</v>
      </c>
      <c r="C125" s="38" t="s">
        <v>3305</v>
      </c>
      <c r="D125" s="38"/>
      <c r="E125" s="38" t="s">
        <v>249</v>
      </c>
      <c r="F125" s="38"/>
      <c r="G125" s="38" t="s">
        <v>3600</v>
      </c>
      <c r="H125" s="38"/>
      <c r="I125" s="38" t="s">
        <v>51</v>
      </c>
      <c r="J125" s="38" t="s">
        <v>3714</v>
      </c>
      <c r="K125" s="38"/>
      <c r="L125" s="38"/>
      <c r="M125" s="38" t="s">
        <v>3610</v>
      </c>
      <c r="N125" s="38"/>
      <c r="O125" s="38" t="s">
        <v>49</v>
      </c>
      <c r="P125" s="38" t="s">
        <v>50</v>
      </c>
      <c r="Q125" s="40" t="b">
        <f aca="false">FALSE()</f>
        <v>0</v>
      </c>
      <c r="R125" s="40" t="b">
        <f aca="false">FALSE()</f>
        <v>0</v>
      </c>
      <c r="S125" s="40" t="b">
        <f aca="false">FALSE()</f>
        <v>0</v>
      </c>
      <c r="T125" s="40" t="b">
        <f aca="false">FALSE()</f>
        <v>0</v>
      </c>
      <c r="U125" s="40" t="b">
        <f aca="false">TRUE()</f>
        <v>1</v>
      </c>
      <c r="V125" s="38" t="s">
        <v>3701</v>
      </c>
      <c r="W125" s="38" t="s">
        <v>3603</v>
      </c>
      <c r="X125" s="38" t="s">
        <v>3702</v>
      </c>
      <c r="Y125" s="38" t="s">
        <v>3308</v>
      </c>
      <c r="Z125" s="38" t="s">
        <v>3701</v>
      </c>
      <c r="AA125" s="38"/>
      <c r="AB125" s="38" t="s">
        <v>3605</v>
      </c>
      <c r="AC125" s="38" t="s">
        <v>3242</v>
      </c>
      <c r="AD125" s="38"/>
      <c r="AE125" s="38"/>
      <c r="AF125" s="38"/>
      <c r="AG125" s="38" t="s">
        <v>3613</v>
      </c>
      <c r="AH125" s="38" t="s">
        <v>3243</v>
      </c>
      <c r="AI125" s="38" t="s">
        <v>3293</v>
      </c>
      <c r="AJ125" s="38" t="s">
        <v>3251</v>
      </c>
      <c r="AK125" s="38" t="s">
        <v>3246</v>
      </c>
      <c r="AL125" s="38" t="s">
        <v>249</v>
      </c>
      <c r="AM125" s="38"/>
      <c r="AN125" s="38"/>
      <c r="AO125" s="38"/>
    </row>
    <row r="126" customFormat="false" ht="39.55" hidden="false" customHeight="false" outlineLevel="0" collapsed="false">
      <c r="A126" s="38" t="s">
        <v>3597</v>
      </c>
      <c r="B126" s="38" t="s">
        <v>3715</v>
      </c>
      <c r="C126" s="38" t="s">
        <v>3305</v>
      </c>
      <c r="D126" s="38"/>
      <c r="E126" s="38" t="s">
        <v>249</v>
      </c>
      <c r="F126" s="38"/>
      <c r="G126" s="38" t="s">
        <v>3600</v>
      </c>
      <c r="H126" s="38"/>
      <c r="I126" s="38" t="s">
        <v>51</v>
      </c>
      <c r="J126" s="38" t="s">
        <v>3716</v>
      </c>
      <c r="K126" s="38"/>
      <c r="L126" s="38"/>
      <c r="M126" s="38" t="s">
        <v>3623</v>
      </c>
      <c r="N126" s="38"/>
      <c r="O126" s="38" t="s">
        <v>49</v>
      </c>
      <c r="P126" s="38" t="s">
        <v>50</v>
      </c>
      <c r="Q126" s="40" t="b">
        <f aca="false">FALSE()</f>
        <v>0</v>
      </c>
      <c r="R126" s="40" t="b">
        <f aca="false">FALSE()</f>
        <v>0</v>
      </c>
      <c r="S126" s="40" t="b">
        <f aca="false">FALSE()</f>
        <v>0</v>
      </c>
      <c r="T126" s="40" t="b">
        <f aca="false">FALSE()</f>
        <v>0</v>
      </c>
      <c r="U126" s="40" t="b">
        <f aca="false">TRUE()</f>
        <v>1</v>
      </c>
      <c r="V126" s="38" t="s">
        <v>3701</v>
      </c>
      <c r="W126" s="38" t="s">
        <v>3603</v>
      </c>
      <c r="X126" s="38" t="s">
        <v>3702</v>
      </c>
      <c r="Y126" s="38" t="s">
        <v>3308</v>
      </c>
      <c r="Z126" s="38" t="s">
        <v>3701</v>
      </c>
      <c r="AA126" s="38"/>
      <c r="AB126" s="38" t="s">
        <v>3605</v>
      </c>
      <c r="AC126" s="38" t="s">
        <v>3242</v>
      </c>
      <c r="AD126" s="38"/>
      <c r="AE126" s="38"/>
      <c r="AF126" s="38"/>
      <c r="AG126" s="38" t="s">
        <v>3625</v>
      </c>
      <c r="AH126" s="38" t="s">
        <v>3243</v>
      </c>
      <c r="AI126" s="38" t="s">
        <v>3293</v>
      </c>
      <c r="AJ126" s="38" t="s">
        <v>3251</v>
      </c>
      <c r="AK126" s="38" t="s">
        <v>3246</v>
      </c>
      <c r="AL126" s="38" t="s">
        <v>249</v>
      </c>
      <c r="AM126" s="38"/>
      <c r="AN126" s="38"/>
      <c r="AO126" s="38"/>
    </row>
    <row r="127" customFormat="false" ht="39.55" hidden="false" customHeight="false" outlineLevel="0" collapsed="false">
      <c r="A127" s="38" t="s">
        <v>3597</v>
      </c>
      <c r="B127" s="38" t="s">
        <v>3717</v>
      </c>
      <c r="C127" s="38" t="s">
        <v>3608</v>
      </c>
      <c r="D127" s="38"/>
      <c r="E127" s="38" t="s">
        <v>254</v>
      </c>
      <c r="F127" s="38"/>
      <c r="G127" s="38" t="s">
        <v>3600</v>
      </c>
      <c r="H127" s="38"/>
      <c r="I127" s="38" t="s">
        <v>51</v>
      </c>
      <c r="J127" s="38" t="s">
        <v>3718</v>
      </c>
      <c r="K127" s="38"/>
      <c r="L127" s="38"/>
      <c r="M127" s="38" t="s">
        <v>3618</v>
      </c>
      <c r="N127" s="38"/>
      <c r="O127" s="38" t="s">
        <v>49</v>
      </c>
      <c r="P127" s="38" t="s">
        <v>50</v>
      </c>
      <c r="Q127" s="40" t="b">
        <f aca="false">FALSE()</f>
        <v>0</v>
      </c>
      <c r="R127" s="40" t="b">
        <f aca="false">FALSE()</f>
        <v>0</v>
      </c>
      <c r="S127" s="40" t="b">
        <f aca="false">FALSE()</f>
        <v>0</v>
      </c>
      <c r="T127" s="40" t="b">
        <f aca="false">FALSE()</f>
        <v>0</v>
      </c>
      <c r="U127" s="40" t="b">
        <f aca="false">TRUE()</f>
        <v>1</v>
      </c>
      <c r="V127" s="38" t="s">
        <v>3719</v>
      </c>
      <c r="W127" s="38" t="s">
        <v>3603</v>
      </c>
      <c r="X127" s="38" t="s">
        <v>3720</v>
      </c>
      <c r="Y127" s="38" t="s">
        <v>3612</v>
      </c>
      <c r="Z127" s="38" t="s">
        <v>3719</v>
      </c>
      <c r="AA127" s="38"/>
      <c r="AB127" s="38" t="s">
        <v>3605</v>
      </c>
      <c r="AC127" s="38" t="s">
        <v>3242</v>
      </c>
      <c r="AD127" s="38"/>
      <c r="AE127" s="38"/>
      <c r="AF127" s="38"/>
      <c r="AG127" s="38" t="s">
        <v>3620</v>
      </c>
      <c r="AH127" s="38" t="s">
        <v>3243</v>
      </c>
      <c r="AI127" s="38" t="s">
        <v>3293</v>
      </c>
      <c r="AJ127" s="38" t="s">
        <v>3251</v>
      </c>
      <c r="AK127" s="38" t="s">
        <v>3246</v>
      </c>
      <c r="AL127" s="38" t="s">
        <v>254</v>
      </c>
      <c r="AM127" s="38"/>
      <c r="AN127" s="38"/>
      <c r="AO127" s="38"/>
    </row>
    <row r="128" customFormat="false" ht="39.55" hidden="false" customHeight="false" outlineLevel="0" collapsed="false">
      <c r="A128" s="38" t="s">
        <v>3597</v>
      </c>
      <c r="B128" s="38" t="s">
        <v>3721</v>
      </c>
      <c r="C128" s="38" t="s">
        <v>3608</v>
      </c>
      <c r="D128" s="38"/>
      <c r="E128" s="38" t="s">
        <v>254</v>
      </c>
      <c r="F128" s="38"/>
      <c r="G128" s="38" t="s">
        <v>3600</v>
      </c>
      <c r="H128" s="38"/>
      <c r="I128" s="38" t="s">
        <v>51</v>
      </c>
      <c r="J128" s="38" t="s">
        <v>3722</v>
      </c>
      <c r="K128" s="38"/>
      <c r="L128" s="38"/>
      <c r="M128" s="38" t="s">
        <v>3610</v>
      </c>
      <c r="N128" s="38"/>
      <c r="O128" s="38" t="s">
        <v>49</v>
      </c>
      <c r="P128" s="38" t="s">
        <v>50</v>
      </c>
      <c r="Q128" s="40" t="b">
        <f aca="false">FALSE()</f>
        <v>0</v>
      </c>
      <c r="R128" s="40" t="b">
        <f aca="false">FALSE()</f>
        <v>0</v>
      </c>
      <c r="S128" s="40" t="b">
        <f aca="false">FALSE()</f>
        <v>0</v>
      </c>
      <c r="T128" s="40" t="b">
        <f aca="false">FALSE()</f>
        <v>0</v>
      </c>
      <c r="U128" s="40" t="b">
        <f aca="false">TRUE()</f>
        <v>1</v>
      </c>
      <c r="V128" s="38" t="s">
        <v>3719</v>
      </c>
      <c r="W128" s="38" t="s">
        <v>3603</v>
      </c>
      <c r="X128" s="38" t="s">
        <v>3720</v>
      </c>
      <c r="Y128" s="38" t="s">
        <v>3612</v>
      </c>
      <c r="Z128" s="38" t="s">
        <v>3719</v>
      </c>
      <c r="AA128" s="38"/>
      <c r="AB128" s="38" t="s">
        <v>3605</v>
      </c>
      <c r="AC128" s="38" t="s">
        <v>3242</v>
      </c>
      <c r="AD128" s="38"/>
      <c r="AE128" s="38"/>
      <c r="AF128" s="38"/>
      <c r="AG128" s="38" t="s">
        <v>3613</v>
      </c>
      <c r="AH128" s="38" t="s">
        <v>3243</v>
      </c>
      <c r="AI128" s="38" t="s">
        <v>3293</v>
      </c>
      <c r="AJ128" s="38" t="s">
        <v>3251</v>
      </c>
      <c r="AK128" s="38" t="s">
        <v>3246</v>
      </c>
      <c r="AL128" s="38" t="s">
        <v>254</v>
      </c>
      <c r="AM128" s="38"/>
      <c r="AN128" s="38"/>
      <c r="AO128" s="38"/>
    </row>
    <row r="129" customFormat="false" ht="39.55" hidden="false" customHeight="false" outlineLevel="0" collapsed="false">
      <c r="A129" s="38" t="s">
        <v>3597</v>
      </c>
      <c r="B129" s="38" t="s">
        <v>3723</v>
      </c>
      <c r="C129" s="38" t="s">
        <v>3608</v>
      </c>
      <c r="D129" s="38"/>
      <c r="E129" s="38" t="s">
        <v>254</v>
      </c>
      <c r="F129" s="38"/>
      <c r="G129" s="38" t="s">
        <v>3600</v>
      </c>
      <c r="H129" s="38"/>
      <c r="I129" s="38" t="s">
        <v>51</v>
      </c>
      <c r="J129" s="38" t="s">
        <v>3724</v>
      </c>
      <c r="K129" s="38"/>
      <c r="L129" s="38"/>
      <c r="M129" s="38" t="s">
        <v>3623</v>
      </c>
      <c r="N129" s="38"/>
      <c r="O129" s="38" t="s">
        <v>49</v>
      </c>
      <c r="P129" s="38" t="s">
        <v>50</v>
      </c>
      <c r="Q129" s="40" t="b">
        <f aca="false">FALSE()</f>
        <v>0</v>
      </c>
      <c r="R129" s="40" t="b">
        <f aca="false">FALSE()</f>
        <v>0</v>
      </c>
      <c r="S129" s="40" t="b">
        <f aca="false">FALSE()</f>
        <v>0</v>
      </c>
      <c r="T129" s="40" t="b">
        <f aca="false">FALSE()</f>
        <v>0</v>
      </c>
      <c r="U129" s="40" t="b">
        <f aca="false">TRUE()</f>
        <v>1</v>
      </c>
      <c r="V129" s="38" t="s">
        <v>3719</v>
      </c>
      <c r="W129" s="38" t="s">
        <v>3603</v>
      </c>
      <c r="X129" s="38" t="s">
        <v>3720</v>
      </c>
      <c r="Y129" s="38" t="s">
        <v>3612</v>
      </c>
      <c r="Z129" s="38" t="s">
        <v>3719</v>
      </c>
      <c r="AA129" s="38"/>
      <c r="AB129" s="38" t="s">
        <v>3605</v>
      </c>
      <c r="AC129" s="38" t="s">
        <v>3242</v>
      </c>
      <c r="AD129" s="38"/>
      <c r="AE129" s="38"/>
      <c r="AF129" s="38"/>
      <c r="AG129" s="38" t="s">
        <v>3625</v>
      </c>
      <c r="AH129" s="38" t="s">
        <v>3243</v>
      </c>
      <c r="AI129" s="38" t="s">
        <v>3293</v>
      </c>
      <c r="AJ129" s="38" t="s">
        <v>3251</v>
      </c>
      <c r="AK129" s="38" t="s">
        <v>3246</v>
      </c>
      <c r="AL129" s="38" t="s">
        <v>254</v>
      </c>
      <c r="AM129" s="38"/>
      <c r="AN129" s="38"/>
      <c r="AO129" s="38"/>
    </row>
    <row r="130" customFormat="false" ht="39.55" hidden="false" customHeight="false" outlineLevel="0" collapsed="false">
      <c r="A130" s="38" t="s">
        <v>3597</v>
      </c>
      <c r="B130" s="38" t="s">
        <v>3725</v>
      </c>
      <c r="C130" s="38" t="s">
        <v>3299</v>
      </c>
      <c r="D130" s="38"/>
      <c r="E130" s="38" t="s">
        <v>254</v>
      </c>
      <c r="F130" s="38"/>
      <c r="G130" s="38" t="s">
        <v>3600</v>
      </c>
      <c r="H130" s="38"/>
      <c r="I130" s="38" t="s">
        <v>51</v>
      </c>
      <c r="J130" s="38" t="s">
        <v>3726</v>
      </c>
      <c r="K130" s="38"/>
      <c r="L130" s="38"/>
      <c r="M130" s="38" t="s">
        <v>3618</v>
      </c>
      <c r="N130" s="38"/>
      <c r="O130" s="38" t="s">
        <v>49</v>
      </c>
      <c r="P130" s="38" t="s">
        <v>50</v>
      </c>
      <c r="Q130" s="40" t="b">
        <f aca="false">FALSE()</f>
        <v>0</v>
      </c>
      <c r="R130" s="40" t="b">
        <f aca="false">FALSE()</f>
        <v>0</v>
      </c>
      <c r="S130" s="40" t="b">
        <f aca="false">FALSE()</f>
        <v>0</v>
      </c>
      <c r="T130" s="40" t="b">
        <f aca="false">FALSE()</f>
        <v>0</v>
      </c>
      <c r="U130" s="40" t="b">
        <f aca="false">TRUE()</f>
        <v>1</v>
      </c>
      <c r="V130" s="38" t="s">
        <v>3719</v>
      </c>
      <c r="W130" s="38" t="s">
        <v>3603</v>
      </c>
      <c r="X130" s="38" t="s">
        <v>3720</v>
      </c>
      <c r="Y130" s="38" t="s">
        <v>3301</v>
      </c>
      <c r="Z130" s="38" t="s">
        <v>3719</v>
      </c>
      <c r="AA130" s="38"/>
      <c r="AB130" s="38" t="s">
        <v>3605</v>
      </c>
      <c r="AC130" s="38" t="s">
        <v>3242</v>
      </c>
      <c r="AD130" s="38"/>
      <c r="AE130" s="38"/>
      <c r="AF130" s="38"/>
      <c r="AG130" s="38" t="s">
        <v>3620</v>
      </c>
      <c r="AH130" s="38" t="s">
        <v>3243</v>
      </c>
      <c r="AI130" s="38" t="s">
        <v>3293</v>
      </c>
      <c r="AJ130" s="38" t="s">
        <v>3251</v>
      </c>
      <c r="AK130" s="38" t="s">
        <v>3246</v>
      </c>
      <c r="AL130" s="38" t="s">
        <v>254</v>
      </c>
      <c r="AM130" s="38"/>
      <c r="AN130" s="38"/>
      <c r="AO130" s="38"/>
    </row>
    <row r="131" customFormat="false" ht="39.55" hidden="false" customHeight="false" outlineLevel="0" collapsed="false">
      <c r="A131" s="38" t="s">
        <v>3597</v>
      </c>
      <c r="B131" s="38" t="s">
        <v>3727</v>
      </c>
      <c r="C131" s="38" t="s">
        <v>3299</v>
      </c>
      <c r="D131" s="38"/>
      <c r="E131" s="38" t="s">
        <v>254</v>
      </c>
      <c r="F131" s="38"/>
      <c r="G131" s="38" t="s">
        <v>3600</v>
      </c>
      <c r="H131" s="38"/>
      <c r="I131" s="38" t="s">
        <v>51</v>
      </c>
      <c r="J131" s="38" t="s">
        <v>3728</v>
      </c>
      <c r="K131" s="38"/>
      <c r="L131" s="38"/>
      <c r="M131" s="38" t="s">
        <v>3610</v>
      </c>
      <c r="N131" s="38"/>
      <c r="O131" s="38" t="s">
        <v>49</v>
      </c>
      <c r="P131" s="38" t="s">
        <v>50</v>
      </c>
      <c r="Q131" s="40" t="b">
        <f aca="false">FALSE()</f>
        <v>0</v>
      </c>
      <c r="R131" s="40" t="b">
        <f aca="false">FALSE()</f>
        <v>0</v>
      </c>
      <c r="S131" s="40" t="b">
        <f aca="false">FALSE()</f>
        <v>0</v>
      </c>
      <c r="T131" s="40" t="b">
        <f aca="false">FALSE()</f>
        <v>0</v>
      </c>
      <c r="U131" s="40" t="b">
        <f aca="false">TRUE()</f>
        <v>1</v>
      </c>
      <c r="V131" s="38" t="s">
        <v>3719</v>
      </c>
      <c r="W131" s="38" t="s">
        <v>3603</v>
      </c>
      <c r="X131" s="38" t="s">
        <v>3720</v>
      </c>
      <c r="Y131" s="38" t="s">
        <v>3301</v>
      </c>
      <c r="Z131" s="38" t="s">
        <v>3719</v>
      </c>
      <c r="AA131" s="38"/>
      <c r="AB131" s="38" t="s">
        <v>3605</v>
      </c>
      <c r="AC131" s="38" t="s">
        <v>3242</v>
      </c>
      <c r="AD131" s="38"/>
      <c r="AE131" s="38"/>
      <c r="AF131" s="38"/>
      <c r="AG131" s="38" t="s">
        <v>3613</v>
      </c>
      <c r="AH131" s="38" t="s">
        <v>3243</v>
      </c>
      <c r="AI131" s="38" t="s">
        <v>3293</v>
      </c>
      <c r="AJ131" s="38" t="s">
        <v>3251</v>
      </c>
      <c r="AK131" s="38" t="s">
        <v>3246</v>
      </c>
      <c r="AL131" s="38" t="s">
        <v>254</v>
      </c>
      <c r="AM131" s="38"/>
      <c r="AN131" s="38"/>
      <c r="AO131" s="38"/>
    </row>
    <row r="132" customFormat="false" ht="39.55" hidden="false" customHeight="false" outlineLevel="0" collapsed="false">
      <c r="A132" s="38" t="s">
        <v>3597</v>
      </c>
      <c r="B132" s="38" t="s">
        <v>3729</v>
      </c>
      <c r="C132" s="38" t="s">
        <v>3299</v>
      </c>
      <c r="D132" s="38"/>
      <c r="E132" s="38" t="s">
        <v>254</v>
      </c>
      <c r="F132" s="38"/>
      <c r="G132" s="38" t="s">
        <v>3600</v>
      </c>
      <c r="H132" s="38"/>
      <c r="I132" s="38" t="s">
        <v>51</v>
      </c>
      <c r="J132" s="38" t="s">
        <v>3730</v>
      </c>
      <c r="K132" s="38"/>
      <c r="L132" s="38"/>
      <c r="M132" s="38" t="s">
        <v>3623</v>
      </c>
      <c r="N132" s="38"/>
      <c r="O132" s="38" t="s">
        <v>49</v>
      </c>
      <c r="P132" s="38" t="s">
        <v>50</v>
      </c>
      <c r="Q132" s="40" t="b">
        <f aca="false">FALSE()</f>
        <v>0</v>
      </c>
      <c r="R132" s="40" t="b">
        <f aca="false">FALSE()</f>
        <v>0</v>
      </c>
      <c r="S132" s="40" t="b">
        <f aca="false">FALSE()</f>
        <v>0</v>
      </c>
      <c r="T132" s="40" t="b">
        <f aca="false">FALSE()</f>
        <v>0</v>
      </c>
      <c r="U132" s="40" t="b">
        <f aca="false">TRUE()</f>
        <v>1</v>
      </c>
      <c r="V132" s="38" t="s">
        <v>3719</v>
      </c>
      <c r="W132" s="38" t="s">
        <v>3603</v>
      </c>
      <c r="X132" s="38" t="s">
        <v>3720</v>
      </c>
      <c r="Y132" s="38" t="s">
        <v>3301</v>
      </c>
      <c r="Z132" s="38" t="s">
        <v>3719</v>
      </c>
      <c r="AA132" s="38"/>
      <c r="AB132" s="38" t="s">
        <v>3605</v>
      </c>
      <c r="AC132" s="38" t="s">
        <v>3242</v>
      </c>
      <c r="AD132" s="38"/>
      <c r="AE132" s="38"/>
      <c r="AF132" s="38"/>
      <c r="AG132" s="38" t="s">
        <v>3625</v>
      </c>
      <c r="AH132" s="38" t="s">
        <v>3243</v>
      </c>
      <c r="AI132" s="38" t="s">
        <v>3293</v>
      </c>
      <c r="AJ132" s="38" t="s">
        <v>3251</v>
      </c>
      <c r="AK132" s="38" t="s">
        <v>3246</v>
      </c>
      <c r="AL132" s="38" t="s">
        <v>254</v>
      </c>
      <c r="AM132" s="38"/>
      <c r="AN132" s="38"/>
      <c r="AO132" s="38"/>
    </row>
    <row r="133" customFormat="false" ht="39.55" hidden="false" customHeight="false" outlineLevel="0" collapsed="false">
      <c r="A133" s="38" t="s">
        <v>3597</v>
      </c>
      <c r="B133" s="38" t="s">
        <v>3731</v>
      </c>
      <c r="C133" s="38" t="s">
        <v>3385</v>
      </c>
      <c r="D133" s="38"/>
      <c r="E133" s="38" t="s">
        <v>254</v>
      </c>
      <c r="F133" s="38"/>
      <c r="G133" s="38" t="s">
        <v>3600</v>
      </c>
      <c r="H133" s="38"/>
      <c r="I133" s="38" t="s">
        <v>51</v>
      </c>
      <c r="J133" s="38" t="s">
        <v>3732</v>
      </c>
      <c r="K133" s="38"/>
      <c r="L133" s="38"/>
      <c r="M133" s="38" t="s">
        <v>3618</v>
      </c>
      <c r="N133" s="38"/>
      <c r="O133" s="38" t="s">
        <v>49</v>
      </c>
      <c r="P133" s="38" t="s">
        <v>50</v>
      </c>
      <c r="Q133" s="40" t="b">
        <f aca="false">FALSE()</f>
        <v>0</v>
      </c>
      <c r="R133" s="40" t="b">
        <f aca="false">FALSE()</f>
        <v>0</v>
      </c>
      <c r="S133" s="40" t="b">
        <f aca="false">FALSE()</f>
        <v>0</v>
      </c>
      <c r="T133" s="40" t="b">
        <f aca="false">FALSE()</f>
        <v>0</v>
      </c>
      <c r="U133" s="40" t="b">
        <f aca="false">TRUE()</f>
        <v>1</v>
      </c>
      <c r="V133" s="38" t="s">
        <v>3719</v>
      </c>
      <c r="W133" s="38" t="s">
        <v>3603</v>
      </c>
      <c r="X133" s="38" t="s">
        <v>3720</v>
      </c>
      <c r="Y133" s="38" t="s">
        <v>3387</v>
      </c>
      <c r="Z133" s="38" t="s">
        <v>3719</v>
      </c>
      <c r="AA133" s="38"/>
      <c r="AB133" s="38" t="s">
        <v>3605</v>
      </c>
      <c r="AC133" s="38" t="s">
        <v>3242</v>
      </c>
      <c r="AD133" s="38"/>
      <c r="AE133" s="38"/>
      <c r="AF133" s="38"/>
      <c r="AG133" s="38" t="s">
        <v>3620</v>
      </c>
      <c r="AH133" s="38" t="s">
        <v>3243</v>
      </c>
      <c r="AI133" s="38" t="s">
        <v>3293</v>
      </c>
      <c r="AJ133" s="38" t="s">
        <v>3251</v>
      </c>
      <c r="AK133" s="38" t="s">
        <v>3246</v>
      </c>
      <c r="AL133" s="38" t="s">
        <v>254</v>
      </c>
      <c r="AM133" s="38"/>
      <c r="AN133" s="38"/>
      <c r="AO133" s="38"/>
    </row>
    <row r="134" customFormat="false" ht="39.55" hidden="false" customHeight="false" outlineLevel="0" collapsed="false">
      <c r="A134" s="38" t="s">
        <v>3597</v>
      </c>
      <c r="B134" s="38" t="s">
        <v>3733</v>
      </c>
      <c r="C134" s="38" t="s">
        <v>3385</v>
      </c>
      <c r="D134" s="38"/>
      <c r="E134" s="38" t="s">
        <v>254</v>
      </c>
      <c r="F134" s="38"/>
      <c r="G134" s="38" t="s">
        <v>3600</v>
      </c>
      <c r="H134" s="38"/>
      <c r="I134" s="38" t="s">
        <v>51</v>
      </c>
      <c r="J134" s="38" t="s">
        <v>3734</v>
      </c>
      <c r="K134" s="38"/>
      <c r="L134" s="38"/>
      <c r="M134" s="38" t="s">
        <v>3610</v>
      </c>
      <c r="N134" s="38"/>
      <c r="O134" s="38" t="s">
        <v>49</v>
      </c>
      <c r="P134" s="38" t="s">
        <v>50</v>
      </c>
      <c r="Q134" s="40" t="b">
        <f aca="false">FALSE()</f>
        <v>0</v>
      </c>
      <c r="R134" s="40" t="b">
        <f aca="false">FALSE()</f>
        <v>0</v>
      </c>
      <c r="S134" s="40" t="b">
        <f aca="false">FALSE()</f>
        <v>0</v>
      </c>
      <c r="T134" s="40" t="b">
        <f aca="false">FALSE()</f>
        <v>0</v>
      </c>
      <c r="U134" s="40" t="b">
        <f aca="false">TRUE()</f>
        <v>1</v>
      </c>
      <c r="V134" s="38" t="s">
        <v>3719</v>
      </c>
      <c r="W134" s="38" t="s">
        <v>3603</v>
      </c>
      <c r="X134" s="38" t="s">
        <v>3720</v>
      </c>
      <c r="Y134" s="38" t="s">
        <v>3387</v>
      </c>
      <c r="Z134" s="38" t="s">
        <v>3719</v>
      </c>
      <c r="AA134" s="38"/>
      <c r="AB134" s="38" t="s">
        <v>3605</v>
      </c>
      <c r="AC134" s="38" t="s">
        <v>3242</v>
      </c>
      <c r="AD134" s="38"/>
      <c r="AE134" s="38"/>
      <c r="AF134" s="38"/>
      <c r="AG134" s="38" t="s">
        <v>3613</v>
      </c>
      <c r="AH134" s="38" t="s">
        <v>3243</v>
      </c>
      <c r="AI134" s="38" t="s">
        <v>3293</v>
      </c>
      <c r="AJ134" s="38" t="s">
        <v>3251</v>
      </c>
      <c r="AK134" s="38" t="s">
        <v>3246</v>
      </c>
      <c r="AL134" s="38" t="s">
        <v>254</v>
      </c>
      <c r="AM134" s="38"/>
      <c r="AN134" s="38"/>
      <c r="AO134" s="38"/>
    </row>
    <row r="135" customFormat="false" ht="39.55" hidden="false" customHeight="false" outlineLevel="0" collapsed="false">
      <c r="A135" s="38" t="s">
        <v>3597</v>
      </c>
      <c r="B135" s="38" t="s">
        <v>3735</v>
      </c>
      <c r="C135" s="38" t="s">
        <v>3385</v>
      </c>
      <c r="D135" s="38"/>
      <c r="E135" s="38" t="s">
        <v>254</v>
      </c>
      <c r="F135" s="38"/>
      <c r="G135" s="38" t="s">
        <v>3600</v>
      </c>
      <c r="H135" s="38"/>
      <c r="I135" s="38" t="s">
        <v>51</v>
      </c>
      <c r="J135" s="38" t="s">
        <v>3736</v>
      </c>
      <c r="K135" s="38"/>
      <c r="L135" s="38"/>
      <c r="M135" s="38" t="s">
        <v>3623</v>
      </c>
      <c r="N135" s="38"/>
      <c r="O135" s="38" t="s">
        <v>49</v>
      </c>
      <c r="P135" s="38" t="s">
        <v>50</v>
      </c>
      <c r="Q135" s="40" t="b">
        <f aca="false">FALSE()</f>
        <v>0</v>
      </c>
      <c r="R135" s="40" t="b">
        <f aca="false">FALSE()</f>
        <v>0</v>
      </c>
      <c r="S135" s="40" t="b">
        <f aca="false">FALSE()</f>
        <v>0</v>
      </c>
      <c r="T135" s="40" t="b">
        <f aca="false">FALSE()</f>
        <v>0</v>
      </c>
      <c r="U135" s="40" t="b">
        <f aca="false">TRUE()</f>
        <v>1</v>
      </c>
      <c r="V135" s="38" t="s">
        <v>3719</v>
      </c>
      <c r="W135" s="38" t="s">
        <v>3603</v>
      </c>
      <c r="X135" s="38" t="s">
        <v>3720</v>
      </c>
      <c r="Y135" s="38" t="s">
        <v>3387</v>
      </c>
      <c r="Z135" s="38" t="s">
        <v>3719</v>
      </c>
      <c r="AA135" s="38"/>
      <c r="AB135" s="38" t="s">
        <v>3605</v>
      </c>
      <c r="AC135" s="38" t="s">
        <v>3242</v>
      </c>
      <c r="AD135" s="38"/>
      <c r="AE135" s="38"/>
      <c r="AF135" s="38"/>
      <c r="AG135" s="38" t="s">
        <v>3625</v>
      </c>
      <c r="AH135" s="38" t="s">
        <v>3243</v>
      </c>
      <c r="AI135" s="38" t="s">
        <v>3293</v>
      </c>
      <c r="AJ135" s="38" t="s">
        <v>3251</v>
      </c>
      <c r="AK135" s="38" t="s">
        <v>3246</v>
      </c>
      <c r="AL135" s="38" t="s">
        <v>254</v>
      </c>
      <c r="AM135" s="38"/>
      <c r="AN135" s="38"/>
      <c r="AO135" s="38"/>
    </row>
    <row r="136" customFormat="false" ht="39.55" hidden="false" customHeight="false" outlineLevel="0" collapsed="false">
      <c r="A136" s="38" t="s">
        <v>3597</v>
      </c>
      <c r="B136" s="38" t="s">
        <v>3737</v>
      </c>
      <c r="C136" s="38" t="s">
        <v>3305</v>
      </c>
      <c r="D136" s="38"/>
      <c r="E136" s="38" t="s">
        <v>254</v>
      </c>
      <c r="F136" s="38"/>
      <c r="G136" s="38" t="s">
        <v>3600</v>
      </c>
      <c r="H136" s="38"/>
      <c r="I136" s="38" t="s">
        <v>51</v>
      </c>
      <c r="J136" s="38" t="s">
        <v>3738</v>
      </c>
      <c r="K136" s="38"/>
      <c r="L136" s="38"/>
      <c r="M136" s="38" t="s">
        <v>3618</v>
      </c>
      <c r="N136" s="38"/>
      <c r="O136" s="38" t="s">
        <v>49</v>
      </c>
      <c r="P136" s="38" t="s">
        <v>50</v>
      </c>
      <c r="Q136" s="40" t="b">
        <f aca="false">FALSE()</f>
        <v>0</v>
      </c>
      <c r="R136" s="40" t="b">
        <f aca="false">FALSE()</f>
        <v>0</v>
      </c>
      <c r="S136" s="40" t="b">
        <f aca="false">FALSE()</f>
        <v>0</v>
      </c>
      <c r="T136" s="40" t="b">
        <f aca="false">FALSE()</f>
        <v>0</v>
      </c>
      <c r="U136" s="40" t="b">
        <f aca="false">TRUE()</f>
        <v>1</v>
      </c>
      <c r="V136" s="38" t="s">
        <v>3719</v>
      </c>
      <c r="W136" s="38" t="s">
        <v>3603</v>
      </c>
      <c r="X136" s="38" t="s">
        <v>3720</v>
      </c>
      <c r="Y136" s="38" t="s">
        <v>3308</v>
      </c>
      <c r="Z136" s="38" t="s">
        <v>3719</v>
      </c>
      <c r="AA136" s="38"/>
      <c r="AB136" s="38" t="s">
        <v>3605</v>
      </c>
      <c r="AC136" s="38" t="s">
        <v>3242</v>
      </c>
      <c r="AD136" s="38"/>
      <c r="AE136" s="38"/>
      <c r="AF136" s="38"/>
      <c r="AG136" s="38" t="s">
        <v>3620</v>
      </c>
      <c r="AH136" s="38" t="s">
        <v>3243</v>
      </c>
      <c r="AI136" s="38" t="s">
        <v>3293</v>
      </c>
      <c r="AJ136" s="38" t="s">
        <v>3251</v>
      </c>
      <c r="AK136" s="38" t="s">
        <v>3246</v>
      </c>
      <c r="AL136" s="38" t="s">
        <v>254</v>
      </c>
      <c r="AM136" s="38"/>
      <c r="AN136" s="38"/>
      <c r="AO136" s="38"/>
    </row>
    <row r="137" customFormat="false" ht="39.55" hidden="false" customHeight="false" outlineLevel="0" collapsed="false">
      <c r="A137" s="38" t="s">
        <v>3597</v>
      </c>
      <c r="B137" s="38" t="s">
        <v>3739</v>
      </c>
      <c r="C137" s="38" t="s">
        <v>3305</v>
      </c>
      <c r="D137" s="38"/>
      <c r="E137" s="38" t="s">
        <v>254</v>
      </c>
      <c r="F137" s="38"/>
      <c r="G137" s="38" t="s">
        <v>3600</v>
      </c>
      <c r="H137" s="38"/>
      <c r="I137" s="38" t="s">
        <v>51</v>
      </c>
      <c r="J137" s="38" t="s">
        <v>3740</v>
      </c>
      <c r="K137" s="38"/>
      <c r="L137" s="38"/>
      <c r="M137" s="38" t="s">
        <v>3610</v>
      </c>
      <c r="N137" s="38"/>
      <c r="O137" s="38" t="s">
        <v>49</v>
      </c>
      <c r="P137" s="38" t="s">
        <v>50</v>
      </c>
      <c r="Q137" s="40" t="b">
        <f aca="false">FALSE()</f>
        <v>0</v>
      </c>
      <c r="R137" s="40" t="b">
        <f aca="false">FALSE()</f>
        <v>0</v>
      </c>
      <c r="S137" s="40" t="b">
        <f aca="false">FALSE()</f>
        <v>0</v>
      </c>
      <c r="T137" s="40" t="b">
        <f aca="false">FALSE()</f>
        <v>0</v>
      </c>
      <c r="U137" s="40" t="b">
        <f aca="false">TRUE()</f>
        <v>1</v>
      </c>
      <c r="V137" s="38" t="s">
        <v>3719</v>
      </c>
      <c r="W137" s="38" t="s">
        <v>3603</v>
      </c>
      <c r="X137" s="38" t="s">
        <v>3720</v>
      </c>
      <c r="Y137" s="38" t="s">
        <v>3308</v>
      </c>
      <c r="Z137" s="38" t="s">
        <v>3719</v>
      </c>
      <c r="AA137" s="38"/>
      <c r="AB137" s="38" t="s">
        <v>3605</v>
      </c>
      <c r="AC137" s="38" t="s">
        <v>3242</v>
      </c>
      <c r="AD137" s="38"/>
      <c r="AE137" s="38"/>
      <c r="AF137" s="38"/>
      <c r="AG137" s="38" t="s">
        <v>3613</v>
      </c>
      <c r="AH137" s="38" t="s">
        <v>3243</v>
      </c>
      <c r="AI137" s="38" t="s">
        <v>3293</v>
      </c>
      <c r="AJ137" s="38" t="s">
        <v>3251</v>
      </c>
      <c r="AK137" s="38" t="s">
        <v>3246</v>
      </c>
      <c r="AL137" s="38" t="s">
        <v>254</v>
      </c>
      <c r="AM137" s="38"/>
      <c r="AN137" s="38"/>
      <c r="AO137" s="38"/>
    </row>
    <row r="138" customFormat="false" ht="39.55" hidden="false" customHeight="false" outlineLevel="0" collapsed="false">
      <c r="A138" s="38" t="s">
        <v>3597</v>
      </c>
      <c r="B138" s="38" t="s">
        <v>3741</v>
      </c>
      <c r="C138" s="38" t="s">
        <v>3305</v>
      </c>
      <c r="D138" s="38"/>
      <c r="E138" s="38" t="s">
        <v>254</v>
      </c>
      <c r="F138" s="38"/>
      <c r="G138" s="38" t="s">
        <v>3600</v>
      </c>
      <c r="H138" s="38"/>
      <c r="I138" s="38" t="s">
        <v>51</v>
      </c>
      <c r="J138" s="38" t="s">
        <v>3742</v>
      </c>
      <c r="K138" s="38"/>
      <c r="L138" s="38"/>
      <c r="M138" s="38" t="s">
        <v>3623</v>
      </c>
      <c r="N138" s="38"/>
      <c r="O138" s="38" t="s">
        <v>49</v>
      </c>
      <c r="P138" s="38" t="s">
        <v>50</v>
      </c>
      <c r="Q138" s="40" t="b">
        <f aca="false">FALSE()</f>
        <v>0</v>
      </c>
      <c r="R138" s="40" t="b">
        <f aca="false">FALSE()</f>
        <v>0</v>
      </c>
      <c r="S138" s="40" t="b">
        <f aca="false">FALSE()</f>
        <v>0</v>
      </c>
      <c r="T138" s="40" t="b">
        <f aca="false">FALSE()</f>
        <v>0</v>
      </c>
      <c r="U138" s="40" t="b">
        <f aca="false">TRUE()</f>
        <v>1</v>
      </c>
      <c r="V138" s="38" t="s">
        <v>3719</v>
      </c>
      <c r="W138" s="38" t="s">
        <v>3603</v>
      </c>
      <c r="X138" s="38" t="s">
        <v>3720</v>
      </c>
      <c r="Y138" s="38" t="s">
        <v>3308</v>
      </c>
      <c r="Z138" s="38" t="s">
        <v>3719</v>
      </c>
      <c r="AA138" s="38"/>
      <c r="AB138" s="38" t="s">
        <v>3605</v>
      </c>
      <c r="AC138" s="38" t="s">
        <v>3242</v>
      </c>
      <c r="AD138" s="38"/>
      <c r="AE138" s="38"/>
      <c r="AF138" s="38"/>
      <c r="AG138" s="38" t="s">
        <v>3625</v>
      </c>
      <c r="AH138" s="38" t="s">
        <v>3243</v>
      </c>
      <c r="AI138" s="38" t="s">
        <v>3293</v>
      </c>
      <c r="AJ138" s="38" t="s">
        <v>3251</v>
      </c>
      <c r="AK138" s="38" t="s">
        <v>3246</v>
      </c>
      <c r="AL138" s="38" t="s">
        <v>254</v>
      </c>
      <c r="AM138" s="38"/>
      <c r="AN138" s="38"/>
      <c r="AO138" s="38"/>
    </row>
    <row r="139" customFormat="false" ht="39.55" hidden="false" customHeight="false" outlineLevel="0" collapsed="false">
      <c r="A139" s="38" t="s">
        <v>3597</v>
      </c>
      <c r="B139" s="38" t="s">
        <v>3743</v>
      </c>
      <c r="C139" s="38"/>
      <c r="D139" s="38"/>
      <c r="E139" s="38" t="s">
        <v>3352</v>
      </c>
      <c r="F139" s="38"/>
      <c r="G139" s="38" t="s">
        <v>3600</v>
      </c>
      <c r="H139" s="38"/>
      <c r="I139" s="38" t="s">
        <v>3551</v>
      </c>
      <c r="J139" s="38" t="s">
        <v>3744</v>
      </c>
      <c r="K139" s="38"/>
      <c r="L139" s="38"/>
      <c r="M139" s="38"/>
      <c r="N139" s="38"/>
      <c r="O139" s="38" t="s">
        <v>49</v>
      </c>
      <c r="P139" s="38" t="s">
        <v>50</v>
      </c>
      <c r="Q139" s="40" t="b">
        <f aca="false">FALSE()</f>
        <v>0</v>
      </c>
      <c r="R139" s="40" t="b">
        <f aca="false">FALSE()</f>
        <v>0</v>
      </c>
      <c r="S139" s="40" t="b">
        <f aca="false">FALSE()</f>
        <v>0</v>
      </c>
      <c r="T139" s="40" t="b">
        <f aca="false">FALSE()</f>
        <v>0</v>
      </c>
      <c r="U139" s="40" t="b">
        <f aca="false">TRUE()</f>
        <v>1</v>
      </c>
      <c r="V139" s="38" t="s">
        <v>3354</v>
      </c>
      <c r="W139" s="38" t="s">
        <v>3603</v>
      </c>
      <c r="X139" s="38" t="s">
        <v>3745</v>
      </c>
      <c r="Y139" s="38"/>
      <c r="Z139" s="38" t="s">
        <v>3354</v>
      </c>
      <c r="AA139" s="38"/>
      <c r="AB139" s="38" t="s">
        <v>3605</v>
      </c>
      <c r="AC139" s="38" t="s">
        <v>3553</v>
      </c>
      <c r="AD139" s="38"/>
      <c r="AE139" s="38"/>
      <c r="AF139" s="38"/>
      <c r="AG139" s="38"/>
      <c r="AH139" s="38" t="s">
        <v>3243</v>
      </c>
      <c r="AI139" s="38" t="s">
        <v>3293</v>
      </c>
      <c r="AJ139" s="38" t="s">
        <v>3746</v>
      </c>
      <c r="AK139" s="38" t="s">
        <v>3246</v>
      </c>
      <c r="AL139" s="38" t="s">
        <v>3352</v>
      </c>
      <c r="AM139" s="38"/>
      <c r="AN139" s="38"/>
      <c r="AO139" s="38"/>
    </row>
    <row r="140" customFormat="false" ht="39.55" hidden="false" customHeight="false" outlineLevel="0" collapsed="false">
      <c r="A140" s="38" t="s">
        <v>370</v>
      </c>
      <c r="B140" s="38" t="s">
        <v>3747</v>
      </c>
      <c r="C140" s="38" t="s">
        <v>3299</v>
      </c>
      <c r="D140" s="38"/>
      <c r="E140" s="38" t="s">
        <v>371</v>
      </c>
      <c r="F140" s="42" t="n">
        <v>0.32</v>
      </c>
      <c r="G140" s="38" t="s">
        <v>52</v>
      </c>
      <c r="H140" s="38"/>
      <c r="I140" s="38" t="s">
        <v>51</v>
      </c>
      <c r="J140" s="38" t="s">
        <v>3748</v>
      </c>
      <c r="K140" s="38"/>
      <c r="L140" s="38"/>
      <c r="M140" s="38"/>
      <c r="N140" s="38"/>
      <c r="O140" s="38" t="s">
        <v>3285</v>
      </c>
      <c r="P140" s="38" t="s">
        <v>3235</v>
      </c>
      <c r="Q140" s="40" t="b">
        <f aca="false">FALSE()</f>
        <v>0</v>
      </c>
      <c r="R140" s="40" t="b">
        <f aca="false">FALSE()</f>
        <v>0</v>
      </c>
      <c r="S140" s="40" t="b">
        <f aca="false">FALSE()</f>
        <v>0</v>
      </c>
      <c r="T140" s="40" t="b">
        <f aca="false">FALSE()</f>
        <v>0</v>
      </c>
      <c r="U140" s="40" t="b">
        <f aca="false">TRUE()</f>
        <v>1</v>
      </c>
      <c r="V140" s="38" t="s">
        <v>3749</v>
      </c>
      <c r="W140" s="38" t="s">
        <v>3750</v>
      </c>
      <c r="X140" s="38" t="s">
        <v>3751</v>
      </c>
      <c r="Y140" s="38" t="s">
        <v>3301</v>
      </c>
      <c r="Z140" s="38" t="s">
        <v>3749</v>
      </c>
      <c r="AA140" s="38" t="s">
        <v>3752</v>
      </c>
      <c r="AB140" s="38" t="s">
        <v>3241</v>
      </c>
      <c r="AC140" s="38" t="s">
        <v>3242</v>
      </c>
      <c r="AD140" s="38"/>
      <c r="AE140" s="38"/>
      <c r="AF140" s="38"/>
      <c r="AG140" s="38"/>
      <c r="AH140" s="38" t="s">
        <v>3292</v>
      </c>
      <c r="AI140" s="38" t="s">
        <v>3244</v>
      </c>
      <c r="AJ140" s="38" t="s">
        <v>3251</v>
      </c>
      <c r="AK140" s="38" t="s">
        <v>3246</v>
      </c>
      <c r="AL140" s="38" t="s">
        <v>371</v>
      </c>
      <c r="AM140" s="38"/>
      <c r="AN140" s="38"/>
      <c r="AO140" s="38"/>
    </row>
    <row r="141" customFormat="false" ht="39.55" hidden="false" customHeight="false" outlineLevel="0" collapsed="false">
      <c r="A141" s="38" t="s">
        <v>3753</v>
      </c>
      <c r="B141" s="38" t="s">
        <v>3754</v>
      </c>
      <c r="C141" s="38" t="s">
        <v>3755</v>
      </c>
      <c r="D141" s="38"/>
      <c r="E141" s="38" t="s">
        <v>3756</v>
      </c>
      <c r="F141" s="38" t="s">
        <v>310</v>
      </c>
      <c r="G141" s="38" t="s">
        <v>52</v>
      </c>
      <c r="H141" s="38"/>
      <c r="I141" s="38" t="s">
        <v>51</v>
      </c>
      <c r="J141" s="38" t="s">
        <v>3757</v>
      </c>
      <c r="K141" s="38" t="s">
        <v>3758</v>
      </c>
      <c r="L141" s="38"/>
      <c r="M141" s="38"/>
      <c r="N141" s="38"/>
      <c r="O141" s="38" t="s">
        <v>49</v>
      </c>
      <c r="P141" s="38" t="s">
        <v>50</v>
      </c>
      <c r="Q141" s="40" t="b">
        <f aca="false">FALSE()</f>
        <v>0</v>
      </c>
      <c r="R141" s="40" t="b">
        <f aca="false">FALSE()</f>
        <v>0</v>
      </c>
      <c r="S141" s="40" t="b">
        <f aca="false">FALSE()</f>
        <v>0</v>
      </c>
      <c r="T141" s="40" t="b">
        <f aca="false">FALSE()</f>
        <v>0</v>
      </c>
      <c r="U141" s="40" t="b">
        <f aca="false">TRUE()</f>
        <v>1</v>
      </c>
      <c r="V141" s="38" t="s">
        <v>3759</v>
      </c>
      <c r="W141" s="38" t="s">
        <v>3760</v>
      </c>
      <c r="X141" s="38" t="s">
        <v>3761</v>
      </c>
      <c r="Y141" s="38" t="s">
        <v>3762</v>
      </c>
      <c r="Z141" s="38" t="s">
        <v>3759</v>
      </c>
      <c r="AA141" s="38" t="s">
        <v>3763</v>
      </c>
      <c r="AB141" s="38" t="s">
        <v>3241</v>
      </c>
      <c r="AC141" s="38" t="s">
        <v>3242</v>
      </c>
      <c r="AD141" s="38"/>
      <c r="AE141" s="38" t="s">
        <v>3764</v>
      </c>
      <c r="AF141" s="38"/>
      <c r="AG141" s="38"/>
      <c r="AH141" s="38" t="s">
        <v>3243</v>
      </c>
      <c r="AI141" s="38" t="s">
        <v>3293</v>
      </c>
      <c r="AJ141" s="38" t="s">
        <v>3251</v>
      </c>
      <c r="AK141" s="38" t="s">
        <v>3246</v>
      </c>
      <c r="AL141" s="38" t="s">
        <v>3756</v>
      </c>
      <c r="AM141" s="38"/>
      <c r="AN141" s="38"/>
      <c r="AO141" s="38"/>
    </row>
    <row r="142" customFormat="false" ht="39.55" hidden="false" customHeight="false" outlineLevel="0" collapsed="false">
      <c r="A142" s="38" t="s">
        <v>3753</v>
      </c>
      <c r="B142" s="38" t="s">
        <v>3765</v>
      </c>
      <c r="C142" s="38" t="s">
        <v>185</v>
      </c>
      <c r="D142" s="38"/>
      <c r="E142" s="38" t="s">
        <v>3756</v>
      </c>
      <c r="F142" s="38" t="s">
        <v>310</v>
      </c>
      <c r="G142" s="38" t="s">
        <v>52</v>
      </c>
      <c r="H142" s="38"/>
      <c r="I142" s="38" t="s">
        <v>51</v>
      </c>
      <c r="J142" s="38" t="s">
        <v>3766</v>
      </c>
      <c r="K142" s="38" t="s">
        <v>3758</v>
      </c>
      <c r="L142" s="38"/>
      <c r="M142" s="38"/>
      <c r="N142" s="38"/>
      <c r="O142" s="38" t="s">
        <v>49</v>
      </c>
      <c r="P142" s="38" t="s">
        <v>3235</v>
      </c>
      <c r="Q142" s="40" t="b">
        <f aca="false">FALSE()</f>
        <v>0</v>
      </c>
      <c r="R142" s="40" t="b">
        <f aca="false">FALSE()</f>
        <v>0</v>
      </c>
      <c r="S142" s="40" t="b">
        <f aca="false">FALSE()</f>
        <v>0</v>
      </c>
      <c r="T142" s="40" t="b">
        <f aca="false">FALSE()</f>
        <v>0</v>
      </c>
      <c r="U142" s="40" t="b">
        <f aca="false">TRUE()</f>
        <v>1</v>
      </c>
      <c r="V142" s="38" t="s">
        <v>3759</v>
      </c>
      <c r="W142" s="38" t="s">
        <v>3760</v>
      </c>
      <c r="X142" s="38" t="s">
        <v>3761</v>
      </c>
      <c r="Y142" s="38" t="s">
        <v>3239</v>
      </c>
      <c r="Z142" s="38" t="s">
        <v>3759</v>
      </c>
      <c r="AA142" s="38" t="s">
        <v>3763</v>
      </c>
      <c r="AB142" s="38" t="s">
        <v>3241</v>
      </c>
      <c r="AC142" s="38" t="s">
        <v>3242</v>
      </c>
      <c r="AD142" s="38"/>
      <c r="AE142" s="38" t="s">
        <v>3764</v>
      </c>
      <c r="AF142" s="38"/>
      <c r="AG142" s="38"/>
      <c r="AH142" s="38" t="s">
        <v>3243</v>
      </c>
      <c r="AI142" s="38" t="s">
        <v>3244</v>
      </c>
      <c r="AJ142" s="38" t="s">
        <v>3251</v>
      </c>
      <c r="AK142" s="38" t="s">
        <v>3246</v>
      </c>
      <c r="AL142" s="38" t="s">
        <v>3756</v>
      </c>
      <c r="AM142" s="38"/>
      <c r="AN142" s="38"/>
      <c r="AO142" s="38"/>
    </row>
    <row r="143" customFormat="false" ht="39.55" hidden="false" customHeight="false" outlineLevel="0" collapsed="false">
      <c r="A143" s="38" t="s">
        <v>3753</v>
      </c>
      <c r="B143" s="38" t="s">
        <v>3767</v>
      </c>
      <c r="C143" s="38" t="s">
        <v>185</v>
      </c>
      <c r="D143" s="38"/>
      <c r="E143" s="38" t="s">
        <v>3756</v>
      </c>
      <c r="F143" s="38" t="s">
        <v>310</v>
      </c>
      <c r="G143" s="38" t="s">
        <v>52</v>
      </c>
      <c r="H143" s="38"/>
      <c r="I143" s="38" t="s">
        <v>51</v>
      </c>
      <c r="J143" s="38" t="s">
        <v>3768</v>
      </c>
      <c r="K143" s="38" t="s">
        <v>3769</v>
      </c>
      <c r="L143" s="38"/>
      <c r="M143" s="38"/>
      <c r="N143" s="38"/>
      <c r="O143" s="38" t="s">
        <v>49</v>
      </c>
      <c r="P143" s="38" t="s">
        <v>3235</v>
      </c>
      <c r="Q143" s="40" t="b">
        <f aca="false">FALSE()</f>
        <v>0</v>
      </c>
      <c r="R143" s="40" t="b">
        <f aca="false">FALSE()</f>
        <v>0</v>
      </c>
      <c r="S143" s="40" t="b">
        <f aca="false">FALSE()</f>
        <v>0</v>
      </c>
      <c r="T143" s="40" t="b">
        <f aca="false">FALSE()</f>
        <v>0</v>
      </c>
      <c r="U143" s="40" t="b">
        <f aca="false">TRUE()</f>
        <v>1</v>
      </c>
      <c r="V143" s="38" t="s">
        <v>3759</v>
      </c>
      <c r="W143" s="38" t="s">
        <v>3760</v>
      </c>
      <c r="X143" s="38" t="s">
        <v>3761</v>
      </c>
      <c r="Y143" s="38" t="s">
        <v>3239</v>
      </c>
      <c r="Z143" s="38" t="s">
        <v>3759</v>
      </c>
      <c r="AA143" s="38" t="s">
        <v>3763</v>
      </c>
      <c r="AB143" s="38" t="s">
        <v>3241</v>
      </c>
      <c r="AC143" s="38" t="s">
        <v>3242</v>
      </c>
      <c r="AD143" s="38"/>
      <c r="AE143" s="38" t="s">
        <v>3770</v>
      </c>
      <c r="AF143" s="38"/>
      <c r="AG143" s="38"/>
      <c r="AH143" s="38" t="s">
        <v>3243</v>
      </c>
      <c r="AI143" s="38" t="s">
        <v>3244</v>
      </c>
      <c r="AJ143" s="38" t="s">
        <v>3251</v>
      </c>
      <c r="AK143" s="38" t="s">
        <v>3246</v>
      </c>
      <c r="AL143" s="38" t="s">
        <v>3756</v>
      </c>
      <c r="AM143" s="38"/>
      <c r="AN143" s="38"/>
      <c r="AO143" s="38"/>
    </row>
    <row r="144" customFormat="false" ht="39.55" hidden="false" customHeight="false" outlineLevel="0" collapsed="false">
      <c r="A144" s="38" t="s">
        <v>3753</v>
      </c>
      <c r="B144" s="38" t="s">
        <v>3771</v>
      </c>
      <c r="C144" s="38" t="s">
        <v>3772</v>
      </c>
      <c r="D144" s="38"/>
      <c r="E144" s="38" t="s">
        <v>3756</v>
      </c>
      <c r="F144" s="38" t="s">
        <v>349</v>
      </c>
      <c r="G144" s="38" t="s">
        <v>52</v>
      </c>
      <c r="H144" s="38"/>
      <c r="I144" s="38" t="s">
        <v>51</v>
      </c>
      <c r="J144" s="38" t="s">
        <v>3773</v>
      </c>
      <c r="K144" s="38" t="s">
        <v>3758</v>
      </c>
      <c r="L144" s="38"/>
      <c r="M144" s="38"/>
      <c r="N144" s="38"/>
      <c r="O144" s="38" t="s">
        <v>49</v>
      </c>
      <c r="P144" s="38" t="s">
        <v>50</v>
      </c>
      <c r="Q144" s="40" t="b">
        <f aca="false">FALSE()</f>
        <v>0</v>
      </c>
      <c r="R144" s="40" t="b">
        <f aca="false">FALSE()</f>
        <v>0</v>
      </c>
      <c r="S144" s="40" t="b">
        <f aca="false">FALSE()</f>
        <v>0</v>
      </c>
      <c r="T144" s="40" t="b">
        <f aca="false">FALSE()</f>
        <v>0</v>
      </c>
      <c r="U144" s="40" t="b">
        <f aca="false">TRUE()</f>
        <v>1</v>
      </c>
      <c r="V144" s="38" t="s">
        <v>3759</v>
      </c>
      <c r="W144" s="38" t="s">
        <v>3760</v>
      </c>
      <c r="X144" s="38" t="s">
        <v>3761</v>
      </c>
      <c r="Y144" s="38" t="s">
        <v>3774</v>
      </c>
      <c r="Z144" s="38" t="s">
        <v>3759</v>
      </c>
      <c r="AA144" s="38" t="s">
        <v>3775</v>
      </c>
      <c r="AB144" s="38" t="s">
        <v>3241</v>
      </c>
      <c r="AC144" s="38" t="s">
        <v>3242</v>
      </c>
      <c r="AD144" s="38"/>
      <c r="AE144" s="38" t="s">
        <v>3764</v>
      </c>
      <c r="AF144" s="38"/>
      <c r="AG144" s="38"/>
      <c r="AH144" s="38" t="s">
        <v>3243</v>
      </c>
      <c r="AI144" s="38" t="s">
        <v>3293</v>
      </c>
      <c r="AJ144" s="38" t="s">
        <v>3251</v>
      </c>
      <c r="AK144" s="38" t="s">
        <v>3246</v>
      </c>
      <c r="AL144" s="38" t="s">
        <v>3756</v>
      </c>
      <c r="AM144" s="38"/>
      <c r="AN144" s="38"/>
      <c r="AO144" s="38"/>
    </row>
    <row r="145" customFormat="false" ht="39.55" hidden="false" customHeight="false" outlineLevel="0" collapsed="false">
      <c r="A145" s="38" t="s">
        <v>3753</v>
      </c>
      <c r="B145" s="38" t="s">
        <v>3776</v>
      </c>
      <c r="C145" s="38" t="s">
        <v>3772</v>
      </c>
      <c r="D145" s="38"/>
      <c r="E145" s="38" t="s">
        <v>3756</v>
      </c>
      <c r="F145" s="38" t="s">
        <v>349</v>
      </c>
      <c r="G145" s="38" t="s">
        <v>52</v>
      </c>
      <c r="H145" s="38"/>
      <c r="I145" s="38" t="s">
        <v>51</v>
      </c>
      <c r="J145" s="38" t="s">
        <v>3777</v>
      </c>
      <c r="K145" s="38" t="s">
        <v>3769</v>
      </c>
      <c r="L145" s="38"/>
      <c r="M145" s="38"/>
      <c r="N145" s="38"/>
      <c r="O145" s="38" t="s">
        <v>49</v>
      </c>
      <c r="P145" s="38" t="s">
        <v>50</v>
      </c>
      <c r="Q145" s="40" t="b">
        <f aca="false">FALSE()</f>
        <v>0</v>
      </c>
      <c r="R145" s="40" t="b">
        <f aca="false">FALSE()</f>
        <v>0</v>
      </c>
      <c r="S145" s="40" t="b">
        <f aca="false">FALSE()</f>
        <v>0</v>
      </c>
      <c r="T145" s="40" t="b">
        <f aca="false">FALSE()</f>
        <v>0</v>
      </c>
      <c r="U145" s="40" t="b">
        <f aca="false">TRUE()</f>
        <v>1</v>
      </c>
      <c r="V145" s="38" t="s">
        <v>3759</v>
      </c>
      <c r="W145" s="38" t="s">
        <v>3760</v>
      </c>
      <c r="X145" s="38" t="s">
        <v>3761</v>
      </c>
      <c r="Y145" s="38" t="s">
        <v>3774</v>
      </c>
      <c r="Z145" s="38" t="s">
        <v>3759</v>
      </c>
      <c r="AA145" s="38" t="s">
        <v>3775</v>
      </c>
      <c r="AB145" s="38" t="s">
        <v>3241</v>
      </c>
      <c r="AC145" s="38" t="s">
        <v>3242</v>
      </c>
      <c r="AD145" s="38"/>
      <c r="AE145" s="38" t="s">
        <v>3770</v>
      </c>
      <c r="AF145" s="38"/>
      <c r="AG145" s="38"/>
      <c r="AH145" s="38" t="s">
        <v>3243</v>
      </c>
      <c r="AI145" s="38" t="s">
        <v>3293</v>
      </c>
      <c r="AJ145" s="38" t="s">
        <v>3251</v>
      </c>
      <c r="AK145" s="38" t="s">
        <v>3246</v>
      </c>
      <c r="AL145" s="38" t="s">
        <v>3756</v>
      </c>
      <c r="AM145" s="38"/>
      <c r="AN145" s="38"/>
      <c r="AO145" s="38"/>
    </row>
    <row r="146" customFormat="false" ht="39.55" hidden="false" customHeight="false" outlineLevel="0" collapsed="false">
      <c r="A146" s="38" t="s">
        <v>3753</v>
      </c>
      <c r="B146" s="38" t="s">
        <v>3778</v>
      </c>
      <c r="C146" s="38" t="s">
        <v>3772</v>
      </c>
      <c r="D146" s="38"/>
      <c r="E146" s="38" t="s">
        <v>3756</v>
      </c>
      <c r="F146" s="38" t="s">
        <v>349</v>
      </c>
      <c r="G146" s="38" t="s">
        <v>52</v>
      </c>
      <c r="H146" s="38"/>
      <c r="I146" s="38" t="s">
        <v>51</v>
      </c>
      <c r="J146" s="38" t="s">
        <v>3779</v>
      </c>
      <c r="K146" s="38" t="s">
        <v>3780</v>
      </c>
      <c r="L146" s="38"/>
      <c r="M146" s="38"/>
      <c r="N146" s="38"/>
      <c r="O146" s="38" t="s">
        <v>49</v>
      </c>
      <c r="P146" s="38" t="s">
        <v>50</v>
      </c>
      <c r="Q146" s="40" t="b">
        <f aca="false">FALSE()</f>
        <v>0</v>
      </c>
      <c r="R146" s="40" t="b">
        <f aca="false">FALSE()</f>
        <v>0</v>
      </c>
      <c r="S146" s="40" t="b">
        <f aca="false">FALSE()</f>
        <v>0</v>
      </c>
      <c r="T146" s="40" t="b">
        <f aca="false">FALSE()</f>
        <v>0</v>
      </c>
      <c r="U146" s="40" t="b">
        <f aca="false">TRUE()</f>
        <v>1</v>
      </c>
      <c r="V146" s="38" t="s">
        <v>3759</v>
      </c>
      <c r="W146" s="38" t="s">
        <v>3760</v>
      </c>
      <c r="X146" s="38" t="s">
        <v>3761</v>
      </c>
      <c r="Y146" s="38" t="s">
        <v>3774</v>
      </c>
      <c r="Z146" s="38" t="s">
        <v>3759</v>
      </c>
      <c r="AA146" s="38" t="s">
        <v>3775</v>
      </c>
      <c r="AB146" s="38" t="s">
        <v>3241</v>
      </c>
      <c r="AC146" s="38" t="s">
        <v>3242</v>
      </c>
      <c r="AD146" s="38"/>
      <c r="AE146" s="38" t="s">
        <v>3781</v>
      </c>
      <c r="AF146" s="38"/>
      <c r="AG146" s="38"/>
      <c r="AH146" s="38" t="s">
        <v>3243</v>
      </c>
      <c r="AI146" s="38" t="s">
        <v>3293</v>
      </c>
      <c r="AJ146" s="38" t="s">
        <v>3251</v>
      </c>
      <c r="AK146" s="38" t="s">
        <v>3246</v>
      </c>
      <c r="AL146" s="38" t="s">
        <v>3756</v>
      </c>
      <c r="AM146" s="38"/>
      <c r="AN146" s="38"/>
      <c r="AO146" s="38"/>
    </row>
    <row r="147" customFormat="false" ht="39.55" hidden="false" customHeight="false" outlineLevel="0" collapsed="false">
      <c r="A147" s="38" t="s">
        <v>3753</v>
      </c>
      <c r="B147" s="38" t="s">
        <v>3782</v>
      </c>
      <c r="C147" s="38" t="s">
        <v>3772</v>
      </c>
      <c r="D147" s="38"/>
      <c r="E147" s="38" t="s">
        <v>3756</v>
      </c>
      <c r="F147" s="38" t="s">
        <v>310</v>
      </c>
      <c r="G147" s="38" t="s">
        <v>52</v>
      </c>
      <c r="H147" s="38"/>
      <c r="I147" s="38" t="s">
        <v>51</v>
      </c>
      <c r="J147" s="38" t="s">
        <v>3783</v>
      </c>
      <c r="K147" s="38" t="s">
        <v>3758</v>
      </c>
      <c r="L147" s="38"/>
      <c r="M147" s="38"/>
      <c r="N147" s="38"/>
      <c r="O147" s="38" t="s">
        <v>49</v>
      </c>
      <c r="P147" s="38" t="s">
        <v>50</v>
      </c>
      <c r="Q147" s="40" t="b">
        <f aca="false">FALSE()</f>
        <v>0</v>
      </c>
      <c r="R147" s="40" t="b">
        <f aca="false">FALSE()</f>
        <v>0</v>
      </c>
      <c r="S147" s="40" t="b">
        <f aca="false">FALSE()</f>
        <v>0</v>
      </c>
      <c r="T147" s="40" t="b">
        <f aca="false">FALSE()</f>
        <v>0</v>
      </c>
      <c r="U147" s="40" t="b">
        <f aca="false">TRUE()</f>
        <v>1</v>
      </c>
      <c r="V147" s="38" t="s">
        <v>3759</v>
      </c>
      <c r="W147" s="38" t="s">
        <v>3760</v>
      </c>
      <c r="X147" s="38" t="s">
        <v>3761</v>
      </c>
      <c r="Y147" s="38" t="s">
        <v>3774</v>
      </c>
      <c r="Z147" s="38" t="s">
        <v>3759</v>
      </c>
      <c r="AA147" s="38" t="s">
        <v>3763</v>
      </c>
      <c r="AB147" s="38" t="s">
        <v>3241</v>
      </c>
      <c r="AC147" s="38" t="s">
        <v>3242</v>
      </c>
      <c r="AD147" s="38"/>
      <c r="AE147" s="38" t="s">
        <v>3764</v>
      </c>
      <c r="AF147" s="38"/>
      <c r="AG147" s="38"/>
      <c r="AH147" s="38" t="s">
        <v>3243</v>
      </c>
      <c r="AI147" s="38" t="s">
        <v>3293</v>
      </c>
      <c r="AJ147" s="38" t="s">
        <v>3251</v>
      </c>
      <c r="AK147" s="38" t="s">
        <v>3246</v>
      </c>
      <c r="AL147" s="38" t="s">
        <v>3756</v>
      </c>
      <c r="AM147" s="38"/>
      <c r="AN147" s="38"/>
      <c r="AO147" s="38"/>
    </row>
    <row r="148" customFormat="false" ht="39.55" hidden="false" customHeight="false" outlineLevel="0" collapsed="false">
      <c r="A148" s="38" t="s">
        <v>3753</v>
      </c>
      <c r="B148" s="38" t="s">
        <v>3784</v>
      </c>
      <c r="C148" s="38" t="s">
        <v>3772</v>
      </c>
      <c r="D148" s="38"/>
      <c r="E148" s="38" t="s">
        <v>3756</v>
      </c>
      <c r="F148" s="38" t="s">
        <v>310</v>
      </c>
      <c r="G148" s="38" t="s">
        <v>52</v>
      </c>
      <c r="H148" s="38"/>
      <c r="I148" s="38" t="s">
        <v>51</v>
      </c>
      <c r="J148" s="38" t="s">
        <v>3785</v>
      </c>
      <c r="K148" s="38" t="s">
        <v>3769</v>
      </c>
      <c r="L148" s="38"/>
      <c r="M148" s="38"/>
      <c r="N148" s="38"/>
      <c r="O148" s="38" t="s">
        <v>49</v>
      </c>
      <c r="P148" s="38" t="s">
        <v>50</v>
      </c>
      <c r="Q148" s="40" t="b">
        <f aca="false">FALSE()</f>
        <v>0</v>
      </c>
      <c r="R148" s="40" t="b">
        <f aca="false">FALSE()</f>
        <v>0</v>
      </c>
      <c r="S148" s="40" t="b">
        <f aca="false">FALSE()</f>
        <v>0</v>
      </c>
      <c r="T148" s="40" t="b">
        <f aca="false">FALSE()</f>
        <v>0</v>
      </c>
      <c r="U148" s="40" t="b">
        <f aca="false">TRUE()</f>
        <v>1</v>
      </c>
      <c r="V148" s="38" t="s">
        <v>3759</v>
      </c>
      <c r="W148" s="38" t="s">
        <v>3760</v>
      </c>
      <c r="X148" s="38" t="s">
        <v>3761</v>
      </c>
      <c r="Y148" s="38" t="s">
        <v>3774</v>
      </c>
      <c r="Z148" s="38" t="s">
        <v>3759</v>
      </c>
      <c r="AA148" s="38" t="s">
        <v>3763</v>
      </c>
      <c r="AB148" s="38" t="s">
        <v>3241</v>
      </c>
      <c r="AC148" s="38" t="s">
        <v>3242</v>
      </c>
      <c r="AD148" s="38"/>
      <c r="AE148" s="38" t="s">
        <v>3770</v>
      </c>
      <c r="AF148" s="38"/>
      <c r="AG148" s="38"/>
      <c r="AH148" s="38" t="s">
        <v>3243</v>
      </c>
      <c r="AI148" s="38" t="s">
        <v>3293</v>
      </c>
      <c r="AJ148" s="38" t="s">
        <v>3251</v>
      </c>
      <c r="AK148" s="38" t="s">
        <v>3246</v>
      </c>
      <c r="AL148" s="38" t="s">
        <v>3756</v>
      </c>
      <c r="AM148" s="38"/>
      <c r="AN148" s="38"/>
      <c r="AO148" s="38"/>
    </row>
    <row r="149" customFormat="false" ht="39.55" hidden="false" customHeight="false" outlineLevel="0" collapsed="false">
      <c r="A149" s="38" t="s">
        <v>3753</v>
      </c>
      <c r="B149" s="38" t="s">
        <v>3786</v>
      </c>
      <c r="C149" s="38" t="s">
        <v>3772</v>
      </c>
      <c r="D149" s="38"/>
      <c r="E149" s="38" t="s">
        <v>3756</v>
      </c>
      <c r="F149" s="38" t="s">
        <v>310</v>
      </c>
      <c r="G149" s="38" t="s">
        <v>52</v>
      </c>
      <c r="H149" s="38"/>
      <c r="I149" s="38" t="s">
        <v>51</v>
      </c>
      <c r="J149" s="38" t="s">
        <v>3787</v>
      </c>
      <c r="K149" s="38" t="s">
        <v>3788</v>
      </c>
      <c r="L149" s="38"/>
      <c r="M149" s="38"/>
      <c r="N149" s="38"/>
      <c r="O149" s="38" t="s">
        <v>49</v>
      </c>
      <c r="P149" s="38" t="s">
        <v>50</v>
      </c>
      <c r="Q149" s="40" t="b">
        <f aca="false">FALSE()</f>
        <v>0</v>
      </c>
      <c r="R149" s="40" t="b">
        <f aca="false">FALSE()</f>
        <v>0</v>
      </c>
      <c r="S149" s="40" t="b">
        <f aca="false">FALSE()</f>
        <v>0</v>
      </c>
      <c r="T149" s="40" t="b">
        <f aca="false">FALSE()</f>
        <v>0</v>
      </c>
      <c r="U149" s="40" t="b">
        <f aca="false">TRUE()</f>
        <v>1</v>
      </c>
      <c r="V149" s="38" t="s">
        <v>3759</v>
      </c>
      <c r="W149" s="38" t="s">
        <v>3760</v>
      </c>
      <c r="X149" s="38" t="s">
        <v>3761</v>
      </c>
      <c r="Y149" s="38" t="s">
        <v>3774</v>
      </c>
      <c r="Z149" s="38" t="s">
        <v>3759</v>
      </c>
      <c r="AA149" s="38" t="s">
        <v>3763</v>
      </c>
      <c r="AB149" s="38" t="s">
        <v>3241</v>
      </c>
      <c r="AC149" s="38" t="s">
        <v>3242</v>
      </c>
      <c r="AD149" s="38"/>
      <c r="AE149" s="38" t="s">
        <v>3789</v>
      </c>
      <c r="AF149" s="38"/>
      <c r="AG149" s="38"/>
      <c r="AH149" s="38" t="s">
        <v>3243</v>
      </c>
      <c r="AI149" s="38" t="s">
        <v>3293</v>
      </c>
      <c r="AJ149" s="38" t="s">
        <v>3251</v>
      </c>
      <c r="AK149" s="38" t="s">
        <v>3246</v>
      </c>
      <c r="AL149" s="38" t="s">
        <v>3756</v>
      </c>
      <c r="AM149" s="38"/>
      <c r="AN149" s="38"/>
      <c r="AO149" s="38"/>
    </row>
    <row r="150" customFormat="false" ht="39.55" hidden="false" customHeight="false" outlineLevel="0" collapsed="false">
      <c r="A150" s="38" t="s">
        <v>3753</v>
      </c>
      <c r="B150" s="38" t="s">
        <v>3790</v>
      </c>
      <c r="C150" s="38" t="s">
        <v>3772</v>
      </c>
      <c r="D150" s="38"/>
      <c r="E150" s="38" t="s">
        <v>3756</v>
      </c>
      <c r="F150" s="38" t="s">
        <v>310</v>
      </c>
      <c r="G150" s="38" t="s">
        <v>52</v>
      </c>
      <c r="H150" s="38"/>
      <c r="I150" s="38" t="s">
        <v>51</v>
      </c>
      <c r="J150" s="38" t="s">
        <v>3791</v>
      </c>
      <c r="K150" s="38" t="s">
        <v>3780</v>
      </c>
      <c r="L150" s="38"/>
      <c r="M150" s="38"/>
      <c r="N150" s="38"/>
      <c r="O150" s="38" t="s">
        <v>49</v>
      </c>
      <c r="P150" s="38" t="s">
        <v>50</v>
      </c>
      <c r="Q150" s="40" t="b">
        <f aca="false">FALSE()</f>
        <v>0</v>
      </c>
      <c r="R150" s="40" t="b">
        <f aca="false">FALSE()</f>
        <v>0</v>
      </c>
      <c r="S150" s="40" t="b">
        <f aca="false">FALSE()</f>
        <v>0</v>
      </c>
      <c r="T150" s="40" t="b">
        <f aca="false">FALSE()</f>
        <v>0</v>
      </c>
      <c r="U150" s="40" t="b">
        <f aca="false">TRUE()</f>
        <v>1</v>
      </c>
      <c r="V150" s="38" t="s">
        <v>3759</v>
      </c>
      <c r="W150" s="38" t="s">
        <v>3760</v>
      </c>
      <c r="X150" s="38" t="s">
        <v>3761</v>
      </c>
      <c r="Y150" s="38" t="s">
        <v>3774</v>
      </c>
      <c r="Z150" s="38" t="s">
        <v>3759</v>
      </c>
      <c r="AA150" s="38" t="s">
        <v>3763</v>
      </c>
      <c r="AB150" s="38" t="s">
        <v>3241</v>
      </c>
      <c r="AC150" s="38" t="s">
        <v>3242</v>
      </c>
      <c r="AD150" s="38"/>
      <c r="AE150" s="38" t="s">
        <v>3781</v>
      </c>
      <c r="AF150" s="38"/>
      <c r="AG150" s="38"/>
      <c r="AH150" s="38" t="s">
        <v>3243</v>
      </c>
      <c r="AI150" s="38" t="s">
        <v>3293</v>
      </c>
      <c r="AJ150" s="38" t="s">
        <v>3251</v>
      </c>
      <c r="AK150" s="38" t="s">
        <v>3246</v>
      </c>
      <c r="AL150" s="38" t="s">
        <v>3756</v>
      </c>
      <c r="AM150" s="38"/>
      <c r="AN150" s="38"/>
      <c r="AO150" s="38"/>
    </row>
    <row r="151" customFormat="false" ht="39.55" hidden="false" customHeight="false" outlineLevel="0" collapsed="false">
      <c r="A151" s="38" t="s">
        <v>3753</v>
      </c>
      <c r="B151" s="38" t="s">
        <v>3792</v>
      </c>
      <c r="C151" s="38" t="s">
        <v>3772</v>
      </c>
      <c r="D151" s="38"/>
      <c r="E151" s="38" t="s">
        <v>3756</v>
      </c>
      <c r="F151" s="38" t="s">
        <v>3793</v>
      </c>
      <c r="G151" s="38" t="s">
        <v>52</v>
      </c>
      <c r="H151" s="38"/>
      <c r="I151" s="38" t="s">
        <v>51</v>
      </c>
      <c r="J151" s="38" t="s">
        <v>3794</v>
      </c>
      <c r="K151" s="38" t="s">
        <v>3758</v>
      </c>
      <c r="L151" s="38"/>
      <c r="M151" s="38"/>
      <c r="N151" s="38"/>
      <c r="O151" s="38" t="s">
        <v>49</v>
      </c>
      <c r="P151" s="38" t="s">
        <v>50</v>
      </c>
      <c r="Q151" s="40" t="b">
        <f aca="false">FALSE()</f>
        <v>0</v>
      </c>
      <c r="R151" s="40" t="b">
        <f aca="false">FALSE()</f>
        <v>0</v>
      </c>
      <c r="S151" s="40" t="b">
        <f aca="false">FALSE()</f>
        <v>0</v>
      </c>
      <c r="T151" s="40" t="b">
        <f aca="false">FALSE()</f>
        <v>0</v>
      </c>
      <c r="U151" s="40" t="b">
        <f aca="false">FALSE()</f>
        <v>0</v>
      </c>
      <c r="V151" s="38" t="s">
        <v>3759</v>
      </c>
      <c r="W151" s="38" t="s">
        <v>3760</v>
      </c>
      <c r="X151" s="38" t="s">
        <v>3761</v>
      </c>
      <c r="Y151" s="38" t="s">
        <v>3774</v>
      </c>
      <c r="Z151" s="38" t="s">
        <v>3759</v>
      </c>
      <c r="AA151" s="38" t="s">
        <v>3795</v>
      </c>
      <c r="AB151" s="38" t="s">
        <v>3241</v>
      </c>
      <c r="AC151" s="38" t="s">
        <v>3242</v>
      </c>
      <c r="AD151" s="38"/>
      <c r="AE151" s="38" t="s">
        <v>3764</v>
      </c>
      <c r="AF151" s="38"/>
      <c r="AG151" s="38"/>
      <c r="AH151" s="38" t="s">
        <v>3243</v>
      </c>
      <c r="AI151" s="38" t="s">
        <v>3293</v>
      </c>
      <c r="AJ151" s="38" t="s">
        <v>3251</v>
      </c>
      <c r="AK151" s="38" t="s">
        <v>3246</v>
      </c>
      <c r="AL151" s="38" t="s">
        <v>3756</v>
      </c>
      <c r="AM151" s="38"/>
      <c r="AN151" s="38"/>
      <c r="AO151" s="38"/>
    </row>
    <row r="152" customFormat="false" ht="39.55" hidden="false" customHeight="false" outlineLevel="0" collapsed="false">
      <c r="A152" s="38" t="s">
        <v>3753</v>
      </c>
      <c r="B152" s="38" t="s">
        <v>3796</v>
      </c>
      <c r="C152" s="38" t="s">
        <v>3772</v>
      </c>
      <c r="D152" s="38"/>
      <c r="E152" s="38" t="s">
        <v>3756</v>
      </c>
      <c r="F152" s="38" t="s">
        <v>3793</v>
      </c>
      <c r="G152" s="38" t="s">
        <v>52</v>
      </c>
      <c r="H152" s="38"/>
      <c r="I152" s="38" t="s">
        <v>51</v>
      </c>
      <c r="J152" s="38" t="s">
        <v>3797</v>
      </c>
      <c r="K152" s="38" t="s">
        <v>3769</v>
      </c>
      <c r="L152" s="38"/>
      <c r="M152" s="38"/>
      <c r="N152" s="38"/>
      <c r="O152" s="38" t="s">
        <v>49</v>
      </c>
      <c r="P152" s="38" t="s">
        <v>50</v>
      </c>
      <c r="Q152" s="40" t="b">
        <f aca="false">FALSE()</f>
        <v>0</v>
      </c>
      <c r="R152" s="40" t="b">
        <f aca="false">FALSE()</f>
        <v>0</v>
      </c>
      <c r="S152" s="40" t="b">
        <f aca="false">FALSE()</f>
        <v>0</v>
      </c>
      <c r="T152" s="40" t="b">
        <f aca="false">FALSE()</f>
        <v>0</v>
      </c>
      <c r="U152" s="40" t="b">
        <f aca="false">FALSE()</f>
        <v>0</v>
      </c>
      <c r="V152" s="38" t="s">
        <v>3759</v>
      </c>
      <c r="W152" s="38" t="s">
        <v>3760</v>
      </c>
      <c r="X152" s="38" t="s">
        <v>3761</v>
      </c>
      <c r="Y152" s="38" t="s">
        <v>3774</v>
      </c>
      <c r="Z152" s="38" t="s">
        <v>3759</v>
      </c>
      <c r="AA152" s="38" t="s">
        <v>3795</v>
      </c>
      <c r="AB152" s="38" t="s">
        <v>3241</v>
      </c>
      <c r="AC152" s="38" t="s">
        <v>3242</v>
      </c>
      <c r="AD152" s="38"/>
      <c r="AE152" s="38" t="s">
        <v>3770</v>
      </c>
      <c r="AF152" s="38"/>
      <c r="AG152" s="38"/>
      <c r="AH152" s="38" t="s">
        <v>3243</v>
      </c>
      <c r="AI152" s="38" t="s">
        <v>3293</v>
      </c>
      <c r="AJ152" s="38" t="s">
        <v>3251</v>
      </c>
      <c r="AK152" s="38" t="s">
        <v>3246</v>
      </c>
      <c r="AL152" s="38" t="s">
        <v>3756</v>
      </c>
      <c r="AM152" s="38"/>
      <c r="AN152" s="38"/>
      <c r="AO152" s="38"/>
    </row>
    <row r="153" customFormat="false" ht="39.55" hidden="false" customHeight="false" outlineLevel="0" collapsed="false">
      <c r="A153" s="38" t="s">
        <v>3753</v>
      </c>
      <c r="B153" s="38" t="s">
        <v>3798</v>
      </c>
      <c r="C153" s="38" t="s">
        <v>3772</v>
      </c>
      <c r="D153" s="38"/>
      <c r="E153" s="38" t="s">
        <v>3756</v>
      </c>
      <c r="F153" s="38" t="s">
        <v>3793</v>
      </c>
      <c r="G153" s="38" t="s">
        <v>52</v>
      </c>
      <c r="H153" s="38"/>
      <c r="I153" s="38" t="s">
        <v>51</v>
      </c>
      <c r="J153" s="38" t="s">
        <v>3799</v>
      </c>
      <c r="K153" s="38" t="s">
        <v>3788</v>
      </c>
      <c r="L153" s="38"/>
      <c r="M153" s="38"/>
      <c r="N153" s="38"/>
      <c r="O153" s="38" t="s">
        <v>49</v>
      </c>
      <c r="P153" s="38" t="s">
        <v>50</v>
      </c>
      <c r="Q153" s="40" t="b">
        <f aca="false">FALSE()</f>
        <v>0</v>
      </c>
      <c r="R153" s="40" t="b">
        <f aca="false">FALSE()</f>
        <v>0</v>
      </c>
      <c r="S153" s="40" t="b">
        <f aca="false">FALSE()</f>
        <v>0</v>
      </c>
      <c r="T153" s="40" t="b">
        <f aca="false">FALSE()</f>
        <v>0</v>
      </c>
      <c r="U153" s="40" t="b">
        <f aca="false">FALSE()</f>
        <v>0</v>
      </c>
      <c r="V153" s="38" t="s">
        <v>3759</v>
      </c>
      <c r="W153" s="38" t="s">
        <v>3760</v>
      </c>
      <c r="X153" s="38" t="s">
        <v>3761</v>
      </c>
      <c r="Y153" s="38" t="s">
        <v>3774</v>
      </c>
      <c r="Z153" s="38" t="s">
        <v>3759</v>
      </c>
      <c r="AA153" s="38" t="s">
        <v>3795</v>
      </c>
      <c r="AB153" s="38" t="s">
        <v>3241</v>
      </c>
      <c r="AC153" s="38" t="s">
        <v>3242</v>
      </c>
      <c r="AD153" s="38"/>
      <c r="AE153" s="38" t="s">
        <v>3789</v>
      </c>
      <c r="AF153" s="38"/>
      <c r="AG153" s="38"/>
      <c r="AH153" s="38" t="s">
        <v>3243</v>
      </c>
      <c r="AI153" s="38" t="s">
        <v>3293</v>
      </c>
      <c r="AJ153" s="38" t="s">
        <v>3251</v>
      </c>
      <c r="AK153" s="38" t="s">
        <v>3246</v>
      </c>
      <c r="AL153" s="38" t="s">
        <v>3756</v>
      </c>
      <c r="AM153" s="38"/>
      <c r="AN153" s="38"/>
      <c r="AO153" s="38"/>
    </row>
    <row r="154" customFormat="false" ht="39.55" hidden="false" customHeight="false" outlineLevel="0" collapsed="false">
      <c r="A154" s="38" t="s">
        <v>3753</v>
      </c>
      <c r="B154" s="38" t="s">
        <v>3800</v>
      </c>
      <c r="C154" s="38" t="s">
        <v>3772</v>
      </c>
      <c r="D154" s="38"/>
      <c r="E154" s="38" t="s">
        <v>3756</v>
      </c>
      <c r="F154" s="38" t="s">
        <v>3793</v>
      </c>
      <c r="G154" s="38" t="s">
        <v>52</v>
      </c>
      <c r="H154" s="38"/>
      <c r="I154" s="38" t="s">
        <v>51</v>
      </c>
      <c r="J154" s="38" t="s">
        <v>3801</v>
      </c>
      <c r="K154" s="38" t="s">
        <v>3780</v>
      </c>
      <c r="L154" s="38"/>
      <c r="M154" s="38"/>
      <c r="N154" s="38"/>
      <c r="O154" s="38" t="s">
        <v>49</v>
      </c>
      <c r="P154" s="38" t="s">
        <v>50</v>
      </c>
      <c r="Q154" s="40" t="b">
        <f aca="false">FALSE()</f>
        <v>0</v>
      </c>
      <c r="R154" s="40" t="b">
        <f aca="false">FALSE()</f>
        <v>0</v>
      </c>
      <c r="S154" s="40" t="b">
        <f aca="false">FALSE()</f>
        <v>0</v>
      </c>
      <c r="T154" s="40" t="b">
        <f aca="false">FALSE()</f>
        <v>0</v>
      </c>
      <c r="U154" s="40" t="b">
        <f aca="false">FALSE()</f>
        <v>0</v>
      </c>
      <c r="V154" s="38" t="s">
        <v>3759</v>
      </c>
      <c r="W154" s="38" t="s">
        <v>3760</v>
      </c>
      <c r="X154" s="38" t="s">
        <v>3761</v>
      </c>
      <c r="Y154" s="38" t="s">
        <v>3774</v>
      </c>
      <c r="Z154" s="38" t="s">
        <v>3759</v>
      </c>
      <c r="AA154" s="38" t="s">
        <v>3795</v>
      </c>
      <c r="AB154" s="38" t="s">
        <v>3241</v>
      </c>
      <c r="AC154" s="38" t="s">
        <v>3242</v>
      </c>
      <c r="AD154" s="38"/>
      <c r="AE154" s="38" t="s">
        <v>3781</v>
      </c>
      <c r="AF154" s="38"/>
      <c r="AG154" s="38"/>
      <c r="AH154" s="38" t="s">
        <v>3243</v>
      </c>
      <c r="AI154" s="38" t="s">
        <v>3293</v>
      </c>
      <c r="AJ154" s="38" t="s">
        <v>3251</v>
      </c>
      <c r="AK154" s="38" t="s">
        <v>3246</v>
      </c>
      <c r="AL154" s="38" t="s">
        <v>3756</v>
      </c>
      <c r="AM154" s="38"/>
      <c r="AN154" s="38"/>
      <c r="AO154" s="38"/>
    </row>
    <row r="155" customFormat="false" ht="39.55" hidden="false" customHeight="false" outlineLevel="0" collapsed="false">
      <c r="A155" s="38" t="s">
        <v>3753</v>
      </c>
      <c r="B155" s="38" t="s">
        <v>3802</v>
      </c>
      <c r="C155" s="38" t="s">
        <v>3803</v>
      </c>
      <c r="D155" s="38"/>
      <c r="E155" s="38" t="s">
        <v>3756</v>
      </c>
      <c r="F155" s="38" t="s">
        <v>310</v>
      </c>
      <c r="G155" s="38" t="s">
        <v>52</v>
      </c>
      <c r="H155" s="38"/>
      <c r="I155" s="38" t="s">
        <v>51</v>
      </c>
      <c r="J155" s="38" t="s">
        <v>3804</v>
      </c>
      <c r="K155" s="38" t="s">
        <v>3758</v>
      </c>
      <c r="L155" s="38"/>
      <c r="M155" s="38"/>
      <c r="N155" s="38"/>
      <c r="O155" s="38" t="s">
        <v>49</v>
      </c>
      <c r="P155" s="38" t="s">
        <v>50</v>
      </c>
      <c r="Q155" s="40" t="b">
        <f aca="false">FALSE()</f>
        <v>0</v>
      </c>
      <c r="R155" s="40" t="b">
        <f aca="false">FALSE()</f>
        <v>0</v>
      </c>
      <c r="S155" s="40" t="b">
        <f aca="false">TRUE()</f>
        <v>1</v>
      </c>
      <c r="T155" s="40" t="b">
        <f aca="false">FALSE()</f>
        <v>0</v>
      </c>
      <c r="U155" s="40" t="b">
        <f aca="false">TRUE()</f>
        <v>1</v>
      </c>
      <c r="V155" s="38" t="s">
        <v>3759</v>
      </c>
      <c r="W155" s="38" t="s">
        <v>3760</v>
      </c>
      <c r="X155" s="38" t="s">
        <v>3761</v>
      </c>
      <c r="Y155" s="38" t="s">
        <v>3805</v>
      </c>
      <c r="Z155" s="38" t="s">
        <v>3759</v>
      </c>
      <c r="AA155" s="38" t="s">
        <v>3763</v>
      </c>
      <c r="AB155" s="38" t="s">
        <v>3241</v>
      </c>
      <c r="AC155" s="38" t="s">
        <v>3242</v>
      </c>
      <c r="AD155" s="38"/>
      <c r="AE155" s="38" t="s">
        <v>3764</v>
      </c>
      <c r="AF155" s="38"/>
      <c r="AG155" s="38"/>
      <c r="AH155" s="38" t="s">
        <v>3243</v>
      </c>
      <c r="AI155" s="38" t="s">
        <v>3293</v>
      </c>
      <c r="AJ155" s="38" t="s">
        <v>3806</v>
      </c>
      <c r="AK155" s="38" t="s">
        <v>3246</v>
      </c>
      <c r="AL155" s="38" t="s">
        <v>3756</v>
      </c>
      <c r="AM155" s="38"/>
      <c r="AN155" s="38"/>
      <c r="AO155" s="38"/>
    </row>
    <row r="156" customFormat="false" ht="39.55" hidden="false" customHeight="false" outlineLevel="0" collapsed="false">
      <c r="A156" s="38" t="s">
        <v>3753</v>
      </c>
      <c r="B156" s="38" t="s">
        <v>3807</v>
      </c>
      <c r="C156" s="38" t="s">
        <v>3803</v>
      </c>
      <c r="D156" s="38"/>
      <c r="E156" s="38" t="s">
        <v>3756</v>
      </c>
      <c r="F156" s="38" t="s">
        <v>310</v>
      </c>
      <c r="G156" s="38" t="s">
        <v>52</v>
      </c>
      <c r="H156" s="38"/>
      <c r="I156" s="38" t="s">
        <v>51</v>
      </c>
      <c r="J156" s="38" t="s">
        <v>3808</v>
      </c>
      <c r="K156" s="38" t="s">
        <v>3780</v>
      </c>
      <c r="L156" s="38"/>
      <c r="M156" s="38"/>
      <c r="N156" s="38"/>
      <c r="O156" s="38" t="s">
        <v>49</v>
      </c>
      <c r="P156" s="38" t="s">
        <v>50</v>
      </c>
      <c r="Q156" s="40" t="b">
        <f aca="false">FALSE()</f>
        <v>0</v>
      </c>
      <c r="R156" s="40" t="b">
        <f aca="false">FALSE()</f>
        <v>0</v>
      </c>
      <c r="S156" s="40" t="b">
        <f aca="false">TRUE()</f>
        <v>1</v>
      </c>
      <c r="T156" s="40" t="b">
        <f aca="false">FALSE()</f>
        <v>0</v>
      </c>
      <c r="U156" s="40" t="b">
        <f aca="false">TRUE()</f>
        <v>1</v>
      </c>
      <c r="V156" s="38" t="s">
        <v>3759</v>
      </c>
      <c r="W156" s="38" t="s">
        <v>3760</v>
      </c>
      <c r="X156" s="38" t="s">
        <v>3761</v>
      </c>
      <c r="Y156" s="38" t="s">
        <v>3805</v>
      </c>
      <c r="Z156" s="38" t="s">
        <v>3759</v>
      </c>
      <c r="AA156" s="38" t="s">
        <v>3763</v>
      </c>
      <c r="AB156" s="38" t="s">
        <v>3241</v>
      </c>
      <c r="AC156" s="38" t="s">
        <v>3242</v>
      </c>
      <c r="AD156" s="38"/>
      <c r="AE156" s="38" t="s">
        <v>3781</v>
      </c>
      <c r="AF156" s="38"/>
      <c r="AG156" s="38"/>
      <c r="AH156" s="38" t="s">
        <v>3243</v>
      </c>
      <c r="AI156" s="38" t="s">
        <v>3293</v>
      </c>
      <c r="AJ156" s="38" t="s">
        <v>3809</v>
      </c>
      <c r="AK156" s="38" t="s">
        <v>3246</v>
      </c>
      <c r="AL156" s="38" t="s">
        <v>3756</v>
      </c>
      <c r="AM156" s="38"/>
      <c r="AN156" s="38"/>
      <c r="AO156" s="38"/>
    </row>
    <row r="157" customFormat="false" ht="39.55" hidden="false" customHeight="false" outlineLevel="0" collapsed="false">
      <c r="A157" s="38" t="s">
        <v>3753</v>
      </c>
      <c r="B157" s="38" t="s">
        <v>3810</v>
      </c>
      <c r="C157" s="38" t="s">
        <v>3772</v>
      </c>
      <c r="D157" s="38"/>
      <c r="E157" s="38" t="s">
        <v>3811</v>
      </c>
      <c r="F157" s="41" t="n">
        <v>0.9995</v>
      </c>
      <c r="G157" s="38" t="s">
        <v>52</v>
      </c>
      <c r="H157" s="38"/>
      <c r="I157" s="38" t="s">
        <v>51</v>
      </c>
      <c r="J157" s="38" t="s">
        <v>3812</v>
      </c>
      <c r="K157" s="38" t="s">
        <v>343</v>
      </c>
      <c r="L157" s="38"/>
      <c r="M157" s="38"/>
      <c r="N157" s="38"/>
      <c r="O157" s="38" t="s">
        <v>49</v>
      </c>
      <c r="P157" s="38" t="s">
        <v>50</v>
      </c>
      <c r="Q157" s="40" t="b">
        <f aca="false">FALSE()</f>
        <v>0</v>
      </c>
      <c r="R157" s="40" t="b">
        <f aca="false">FALSE()</f>
        <v>0</v>
      </c>
      <c r="S157" s="40" t="b">
        <f aca="false">FALSE()</f>
        <v>0</v>
      </c>
      <c r="T157" s="40" t="b">
        <f aca="false">FALSE()</f>
        <v>0</v>
      </c>
      <c r="U157" s="40" t="b">
        <f aca="false">TRUE()</f>
        <v>1</v>
      </c>
      <c r="V157" s="38" t="s">
        <v>3813</v>
      </c>
      <c r="W157" s="38" t="s">
        <v>3760</v>
      </c>
      <c r="X157" s="38" t="s">
        <v>3814</v>
      </c>
      <c r="Y157" s="38" t="s">
        <v>3774</v>
      </c>
      <c r="Z157" s="38" t="s">
        <v>3813</v>
      </c>
      <c r="AA157" s="38" t="s">
        <v>3489</v>
      </c>
      <c r="AB157" s="38" t="s">
        <v>3241</v>
      </c>
      <c r="AC157" s="38" t="s">
        <v>3242</v>
      </c>
      <c r="AD157" s="38"/>
      <c r="AE157" s="38" t="s">
        <v>3815</v>
      </c>
      <c r="AF157" s="38"/>
      <c r="AG157" s="38"/>
      <c r="AH157" s="38" t="s">
        <v>3243</v>
      </c>
      <c r="AI157" s="38" t="s">
        <v>3293</v>
      </c>
      <c r="AJ157" s="38" t="s">
        <v>3251</v>
      </c>
      <c r="AK157" s="38" t="s">
        <v>3246</v>
      </c>
      <c r="AL157" s="38" t="s">
        <v>3811</v>
      </c>
      <c r="AM157" s="38"/>
      <c r="AN157" s="38"/>
      <c r="AO157" s="38"/>
    </row>
    <row r="158" customFormat="false" ht="39.55" hidden="false" customHeight="false" outlineLevel="0" collapsed="false">
      <c r="A158" s="38" t="s">
        <v>3753</v>
      </c>
      <c r="B158" s="38" t="s">
        <v>3816</v>
      </c>
      <c r="C158" s="38" t="s">
        <v>3772</v>
      </c>
      <c r="D158" s="38"/>
      <c r="E158" s="38" t="s">
        <v>3811</v>
      </c>
      <c r="F158" s="41" t="n">
        <v>0.9995</v>
      </c>
      <c r="G158" s="38" t="s">
        <v>52</v>
      </c>
      <c r="H158" s="38"/>
      <c r="I158" s="38" t="s">
        <v>51</v>
      </c>
      <c r="J158" s="38" t="s">
        <v>3817</v>
      </c>
      <c r="K158" s="38" t="s">
        <v>3818</v>
      </c>
      <c r="L158" s="38"/>
      <c r="M158" s="38"/>
      <c r="N158" s="38"/>
      <c r="O158" s="38" t="s">
        <v>49</v>
      </c>
      <c r="P158" s="38" t="s">
        <v>50</v>
      </c>
      <c r="Q158" s="40" t="b">
        <f aca="false">FALSE()</f>
        <v>0</v>
      </c>
      <c r="R158" s="40" t="b">
        <f aca="false">FALSE()</f>
        <v>0</v>
      </c>
      <c r="S158" s="40" t="b">
        <f aca="false">FALSE()</f>
        <v>0</v>
      </c>
      <c r="T158" s="40" t="b">
        <f aca="false">FALSE()</f>
        <v>0</v>
      </c>
      <c r="U158" s="40" t="b">
        <f aca="false">TRUE()</f>
        <v>1</v>
      </c>
      <c r="V158" s="38" t="s">
        <v>3813</v>
      </c>
      <c r="W158" s="38" t="s">
        <v>3760</v>
      </c>
      <c r="X158" s="38" t="s">
        <v>3814</v>
      </c>
      <c r="Y158" s="38" t="s">
        <v>3774</v>
      </c>
      <c r="Z158" s="38" t="s">
        <v>3813</v>
      </c>
      <c r="AA158" s="38" t="s">
        <v>3489</v>
      </c>
      <c r="AB158" s="38" t="s">
        <v>3241</v>
      </c>
      <c r="AC158" s="38" t="s">
        <v>3242</v>
      </c>
      <c r="AD158" s="38"/>
      <c r="AE158" s="38" t="s">
        <v>3819</v>
      </c>
      <c r="AF158" s="38"/>
      <c r="AG158" s="38"/>
      <c r="AH158" s="38" t="s">
        <v>3243</v>
      </c>
      <c r="AI158" s="38" t="s">
        <v>3293</v>
      </c>
      <c r="AJ158" s="38" t="s">
        <v>3251</v>
      </c>
      <c r="AK158" s="38" t="s">
        <v>3246</v>
      </c>
      <c r="AL158" s="38" t="s">
        <v>3811</v>
      </c>
      <c r="AM158" s="38"/>
      <c r="AN158" s="38"/>
      <c r="AO158" s="38"/>
    </row>
    <row r="159" customFormat="false" ht="39.55" hidden="false" customHeight="false" outlineLevel="0" collapsed="false">
      <c r="A159" s="38" t="s">
        <v>3753</v>
      </c>
      <c r="B159" s="38" t="s">
        <v>3820</v>
      </c>
      <c r="C159" s="38" t="s">
        <v>3772</v>
      </c>
      <c r="D159" s="38"/>
      <c r="E159" s="38" t="s">
        <v>3811</v>
      </c>
      <c r="F159" s="41" t="n">
        <v>0.9995</v>
      </c>
      <c r="G159" s="38" t="s">
        <v>52</v>
      </c>
      <c r="H159" s="38"/>
      <c r="I159" s="38" t="s">
        <v>51</v>
      </c>
      <c r="J159" s="38" t="s">
        <v>3821</v>
      </c>
      <c r="K159" s="38" t="s">
        <v>346</v>
      </c>
      <c r="L159" s="38"/>
      <c r="M159" s="38"/>
      <c r="N159" s="38"/>
      <c r="O159" s="38" t="s">
        <v>49</v>
      </c>
      <c r="P159" s="38" t="s">
        <v>50</v>
      </c>
      <c r="Q159" s="40" t="b">
        <f aca="false">FALSE()</f>
        <v>0</v>
      </c>
      <c r="R159" s="40" t="b">
        <f aca="false">FALSE()</f>
        <v>0</v>
      </c>
      <c r="S159" s="40" t="b">
        <f aca="false">FALSE()</f>
        <v>0</v>
      </c>
      <c r="T159" s="40" t="b">
        <f aca="false">FALSE()</f>
        <v>0</v>
      </c>
      <c r="U159" s="40" t="b">
        <f aca="false">TRUE()</f>
        <v>1</v>
      </c>
      <c r="V159" s="38" t="s">
        <v>3813</v>
      </c>
      <c r="W159" s="38" t="s">
        <v>3760</v>
      </c>
      <c r="X159" s="38" t="s">
        <v>3814</v>
      </c>
      <c r="Y159" s="38" t="s">
        <v>3774</v>
      </c>
      <c r="Z159" s="38" t="s">
        <v>3813</v>
      </c>
      <c r="AA159" s="38" t="s">
        <v>3489</v>
      </c>
      <c r="AB159" s="38" t="s">
        <v>3241</v>
      </c>
      <c r="AC159" s="38" t="s">
        <v>3242</v>
      </c>
      <c r="AD159" s="38"/>
      <c r="AE159" s="38" t="s">
        <v>3822</v>
      </c>
      <c r="AF159" s="38"/>
      <c r="AG159" s="38"/>
      <c r="AH159" s="38" t="s">
        <v>3243</v>
      </c>
      <c r="AI159" s="38" t="s">
        <v>3293</v>
      </c>
      <c r="AJ159" s="38" t="s">
        <v>3251</v>
      </c>
      <c r="AK159" s="38" t="s">
        <v>3246</v>
      </c>
      <c r="AL159" s="38" t="s">
        <v>3811</v>
      </c>
      <c r="AM159" s="38"/>
      <c r="AN159" s="38"/>
      <c r="AO159" s="38"/>
    </row>
    <row r="160" customFormat="false" ht="39.55" hidden="false" customHeight="false" outlineLevel="0" collapsed="false">
      <c r="A160" s="38" t="s">
        <v>376</v>
      </c>
      <c r="B160" s="38" t="s">
        <v>3473</v>
      </c>
      <c r="C160" s="38" t="s">
        <v>3280</v>
      </c>
      <c r="D160" s="38"/>
      <c r="E160" s="38" t="s">
        <v>3474</v>
      </c>
      <c r="F160" s="38" t="s">
        <v>3475</v>
      </c>
      <c r="G160" s="38" t="s">
        <v>52</v>
      </c>
      <c r="H160" s="38"/>
      <c r="I160" s="38" t="s">
        <v>51</v>
      </c>
      <c r="J160" s="38" t="s">
        <v>3823</v>
      </c>
      <c r="K160" s="38"/>
      <c r="L160" s="38"/>
      <c r="M160" s="38"/>
      <c r="N160" s="38"/>
      <c r="O160" s="38" t="s">
        <v>3285</v>
      </c>
      <c r="P160" s="38" t="s">
        <v>50</v>
      </c>
      <c r="Q160" s="40" t="b">
        <f aca="false">FALSE()</f>
        <v>0</v>
      </c>
      <c r="R160" s="40" t="b">
        <f aca="false">FALSE()</f>
        <v>0</v>
      </c>
      <c r="S160" s="40" t="b">
        <f aca="false">FALSE()</f>
        <v>0</v>
      </c>
      <c r="T160" s="40" t="b">
        <f aca="false">FALSE()</f>
        <v>0</v>
      </c>
      <c r="U160" s="40" t="b">
        <f aca="false">TRUE()</f>
        <v>1</v>
      </c>
      <c r="V160" s="38" t="s">
        <v>3477</v>
      </c>
      <c r="W160" s="38" t="s">
        <v>3824</v>
      </c>
      <c r="X160" s="38" t="s">
        <v>3825</v>
      </c>
      <c r="Y160" s="38" t="s">
        <v>3289</v>
      </c>
      <c r="Z160" s="38" t="s">
        <v>3477</v>
      </c>
      <c r="AA160" s="38" t="s">
        <v>3479</v>
      </c>
      <c r="AB160" s="38" t="s">
        <v>3241</v>
      </c>
      <c r="AC160" s="38" t="s">
        <v>3242</v>
      </c>
      <c r="AD160" s="38"/>
      <c r="AE160" s="38"/>
      <c r="AF160" s="38"/>
      <c r="AG160" s="38"/>
      <c r="AH160" s="38" t="s">
        <v>3292</v>
      </c>
      <c r="AI160" s="38" t="s">
        <v>3293</v>
      </c>
      <c r="AJ160" s="38" t="s">
        <v>3251</v>
      </c>
      <c r="AK160" s="38" t="s">
        <v>3246</v>
      </c>
      <c r="AL160" s="38" t="s">
        <v>3474</v>
      </c>
      <c r="AM160" s="38"/>
      <c r="AN160" s="38"/>
      <c r="AO160" s="38"/>
    </row>
    <row r="161" customFormat="false" ht="39.55" hidden="false" customHeight="false" outlineLevel="0" collapsed="false">
      <c r="A161" s="38" t="s">
        <v>376</v>
      </c>
      <c r="B161" s="38" t="s">
        <v>3826</v>
      </c>
      <c r="C161" s="38" t="s">
        <v>3827</v>
      </c>
      <c r="D161" s="38"/>
      <c r="E161" s="38" t="s">
        <v>3474</v>
      </c>
      <c r="F161" s="38" t="s">
        <v>3828</v>
      </c>
      <c r="G161" s="38" t="s">
        <v>52</v>
      </c>
      <c r="H161" s="38"/>
      <c r="I161" s="38" t="s">
        <v>51</v>
      </c>
      <c r="J161" s="38" t="s">
        <v>3829</v>
      </c>
      <c r="K161" s="38"/>
      <c r="L161" s="38"/>
      <c r="M161" s="38"/>
      <c r="N161" s="38"/>
      <c r="O161" s="38" t="s">
        <v>3285</v>
      </c>
      <c r="P161" s="38" t="s">
        <v>50</v>
      </c>
      <c r="Q161" s="40" t="b">
        <f aca="false">FALSE()</f>
        <v>0</v>
      </c>
      <c r="R161" s="40" t="b">
        <f aca="false">FALSE()</f>
        <v>0</v>
      </c>
      <c r="S161" s="40" t="b">
        <f aca="false">FALSE()</f>
        <v>0</v>
      </c>
      <c r="T161" s="40" t="b">
        <f aca="false">FALSE()</f>
        <v>0</v>
      </c>
      <c r="U161" s="40" t="b">
        <f aca="false">TRUE()</f>
        <v>1</v>
      </c>
      <c r="V161" s="38" t="s">
        <v>3477</v>
      </c>
      <c r="W161" s="38" t="s">
        <v>3824</v>
      </c>
      <c r="X161" s="38" t="s">
        <v>3825</v>
      </c>
      <c r="Y161" s="38" t="s">
        <v>3830</v>
      </c>
      <c r="Z161" s="38" t="s">
        <v>3477</v>
      </c>
      <c r="AA161" s="38" t="s">
        <v>3831</v>
      </c>
      <c r="AB161" s="38" t="s">
        <v>3241</v>
      </c>
      <c r="AC161" s="38" t="s">
        <v>3242</v>
      </c>
      <c r="AD161" s="38"/>
      <c r="AE161" s="38"/>
      <c r="AF161" s="38"/>
      <c r="AG161" s="38"/>
      <c r="AH161" s="38" t="s">
        <v>3292</v>
      </c>
      <c r="AI161" s="38" t="s">
        <v>3293</v>
      </c>
      <c r="AJ161" s="38" t="s">
        <v>3251</v>
      </c>
      <c r="AK161" s="38" t="s">
        <v>3246</v>
      </c>
      <c r="AL161" s="38" t="s">
        <v>3474</v>
      </c>
      <c r="AM161" s="38"/>
      <c r="AN161" s="38"/>
      <c r="AO161" s="38"/>
    </row>
    <row r="162" customFormat="false" ht="39.55" hidden="false" customHeight="false" outlineLevel="0" collapsed="false">
      <c r="A162" s="38" t="s">
        <v>376</v>
      </c>
      <c r="B162" s="38" t="s">
        <v>3832</v>
      </c>
      <c r="C162" s="38" t="s">
        <v>3280</v>
      </c>
      <c r="D162" s="38"/>
      <c r="E162" s="38" t="s">
        <v>3474</v>
      </c>
      <c r="F162" s="38" t="s">
        <v>3828</v>
      </c>
      <c r="G162" s="38" t="s">
        <v>3316</v>
      </c>
      <c r="H162" s="38"/>
      <c r="I162" s="38" t="s">
        <v>160</v>
      </c>
      <c r="J162" s="38" t="s">
        <v>3833</v>
      </c>
      <c r="K162" s="38"/>
      <c r="L162" s="38"/>
      <c r="M162" s="38"/>
      <c r="N162" s="38"/>
      <c r="O162" s="38" t="s">
        <v>3285</v>
      </c>
      <c r="P162" s="38"/>
      <c r="Q162" s="40" t="b">
        <f aca="false">FALSE()</f>
        <v>0</v>
      </c>
      <c r="R162" s="40" t="b">
        <f aca="false">FALSE()</f>
        <v>0</v>
      </c>
      <c r="S162" s="40" t="b">
        <f aca="false">FALSE()</f>
        <v>0</v>
      </c>
      <c r="T162" s="40" t="b">
        <f aca="false">FALSE()</f>
        <v>0</v>
      </c>
      <c r="U162" s="40" t="b">
        <f aca="false">TRUE()</f>
        <v>1</v>
      </c>
      <c r="V162" s="38" t="s">
        <v>3477</v>
      </c>
      <c r="W162" s="38" t="s">
        <v>3824</v>
      </c>
      <c r="X162" s="38" t="s">
        <v>3825</v>
      </c>
      <c r="Y162" s="38" t="s">
        <v>3289</v>
      </c>
      <c r="Z162" s="38" t="s">
        <v>3477</v>
      </c>
      <c r="AA162" s="38" t="s">
        <v>3831</v>
      </c>
      <c r="AB162" s="38" t="s">
        <v>3319</v>
      </c>
      <c r="AC162" s="38" t="s">
        <v>3320</v>
      </c>
      <c r="AD162" s="38"/>
      <c r="AE162" s="38"/>
      <c r="AF162" s="38"/>
      <c r="AG162" s="38"/>
      <c r="AH162" s="38" t="s">
        <v>3292</v>
      </c>
      <c r="AI162" s="38"/>
      <c r="AJ162" s="38" t="s">
        <v>3251</v>
      </c>
      <c r="AK162" s="38" t="s">
        <v>3246</v>
      </c>
      <c r="AL162" s="38" t="s">
        <v>3474</v>
      </c>
      <c r="AM162" s="38"/>
      <c r="AN162" s="38"/>
      <c r="AO162" s="38"/>
    </row>
    <row r="163" customFormat="false" ht="39.55" hidden="false" customHeight="false" outlineLevel="0" collapsed="false">
      <c r="A163" s="38" t="s">
        <v>376</v>
      </c>
      <c r="B163" s="38" t="s">
        <v>3834</v>
      </c>
      <c r="C163" s="38" t="s">
        <v>3385</v>
      </c>
      <c r="D163" s="38"/>
      <c r="E163" s="38" t="s">
        <v>377</v>
      </c>
      <c r="F163" s="38" t="s">
        <v>3452</v>
      </c>
      <c r="G163" s="38" t="s">
        <v>52</v>
      </c>
      <c r="H163" s="38"/>
      <c r="I163" s="38" t="s">
        <v>51</v>
      </c>
      <c r="J163" s="38" t="s">
        <v>3835</v>
      </c>
      <c r="K163" s="38"/>
      <c r="L163" s="38"/>
      <c r="M163" s="38"/>
      <c r="N163" s="38"/>
      <c r="O163" s="38" t="s">
        <v>3285</v>
      </c>
      <c r="P163" s="38" t="s">
        <v>50</v>
      </c>
      <c r="Q163" s="40" t="b">
        <f aca="false">TRUE()</f>
        <v>1</v>
      </c>
      <c r="R163" s="40" t="b">
        <f aca="false">FALSE()</f>
        <v>0</v>
      </c>
      <c r="S163" s="40" t="b">
        <f aca="false">FALSE()</f>
        <v>0</v>
      </c>
      <c r="T163" s="40" t="b">
        <f aca="false">FALSE()</f>
        <v>0</v>
      </c>
      <c r="U163" s="40" t="b">
        <f aca="false">TRUE()</f>
        <v>1</v>
      </c>
      <c r="V163" s="38" t="s">
        <v>3836</v>
      </c>
      <c r="W163" s="38" t="s">
        <v>3824</v>
      </c>
      <c r="X163" s="38" t="s">
        <v>3837</v>
      </c>
      <c r="Y163" s="38" t="s">
        <v>3387</v>
      </c>
      <c r="Z163" s="38" t="s">
        <v>3836</v>
      </c>
      <c r="AA163" s="38" t="s">
        <v>3456</v>
      </c>
      <c r="AB163" s="38" t="s">
        <v>3241</v>
      </c>
      <c r="AC163" s="38" t="s">
        <v>3242</v>
      </c>
      <c r="AD163" s="38"/>
      <c r="AE163" s="38"/>
      <c r="AF163" s="38"/>
      <c r="AG163" s="38"/>
      <c r="AH163" s="38" t="s">
        <v>3292</v>
      </c>
      <c r="AI163" s="38" t="s">
        <v>3293</v>
      </c>
      <c r="AJ163" s="38" t="s">
        <v>3251</v>
      </c>
      <c r="AK163" s="38" t="s">
        <v>3246</v>
      </c>
      <c r="AL163" s="38" t="s">
        <v>377</v>
      </c>
      <c r="AM163" s="38"/>
      <c r="AN163" s="38"/>
      <c r="AO163" s="38"/>
    </row>
    <row r="164" customFormat="false" ht="39.55" hidden="false" customHeight="false" outlineLevel="0" collapsed="false">
      <c r="A164" s="38" t="s">
        <v>376</v>
      </c>
      <c r="B164" s="38" t="s">
        <v>3838</v>
      </c>
      <c r="C164" s="38" t="s">
        <v>3280</v>
      </c>
      <c r="D164" s="38"/>
      <c r="E164" s="38" t="s">
        <v>379</v>
      </c>
      <c r="F164" s="38" t="s">
        <v>3839</v>
      </c>
      <c r="G164" s="38" t="s">
        <v>52</v>
      </c>
      <c r="H164" s="38"/>
      <c r="I164" s="38" t="s">
        <v>51</v>
      </c>
      <c r="J164" s="38" t="s">
        <v>3840</v>
      </c>
      <c r="K164" s="38"/>
      <c r="L164" s="38"/>
      <c r="M164" s="38"/>
      <c r="N164" s="38"/>
      <c r="O164" s="38" t="s">
        <v>3285</v>
      </c>
      <c r="P164" s="38" t="s">
        <v>50</v>
      </c>
      <c r="Q164" s="40" t="b">
        <f aca="false">TRUE()</f>
        <v>1</v>
      </c>
      <c r="R164" s="40" t="b">
        <f aca="false">FALSE()</f>
        <v>0</v>
      </c>
      <c r="S164" s="40" t="b">
        <f aca="false">FALSE()</f>
        <v>0</v>
      </c>
      <c r="T164" s="40" t="b">
        <f aca="false">FALSE()</f>
        <v>0</v>
      </c>
      <c r="U164" s="40" t="b">
        <f aca="false">TRUE()</f>
        <v>1</v>
      </c>
      <c r="V164" s="38" t="s">
        <v>3841</v>
      </c>
      <c r="W164" s="38" t="s">
        <v>3824</v>
      </c>
      <c r="X164" s="38" t="s">
        <v>3842</v>
      </c>
      <c r="Y164" s="38" t="s">
        <v>3289</v>
      </c>
      <c r="Z164" s="38" t="s">
        <v>3841</v>
      </c>
      <c r="AA164" s="38" t="s">
        <v>3843</v>
      </c>
      <c r="AB164" s="38" t="s">
        <v>3241</v>
      </c>
      <c r="AC164" s="38" t="s">
        <v>3242</v>
      </c>
      <c r="AD164" s="38"/>
      <c r="AE164" s="38"/>
      <c r="AF164" s="38"/>
      <c r="AG164" s="38"/>
      <c r="AH164" s="38" t="s">
        <v>3292</v>
      </c>
      <c r="AI164" s="38" t="s">
        <v>3293</v>
      </c>
      <c r="AJ164" s="38" t="s">
        <v>3251</v>
      </c>
      <c r="AK164" s="38" t="s">
        <v>3246</v>
      </c>
      <c r="AL164" s="38" t="s">
        <v>379</v>
      </c>
      <c r="AM164" s="38"/>
      <c r="AN164" s="38"/>
      <c r="AO164" s="38"/>
    </row>
    <row r="165" customFormat="false" ht="39.55" hidden="false" customHeight="false" outlineLevel="0" collapsed="false">
      <c r="A165" s="38" t="s">
        <v>376</v>
      </c>
      <c r="B165" s="38" t="s">
        <v>3844</v>
      </c>
      <c r="C165" s="38" t="s">
        <v>3845</v>
      </c>
      <c r="D165" s="38"/>
      <c r="E165" s="38" t="s">
        <v>379</v>
      </c>
      <c r="F165" s="38" t="s">
        <v>3839</v>
      </c>
      <c r="G165" s="38" t="s">
        <v>52</v>
      </c>
      <c r="H165" s="38"/>
      <c r="I165" s="38" t="s">
        <v>51</v>
      </c>
      <c r="J165" s="38" t="s">
        <v>3846</v>
      </c>
      <c r="K165" s="38"/>
      <c r="L165" s="38"/>
      <c r="M165" s="38"/>
      <c r="N165" s="38"/>
      <c r="O165" s="38" t="s">
        <v>3285</v>
      </c>
      <c r="P165" s="38" t="s">
        <v>50</v>
      </c>
      <c r="Q165" s="40" t="b">
        <f aca="false">FALSE()</f>
        <v>0</v>
      </c>
      <c r="R165" s="40" t="b">
        <f aca="false">FALSE()</f>
        <v>0</v>
      </c>
      <c r="S165" s="40" t="b">
        <f aca="false">FALSE()</f>
        <v>0</v>
      </c>
      <c r="T165" s="40" t="b">
        <f aca="false">FALSE()</f>
        <v>0</v>
      </c>
      <c r="U165" s="40" t="b">
        <f aca="false">TRUE()</f>
        <v>1</v>
      </c>
      <c r="V165" s="38" t="s">
        <v>3841</v>
      </c>
      <c r="W165" s="38" t="s">
        <v>3824</v>
      </c>
      <c r="X165" s="38" t="s">
        <v>3847</v>
      </c>
      <c r="Y165" s="38" t="s">
        <v>3848</v>
      </c>
      <c r="Z165" s="38" t="s">
        <v>3841</v>
      </c>
      <c r="AA165" s="38" t="s">
        <v>3843</v>
      </c>
      <c r="AB165" s="38" t="s">
        <v>3241</v>
      </c>
      <c r="AC165" s="38" t="s">
        <v>3242</v>
      </c>
      <c r="AD165" s="38"/>
      <c r="AE165" s="38"/>
      <c r="AF165" s="38"/>
      <c r="AG165" s="38"/>
      <c r="AH165" s="38" t="s">
        <v>3292</v>
      </c>
      <c r="AI165" s="38" t="s">
        <v>3293</v>
      </c>
      <c r="AJ165" s="38" t="s">
        <v>3251</v>
      </c>
      <c r="AK165" s="38" t="s">
        <v>3246</v>
      </c>
      <c r="AL165" s="38" t="s">
        <v>379</v>
      </c>
      <c r="AM165" s="38"/>
      <c r="AN165" s="38"/>
      <c r="AO165" s="38"/>
    </row>
    <row r="166" customFormat="false" ht="39.55" hidden="false" customHeight="false" outlineLevel="0" collapsed="false">
      <c r="A166" s="38" t="s">
        <v>376</v>
      </c>
      <c r="B166" s="38" t="s">
        <v>3849</v>
      </c>
      <c r="C166" s="38" t="s">
        <v>3299</v>
      </c>
      <c r="D166" s="38"/>
      <c r="E166" s="38" t="s">
        <v>379</v>
      </c>
      <c r="F166" s="38" t="s">
        <v>3850</v>
      </c>
      <c r="G166" s="38" t="s">
        <v>52</v>
      </c>
      <c r="H166" s="38"/>
      <c r="I166" s="38" t="s">
        <v>51</v>
      </c>
      <c r="J166" s="38" t="s">
        <v>3851</v>
      </c>
      <c r="K166" s="38"/>
      <c r="L166" s="38"/>
      <c r="M166" s="38"/>
      <c r="N166" s="38"/>
      <c r="O166" s="38" t="s">
        <v>3285</v>
      </c>
      <c r="P166" s="38" t="s">
        <v>3235</v>
      </c>
      <c r="Q166" s="40" t="b">
        <f aca="false">FALSE()</f>
        <v>0</v>
      </c>
      <c r="R166" s="40" t="b">
        <f aca="false">FALSE()</f>
        <v>0</v>
      </c>
      <c r="S166" s="40" t="b">
        <f aca="false">FALSE()</f>
        <v>0</v>
      </c>
      <c r="T166" s="40" t="b">
        <f aca="false">FALSE()</f>
        <v>0</v>
      </c>
      <c r="U166" s="40" t="b">
        <f aca="false">TRUE()</f>
        <v>1</v>
      </c>
      <c r="V166" s="38" t="s">
        <v>3841</v>
      </c>
      <c r="W166" s="38" t="s">
        <v>3824</v>
      </c>
      <c r="X166" s="38" t="s">
        <v>3847</v>
      </c>
      <c r="Y166" s="38" t="s">
        <v>3301</v>
      </c>
      <c r="Z166" s="38" t="s">
        <v>3841</v>
      </c>
      <c r="AA166" s="38" t="s">
        <v>3852</v>
      </c>
      <c r="AB166" s="38" t="s">
        <v>3241</v>
      </c>
      <c r="AC166" s="38" t="s">
        <v>3242</v>
      </c>
      <c r="AD166" s="38"/>
      <c r="AE166" s="38"/>
      <c r="AF166" s="38"/>
      <c r="AG166" s="38"/>
      <c r="AH166" s="38" t="s">
        <v>3292</v>
      </c>
      <c r="AI166" s="38" t="s">
        <v>3244</v>
      </c>
      <c r="AJ166" s="38" t="s">
        <v>3251</v>
      </c>
      <c r="AK166" s="38" t="s">
        <v>3246</v>
      </c>
      <c r="AL166" s="38" t="s">
        <v>379</v>
      </c>
      <c r="AM166" s="38"/>
      <c r="AN166" s="38"/>
      <c r="AO166" s="38"/>
    </row>
    <row r="167" customFormat="false" ht="52.2" hidden="false" customHeight="false" outlineLevel="0" collapsed="false">
      <c r="A167" s="38" t="s">
        <v>376</v>
      </c>
      <c r="B167" s="38" t="s">
        <v>3853</v>
      </c>
      <c r="C167" s="38" t="s">
        <v>3280</v>
      </c>
      <c r="D167" s="38"/>
      <c r="E167" s="38" t="s">
        <v>3854</v>
      </c>
      <c r="F167" s="38" t="s">
        <v>3850</v>
      </c>
      <c r="G167" s="38" t="s">
        <v>52</v>
      </c>
      <c r="H167" s="38"/>
      <c r="I167" s="38" t="s">
        <v>51</v>
      </c>
      <c r="J167" s="38" t="s">
        <v>3855</v>
      </c>
      <c r="K167" s="38"/>
      <c r="L167" s="38"/>
      <c r="M167" s="38"/>
      <c r="N167" s="38"/>
      <c r="O167" s="38" t="s">
        <v>3285</v>
      </c>
      <c r="P167" s="38" t="s">
        <v>50</v>
      </c>
      <c r="Q167" s="40" t="b">
        <f aca="false">FALSE()</f>
        <v>0</v>
      </c>
      <c r="R167" s="40" t="b">
        <f aca="false">FALSE()</f>
        <v>0</v>
      </c>
      <c r="S167" s="40" t="b">
        <f aca="false">FALSE()</f>
        <v>0</v>
      </c>
      <c r="T167" s="40" t="b">
        <f aca="false">FALSE()</f>
        <v>0</v>
      </c>
      <c r="U167" s="40" t="b">
        <f aca="false">TRUE()</f>
        <v>1</v>
      </c>
      <c r="V167" s="38" t="s">
        <v>3856</v>
      </c>
      <c r="W167" s="38" t="s">
        <v>3824</v>
      </c>
      <c r="X167" s="38" t="s">
        <v>3857</v>
      </c>
      <c r="Y167" s="38" t="s">
        <v>3289</v>
      </c>
      <c r="Z167" s="38" t="s">
        <v>3856</v>
      </c>
      <c r="AA167" s="38" t="s">
        <v>3852</v>
      </c>
      <c r="AB167" s="38" t="s">
        <v>3241</v>
      </c>
      <c r="AC167" s="38" t="s">
        <v>3242</v>
      </c>
      <c r="AD167" s="38"/>
      <c r="AE167" s="38"/>
      <c r="AF167" s="38"/>
      <c r="AG167" s="38"/>
      <c r="AH167" s="38" t="s">
        <v>3292</v>
      </c>
      <c r="AI167" s="38" t="s">
        <v>3293</v>
      </c>
      <c r="AJ167" s="38" t="s">
        <v>3251</v>
      </c>
      <c r="AK167" s="38" t="s">
        <v>3246</v>
      </c>
      <c r="AL167" s="38" t="s">
        <v>3854</v>
      </c>
      <c r="AM167" s="38"/>
      <c r="AN167" s="38"/>
      <c r="AO167" s="38"/>
    </row>
    <row r="168" customFormat="false" ht="39.55" hidden="false" customHeight="false" outlineLevel="0" collapsed="false">
      <c r="A168" s="38" t="s">
        <v>376</v>
      </c>
      <c r="B168" s="38" t="s">
        <v>3858</v>
      </c>
      <c r="C168" s="38" t="s">
        <v>3859</v>
      </c>
      <c r="D168" s="38"/>
      <c r="E168" s="38" t="s">
        <v>3860</v>
      </c>
      <c r="F168" s="38" t="s">
        <v>3839</v>
      </c>
      <c r="G168" s="38" t="s">
        <v>52</v>
      </c>
      <c r="H168" s="38"/>
      <c r="I168" s="38" t="s">
        <v>51</v>
      </c>
      <c r="J168" s="38" t="s">
        <v>3861</v>
      </c>
      <c r="K168" s="38"/>
      <c r="L168" s="38"/>
      <c r="M168" s="38"/>
      <c r="N168" s="38"/>
      <c r="O168" s="38" t="s">
        <v>3285</v>
      </c>
      <c r="P168" s="38" t="s">
        <v>50</v>
      </c>
      <c r="Q168" s="40" t="b">
        <f aca="false">FALSE()</f>
        <v>0</v>
      </c>
      <c r="R168" s="40" t="b">
        <f aca="false">FALSE()</f>
        <v>0</v>
      </c>
      <c r="S168" s="40" t="b">
        <f aca="false">FALSE()</f>
        <v>0</v>
      </c>
      <c r="T168" s="40" t="b">
        <f aca="false">FALSE()</f>
        <v>0</v>
      </c>
      <c r="U168" s="40" t="b">
        <f aca="false">TRUE()</f>
        <v>1</v>
      </c>
      <c r="V168" s="38" t="s">
        <v>3862</v>
      </c>
      <c r="W168" s="38" t="s">
        <v>3824</v>
      </c>
      <c r="X168" s="38" t="s">
        <v>3863</v>
      </c>
      <c r="Y168" s="38" t="s">
        <v>3864</v>
      </c>
      <c r="Z168" s="38" t="s">
        <v>3862</v>
      </c>
      <c r="AA168" s="38" t="s">
        <v>3843</v>
      </c>
      <c r="AB168" s="38" t="s">
        <v>3241</v>
      </c>
      <c r="AC168" s="38" t="s">
        <v>3242</v>
      </c>
      <c r="AD168" s="38"/>
      <c r="AE168" s="38"/>
      <c r="AF168" s="38"/>
      <c r="AG168" s="38"/>
      <c r="AH168" s="38" t="s">
        <v>3292</v>
      </c>
      <c r="AI168" s="38" t="s">
        <v>3293</v>
      </c>
      <c r="AJ168" s="38" t="s">
        <v>3251</v>
      </c>
      <c r="AK168" s="38" t="s">
        <v>3246</v>
      </c>
      <c r="AL168" s="38" t="s">
        <v>3860</v>
      </c>
      <c r="AM168" s="38"/>
      <c r="AN168" s="38"/>
      <c r="AO168" s="38"/>
    </row>
    <row r="169" customFormat="false" ht="39.55" hidden="false" customHeight="false" outlineLevel="0" collapsed="false">
      <c r="A169" s="38" t="s">
        <v>376</v>
      </c>
      <c r="B169" s="38" t="s">
        <v>3865</v>
      </c>
      <c r="C169" s="38" t="s">
        <v>3866</v>
      </c>
      <c r="D169" s="38"/>
      <c r="E169" s="38" t="s">
        <v>3860</v>
      </c>
      <c r="F169" s="38" t="s">
        <v>3839</v>
      </c>
      <c r="G169" s="38" t="s">
        <v>52</v>
      </c>
      <c r="H169" s="38"/>
      <c r="I169" s="38" t="s">
        <v>51</v>
      </c>
      <c r="J169" s="38" t="s">
        <v>3867</v>
      </c>
      <c r="K169" s="38"/>
      <c r="L169" s="38"/>
      <c r="M169" s="38"/>
      <c r="N169" s="38"/>
      <c r="O169" s="38" t="s">
        <v>3285</v>
      </c>
      <c r="P169" s="38" t="s">
        <v>50</v>
      </c>
      <c r="Q169" s="40" t="b">
        <f aca="false">FALSE()</f>
        <v>0</v>
      </c>
      <c r="R169" s="40" t="b">
        <f aca="false">FALSE()</f>
        <v>0</v>
      </c>
      <c r="S169" s="40" t="b">
        <f aca="false">FALSE()</f>
        <v>0</v>
      </c>
      <c r="T169" s="40" t="b">
        <f aca="false">FALSE()</f>
        <v>0</v>
      </c>
      <c r="U169" s="40" t="b">
        <f aca="false">TRUE()</f>
        <v>1</v>
      </c>
      <c r="V169" s="38" t="s">
        <v>3862</v>
      </c>
      <c r="W169" s="38" t="s">
        <v>3824</v>
      </c>
      <c r="X169" s="38" t="s">
        <v>3863</v>
      </c>
      <c r="Y169" s="38" t="s">
        <v>3868</v>
      </c>
      <c r="Z169" s="38" t="s">
        <v>3862</v>
      </c>
      <c r="AA169" s="38" t="s">
        <v>3843</v>
      </c>
      <c r="AB169" s="38" t="s">
        <v>3241</v>
      </c>
      <c r="AC169" s="38" t="s">
        <v>3242</v>
      </c>
      <c r="AD169" s="38"/>
      <c r="AE169" s="38"/>
      <c r="AF169" s="38"/>
      <c r="AG169" s="38"/>
      <c r="AH169" s="38" t="s">
        <v>3292</v>
      </c>
      <c r="AI169" s="38" t="s">
        <v>3293</v>
      </c>
      <c r="AJ169" s="38" t="s">
        <v>3251</v>
      </c>
      <c r="AK169" s="38" t="s">
        <v>3246</v>
      </c>
      <c r="AL169" s="38" t="s">
        <v>3860</v>
      </c>
      <c r="AM169" s="38"/>
      <c r="AN169" s="38"/>
      <c r="AO169" s="38"/>
    </row>
    <row r="170" customFormat="false" ht="39.55" hidden="false" customHeight="false" outlineLevel="0" collapsed="false">
      <c r="A170" s="38" t="s">
        <v>376</v>
      </c>
      <c r="B170" s="38" t="s">
        <v>3869</v>
      </c>
      <c r="C170" s="38" t="s">
        <v>3870</v>
      </c>
      <c r="D170" s="38"/>
      <c r="E170" s="38" t="s">
        <v>3860</v>
      </c>
      <c r="F170" s="38" t="s">
        <v>3839</v>
      </c>
      <c r="G170" s="38" t="s">
        <v>52</v>
      </c>
      <c r="H170" s="38"/>
      <c r="I170" s="38" t="s">
        <v>51</v>
      </c>
      <c r="J170" s="38" t="s">
        <v>3871</v>
      </c>
      <c r="K170" s="38"/>
      <c r="L170" s="38"/>
      <c r="M170" s="38"/>
      <c r="N170" s="38"/>
      <c r="O170" s="38" t="s">
        <v>3285</v>
      </c>
      <c r="P170" s="38" t="s">
        <v>50</v>
      </c>
      <c r="Q170" s="40" t="b">
        <f aca="false">FALSE()</f>
        <v>0</v>
      </c>
      <c r="R170" s="40" t="b">
        <f aca="false">FALSE()</f>
        <v>0</v>
      </c>
      <c r="S170" s="40" t="b">
        <f aca="false">FALSE()</f>
        <v>0</v>
      </c>
      <c r="T170" s="40" t="b">
        <f aca="false">FALSE()</f>
        <v>0</v>
      </c>
      <c r="U170" s="40" t="b">
        <f aca="false">TRUE()</f>
        <v>1</v>
      </c>
      <c r="V170" s="38" t="s">
        <v>3862</v>
      </c>
      <c r="W170" s="38" t="s">
        <v>3824</v>
      </c>
      <c r="X170" s="38" t="s">
        <v>3863</v>
      </c>
      <c r="Y170" s="38" t="s">
        <v>3872</v>
      </c>
      <c r="Z170" s="38" t="s">
        <v>3862</v>
      </c>
      <c r="AA170" s="38" t="s">
        <v>3843</v>
      </c>
      <c r="AB170" s="38" t="s">
        <v>3241</v>
      </c>
      <c r="AC170" s="38" t="s">
        <v>3242</v>
      </c>
      <c r="AD170" s="38"/>
      <c r="AE170" s="38"/>
      <c r="AF170" s="38"/>
      <c r="AG170" s="38"/>
      <c r="AH170" s="38" t="s">
        <v>3292</v>
      </c>
      <c r="AI170" s="38" t="s">
        <v>3293</v>
      </c>
      <c r="AJ170" s="38" t="s">
        <v>3251</v>
      </c>
      <c r="AK170" s="38" t="s">
        <v>3246</v>
      </c>
      <c r="AL170" s="38" t="s">
        <v>3860</v>
      </c>
      <c r="AM170" s="38"/>
      <c r="AN170" s="38"/>
      <c r="AO170" s="38"/>
    </row>
    <row r="171" customFormat="false" ht="39.55" hidden="false" customHeight="false" outlineLevel="0" collapsed="false">
      <c r="A171" s="38" t="s">
        <v>408</v>
      </c>
      <c r="B171" s="38" t="s">
        <v>3873</v>
      </c>
      <c r="C171" s="38" t="s">
        <v>185</v>
      </c>
      <c r="D171" s="38"/>
      <c r="E171" s="38" t="s">
        <v>3874</v>
      </c>
      <c r="F171" s="38" t="s">
        <v>3875</v>
      </c>
      <c r="G171" s="38" t="s">
        <v>52</v>
      </c>
      <c r="H171" s="38"/>
      <c r="I171" s="38" t="s">
        <v>51</v>
      </c>
      <c r="J171" s="38" t="s">
        <v>3876</v>
      </c>
      <c r="K171" s="38"/>
      <c r="L171" s="38"/>
      <c r="M171" s="38"/>
      <c r="N171" s="38"/>
      <c r="O171" s="38" t="s">
        <v>49</v>
      </c>
      <c r="P171" s="38" t="s">
        <v>3235</v>
      </c>
      <c r="Q171" s="40" t="b">
        <f aca="false">FALSE()</f>
        <v>0</v>
      </c>
      <c r="R171" s="40" t="b">
        <f aca="false">FALSE()</f>
        <v>0</v>
      </c>
      <c r="S171" s="40" t="b">
        <f aca="false">FALSE()</f>
        <v>0</v>
      </c>
      <c r="T171" s="40" t="b">
        <f aca="false">FALSE()</f>
        <v>0</v>
      </c>
      <c r="U171" s="40" t="b">
        <f aca="false">TRUE()</f>
        <v>1</v>
      </c>
      <c r="V171" s="38" t="s">
        <v>3877</v>
      </c>
      <c r="W171" s="38" t="s">
        <v>3878</v>
      </c>
      <c r="X171" s="38" t="s">
        <v>3879</v>
      </c>
      <c r="Y171" s="38" t="s">
        <v>3239</v>
      </c>
      <c r="Z171" s="38" t="s">
        <v>3877</v>
      </c>
      <c r="AA171" s="38" t="s">
        <v>3880</v>
      </c>
      <c r="AB171" s="38" t="s">
        <v>3241</v>
      </c>
      <c r="AC171" s="38" t="s">
        <v>3242</v>
      </c>
      <c r="AD171" s="38"/>
      <c r="AE171" s="38"/>
      <c r="AF171" s="38"/>
      <c r="AG171" s="38"/>
      <c r="AH171" s="38" t="s">
        <v>3243</v>
      </c>
      <c r="AI171" s="38" t="s">
        <v>3244</v>
      </c>
      <c r="AJ171" s="38" t="s">
        <v>3881</v>
      </c>
      <c r="AK171" s="38"/>
      <c r="AL171" s="38" t="s">
        <v>3874</v>
      </c>
      <c r="AM171" s="38"/>
      <c r="AN171" s="38"/>
      <c r="AO171" s="38"/>
    </row>
    <row r="172" customFormat="false" ht="39.55" hidden="false" customHeight="false" outlineLevel="0" collapsed="false">
      <c r="A172" s="38" t="s">
        <v>408</v>
      </c>
      <c r="B172" s="38" t="s">
        <v>3882</v>
      </c>
      <c r="C172" s="38" t="s">
        <v>3883</v>
      </c>
      <c r="D172" s="38"/>
      <c r="E172" s="38" t="s">
        <v>3884</v>
      </c>
      <c r="F172" s="38" t="s">
        <v>3875</v>
      </c>
      <c r="G172" s="38" t="s">
        <v>52</v>
      </c>
      <c r="H172" s="38"/>
      <c r="I172" s="38" t="s">
        <v>51</v>
      </c>
      <c r="J172" s="38" t="s">
        <v>3885</v>
      </c>
      <c r="K172" s="38"/>
      <c r="L172" s="38"/>
      <c r="M172" s="38"/>
      <c r="N172" s="38"/>
      <c r="O172" s="38" t="s">
        <v>49</v>
      </c>
      <c r="P172" s="38" t="s">
        <v>50</v>
      </c>
      <c r="Q172" s="40" t="b">
        <f aca="false">FALSE()</f>
        <v>0</v>
      </c>
      <c r="R172" s="40" t="b">
        <f aca="false">FALSE()</f>
        <v>0</v>
      </c>
      <c r="S172" s="40" t="b">
        <f aca="false">FALSE()</f>
        <v>0</v>
      </c>
      <c r="T172" s="40" t="b">
        <f aca="false">FALSE()</f>
        <v>0</v>
      </c>
      <c r="U172" s="40" t="b">
        <f aca="false">TRUE()</f>
        <v>1</v>
      </c>
      <c r="V172" s="38" t="s">
        <v>3886</v>
      </c>
      <c r="W172" s="38" t="s">
        <v>3878</v>
      </c>
      <c r="X172" s="38" t="s">
        <v>3887</v>
      </c>
      <c r="Y172" s="38" t="s">
        <v>3888</v>
      </c>
      <c r="Z172" s="38" t="s">
        <v>3886</v>
      </c>
      <c r="AA172" s="38" t="s">
        <v>3880</v>
      </c>
      <c r="AB172" s="38" t="s">
        <v>3241</v>
      </c>
      <c r="AC172" s="38" t="s">
        <v>3242</v>
      </c>
      <c r="AD172" s="38"/>
      <c r="AE172" s="38"/>
      <c r="AF172" s="38"/>
      <c r="AG172" s="38"/>
      <c r="AH172" s="38" t="s">
        <v>3243</v>
      </c>
      <c r="AI172" s="38" t="s">
        <v>3293</v>
      </c>
      <c r="AJ172" s="38" t="s">
        <v>3889</v>
      </c>
      <c r="AK172" s="38" t="s">
        <v>3246</v>
      </c>
      <c r="AL172" s="38" t="s">
        <v>3884</v>
      </c>
      <c r="AM172" s="38"/>
      <c r="AN172" s="38"/>
      <c r="AO172" s="38"/>
    </row>
    <row r="173" customFormat="false" ht="39.55" hidden="false" customHeight="false" outlineLevel="0" collapsed="false">
      <c r="A173" s="38" t="s">
        <v>408</v>
      </c>
      <c r="B173" s="38" t="s">
        <v>3890</v>
      </c>
      <c r="C173" s="38" t="s">
        <v>185</v>
      </c>
      <c r="D173" s="38"/>
      <c r="E173" s="38" t="s">
        <v>3884</v>
      </c>
      <c r="F173" s="38" t="s">
        <v>3875</v>
      </c>
      <c r="G173" s="38" t="s">
        <v>52</v>
      </c>
      <c r="H173" s="38"/>
      <c r="I173" s="38" t="s">
        <v>51</v>
      </c>
      <c r="J173" s="38" t="s">
        <v>3891</v>
      </c>
      <c r="K173" s="38"/>
      <c r="L173" s="38"/>
      <c r="M173" s="38"/>
      <c r="N173" s="38"/>
      <c r="O173" s="38" t="s">
        <v>49</v>
      </c>
      <c r="P173" s="38" t="s">
        <v>3235</v>
      </c>
      <c r="Q173" s="40" t="b">
        <f aca="false">FALSE()</f>
        <v>0</v>
      </c>
      <c r="R173" s="40" t="b">
        <f aca="false">FALSE()</f>
        <v>0</v>
      </c>
      <c r="S173" s="40" t="b">
        <f aca="false">FALSE()</f>
        <v>0</v>
      </c>
      <c r="T173" s="40" t="b">
        <f aca="false">FALSE()</f>
        <v>0</v>
      </c>
      <c r="U173" s="40" t="b">
        <f aca="false">TRUE()</f>
        <v>1</v>
      </c>
      <c r="V173" s="38" t="s">
        <v>3886</v>
      </c>
      <c r="W173" s="38" t="s">
        <v>3878</v>
      </c>
      <c r="X173" s="38" t="s">
        <v>3887</v>
      </c>
      <c r="Y173" s="38" t="s">
        <v>3239</v>
      </c>
      <c r="Z173" s="38" t="s">
        <v>3886</v>
      </c>
      <c r="AA173" s="38" t="s">
        <v>3880</v>
      </c>
      <c r="AB173" s="38" t="s">
        <v>3241</v>
      </c>
      <c r="AC173" s="38" t="s">
        <v>3242</v>
      </c>
      <c r="AD173" s="38"/>
      <c r="AE173" s="38"/>
      <c r="AF173" s="38"/>
      <c r="AG173" s="38"/>
      <c r="AH173" s="38" t="s">
        <v>3243</v>
      </c>
      <c r="AI173" s="38" t="s">
        <v>3244</v>
      </c>
      <c r="AJ173" s="38" t="s">
        <v>3251</v>
      </c>
      <c r="AK173" s="38" t="s">
        <v>3246</v>
      </c>
      <c r="AL173" s="38" t="s">
        <v>3884</v>
      </c>
      <c r="AM173" s="38"/>
      <c r="AN173" s="38"/>
      <c r="AO173" s="38"/>
    </row>
    <row r="174" customFormat="false" ht="39.55" hidden="false" customHeight="false" outlineLevel="0" collapsed="false">
      <c r="A174" s="38" t="s">
        <v>408</v>
      </c>
      <c r="B174" s="38" t="s">
        <v>3892</v>
      </c>
      <c r="C174" s="38" t="s">
        <v>185</v>
      </c>
      <c r="D174" s="38"/>
      <c r="E174" s="38" t="s">
        <v>3893</v>
      </c>
      <c r="F174" s="38" t="s">
        <v>3894</v>
      </c>
      <c r="G174" s="38" t="s">
        <v>52</v>
      </c>
      <c r="H174" s="38"/>
      <c r="I174" s="38" t="s">
        <v>51</v>
      </c>
      <c r="J174" s="38" t="s">
        <v>3895</v>
      </c>
      <c r="K174" s="38"/>
      <c r="L174" s="38"/>
      <c r="M174" s="38"/>
      <c r="N174" s="38"/>
      <c r="O174" s="38" t="s">
        <v>49</v>
      </c>
      <c r="P174" s="38" t="s">
        <v>3235</v>
      </c>
      <c r="Q174" s="40" t="b">
        <f aca="false">FALSE()</f>
        <v>0</v>
      </c>
      <c r="R174" s="40" t="b">
        <f aca="false">FALSE()</f>
        <v>0</v>
      </c>
      <c r="S174" s="40" t="b">
        <f aca="false">FALSE()</f>
        <v>0</v>
      </c>
      <c r="T174" s="40" t="b">
        <f aca="false">FALSE()</f>
        <v>0</v>
      </c>
      <c r="U174" s="40" t="b">
        <f aca="false">TRUE()</f>
        <v>1</v>
      </c>
      <c r="V174" s="38" t="s">
        <v>3896</v>
      </c>
      <c r="W174" s="38" t="s">
        <v>3878</v>
      </c>
      <c r="X174" s="38" t="s">
        <v>3897</v>
      </c>
      <c r="Y174" s="38" t="s">
        <v>3239</v>
      </c>
      <c r="Z174" s="38" t="s">
        <v>3896</v>
      </c>
      <c r="AA174" s="38" t="s">
        <v>3898</v>
      </c>
      <c r="AB174" s="38" t="s">
        <v>3241</v>
      </c>
      <c r="AC174" s="38" t="s">
        <v>3242</v>
      </c>
      <c r="AD174" s="38"/>
      <c r="AE174" s="38"/>
      <c r="AF174" s="38"/>
      <c r="AG174" s="38"/>
      <c r="AH174" s="38" t="s">
        <v>3243</v>
      </c>
      <c r="AI174" s="38" t="s">
        <v>3244</v>
      </c>
      <c r="AJ174" s="38" t="s">
        <v>3899</v>
      </c>
      <c r="AK174" s="38"/>
      <c r="AL174" s="38" t="s">
        <v>3893</v>
      </c>
      <c r="AM174" s="38"/>
      <c r="AN174" s="38"/>
      <c r="AO174" s="38"/>
    </row>
    <row r="175" customFormat="false" ht="39.55" hidden="false" customHeight="false" outlineLevel="0" collapsed="false">
      <c r="A175" s="38" t="s">
        <v>408</v>
      </c>
      <c r="B175" s="38" t="s">
        <v>3900</v>
      </c>
      <c r="C175" s="38" t="s">
        <v>3883</v>
      </c>
      <c r="D175" s="38"/>
      <c r="E175" s="38" t="s">
        <v>3901</v>
      </c>
      <c r="F175" s="38" t="s">
        <v>3894</v>
      </c>
      <c r="G175" s="38" t="s">
        <v>52</v>
      </c>
      <c r="H175" s="38"/>
      <c r="I175" s="38" t="s">
        <v>51</v>
      </c>
      <c r="J175" s="38" t="s">
        <v>3902</v>
      </c>
      <c r="K175" s="38"/>
      <c r="L175" s="38"/>
      <c r="M175" s="38"/>
      <c r="N175" s="38"/>
      <c r="O175" s="38" t="s">
        <v>49</v>
      </c>
      <c r="P175" s="38" t="s">
        <v>50</v>
      </c>
      <c r="Q175" s="40" t="b">
        <f aca="false">FALSE()</f>
        <v>0</v>
      </c>
      <c r="R175" s="40" t="b">
        <f aca="false">FALSE()</f>
        <v>0</v>
      </c>
      <c r="S175" s="40" t="b">
        <f aca="false">FALSE()</f>
        <v>0</v>
      </c>
      <c r="T175" s="40" t="b">
        <f aca="false">FALSE()</f>
        <v>0</v>
      </c>
      <c r="U175" s="40" t="b">
        <f aca="false">TRUE()</f>
        <v>1</v>
      </c>
      <c r="V175" s="38" t="s">
        <v>3903</v>
      </c>
      <c r="W175" s="38" t="s">
        <v>3878</v>
      </c>
      <c r="X175" s="38" t="s">
        <v>3904</v>
      </c>
      <c r="Y175" s="38" t="s">
        <v>3888</v>
      </c>
      <c r="Z175" s="38" t="s">
        <v>3903</v>
      </c>
      <c r="AA175" s="38" t="s">
        <v>3898</v>
      </c>
      <c r="AB175" s="38" t="s">
        <v>3241</v>
      </c>
      <c r="AC175" s="38" t="s">
        <v>3242</v>
      </c>
      <c r="AD175" s="38"/>
      <c r="AE175" s="38"/>
      <c r="AF175" s="38"/>
      <c r="AG175" s="38"/>
      <c r="AH175" s="38" t="s">
        <v>3243</v>
      </c>
      <c r="AI175" s="38" t="s">
        <v>3293</v>
      </c>
      <c r="AJ175" s="38" t="s">
        <v>3905</v>
      </c>
      <c r="AK175" s="38" t="s">
        <v>3246</v>
      </c>
      <c r="AL175" s="38" t="s">
        <v>3901</v>
      </c>
      <c r="AM175" s="38"/>
      <c r="AN175" s="38"/>
      <c r="AO175" s="38"/>
    </row>
    <row r="176" customFormat="false" ht="39.55" hidden="false" customHeight="false" outlineLevel="0" collapsed="false">
      <c r="A176" s="38" t="s">
        <v>408</v>
      </c>
      <c r="B176" s="38" t="s">
        <v>3906</v>
      </c>
      <c r="C176" s="38" t="s">
        <v>3755</v>
      </c>
      <c r="D176" s="38"/>
      <c r="E176" s="38" t="s">
        <v>3901</v>
      </c>
      <c r="F176" s="38" t="s">
        <v>3894</v>
      </c>
      <c r="G176" s="38" t="s">
        <v>52</v>
      </c>
      <c r="H176" s="38"/>
      <c r="I176" s="38" t="s">
        <v>51</v>
      </c>
      <c r="J176" s="38" t="s">
        <v>3907</v>
      </c>
      <c r="K176" s="38"/>
      <c r="L176" s="38"/>
      <c r="M176" s="38"/>
      <c r="N176" s="38"/>
      <c r="O176" s="38" t="s">
        <v>49</v>
      </c>
      <c r="P176" s="38" t="s">
        <v>50</v>
      </c>
      <c r="Q176" s="40" t="b">
        <f aca="false">FALSE()</f>
        <v>0</v>
      </c>
      <c r="R176" s="40" t="b">
        <f aca="false">FALSE()</f>
        <v>0</v>
      </c>
      <c r="S176" s="40" t="b">
        <f aca="false">FALSE()</f>
        <v>0</v>
      </c>
      <c r="T176" s="40" t="b">
        <f aca="false">FALSE()</f>
        <v>0</v>
      </c>
      <c r="U176" s="40" t="b">
        <f aca="false">TRUE()</f>
        <v>1</v>
      </c>
      <c r="V176" s="38" t="s">
        <v>3903</v>
      </c>
      <c r="W176" s="38" t="s">
        <v>3878</v>
      </c>
      <c r="X176" s="38" t="s">
        <v>3904</v>
      </c>
      <c r="Y176" s="38" t="s">
        <v>3762</v>
      </c>
      <c r="Z176" s="38" t="s">
        <v>3903</v>
      </c>
      <c r="AA176" s="38" t="s">
        <v>3898</v>
      </c>
      <c r="AB176" s="38" t="s">
        <v>3241</v>
      </c>
      <c r="AC176" s="38" t="s">
        <v>3242</v>
      </c>
      <c r="AD176" s="38"/>
      <c r="AE176" s="38"/>
      <c r="AF176" s="38"/>
      <c r="AG176" s="38"/>
      <c r="AH176" s="38" t="s">
        <v>3243</v>
      </c>
      <c r="AI176" s="38" t="s">
        <v>3293</v>
      </c>
      <c r="AJ176" s="38" t="s">
        <v>3908</v>
      </c>
      <c r="AK176" s="38" t="s">
        <v>3246</v>
      </c>
      <c r="AL176" s="38" t="s">
        <v>3901</v>
      </c>
      <c r="AM176" s="38"/>
      <c r="AN176" s="38"/>
      <c r="AO176" s="38"/>
    </row>
    <row r="177" customFormat="false" ht="39.55" hidden="false" customHeight="false" outlineLevel="0" collapsed="false">
      <c r="A177" s="38" t="s">
        <v>408</v>
      </c>
      <c r="B177" s="38" t="s">
        <v>3909</v>
      </c>
      <c r="C177" s="38" t="s">
        <v>185</v>
      </c>
      <c r="D177" s="38"/>
      <c r="E177" s="38" t="s">
        <v>3901</v>
      </c>
      <c r="F177" s="38" t="s">
        <v>3894</v>
      </c>
      <c r="G177" s="38" t="s">
        <v>52</v>
      </c>
      <c r="H177" s="38"/>
      <c r="I177" s="38" t="s">
        <v>51</v>
      </c>
      <c r="J177" s="38" t="s">
        <v>3910</v>
      </c>
      <c r="K177" s="38"/>
      <c r="L177" s="38"/>
      <c r="M177" s="38"/>
      <c r="N177" s="38"/>
      <c r="O177" s="38" t="s">
        <v>49</v>
      </c>
      <c r="P177" s="38" t="s">
        <v>3235</v>
      </c>
      <c r="Q177" s="40" t="b">
        <f aca="false">FALSE()</f>
        <v>0</v>
      </c>
      <c r="R177" s="40" t="b">
        <f aca="false">FALSE()</f>
        <v>0</v>
      </c>
      <c r="S177" s="40" t="b">
        <f aca="false">FALSE()</f>
        <v>0</v>
      </c>
      <c r="T177" s="40" t="b">
        <f aca="false">FALSE()</f>
        <v>0</v>
      </c>
      <c r="U177" s="40" t="b">
        <f aca="false">TRUE()</f>
        <v>1</v>
      </c>
      <c r="V177" s="38" t="s">
        <v>3903</v>
      </c>
      <c r="W177" s="38" t="s">
        <v>3878</v>
      </c>
      <c r="X177" s="38" t="s">
        <v>3904</v>
      </c>
      <c r="Y177" s="38" t="s">
        <v>3239</v>
      </c>
      <c r="Z177" s="38" t="s">
        <v>3903</v>
      </c>
      <c r="AA177" s="38" t="s">
        <v>3898</v>
      </c>
      <c r="AB177" s="38" t="s">
        <v>3241</v>
      </c>
      <c r="AC177" s="38" t="s">
        <v>3242</v>
      </c>
      <c r="AD177" s="38"/>
      <c r="AE177" s="38"/>
      <c r="AF177" s="38"/>
      <c r="AG177" s="38"/>
      <c r="AH177" s="38" t="s">
        <v>3243</v>
      </c>
      <c r="AI177" s="38" t="s">
        <v>3244</v>
      </c>
      <c r="AJ177" s="38" t="s">
        <v>3251</v>
      </c>
      <c r="AK177" s="38" t="s">
        <v>3246</v>
      </c>
      <c r="AL177" s="38" t="s">
        <v>3901</v>
      </c>
      <c r="AM177" s="38"/>
      <c r="AN177" s="38"/>
      <c r="AO177" s="38"/>
    </row>
    <row r="178" customFormat="false" ht="39.55" hidden="false" customHeight="false" outlineLevel="0" collapsed="false">
      <c r="A178" s="38" t="s">
        <v>408</v>
      </c>
      <c r="B178" s="38" t="s">
        <v>3911</v>
      </c>
      <c r="C178" s="38" t="s">
        <v>185</v>
      </c>
      <c r="D178" s="38"/>
      <c r="E178" s="38" t="s">
        <v>3912</v>
      </c>
      <c r="F178" s="38"/>
      <c r="G178" s="38" t="s">
        <v>52</v>
      </c>
      <c r="H178" s="38"/>
      <c r="I178" s="38" t="s">
        <v>3283</v>
      </c>
      <c r="J178" s="38" t="s">
        <v>3913</v>
      </c>
      <c r="K178" s="38"/>
      <c r="L178" s="38"/>
      <c r="M178" s="38"/>
      <c r="N178" s="38"/>
      <c r="O178" s="38" t="s">
        <v>49</v>
      </c>
      <c r="P178" s="38" t="s">
        <v>50</v>
      </c>
      <c r="Q178" s="40" t="b">
        <f aca="false">FALSE()</f>
        <v>0</v>
      </c>
      <c r="R178" s="40" t="b">
        <f aca="false">FALSE()</f>
        <v>0</v>
      </c>
      <c r="S178" s="40" t="b">
        <f aca="false">FALSE()</f>
        <v>0</v>
      </c>
      <c r="T178" s="40" t="b">
        <f aca="false">FALSE()</f>
        <v>0</v>
      </c>
      <c r="U178" s="40" t="b">
        <f aca="false">TRUE()</f>
        <v>1</v>
      </c>
      <c r="V178" s="38" t="s">
        <v>3914</v>
      </c>
      <c r="W178" s="38" t="s">
        <v>3878</v>
      </c>
      <c r="X178" s="38" t="s">
        <v>3915</v>
      </c>
      <c r="Y178" s="38" t="s">
        <v>3239</v>
      </c>
      <c r="Z178" s="38" t="s">
        <v>3914</v>
      </c>
      <c r="AA178" s="38"/>
      <c r="AB178" s="38" t="s">
        <v>3241</v>
      </c>
      <c r="AC178" s="38" t="s">
        <v>3291</v>
      </c>
      <c r="AD178" s="38"/>
      <c r="AE178" s="38"/>
      <c r="AF178" s="38"/>
      <c r="AG178" s="38"/>
      <c r="AH178" s="38" t="s">
        <v>3243</v>
      </c>
      <c r="AI178" s="38" t="s">
        <v>3293</v>
      </c>
      <c r="AJ178" s="38" t="s">
        <v>3251</v>
      </c>
      <c r="AK178" s="38" t="s">
        <v>3246</v>
      </c>
      <c r="AL178" s="38" t="s">
        <v>3912</v>
      </c>
      <c r="AM178" s="38"/>
      <c r="AN178" s="38"/>
      <c r="AO178" s="38"/>
    </row>
    <row r="179" customFormat="false" ht="39.55" hidden="false" customHeight="false" outlineLevel="0" collapsed="false">
      <c r="A179" s="38" t="s">
        <v>408</v>
      </c>
      <c r="B179" s="38" t="s">
        <v>3916</v>
      </c>
      <c r="C179" s="38" t="s">
        <v>3755</v>
      </c>
      <c r="D179" s="38"/>
      <c r="E179" s="38" t="s">
        <v>3917</v>
      </c>
      <c r="F179" s="38" t="s">
        <v>3918</v>
      </c>
      <c r="G179" s="38" t="s">
        <v>52</v>
      </c>
      <c r="H179" s="38"/>
      <c r="I179" s="38" t="s">
        <v>51</v>
      </c>
      <c r="J179" s="38" t="s">
        <v>3919</v>
      </c>
      <c r="K179" s="38"/>
      <c r="L179" s="38"/>
      <c r="M179" s="38"/>
      <c r="N179" s="38"/>
      <c r="O179" s="38" t="s">
        <v>49</v>
      </c>
      <c r="P179" s="38" t="s">
        <v>50</v>
      </c>
      <c r="Q179" s="40" t="b">
        <f aca="false">FALSE()</f>
        <v>0</v>
      </c>
      <c r="R179" s="40" t="b">
        <f aca="false">FALSE()</f>
        <v>0</v>
      </c>
      <c r="S179" s="40" t="b">
        <f aca="false">FALSE()</f>
        <v>0</v>
      </c>
      <c r="T179" s="40" t="b">
        <f aca="false">FALSE()</f>
        <v>0</v>
      </c>
      <c r="U179" s="40" t="b">
        <f aca="false">TRUE()</f>
        <v>1</v>
      </c>
      <c r="V179" s="38" t="s">
        <v>3920</v>
      </c>
      <c r="W179" s="38" t="s">
        <v>3878</v>
      </c>
      <c r="X179" s="38" t="s">
        <v>3921</v>
      </c>
      <c r="Y179" s="38" t="s">
        <v>3762</v>
      </c>
      <c r="Z179" s="38" t="s">
        <v>3920</v>
      </c>
      <c r="AA179" s="38" t="s">
        <v>3922</v>
      </c>
      <c r="AB179" s="38" t="s">
        <v>3241</v>
      </c>
      <c r="AC179" s="38" t="s">
        <v>3242</v>
      </c>
      <c r="AD179" s="38"/>
      <c r="AE179" s="38"/>
      <c r="AF179" s="38"/>
      <c r="AG179" s="38"/>
      <c r="AH179" s="38" t="s">
        <v>3243</v>
      </c>
      <c r="AI179" s="38" t="s">
        <v>3293</v>
      </c>
      <c r="AJ179" s="38" t="s">
        <v>3923</v>
      </c>
      <c r="AK179" s="38" t="s">
        <v>3246</v>
      </c>
      <c r="AL179" s="38" t="s">
        <v>3917</v>
      </c>
      <c r="AM179" s="38"/>
      <c r="AN179" s="38"/>
      <c r="AO179" s="38"/>
    </row>
    <row r="180" customFormat="false" ht="39.55" hidden="false" customHeight="false" outlineLevel="0" collapsed="false">
      <c r="A180" s="38" t="s">
        <v>408</v>
      </c>
      <c r="B180" s="38" t="s">
        <v>3924</v>
      </c>
      <c r="C180" s="38" t="s">
        <v>185</v>
      </c>
      <c r="D180" s="38"/>
      <c r="E180" s="38" t="s">
        <v>3917</v>
      </c>
      <c r="F180" s="38" t="s">
        <v>3918</v>
      </c>
      <c r="G180" s="38" t="s">
        <v>52</v>
      </c>
      <c r="H180" s="38"/>
      <c r="I180" s="38" t="s">
        <v>51</v>
      </c>
      <c r="J180" s="38" t="s">
        <v>3925</v>
      </c>
      <c r="K180" s="38"/>
      <c r="L180" s="38"/>
      <c r="M180" s="38"/>
      <c r="N180" s="38"/>
      <c r="O180" s="38" t="s">
        <v>49</v>
      </c>
      <c r="P180" s="38" t="s">
        <v>3235</v>
      </c>
      <c r="Q180" s="40" t="b">
        <f aca="false">FALSE()</f>
        <v>0</v>
      </c>
      <c r="R180" s="40" t="b">
        <f aca="false">FALSE()</f>
        <v>0</v>
      </c>
      <c r="S180" s="40" t="b">
        <f aca="false">FALSE()</f>
        <v>0</v>
      </c>
      <c r="T180" s="40" t="b">
        <f aca="false">FALSE()</f>
        <v>0</v>
      </c>
      <c r="U180" s="40" t="b">
        <f aca="false">TRUE()</f>
        <v>1</v>
      </c>
      <c r="V180" s="38" t="s">
        <v>3920</v>
      </c>
      <c r="W180" s="38" t="s">
        <v>3878</v>
      </c>
      <c r="X180" s="38" t="s">
        <v>3921</v>
      </c>
      <c r="Y180" s="38" t="s">
        <v>3239</v>
      </c>
      <c r="Z180" s="38" t="s">
        <v>3920</v>
      </c>
      <c r="AA180" s="38" t="s">
        <v>3922</v>
      </c>
      <c r="AB180" s="38" t="s">
        <v>3241</v>
      </c>
      <c r="AC180" s="38" t="s">
        <v>3242</v>
      </c>
      <c r="AD180" s="38"/>
      <c r="AE180" s="38"/>
      <c r="AF180" s="38"/>
      <c r="AG180" s="38"/>
      <c r="AH180" s="38" t="s">
        <v>3243</v>
      </c>
      <c r="AI180" s="38" t="s">
        <v>3244</v>
      </c>
      <c r="AJ180" s="38" t="s">
        <v>3251</v>
      </c>
      <c r="AK180" s="38" t="s">
        <v>3246</v>
      </c>
      <c r="AL180" s="38" t="s">
        <v>3917</v>
      </c>
      <c r="AM180" s="38"/>
      <c r="AN180" s="38"/>
      <c r="AO180" s="38"/>
    </row>
    <row r="181" customFormat="false" ht="39.55" hidden="false" customHeight="false" outlineLevel="0" collapsed="false">
      <c r="A181" s="38" t="s">
        <v>408</v>
      </c>
      <c r="B181" s="38" t="s">
        <v>3926</v>
      </c>
      <c r="C181" s="38" t="s">
        <v>185</v>
      </c>
      <c r="D181" s="38"/>
      <c r="E181" s="38" t="s">
        <v>3927</v>
      </c>
      <c r="F181" s="38" t="s">
        <v>3918</v>
      </c>
      <c r="G181" s="38" t="s">
        <v>52</v>
      </c>
      <c r="H181" s="38"/>
      <c r="I181" s="38" t="s">
        <v>51</v>
      </c>
      <c r="J181" s="38" t="s">
        <v>3928</v>
      </c>
      <c r="K181" s="38"/>
      <c r="L181" s="38"/>
      <c r="M181" s="38"/>
      <c r="N181" s="38"/>
      <c r="O181" s="38" t="s">
        <v>49</v>
      </c>
      <c r="P181" s="38" t="s">
        <v>3235</v>
      </c>
      <c r="Q181" s="40" t="b">
        <f aca="false">FALSE()</f>
        <v>0</v>
      </c>
      <c r="R181" s="40" t="b">
        <f aca="false">FALSE()</f>
        <v>0</v>
      </c>
      <c r="S181" s="40" t="b">
        <f aca="false">FALSE()</f>
        <v>0</v>
      </c>
      <c r="T181" s="40" t="b">
        <f aca="false">FALSE()</f>
        <v>0</v>
      </c>
      <c r="U181" s="40" t="b">
        <f aca="false">TRUE()</f>
        <v>1</v>
      </c>
      <c r="V181" s="38" t="s">
        <v>3929</v>
      </c>
      <c r="W181" s="38" t="s">
        <v>3878</v>
      </c>
      <c r="X181" s="38" t="s">
        <v>3930</v>
      </c>
      <c r="Y181" s="38" t="s">
        <v>3239</v>
      </c>
      <c r="Z181" s="38" t="s">
        <v>3929</v>
      </c>
      <c r="AA181" s="38" t="s">
        <v>3922</v>
      </c>
      <c r="AB181" s="38" t="s">
        <v>3241</v>
      </c>
      <c r="AC181" s="38" t="s">
        <v>3242</v>
      </c>
      <c r="AD181" s="38"/>
      <c r="AE181" s="38"/>
      <c r="AF181" s="38"/>
      <c r="AG181" s="38"/>
      <c r="AH181" s="38" t="s">
        <v>3243</v>
      </c>
      <c r="AI181" s="38" t="s">
        <v>3244</v>
      </c>
      <c r="AJ181" s="38" t="s">
        <v>3931</v>
      </c>
      <c r="AK181" s="38"/>
      <c r="AL181" s="38" t="s">
        <v>3927</v>
      </c>
      <c r="AM181" s="38"/>
      <c r="AN181" s="38"/>
      <c r="AO181" s="38"/>
    </row>
    <row r="182" customFormat="false" ht="39.55" hidden="false" customHeight="false" outlineLevel="0" collapsed="false">
      <c r="A182" s="38" t="s">
        <v>408</v>
      </c>
      <c r="B182" s="38" t="s">
        <v>3932</v>
      </c>
      <c r="C182" s="38" t="s">
        <v>3883</v>
      </c>
      <c r="D182" s="38"/>
      <c r="E182" s="38" t="s">
        <v>3933</v>
      </c>
      <c r="F182" s="38" t="s">
        <v>3918</v>
      </c>
      <c r="G182" s="38" t="s">
        <v>52</v>
      </c>
      <c r="H182" s="38"/>
      <c r="I182" s="38" t="s">
        <v>51</v>
      </c>
      <c r="J182" s="38" t="s">
        <v>3934</v>
      </c>
      <c r="K182" s="38"/>
      <c r="L182" s="38"/>
      <c r="M182" s="38"/>
      <c r="N182" s="38"/>
      <c r="O182" s="38" t="s">
        <v>49</v>
      </c>
      <c r="P182" s="38" t="s">
        <v>50</v>
      </c>
      <c r="Q182" s="40" t="b">
        <f aca="false">FALSE()</f>
        <v>0</v>
      </c>
      <c r="R182" s="40" t="b">
        <f aca="false">FALSE()</f>
        <v>0</v>
      </c>
      <c r="S182" s="40" t="b">
        <f aca="false">FALSE()</f>
        <v>0</v>
      </c>
      <c r="T182" s="40" t="b">
        <f aca="false">FALSE()</f>
        <v>0</v>
      </c>
      <c r="U182" s="40" t="b">
        <f aca="false">TRUE()</f>
        <v>1</v>
      </c>
      <c r="V182" s="38" t="s">
        <v>3935</v>
      </c>
      <c r="W182" s="38" t="s">
        <v>3878</v>
      </c>
      <c r="X182" s="38" t="s">
        <v>3936</v>
      </c>
      <c r="Y182" s="38" t="s">
        <v>3888</v>
      </c>
      <c r="Z182" s="38" t="s">
        <v>3935</v>
      </c>
      <c r="AA182" s="38" t="s">
        <v>3922</v>
      </c>
      <c r="AB182" s="38" t="s">
        <v>3241</v>
      </c>
      <c r="AC182" s="38" t="s">
        <v>3242</v>
      </c>
      <c r="AD182" s="38"/>
      <c r="AE182" s="38"/>
      <c r="AF182" s="38"/>
      <c r="AG182" s="38"/>
      <c r="AH182" s="38" t="s">
        <v>3243</v>
      </c>
      <c r="AI182" s="38" t="s">
        <v>3293</v>
      </c>
      <c r="AJ182" s="38" t="s">
        <v>3937</v>
      </c>
      <c r="AK182" s="38" t="s">
        <v>3246</v>
      </c>
      <c r="AL182" s="38" t="s">
        <v>3933</v>
      </c>
      <c r="AM182" s="38"/>
      <c r="AN182" s="38"/>
      <c r="AO182" s="38"/>
    </row>
    <row r="183" customFormat="false" ht="39.55" hidden="false" customHeight="false" outlineLevel="0" collapsed="false">
      <c r="A183" s="38" t="s">
        <v>408</v>
      </c>
      <c r="B183" s="38" t="s">
        <v>3938</v>
      </c>
      <c r="C183" s="38" t="s">
        <v>185</v>
      </c>
      <c r="D183" s="38"/>
      <c r="E183" s="38" t="s">
        <v>3933</v>
      </c>
      <c r="F183" s="38" t="s">
        <v>3918</v>
      </c>
      <c r="G183" s="38" t="s">
        <v>52</v>
      </c>
      <c r="H183" s="38"/>
      <c r="I183" s="38" t="s">
        <v>51</v>
      </c>
      <c r="J183" s="38" t="s">
        <v>3939</v>
      </c>
      <c r="K183" s="38"/>
      <c r="L183" s="38"/>
      <c r="M183" s="38"/>
      <c r="N183" s="38"/>
      <c r="O183" s="38" t="s">
        <v>49</v>
      </c>
      <c r="P183" s="38" t="s">
        <v>3235</v>
      </c>
      <c r="Q183" s="40" t="b">
        <f aca="false">FALSE()</f>
        <v>0</v>
      </c>
      <c r="R183" s="40" t="b">
        <f aca="false">FALSE()</f>
        <v>0</v>
      </c>
      <c r="S183" s="40" t="b">
        <f aca="false">FALSE()</f>
        <v>0</v>
      </c>
      <c r="T183" s="40" t="b">
        <f aca="false">FALSE()</f>
        <v>0</v>
      </c>
      <c r="U183" s="40" t="b">
        <f aca="false">TRUE()</f>
        <v>1</v>
      </c>
      <c r="V183" s="38" t="s">
        <v>3935</v>
      </c>
      <c r="W183" s="38" t="s">
        <v>3878</v>
      </c>
      <c r="X183" s="38" t="s">
        <v>3936</v>
      </c>
      <c r="Y183" s="38" t="s">
        <v>3239</v>
      </c>
      <c r="Z183" s="38" t="s">
        <v>3935</v>
      </c>
      <c r="AA183" s="38" t="s">
        <v>3922</v>
      </c>
      <c r="AB183" s="38" t="s">
        <v>3241</v>
      </c>
      <c r="AC183" s="38" t="s">
        <v>3242</v>
      </c>
      <c r="AD183" s="38"/>
      <c r="AE183" s="38"/>
      <c r="AF183" s="38"/>
      <c r="AG183" s="38"/>
      <c r="AH183" s="38" t="s">
        <v>3243</v>
      </c>
      <c r="AI183" s="38" t="s">
        <v>3244</v>
      </c>
      <c r="AJ183" s="38" t="s">
        <v>3251</v>
      </c>
      <c r="AK183" s="38" t="s">
        <v>3246</v>
      </c>
      <c r="AL183" s="38" t="s">
        <v>3933</v>
      </c>
      <c r="AM183" s="38"/>
      <c r="AN183" s="38"/>
      <c r="AO183" s="38"/>
    </row>
    <row r="184" customFormat="false" ht="39.55" hidden="false" customHeight="false" outlineLevel="0" collapsed="false">
      <c r="A184" s="38" t="s">
        <v>3940</v>
      </c>
      <c r="B184" s="38" t="s">
        <v>3941</v>
      </c>
      <c r="C184" s="38" t="s">
        <v>185</v>
      </c>
      <c r="D184" s="38"/>
      <c r="E184" s="38" t="s">
        <v>321</v>
      </c>
      <c r="F184" s="38" t="s">
        <v>322</v>
      </c>
      <c r="G184" s="38" t="s">
        <v>52</v>
      </c>
      <c r="H184" s="38"/>
      <c r="I184" s="38" t="s">
        <v>51</v>
      </c>
      <c r="J184" s="38" t="s">
        <v>3942</v>
      </c>
      <c r="K184" s="38"/>
      <c r="L184" s="38"/>
      <c r="M184" s="38"/>
      <c r="N184" s="38"/>
      <c r="O184" s="38" t="s">
        <v>49</v>
      </c>
      <c r="P184" s="38" t="s">
        <v>3235</v>
      </c>
      <c r="Q184" s="40" t="b">
        <f aca="false">FALSE()</f>
        <v>0</v>
      </c>
      <c r="R184" s="40" t="b">
        <f aca="false">FALSE()</f>
        <v>0</v>
      </c>
      <c r="S184" s="40" t="b">
        <f aca="false">FALSE()</f>
        <v>0</v>
      </c>
      <c r="T184" s="40" t="b">
        <f aca="false">FALSE()</f>
        <v>0</v>
      </c>
      <c r="U184" s="40" t="b">
        <f aca="false">TRUE()</f>
        <v>1</v>
      </c>
      <c r="V184" s="38" t="s">
        <v>3943</v>
      </c>
      <c r="W184" s="38" t="s">
        <v>3944</v>
      </c>
      <c r="X184" s="38" t="s">
        <v>3945</v>
      </c>
      <c r="Y184" s="38" t="s">
        <v>3239</v>
      </c>
      <c r="Z184" s="38" t="s">
        <v>3943</v>
      </c>
      <c r="AA184" s="38" t="s">
        <v>3946</v>
      </c>
      <c r="AB184" s="38" t="s">
        <v>3241</v>
      </c>
      <c r="AC184" s="38" t="s">
        <v>3242</v>
      </c>
      <c r="AD184" s="38"/>
      <c r="AE184" s="38"/>
      <c r="AF184" s="38"/>
      <c r="AG184" s="38"/>
      <c r="AH184" s="38" t="s">
        <v>3243</v>
      </c>
      <c r="AI184" s="38" t="s">
        <v>3244</v>
      </c>
      <c r="AJ184" s="38" t="s">
        <v>3251</v>
      </c>
      <c r="AK184" s="38" t="s">
        <v>3246</v>
      </c>
      <c r="AL184" s="38" t="s">
        <v>321</v>
      </c>
      <c r="AM184" s="38"/>
      <c r="AN184" s="38"/>
      <c r="AO184" s="38"/>
    </row>
    <row r="185" customFormat="false" ht="39.55" hidden="false" customHeight="false" outlineLevel="0" collapsed="false">
      <c r="A185" s="38" t="s">
        <v>3940</v>
      </c>
      <c r="B185" s="38" t="s">
        <v>3947</v>
      </c>
      <c r="C185" s="38" t="s">
        <v>185</v>
      </c>
      <c r="D185" s="38"/>
      <c r="E185" s="38" t="s">
        <v>325</v>
      </c>
      <c r="F185" s="38" t="s">
        <v>322</v>
      </c>
      <c r="G185" s="38" t="s">
        <v>52</v>
      </c>
      <c r="H185" s="38"/>
      <c r="I185" s="38" t="s">
        <v>51</v>
      </c>
      <c r="J185" s="38" t="s">
        <v>3948</v>
      </c>
      <c r="K185" s="38"/>
      <c r="L185" s="38"/>
      <c r="M185" s="38"/>
      <c r="N185" s="38"/>
      <c r="O185" s="38" t="s">
        <v>49</v>
      </c>
      <c r="P185" s="38" t="s">
        <v>3235</v>
      </c>
      <c r="Q185" s="40" t="b">
        <f aca="false">FALSE()</f>
        <v>0</v>
      </c>
      <c r="R185" s="40" t="b">
        <f aca="false">FALSE()</f>
        <v>0</v>
      </c>
      <c r="S185" s="40" t="b">
        <f aca="false">FALSE()</f>
        <v>0</v>
      </c>
      <c r="T185" s="40" t="b">
        <f aca="false">FALSE()</f>
        <v>0</v>
      </c>
      <c r="U185" s="40" t="b">
        <f aca="false">TRUE()</f>
        <v>1</v>
      </c>
      <c r="V185" s="38" t="s">
        <v>3949</v>
      </c>
      <c r="W185" s="38" t="s">
        <v>3944</v>
      </c>
      <c r="X185" s="38" t="s">
        <v>3950</v>
      </c>
      <c r="Y185" s="38" t="s">
        <v>3239</v>
      </c>
      <c r="Z185" s="38" t="s">
        <v>3949</v>
      </c>
      <c r="AA185" s="38" t="s">
        <v>3946</v>
      </c>
      <c r="AB185" s="38" t="s">
        <v>3241</v>
      </c>
      <c r="AC185" s="38" t="s">
        <v>3242</v>
      </c>
      <c r="AD185" s="38"/>
      <c r="AE185" s="38"/>
      <c r="AF185" s="38"/>
      <c r="AG185" s="38"/>
      <c r="AH185" s="38" t="s">
        <v>3243</v>
      </c>
      <c r="AI185" s="38" t="s">
        <v>3244</v>
      </c>
      <c r="AJ185" s="38" t="s">
        <v>3251</v>
      </c>
      <c r="AK185" s="38" t="s">
        <v>3246</v>
      </c>
      <c r="AL185" s="38" t="s">
        <v>325</v>
      </c>
      <c r="AM185" s="38"/>
      <c r="AN185" s="38"/>
      <c r="AO185" s="38"/>
    </row>
    <row r="186" customFormat="false" ht="39.55" hidden="false" customHeight="false" outlineLevel="0" collapsed="false">
      <c r="A186" s="38" t="s">
        <v>3940</v>
      </c>
      <c r="B186" s="38" t="s">
        <v>3951</v>
      </c>
      <c r="C186" s="38" t="s">
        <v>185</v>
      </c>
      <c r="D186" s="38"/>
      <c r="E186" s="38" t="s">
        <v>328</v>
      </c>
      <c r="F186" s="38" t="s">
        <v>322</v>
      </c>
      <c r="G186" s="38" t="s">
        <v>52</v>
      </c>
      <c r="H186" s="38"/>
      <c r="I186" s="38" t="s">
        <v>51</v>
      </c>
      <c r="J186" s="38" t="s">
        <v>3952</v>
      </c>
      <c r="K186" s="38"/>
      <c r="L186" s="38"/>
      <c r="M186" s="38"/>
      <c r="N186" s="38"/>
      <c r="O186" s="38" t="s">
        <v>49</v>
      </c>
      <c r="P186" s="38" t="s">
        <v>3235</v>
      </c>
      <c r="Q186" s="40" t="b">
        <f aca="false">FALSE()</f>
        <v>0</v>
      </c>
      <c r="R186" s="40" t="b">
        <f aca="false">FALSE()</f>
        <v>0</v>
      </c>
      <c r="S186" s="40" t="b">
        <f aca="false">FALSE()</f>
        <v>0</v>
      </c>
      <c r="T186" s="40" t="b">
        <f aca="false">FALSE()</f>
        <v>0</v>
      </c>
      <c r="U186" s="40" t="b">
        <f aca="false">TRUE()</f>
        <v>1</v>
      </c>
      <c r="V186" s="38" t="s">
        <v>3953</v>
      </c>
      <c r="W186" s="38" t="s">
        <v>3944</v>
      </c>
      <c r="X186" s="38" t="s">
        <v>3954</v>
      </c>
      <c r="Y186" s="38" t="s">
        <v>3239</v>
      </c>
      <c r="Z186" s="38" t="s">
        <v>3953</v>
      </c>
      <c r="AA186" s="38" t="s">
        <v>3946</v>
      </c>
      <c r="AB186" s="38" t="s">
        <v>3241</v>
      </c>
      <c r="AC186" s="38" t="s">
        <v>3242</v>
      </c>
      <c r="AD186" s="38"/>
      <c r="AE186" s="38"/>
      <c r="AF186" s="38"/>
      <c r="AG186" s="38"/>
      <c r="AH186" s="38" t="s">
        <v>3243</v>
      </c>
      <c r="AI186" s="38" t="s">
        <v>3244</v>
      </c>
      <c r="AJ186" s="38" t="s">
        <v>3251</v>
      </c>
      <c r="AK186" s="38" t="s">
        <v>3246</v>
      </c>
      <c r="AL186" s="38" t="s">
        <v>328</v>
      </c>
      <c r="AM186" s="38"/>
      <c r="AN186" s="38"/>
      <c r="AO186" s="38"/>
    </row>
    <row r="187" customFormat="false" ht="39.55" hidden="false" customHeight="false" outlineLevel="0" collapsed="false">
      <c r="A187" s="38" t="s">
        <v>3940</v>
      </c>
      <c r="B187" s="38" t="s">
        <v>3955</v>
      </c>
      <c r="C187" s="38" t="s">
        <v>64</v>
      </c>
      <c r="D187" s="38"/>
      <c r="E187" s="38" t="s">
        <v>3956</v>
      </c>
      <c r="F187" s="38" t="s">
        <v>314</v>
      </c>
      <c r="G187" s="38" t="s">
        <v>52</v>
      </c>
      <c r="H187" s="38"/>
      <c r="I187" s="38" t="s">
        <v>14</v>
      </c>
      <c r="J187" s="38" t="s">
        <v>3957</v>
      </c>
      <c r="K187" s="38"/>
      <c r="L187" s="38" t="s">
        <v>3958</v>
      </c>
      <c r="M187" s="38"/>
      <c r="N187" s="38"/>
      <c r="O187" s="38" t="s">
        <v>49</v>
      </c>
      <c r="P187" s="38" t="s">
        <v>3235</v>
      </c>
      <c r="Q187" s="40" t="b">
        <f aca="false">FALSE()</f>
        <v>0</v>
      </c>
      <c r="R187" s="40" t="b">
        <f aca="false">FALSE()</f>
        <v>0</v>
      </c>
      <c r="S187" s="40" t="b">
        <f aca="false">FALSE()</f>
        <v>0</v>
      </c>
      <c r="T187" s="40" t="b">
        <f aca="false">FALSE()</f>
        <v>0</v>
      </c>
      <c r="U187" s="40" t="b">
        <f aca="false">TRUE()</f>
        <v>1</v>
      </c>
      <c r="V187" s="38" t="s">
        <v>3959</v>
      </c>
      <c r="W187" s="38" t="s">
        <v>3944</v>
      </c>
      <c r="X187" s="38" t="s">
        <v>3960</v>
      </c>
      <c r="Y187" s="38" t="s">
        <v>3961</v>
      </c>
      <c r="Z187" s="38" t="s">
        <v>3959</v>
      </c>
      <c r="AA187" s="38" t="s">
        <v>3962</v>
      </c>
      <c r="AB187" s="38" t="s">
        <v>3241</v>
      </c>
      <c r="AC187" s="38" t="s">
        <v>3963</v>
      </c>
      <c r="AD187" s="38"/>
      <c r="AE187" s="38"/>
      <c r="AF187" s="38" t="s">
        <v>3964</v>
      </c>
      <c r="AG187" s="38"/>
      <c r="AH187" s="38" t="s">
        <v>3243</v>
      </c>
      <c r="AI187" s="38" t="s">
        <v>3244</v>
      </c>
      <c r="AJ187" s="38" t="s">
        <v>3251</v>
      </c>
      <c r="AK187" s="38" t="s">
        <v>3246</v>
      </c>
      <c r="AL187" s="38" t="s">
        <v>3956</v>
      </c>
      <c r="AM187" s="38"/>
      <c r="AN187" s="38"/>
      <c r="AO187" s="38"/>
    </row>
    <row r="188" customFormat="false" ht="39.55" hidden="false" customHeight="false" outlineLevel="0" collapsed="false">
      <c r="A188" s="38" t="s">
        <v>3940</v>
      </c>
      <c r="B188" s="38" t="s">
        <v>3965</v>
      </c>
      <c r="C188" s="38" t="s">
        <v>185</v>
      </c>
      <c r="D188" s="38"/>
      <c r="E188" s="38" t="s">
        <v>3966</v>
      </c>
      <c r="F188" s="38" t="s">
        <v>318</v>
      </c>
      <c r="G188" s="38" t="s">
        <v>52</v>
      </c>
      <c r="H188" s="38"/>
      <c r="I188" s="38" t="s">
        <v>51</v>
      </c>
      <c r="J188" s="38" t="s">
        <v>3967</v>
      </c>
      <c r="K188" s="38"/>
      <c r="L188" s="38"/>
      <c r="M188" s="38"/>
      <c r="N188" s="38"/>
      <c r="O188" s="38" t="s">
        <v>49</v>
      </c>
      <c r="P188" s="38" t="s">
        <v>3235</v>
      </c>
      <c r="Q188" s="40" t="b">
        <f aca="false">FALSE()</f>
        <v>0</v>
      </c>
      <c r="R188" s="40" t="b">
        <f aca="false">FALSE()</f>
        <v>0</v>
      </c>
      <c r="S188" s="40" t="b">
        <f aca="false">FALSE()</f>
        <v>0</v>
      </c>
      <c r="T188" s="40" t="b">
        <f aca="false">FALSE()</f>
        <v>0</v>
      </c>
      <c r="U188" s="40" t="b">
        <f aca="false">TRUE()</f>
        <v>1</v>
      </c>
      <c r="V188" s="38" t="s">
        <v>3968</v>
      </c>
      <c r="W188" s="38" t="s">
        <v>3944</v>
      </c>
      <c r="X188" s="38" t="s">
        <v>3969</v>
      </c>
      <c r="Y188" s="38" t="s">
        <v>3239</v>
      </c>
      <c r="Z188" s="38" t="s">
        <v>3968</v>
      </c>
      <c r="AA188" s="38" t="s">
        <v>3970</v>
      </c>
      <c r="AB188" s="38" t="s">
        <v>3241</v>
      </c>
      <c r="AC188" s="38" t="s">
        <v>3242</v>
      </c>
      <c r="AD188" s="38"/>
      <c r="AE188" s="38"/>
      <c r="AF188" s="38"/>
      <c r="AG188" s="38"/>
      <c r="AH188" s="38" t="s">
        <v>3243</v>
      </c>
      <c r="AI188" s="38" t="s">
        <v>3244</v>
      </c>
      <c r="AJ188" s="38" t="s">
        <v>3251</v>
      </c>
      <c r="AK188" s="38" t="s">
        <v>3246</v>
      </c>
      <c r="AL188" s="38" t="s">
        <v>3966</v>
      </c>
      <c r="AM188" s="38"/>
      <c r="AN188" s="38"/>
      <c r="AO188" s="38"/>
    </row>
    <row r="189" customFormat="false" ht="39.55" hidden="false" customHeight="false" outlineLevel="0" collapsed="false">
      <c r="A189" s="38" t="s">
        <v>3940</v>
      </c>
      <c r="B189" s="38" t="s">
        <v>3971</v>
      </c>
      <c r="C189" s="38" t="s">
        <v>185</v>
      </c>
      <c r="D189" s="38"/>
      <c r="E189" s="38" t="s">
        <v>3972</v>
      </c>
      <c r="F189" s="38" t="s">
        <v>318</v>
      </c>
      <c r="G189" s="38" t="s">
        <v>52</v>
      </c>
      <c r="H189" s="38"/>
      <c r="I189" s="38" t="s">
        <v>51</v>
      </c>
      <c r="J189" s="38" t="s">
        <v>3973</v>
      </c>
      <c r="K189" s="38"/>
      <c r="L189" s="38"/>
      <c r="M189" s="38"/>
      <c r="N189" s="38"/>
      <c r="O189" s="38" t="s">
        <v>49</v>
      </c>
      <c r="P189" s="38" t="s">
        <v>3235</v>
      </c>
      <c r="Q189" s="40" t="b">
        <f aca="false">FALSE()</f>
        <v>0</v>
      </c>
      <c r="R189" s="40" t="b">
        <f aca="false">FALSE()</f>
        <v>0</v>
      </c>
      <c r="S189" s="40" t="b">
        <f aca="false">FALSE()</f>
        <v>0</v>
      </c>
      <c r="T189" s="40" t="b">
        <f aca="false">FALSE()</f>
        <v>0</v>
      </c>
      <c r="U189" s="40" t="b">
        <f aca="false">TRUE()</f>
        <v>1</v>
      </c>
      <c r="V189" s="38" t="s">
        <v>3974</v>
      </c>
      <c r="W189" s="38" t="s">
        <v>3944</v>
      </c>
      <c r="X189" s="38" t="s">
        <v>3975</v>
      </c>
      <c r="Y189" s="38" t="s">
        <v>3239</v>
      </c>
      <c r="Z189" s="38" t="s">
        <v>3974</v>
      </c>
      <c r="AA189" s="38" t="s">
        <v>3970</v>
      </c>
      <c r="AB189" s="38" t="s">
        <v>3241</v>
      </c>
      <c r="AC189" s="38" t="s">
        <v>3242</v>
      </c>
      <c r="AD189" s="38"/>
      <c r="AE189" s="38"/>
      <c r="AF189" s="38"/>
      <c r="AG189" s="38"/>
      <c r="AH189" s="38" t="s">
        <v>3243</v>
      </c>
      <c r="AI189" s="38" t="s">
        <v>3244</v>
      </c>
      <c r="AJ189" s="38" t="s">
        <v>3976</v>
      </c>
      <c r="AK189" s="38" t="s">
        <v>3246</v>
      </c>
      <c r="AL189" s="38" t="s">
        <v>3972</v>
      </c>
      <c r="AM189" s="38"/>
      <c r="AN189" s="38"/>
      <c r="AO189" s="38"/>
    </row>
    <row r="190" customFormat="false" ht="39.55" hidden="false" customHeight="false" outlineLevel="0" collapsed="false">
      <c r="A190" s="38" t="s">
        <v>3940</v>
      </c>
      <c r="B190" s="38" t="s">
        <v>3977</v>
      </c>
      <c r="C190" s="38" t="s">
        <v>185</v>
      </c>
      <c r="D190" s="38"/>
      <c r="E190" s="38" t="s">
        <v>3972</v>
      </c>
      <c r="F190" s="38" t="s">
        <v>322</v>
      </c>
      <c r="G190" s="38" t="s">
        <v>52</v>
      </c>
      <c r="H190" s="38"/>
      <c r="I190" s="38" t="s">
        <v>51</v>
      </c>
      <c r="J190" s="38" t="s">
        <v>3978</v>
      </c>
      <c r="K190" s="38"/>
      <c r="L190" s="38"/>
      <c r="M190" s="38"/>
      <c r="N190" s="38"/>
      <c r="O190" s="38" t="s">
        <v>49</v>
      </c>
      <c r="P190" s="38" t="s">
        <v>3235</v>
      </c>
      <c r="Q190" s="40" t="b">
        <f aca="false">FALSE()</f>
        <v>0</v>
      </c>
      <c r="R190" s="40" t="b">
        <f aca="false">FALSE()</f>
        <v>0</v>
      </c>
      <c r="S190" s="40" t="b">
        <f aca="false">FALSE()</f>
        <v>0</v>
      </c>
      <c r="T190" s="40" t="b">
        <f aca="false">FALSE()</f>
        <v>0</v>
      </c>
      <c r="U190" s="40" t="b">
        <f aca="false">TRUE()</f>
        <v>1</v>
      </c>
      <c r="V190" s="38" t="s">
        <v>3974</v>
      </c>
      <c r="W190" s="38" t="s">
        <v>3944</v>
      </c>
      <c r="X190" s="38" t="s">
        <v>3975</v>
      </c>
      <c r="Y190" s="38" t="s">
        <v>3239</v>
      </c>
      <c r="Z190" s="38" t="s">
        <v>3974</v>
      </c>
      <c r="AA190" s="38" t="s">
        <v>3946</v>
      </c>
      <c r="AB190" s="38" t="s">
        <v>3241</v>
      </c>
      <c r="AC190" s="38" t="s">
        <v>3242</v>
      </c>
      <c r="AD190" s="38"/>
      <c r="AE190" s="38"/>
      <c r="AF190" s="38"/>
      <c r="AG190" s="38"/>
      <c r="AH190" s="38" t="s">
        <v>3243</v>
      </c>
      <c r="AI190" s="38" t="s">
        <v>3244</v>
      </c>
      <c r="AJ190" s="38" t="s">
        <v>3251</v>
      </c>
      <c r="AK190" s="38" t="s">
        <v>3246</v>
      </c>
      <c r="AL190" s="38" t="s">
        <v>3972</v>
      </c>
      <c r="AM190" s="38"/>
      <c r="AN190" s="38"/>
      <c r="AO190" s="38"/>
    </row>
    <row r="191" customFormat="false" ht="39.55" hidden="false" customHeight="false" outlineLevel="0" collapsed="false">
      <c r="A191" s="38" t="s">
        <v>3940</v>
      </c>
      <c r="B191" s="38" t="s">
        <v>3979</v>
      </c>
      <c r="C191" s="38" t="s">
        <v>185</v>
      </c>
      <c r="D191" s="38"/>
      <c r="E191" s="38" t="s">
        <v>3980</v>
      </c>
      <c r="F191" s="38" t="s">
        <v>322</v>
      </c>
      <c r="G191" s="38" t="s">
        <v>52</v>
      </c>
      <c r="H191" s="38"/>
      <c r="I191" s="38" t="s">
        <v>51</v>
      </c>
      <c r="J191" s="38" t="s">
        <v>3981</v>
      </c>
      <c r="K191" s="38"/>
      <c r="L191" s="38"/>
      <c r="M191" s="38"/>
      <c r="N191" s="38"/>
      <c r="O191" s="38" t="s">
        <v>49</v>
      </c>
      <c r="P191" s="38" t="s">
        <v>3235</v>
      </c>
      <c r="Q191" s="40" t="b">
        <f aca="false">FALSE()</f>
        <v>0</v>
      </c>
      <c r="R191" s="40" t="b">
        <f aca="false">FALSE()</f>
        <v>0</v>
      </c>
      <c r="S191" s="40" t="b">
        <f aca="false">FALSE()</f>
        <v>0</v>
      </c>
      <c r="T191" s="40" t="b">
        <f aca="false">FALSE()</f>
        <v>0</v>
      </c>
      <c r="U191" s="40" t="b">
        <f aca="false">TRUE()</f>
        <v>1</v>
      </c>
      <c r="V191" s="38" t="s">
        <v>3982</v>
      </c>
      <c r="W191" s="38" t="s">
        <v>3944</v>
      </c>
      <c r="X191" s="38" t="s">
        <v>3983</v>
      </c>
      <c r="Y191" s="38" t="s">
        <v>3239</v>
      </c>
      <c r="Z191" s="38" t="s">
        <v>3982</v>
      </c>
      <c r="AA191" s="38" t="s">
        <v>3946</v>
      </c>
      <c r="AB191" s="38" t="s">
        <v>3241</v>
      </c>
      <c r="AC191" s="38" t="s">
        <v>3242</v>
      </c>
      <c r="AD191" s="38"/>
      <c r="AE191" s="38"/>
      <c r="AF191" s="38"/>
      <c r="AG191" s="38"/>
      <c r="AH191" s="38" t="s">
        <v>3243</v>
      </c>
      <c r="AI191" s="38" t="s">
        <v>3244</v>
      </c>
      <c r="AJ191" s="38" t="s">
        <v>3251</v>
      </c>
      <c r="AK191" s="38" t="s">
        <v>3246</v>
      </c>
      <c r="AL191" s="38" t="s">
        <v>3980</v>
      </c>
      <c r="AM191" s="38"/>
      <c r="AN191" s="38"/>
      <c r="AO191" s="38"/>
    </row>
    <row r="192" customFormat="false" ht="39.55" hidden="false" customHeight="false" outlineLevel="0" collapsed="false">
      <c r="A192" s="38" t="s">
        <v>3940</v>
      </c>
      <c r="B192" s="38" t="s">
        <v>3984</v>
      </c>
      <c r="C192" s="38" t="s">
        <v>185</v>
      </c>
      <c r="D192" s="38"/>
      <c r="E192" s="38" t="s">
        <v>3985</v>
      </c>
      <c r="F192" s="38" t="s">
        <v>322</v>
      </c>
      <c r="G192" s="38" t="s">
        <v>52</v>
      </c>
      <c r="H192" s="38"/>
      <c r="I192" s="38" t="s">
        <v>51</v>
      </c>
      <c r="J192" s="38" t="s">
        <v>3986</v>
      </c>
      <c r="K192" s="38"/>
      <c r="L192" s="38"/>
      <c r="M192" s="38"/>
      <c r="N192" s="38"/>
      <c r="O192" s="38" t="s">
        <v>49</v>
      </c>
      <c r="P192" s="38" t="s">
        <v>3235</v>
      </c>
      <c r="Q192" s="40" t="b">
        <f aca="false">FALSE()</f>
        <v>0</v>
      </c>
      <c r="R192" s="40" t="b">
        <f aca="false">FALSE()</f>
        <v>0</v>
      </c>
      <c r="S192" s="40" t="b">
        <f aca="false">FALSE()</f>
        <v>0</v>
      </c>
      <c r="T192" s="40" t="b">
        <f aca="false">FALSE()</f>
        <v>0</v>
      </c>
      <c r="U192" s="40" t="b">
        <f aca="false">TRUE()</f>
        <v>1</v>
      </c>
      <c r="V192" s="38" t="s">
        <v>3987</v>
      </c>
      <c r="W192" s="38" t="s">
        <v>3944</v>
      </c>
      <c r="X192" s="38" t="s">
        <v>3988</v>
      </c>
      <c r="Y192" s="38" t="s">
        <v>3239</v>
      </c>
      <c r="Z192" s="38" t="s">
        <v>3987</v>
      </c>
      <c r="AA192" s="38" t="s">
        <v>3946</v>
      </c>
      <c r="AB192" s="38" t="s">
        <v>3241</v>
      </c>
      <c r="AC192" s="38" t="s">
        <v>3242</v>
      </c>
      <c r="AD192" s="38"/>
      <c r="AE192" s="38"/>
      <c r="AF192" s="38"/>
      <c r="AG192" s="38"/>
      <c r="AH192" s="38" t="s">
        <v>3243</v>
      </c>
      <c r="AI192" s="38" t="s">
        <v>3244</v>
      </c>
      <c r="AJ192" s="38" t="s">
        <v>3251</v>
      </c>
      <c r="AK192" s="38" t="s">
        <v>3246</v>
      </c>
      <c r="AL192" s="38" t="s">
        <v>3985</v>
      </c>
      <c r="AM192" s="38"/>
      <c r="AN192" s="38"/>
      <c r="AO192" s="38"/>
    </row>
    <row r="193" customFormat="false" ht="15.75" hidden="false" customHeight="fals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</row>
    <row r="194" customFormat="false" ht="15.75" hidden="false" customHeight="fals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2026-06-05T12:40:51Z</dcterms:modified>
  <cp:revision>1</cp:revision>
  <dc:subject/>
  <dc:title/>
</cp:coreProperties>
</file>