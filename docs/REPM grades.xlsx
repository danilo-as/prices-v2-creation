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<sst xmlns="http://schemas.openxmlformats.org/spreadsheetml/2006/main" count="571" uniqueCount="155">
  <si>
    <t xml:space="preserve">ID</t>
  </si>
  <si>
    <t xml:space="preserve">Code</t>
  </si>
  <si>
    <t xml:space="preserve">Price Category</t>
  </si>
  <si>
    <t xml:space="preserve">Market</t>
  </si>
  <si>
    <t xml:space="preserve">Product</t>
  </si>
  <si>
    <t xml:space="preserve">Sub-Product</t>
  </si>
  <si>
    <t xml:space="preserve">Capacity (Nominal/Anode/Cathode)</t>
  </si>
  <si>
    <t xml:space="preserve">Cell Format</t>
  </si>
  <si>
    <t xml:space="preserve">Feedstock</t>
  </si>
  <si>
    <t xml:space="preserve">Purity</t>
  </si>
  <si>
    <t xml:space="preserve">Sustainable</t>
  </si>
  <si>
    <t xml:space="preserve">Thickness</t>
  </si>
  <si>
    <t xml:space="preserve">Mesh size</t>
  </si>
  <si>
    <t xml:space="preserve">Service</t>
  </si>
  <si>
    <t xml:space="preserve">Incoterm</t>
  </si>
  <si>
    <t xml:space="preserve">Region</t>
  </si>
  <si>
    <t xml:space="preserve">Country(OnlyforDiffs)</t>
  </si>
  <si>
    <t xml:space="preserve">Frequency</t>
  </si>
  <si>
    <t xml:space="preserve">Shipping Route (Legacy)</t>
  </si>
  <si>
    <t xml:space="preserve">Trade Type?</t>
  </si>
  <si>
    <t xml:space="preserve">Default Currency</t>
  </si>
  <si>
    <t xml:space="preserve">Price Type</t>
  </si>
  <si>
    <t xml:space="preserve">UOM</t>
  </si>
  <si>
    <t xml:space="preserve">Grade</t>
  </si>
  <si>
    <t xml:space="preserve">Full Name</t>
  </si>
  <si>
    <t xml:space="preserve">Short Name (40 char max)</t>
  </si>
  <si>
    <t xml:space="preserve">Spec</t>
  </si>
  <si>
    <t xml:space="preserve">Assessment Launched</t>
  </si>
  <si>
    <t xml:space="preserve">Last Assessed</t>
  </si>
  <si>
    <t xml:space="preserve">Current (Price)</t>
  </si>
  <si>
    <t xml:space="preserve">isSpot</t>
  </si>
  <si>
    <t xml:space="preserve">IOSCO Audit</t>
  </si>
  <si>
    <t xml:space="preserve">Is Public?</t>
  </si>
  <si>
    <t xml:space="preserve">Is Active</t>
  </si>
  <si>
    <t xml:space="preserve">YTD Change</t>
  </si>
  <si>
    <t xml:space="preserve">YOY Change</t>
  </si>
  <si>
    <t xml:space="preserve">Low</t>
  </si>
  <si>
    <t xml:space="preserve">Mid</t>
  </si>
  <si>
    <t xml:space="preserve">High</t>
  </si>
  <si>
    <t xml:space="preserve">Rolling 3M Value</t>
  </si>
  <si>
    <t xml:space="preserve">Rolling 12M Value</t>
  </si>
  <si>
    <t xml:space="preserve">Notes</t>
  </si>
  <si>
    <t xml:space="preserve">BMIREPM001</t>
  </si>
  <si>
    <t xml:space="preserve">BMI Price</t>
  </si>
  <si>
    <t xml:space="preserve">Rare Earths</t>
  </si>
  <si>
    <t xml:space="preserve">Permanent Magnets</t>
  </si>
  <si>
    <t xml:space="preserve">SmCo₅</t>
  </si>
  <si>
    <t xml:space="preserve">Temperature Compensated</t>
  </si>
  <si>
    <t xml:space="preserve">CIF </t>
  </si>
  <si>
    <t xml:space="preserve">China</t>
  </si>
  <si>
    <t xml:space="preserve">2 Weeks</t>
  </si>
  <si>
    <t xml:space="preserve">USD</t>
  </si>
  <si>
    <t xml:space="preserve">Price</t>
  </si>
  <si>
    <t xml:space="preserve">Tonne</t>
  </si>
  <si>
    <t xml:space="preserve">Rare Earths; Permanent Magnets; SmCo₅; Temperature Compensated; CIF China; USD; Tonne</t>
  </si>
  <si>
    <t xml:space="preserve">BMIREPM002</t>
  </si>
  <si>
    <t xml:space="preserve">Standard</t>
  </si>
  <si>
    <t xml:space="preserve">Rare Earths; Permanent Magnets; SmCo₅; Standard; CIF China; USD; Tonne</t>
  </si>
  <si>
    <t xml:space="preserve">BMIREPM003</t>
  </si>
  <si>
    <t xml:space="preserve">Sm₂Co₁₇</t>
  </si>
  <si>
    <t xml:space="preserve">Ultra-High Temperature</t>
  </si>
  <si>
    <t xml:space="preserve">Rare Earths; Permanent Magnets; Sm₂Co₁₇; Ultra-High Temperature; CIF China; USD; Tonne</t>
  </si>
  <si>
    <t xml:space="preserve">BMIREPM004</t>
  </si>
  <si>
    <t xml:space="preserve">Rare Earths; Permanent Magnets; Sm₂Co₁₇; Temperature Compensated; CIF China; USD; Tonne</t>
  </si>
  <si>
    <t xml:space="preserve">BMIREPM005</t>
  </si>
  <si>
    <t xml:space="preserve">Standard High Energy</t>
  </si>
  <si>
    <t xml:space="preserve">Rare Earths; Permanent Magnets; Sm₂Co₁₇; Standard High Energy; CIF China; USD; Tonne</t>
  </si>
  <si>
    <t xml:space="preserve">BMIREPM006</t>
  </si>
  <si>
    <t xml:space="preserve">NdFeB</t>
  </si>
  <si>
    <t xml:space="preserve"> Extreme Coercivity</t>
  </si>
  <si>
    <t xml:space="preserve">Rare Earths; Permanent Magnets; NdFeB;  Extreme Coercivity; CIF China; USD; Tonne</t>
  </si>
  <si>
    <t xml:space="preserve">BMIREPM007</t>
  </si>
  <si>
    <t xml:space="preserve"> Standard (N Grade)</t>
  </si>
  <si>
    <t xml:space="preserve">Rare Earths; Permanent Magnets; NdFeB;  Standard (N Grade); CIF China; USD; Tonne</t>
  </si>
  <si>
    <t xml:space="preserve">BMIREPM008</t>
  </si>
  <si>
    <t xml:space="preserve"> Medium Coercivity</t>
  </si>
  <si>
    <t xml:space="preserve">Rare Earths; Permanent Magnets; NdFeB;  Medium Coercivity; CIF China; USD; Tonne</t>
  </si>
  <si>
    <t xml:space="preserve">BMIREPM009</t>
  </si>
  <si>
    <t xml:space="preserve"> Ultra High Coercivity</t>
  </si>
  <si>
    <t xml:space="preserve">Rare Earths; Permanent Magnets; NdFeB;  Ultra High Coercivity; CIF China; USD; Tonne</t>
  </si>
  <si>
    <t xml:space="preserve">BMIREPM010</t>
  </si>
  <si>
    <t xml:space="preserve"> Super High Coercivity</t>
  </si>
  <si>
    <t xml:space="preserve">Rare Earths; Permanent Magnets; NdFeB;  Super High Coercivity; CIF China; USD; Tonne</t>
  </si>
  <si>
    <t xml:space="preserve">BMIREPM011</t>
  </si>
  <si>
    <t xml:space="preserve"> High Coercivity</t>
  </si>
  <si>
    <t xml:space="preserve">Rare Earths; Permanent Magnets; NdFeB;  High Coercivity; CIF China; USD; Tonne</t>
  </si>
  <si>
    <t xml:space="preserve">BMIREPM012</t>
  </si>
  <si>
    <t xml:space="preserve">Europe</t>
  </si>
  <si>
    <t xml:space="preserve">Rare Earths; Permanent Magnets; SmCo₅; Temperature Compensated; CIF Europe; USD; Tonne</t>
  </si>
  <si>
    <t xml:space="preserve">BMIREPM013</t>
  </si>
  <si>
    <t xml:space="preserve">Rare Earths; Permanent Magnets; SmCo₅; Standard; CIF Europe; USD; Tonne</t>
  </si>
  <si>
    <t xml:space="preserve">BMIREPM014</t>
  </si>
  <si>
    <t xml:space="preserve">Rare Earths; Permanent Magnets; Sm₂Co₁₇; Ultra-High Temperature; CIF Europe; USD; Tonne</t>
  </si>
  <si>
    <t xml:space="preserve">BMIREPM015</t>
  </si>
  <si>
    <t xml:space="preserve">Rare Earths; Permanent Magnets; Sm₂Co₁₇; Temperature Compensated; CIF Europe; USD; Tonne</t>
  </si>
  <si>
    <t xml:space="preserve">BMIREPM016</t>
  </si>
  <si>
    <t xml:space="preserve">Rare Earths; Permanent Magnets; Sm₂Co₁₇; Standard High Energy; CIF Europe; USD; Tonne</t>
  </si>
  <si>
    <t xml:space="preserve">BMIREPM017</t>
  </si>
  <si>
    <t xml:space="preserve">Rare Earths; Permanent Magnets; NdFeB;  Extreme Coercivity; CIF Europe; USD; Tonne</t>
  </si>
  <si>
    <t xml:space="preserve">BMIREPM018</t>
  </si>
  <si>
    <t xml:space="preserve">Rare Earths; Permanent Magnets; NdFeB;  Standard (N Grade); CIF Europe; USD; Tonne</t>
  </si>
  <si>
    <t xml:space="preserve">BMIREPM019</t>
  </si>
  <si>
    <t xml:space="preserve">Rare Earths; Permanent Magnets; NdFeB;  Medium Coercivity; CIF Europe; USD; Tonne</t>
  </si>
  <si>
    <t xml:space="preserve">BMIREPM020</t>
  </si>
  <si>
    <t xml:space="preserve">Rare Earths; Permanent Magnets; NdFeB;  Ultra High Coercivity; CIF Europe; USD; Tonne</t>
  </si>
  <si>
    <t xml:space="preserve">BMIREPM021</t>
  </si>
  <si>
    <t xml:space="preserve">Rare Earths; Permanent Magnets; NdFeB;  Super High Coercivity; CIF Europe; USD; Tonne</t>
  </si>
  <si>
    <t xml:space="preserve">BMIREPM022</t>
  </si>
  <si>
    <t xml:space="preserve">Rare Earths; Permanent Magnets; NdFeB;  High Coercivity; CIF Europe; USD; Tonne</t>
  </si>
  <si>
    <t xml:space="preserve">BMIREPM023</t>
  </si>
  <si>
    <t xml:space="preserve">Japan, Korea</t>
  </si>
  <si>
    <t xml:space="preserve">Rare Earths; Permanent Magnets; SmCo₅; Temperature Compensated; CIF Japan, Korea; USD; Tonne</t>
  </si>
  <si>
    <t xml:space="preserve">BMIREPM024</t>
  </si>
  <si>
    <t xml:space="preserve">Rare Earths; Permanent Magnets; SmCo₅; Standard; CIF Japan, Korea; USD; Tonne</t>
  </si>
  <si>
    <t xml:space="preserve">BMIREPM025</t>
  </si>
  <si>
    <t xml:space="preserve">Rare Earths; Permanent Magnets; Sm₂Co₁₇; Ultra-High Temperature; CIF Japan, Korea; USD; Tonne</t>
  </si>
  <si>
    <t xml:space="preserve">BMIREPM026</t>
  </si>
  <si>
    <t xml:space="preserve">Rare Earths; Permanent Magnets; Sm₂Co₁₇; Temperature Compensated; CIF Japan, Korea; USD; Tonne</t>
  </si>
  <si>
    <t xml:space="preserve">BMIREPM027</t>
  </si>
  <si>
    <t xml:space="preserve">Rare Earths; Permanent Magnets; Sm₂Co₁₇; Standard High Energy; CIF Japan, Korea; USD; Tonne</t>
  </si>
  <si>
    <t xml:space="preserve">BMIREPM028</t>
  </si>
  <si>
    <t xml:space="preserve">Rare Earths; Permanent Magnets; NdFeB;  Extreme Coercivity; CIF Japan, Korea; USD; Tonne</t>
  </si>
  <si>
    <t xml:space="preserve">BMIREPM029</t>
  </si>
  <si>
    <t xml:space="preserve">Rare Earths; Permanent Magnets; NdFeB;  Standard (N Grade); CIF Japan, Korea; USD; Tonne</t>
  </si>
  <si>
    <t xml:space="preserve">BMIREPM030</t>
  </si>
  <si>
    <t xml:space="preserve">Rare Earths; Permanent Magnets; NdFeB;  Medium Coercivity; CIF Japan, Korea; USD; Tonne</t>
  </si>
  <si>
    <t xml:space="preserve">BMIREPM031</t>
  </si>
  <si>
    <t xml:space="preserve">Rare Earths; Permanent Magnets; NdFeB;  Ultra High Coercivity; CIF Japan, Korea; USD; Tonne</t>
  </si>
  <si>
    <t xml:space="preserve">BMIREPM032</t>
  </si>
  <si>
    <t xml:space="preserve">Rare Earths; Permanent Magnets; NdFeB;  Super High Coercivity; CIF Japan, Korea; USD; Tonne</t>
  </si>
  <si>
    <t xml:space="preserve">BMIREPM033</t>
  </si>
  <si>
    <t xml:space="preserve">Rare Earths; Permanent Magnets; NdFeB;  High Coercivity; CIF Japan, Korea; USD; Tonne</t>
  </si>
  <si>
    <t xml:space="preserve">BMIREPM034</t>
  </si>
  <si>
    <t xml:space="preserve">North America</t>
  </si>
  <si>
    <t xml:space="preserve">Rare Earths; Permanent Magnets; SmCo₅; Temperature Compensated; CIF North America; USD; Tonne</t>
  </si>
  <si>
    <t xml:space="preserve">BMIREPM035</t>
  </si>
  <si>
    <t xml:space="preserve">Rare Earths; Permanent Magnets; SmCo₅; Standard; CIF North America; USD; Tonne</t>
  </si>
  <si>
    <t xml:space="preserve">BMIREPM036</t>
  </si>
  <si>
    <t xml:space="preserve">Rare Earths; Permanent Magnets; Sm₂Co₁₇; Ultra-High Temperature; CIF North America; USD; Tonne</t>
  </si>
  <si>
    <t xml:space="preserve">BMIREPM037</t>
  </si>
  <si>
    <t xml:space="preserve">Rare Earths; Permanent Magnets; Sm₂Co₁₇; Temperature Compensated; CIF North America; USD; Tonne</t>
  </si>
  <si>
    <t xml:space="preserve">BMIREPM038</t>
  </si>
  <si>
    <t xml:space="preserve">Rare Earths; Permanent Magnets; Sm₂Co₁₇; Standard High Energy; CIF North America; USD; Tonne</t>
  </si>
  <si>
    <t xml:space="preserve">BMIREPM039</t>
  </si>
  <si>
    <t xml:space="preserve">Rare Earths; Permanent Magnets; NdFeB;  Extreme Coercivity; CIF North America; USD; Tonne</t>
  </si>
  <si>
    <t xml:space="preserve">BMIREPM040</t>
  </si>
  <si>
    <t xml:space="preserve">Rare Earths; Permanent Magnets; NdFeB;  Standard (N Grade); CIF North America; USD; Tonne</t>
  </si>
  <si>
    <t xml:space="preserve">BMIREPM041</t>
  </si>
  <si>
    <t xml:space="preserve">Rare Earths; Permanent Magnets; NdFeB;  Medium Coercivity; CIF North America; USD; Tonne</t>
  </si>
  <si>
    <t xml:space="preserve">BMIREPM042</t>
  </si>
  <si>
    <t xml:space="preserve">Rare Earths; Permanent Magnets; NdFeB;  Ultra High Coercivity; CIF North America; USD; Tonne</t>
  </si>
  <si>
    <t xml:space="preserve">BMIREPM043</t>
  </si>
  <si>
    <t xml:space="preserve">Rare Earths; Permanent Magnets; NdFeB;  Super High Coercivity; CIF North America; USD; Tonne</t>
  </si>
  <si>
    <t xml:space="preserve">BMIREPM044</t>
  </si>
  <si>
    <t xml:space="preserve">Rare Earths; Permanent Magnets; NdFeB;  High Coercivity; CIF North America; USD; Tonne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</si>
</sst>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.5"/>
      <color theme="1"/>
      <name val="Arial"/>
      <family val="2"/>
      <charset val="1"/>
    </font>
    <font>
      <b val="true"/>
      <sz val="10.5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6"/>
  <sheetViews>
    <sheetView showFormulas="false" showGridLines="true" showRowColHeaders="true" showZeros="true" rightToLeft="false" tabSelected="true" showOutlineSymbols="true" defaultGridColor="true" view="normal" topLeftCell="A1" colorId="64" zoomScale="63" zoomScaleNormal="63" zoomScalePageLayoutView="100" workbookViewId="0">
      <selection pane="topLeft" activeCell="F15" activeCellId="0" sqref="F15"/>
    </sheetView>
  </sheetViews>
  <sheetFormatPr defaultColWidth="8.890625" defaultRowHeight="13.5" zeroHeight="false" outlineLevelRow="0" outlineLevelCol="0"/>
  <cols>
    <col collapsed="false" customWidth="true" hidden="false" outlineLevel="0" max="1" min="1" style="1" width="10.34"/>
    <col collapsed="false" customWidth="true" hidden="false" outlineLevel="0" max="2" min="2" style="1" width="20.78"/>
    <col collapsed="false" customWidth="true" hidden="false" outlineLevel="0" max="3" min="3" style="1" width="17.66"/>
    <col collapsed="false" customWidth="true" hidden="false" outlineLevel="0" max="4" min="4" style="1" width="11.22"/>
    <col collapsed="false" customWidth="true" hidden="false" outlineLevel="0" max="5" min="5" style="1" width="14.22"/>
    <col collapsed="false" customWidth="true" hidden="false" outlineLevel="0" max="6" min="6" style="1" width="43.67"/>
    <col collapsed="false" customWidth="true" hidden="false" outlineLevel="0" max="7" min="7" style="1" width="26.34"/>
    <col collapsed="false" customWidth="true" hidden="false" outlineLevel="0" max="8" min="8" style="1" width="7.89"/>
    <col collapsed="false" customWidth="true" hidden="false" outlineLevel="0" max="9" min="9" style="1" width="11.33"/>
    <col collapsed="false" customWidth="true" hidden="false" outlineLevel="0" max="10" min="10" style="1" width="28"/>
    <col collapsed="false" customWidth="true" hidden="false" outlineLevel="0" max="11" min="11" style="1" width="14.78"/>
    <col collapsed="false" customWidth="true" hidden="false" outlineLevel="0" max="12" min="12" style="1" width="11.67"/>
    <col collapsed="false" customWidth="true" hidden="false" outlineLevel="0" max="13" min="13" style="1" width="11"/>
    <col collapsed="false" customWidth="true" hidden="false" outlineLevel="0" max="14" min="14" style="1" width="8.45"/>
    <col collapsed="false" customWidth="true" hidden="false" outlineLevel="0" max="15" min="15" style="1" width="8.67"/>
    <col collapsed="false" customWidth="true" hidden="false" outlineLevel="0" max="16" min="16" style="1" width="16.22"/>
    <col collapsed="false" customWidth="true" hidden="false" outlineLevel="0" max="17" min="17" style="1" width="16.55"/>
    <col collapsed="false" customWidth="true" hidden="false" outlineLevel="0" max="18" min="18" style="1" width="12.67"/>
    <col collapsed="false" customWidth="true" hidden="false" outlineLevel="0" max="19" min="19" style="1" width="15.89"/>
    <col collapsed="false" customWidth="true" hidden="false" outlineLevel="0" max="20" min="20" style="1" width="7.11"/>
    <col collapsed="false" customWidth="true" hidden="false" outlineLevel="0" max="21" min="21" style="1" width="10"/>
    <col collapsed="false" customWidth="true" hidden="false" outlineLevel="0" max="22" min="22" style="1" width="6"/>
    <col collapsed="false" customWidth="true" hidden="false" outlineLevel="0" max="23" min="23" style="1" width="5.66"/>
    <col collapsed="false" customWidth="true" hidden="false" outlineLevel="0" max="24" min="24" style="1" width="6.11"/>
    <col collapsed="false" customWidth="true" hidden="false" outlineLevel="0" max="25" min="25" style="1" width="60.22"/>
    <col collapsed="false" customWidth="true" hidden="false" outlineLevel="0" max="26" min="26" style="1" width="89.89"/>
    <col collapsed="false" customWidth="true" hidden="false" outlineLevel="0" max="27" min="27" style="1" width="5.89"/>
    <col collapsed="false" customWidth="true" hidden="false" outlineLevel="0" max="28" min="28" style="1" width="10.34"/>
    <col collapsed="false" customWidth="true" hidden="false" outlineLevel="0" max="29" min="29" style="1" width="8.78"/>
    <col collapsed="false" customWidth="true" hidden="false" outlineLevel="0" max="30" min="30" style="1" width="8.33"/>
    <col collapsed="false" customWidth="true" hidden="false" outlineLevel="0" max="31" min="31" style="1" width="7.11"/>
    <col collapsed="false" customWidth="true" hidden="false" outlineLevel="0" max="32" min="32" style="1" width="11.55"/>
    <col collapsed="false" customWidth="true" hidden="false" outlineLevel="0" max="33" min="33" style="1" width="7.22"/>
    <col collapsed="false" customWidth="true" hidden="false" outlineLevel="0" max="34" min="34" style="1" width="8"/>
    <col collapsed="false" customWidth="true" hidden="false" outlineLevel="0" max="36" min="35" style="1" width="7.11"/>
    <col collapsed="false" customWidth="true" hidden="false" outlineLevel="0" max="37" min="37" style="1" width="5.11"/>
    <col collapsed="false" customWidth="true" hidden="false" outlineLevel="0" max="38" min="38" style="1" width="4.45"/>
    <col collapsed="false" customWidth="true" hidden="false" outlineLevel="0" max="39" min="39" style="1" width="5.44"/>
    <col collapsed="false" customWidth="true" hidden="false" outlineLevel="0" max="40" min="40" style="1" width="8.45"/>
    <col collapsed="false" customWidth="true" hidden="false" outlineLevel="0" max="41" min="41" style="1" width="9.44"/>
    <col collapsed="false" customWidth="true" hidden="false" outlineLevel="0" max="42" min="42" style="1" width="6.67"/>
    <col collapsed="false" customWidth="false" hidden="false" outlineLevel="0" max="16384" min="43" style="1" width="8.89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customFormat="false" ht="42.75" hidden="false" customHeight="true" outlineLevel="0" collapsed="false">
      <c r="A2" s="3"/>
      <c r="B2" s="3" t="s">
        <v>42</v>
      </c>
      <c r="C2" s="0" t="s">
        <v>43</v>
      </c>
      <c r="D2" s="3" t="s">
        <v>44</v>
      </c>
      <c r="E2" s="3" t="s">
        <v>45</v>
      </c>
      <c r="F2" s="1" t="s">
        <v>46</v>
      </c>
      <c r="G2" s="3"/>
      <c r="H2" s="3"/>
      <c r="I2" s="3"/>
      <c r="J2" s="1" t="s">
        <v>47</v>
      </c>
      <c r="K2" s="3" t="b">
        <f aca="false">FALSE()</f>
        <v>0</v>
      </c>
      <c r="L2" s="4"/>
      <c r="M2" s="3"/>
      <c r="N2" s="3"/>
      <c r="O2" s="3" t="s">
        <v>48</v>
      </c>
      <c r="P2" s="3" t="s">
        <v>49</v>
      </c>
      <c r="Q2" s="3"/>
      <c r="R2" s="3" t="s">
        <v>50</v>
      </c>
      <c r="S2" s="3"/>
      <c r="T2" s="3"/>
      <c r="U2" s="3" t="s">
        <v>51</v>
      </c>
      <c r="V2" s="3" t="s">
        <v>52</v>
      </c>
      <c r="W2" s="3" t="s">
        <v>53</v>
      </c>
      <c r="X2" s="3"/>
      <c r="Y2" s="5" t="str">
        <f aca="false">_xlfn.TEXTJOIN("; ", TRUE(), D2,D2, E2, F2, I2, J2, H2, N2, M2, O2&amp;P2&amp;Q2, U2, W2)</f>
        <v>Rare Earths; Rare Earths; Permanent Magnets; SmCo₅; Temperature Compensated; CIF China; USD; Tonne</v>
      </c>
      <c r="Z2" s="3" t="s">
        <v>54</v>
      </c>
      <c r="AA2" s="3"/>
      <c r="AB2" s="3"/>
      <c r="AC2" s="3"/>
      <c r="AD2" s="3"/>
      <c r="AE2" s="6" t="b">
        <f aca="false">TRUE()</f>
        <v>1</v>
      </c>
      <c r="AF2" s="6" t="b">
        <f aca="false">FALSE()</f>
        <v>0</v>
      </c>
      <c r="AG2" s="6" t="b">
        <f aca="false">TRUE()</f>
        <v>1</v>
      </c>
      <c r="AH2" s="6" t="b">
        <f aca="false">TRUE()</f>
        <v>1</v>
      </c>
      <c r="AJ2" s="3"/>
      <c r="AK2" s="3"/>
      <c r="AL2" s="3"/>
      <c r="AM2" s="3"/>
      <c r="AN2" s="3"/>
      <c r="AO2" s="3"/>
      <c r="AP2" s="3"/>
      <c r="AQ2" s="3"/>
    </row>
    <row r="3" customFormat="false" ht="25.35" hidden="false" customHeight="false" outlineLevel="0" collapsed="false">
      <c r="B3" s="3" t="s">
        <v>55</v>
      </c>
      <c r="C3" s="0" t="s">
        <v>43</v>
      </c>
      <c r="D3" s="3" t="s">
        <v>44</v>
      </c>
      <c r="E3" s="3" t="s">
        <v>45</v>
      </c>
      <c r="F3" s="1" t="s">
        <v>46</v>
      </c>
      <c r="J3" s="1" t="s">
        <v>56</v>
      </c>
      <c r="K3" s="7" t="b">
        <f aca="false">FALSE()</f>
        <v>0</v>
      </c>
      <c r="O3" s="3" t="s">
        <v>48</v>
      </c>
      <c r="P3" s="1" t="s">
        <v>49</v>
      </c>
      <c r="U3" s="3" t="s">
        <v>51</v>
      </c>
      <c r="V3" s="3" t="s">
        <v>52</v>
      </c>
      <c r="W3" s="3" t="s">
        <v>53</v>
      </c>
      <c r="Y3" s="5" t="str">
        <f aca="false">_xlfn.TEXTJOIN("; ", TRUE(), D3,D3, E3, F3, I3, J3, H3, N3, M3, O3&amp;P3&amp;Q3, U3, W3)</f>
        <v>Rare Earths; Rare Earths; Permanent Magnets; SmCo₅; Standard; CIF China; USD; Tonne</v>
      </c>
      <c r="Z3" s="1" t="s">
        <v>57</v>
      </c>
      <c r="AE3" s="6" t="b">
        <f aca="false">TRUE()</f>
        <v>1</v>
      </c>
      <c r="AF3" s="6" t="b">
        <f aca="false">FALSE()</f>
        <v>0</v>
      </c>
      <c r="AG3" s="6" t="b">
        <f aca="false">TRUE()</f>
        <v>1</v>
      </c>
      <c r="AH3" s="6" t="b">
        <f aca="false">TRUE()</f>
        <v>1</v>
      </c>
    </row>
    <row r="4" customFormat="false" ht="25.35" hidden="false" customHeight="false" outlineLevel="0" collapsed="false">
      <c r="B4" s="3" t="s">
        <v>58</v>
      </c>
      <c r="C4" s="0" t="s">
        <v>43</v>
      </c>
      <c r="D4" s="3" t="s">
        <v>44</v>
      </c>
      <c r="E4" s="3" t="s">
        <v>45</v>
      </c>
      <c r="F4" s="1" t="s">
        <v>59</v>
      </c>
      <c r="J4" s="1" t="s">
        <v>60</v>
      </c>
      <c r="K4" s="7" t="b">
        <f aca="false">FALSE()</f>
        <v>0</v>
      </c>
      <c r="O4" s="3" t="s">
        <v>48</v>
      </c>
      <c r="P4" s="1" t="s">
        <v>49</v>
      </c>
      <c r="U4" s="3" t="s">
        <v>51</v>
      </c>
      <c r="V4" s="3" t="s">
        <v>52</v>
      </c>
      <c r="W4" s="3" t="s">
        <v>53</v>
      </c>
      <c r="Y4" s="5" t="str">
        <f aca="false">_xlfn.TEXTJOIN("; ", TRUE(), D4,D4, E4, F4, I4, J4, H4, N4, M4, O4&amp;P4&amp;Q4, U4, W4)</f>
        <v>Rare Earths; Rare Earths; Permanent Magnets; Sm₂Co₁₇; Ultra-High Temperature; CIF China; USD; Tonne</v>
      </c>
      <c r="Z4" s="1" t="s">
        <v>61</v>
      </c>
      <c r="AE4" s="6" t="b">
        <f aca="false">TRUE()</f>
        <v>1</v>
      </c>
      <c r="AF4" s="6" t="b">
        <f aca="false">FALSE()</f>
        <v>0</v>
      </c>
      <c r="AG4" s="6" t="b">
        <f aca="false">TRUE()</f>
        <v>1</v>
      </c>
      <c r="AH4" s="6" t="b">
        <f aca="false">TRUE()</f>
        <v>1</v>
      </c>
    </row>
    <row r="5" customFormat="false" ht="25.35" hidden="false" customHeight="false" outlineLevel="0" collapsed="false">
      <c r="B5" s="3" t="s">
        <v>62</v>
      </c>
      <c r="C5" s="0" t="s">
        <v>43</v>
      </c>
      <c r="D5" s="3" t="s">
        <v>44</v>
      </c>
      <c r="E5" s="3" t="s">
        <v>45</v>
      </c>
      <c r="F5" s="1" t="s">
        <v>59</v>
      </c>
      <c r="J5" s="1" t="s">
        <v>47</v>
      </c>
      <c r="K5" s="7" t="b">
        <f aca="false">FALSE()</f>
        <v>0</v>
      </c>
      <c r="O5" s="3" t="s">
        <v>48</v>
      </c>
      <c r="P5" s="1" t="s">
        <v>49</v>
      </c>
      <c r="U5" s="3" t="s">
        <v>51</v>
      </c>
      <c r="V5" s="3" t="s">
        <v>52</v>
      </c>
      <c r="W5" s="3" t="s">
        <v>53</v>
      </c>
      <c r="Y5" s="5" t="str">
        <f aca="false">_xlfn.TEXTJOIN("; ", TRUE(), D5,D5, E5, F5, I5, J5, H5, N5, M5, O5&amp;P5&amp;Q5, U5, W5)</f>
        <v>Rare Earths; Rare Earths; Permanent Magnets; Sm₂Co₁₇; Temperature Compensated; CIF China; USD; Tonne</v>
      </c>
      <c r="Z5" s="1" t="s">
        <v>63</v>
      </c>
      <c r="AE5" s="6" t="b">
        <f aca="false">TRUE()</f>
        <v>1</v>
      </c>
      <c r="AF5" s="6" t="b">
        <f aca="false">FALSE()</f>
        <v>0</v>
      </c>
      <c r="AG5" s="6" t="b">
        <f aca="false">TRUE()</f>
        <v>1</v>
      </c>
      <c r="AH5" s="6" t="b">
        <f aca="false">TRUE()</f>
        <v>1</v>
      </c>
    </row>
    <row r="6" customFormat="false" ht="25.35" hidden="false" customHeight="false" outlineLevel="0" collapsed="false">
      <c r="B6" s="3" t="s">
        <v>64</v>
      </c>
      <c r="C6" s="0" t="s">
        <v>43</v>
      </c>
      <c r="D6" s="3" t="s">
        <v>44</v>
      </c>
      <c r="E6" s="3" t="s">
        <v>45</v>
      </c>
      <c r="F6" s="1" t="s">
        <v>59</v>
      </c>
      <c r="J6" s="1" t="s">
        <v>65</v>
      </c>
      <c r="K6" s="7" t="b">
        <f aca="false">FALSE()</f>
        <v>0</v>
      </c>
      <c r="O6" s="3" t="s">
        <v>48</v>
      </c>
      <c r="P6" s="1" t="s">
        <v>49</v>
      </c>
      <c r="U6" s="3" t="s">
        <v>51</v>
      </c>
      <c r="V6" s="3" t="s">
        <v>52</v>
      </c>
      <c r="W6" s="3" t="s">
        <v>53</v>
      </c>
      <c r="Y6" s="5" t="str">
        <f aca="false">_xlfn.TEXTJOIN("; ", TRUE(), D6,D6, E6, F6, I6, J6, H6, N6, M6, O6&amp;P6&amp;Q6, U6, W6)</f>
        <v>Rare Earths; Rare Earths; Permanent Magnets; Sm₂Co₁₇; Standard High Energy; CIF China; USD; Tonne</v>
      </c>
      <c r="Z6" s="1" t="s">
        <v>66</v>
      </c>
      <c r="AE6" s="6" t="b">
        <f aca="false">TRUE()</f>
        <v>1</v>
      </c>
      <c r="AF6" s="6" t="b">
        <f aca="false">FALSE()</f>
        <v>0</v>
      </c>
      <c r="AG6" s="6" t="b">
        <f aca="false">TRUE()</f>
        <v>1</v>
      </c>
      <c r="AH6" s="6" t="b">
        <f aca="false">TRUE()</f>
        <v>1</v>
      </c>
    </row>
    <row r="7" customFormat="false" ht="25.35" hidden="false" customHeight="false" outlineLevel="0" collapsed="false">
      <c r="B7" s="3" t="s">
        <v>67</v>
      </c>
      <c r="C7" s="0" t="s">
        <v>43</v>
      </c>
      <c r="D7" s="3" t="s">
        <v>44</v>
      </c>
      <c r="E7" s="3" t="s">
        <v>45</v>
      </c>
      <c r="F7" s="1" t="s">
        <v>68</v>
      </c>
      <c r="J7" s="1" t="s">
        <v>69</v>
      </c>
      <c r="K7" s="7" t="b">
        <f aca="false">FALSE()</f>
        <v>0</v>
      </c>
      <c r="O7" s="3" t="s">
        <v>48</v>
      </c>
      <c r="P7" s="1" t="s">
        <v>49</v>
      </c>
      <c r="U7" s="3" t="s">
        <v>51</v>
      </c>
      <c r="V7" s="3" t="s">
        <v>52</v>
      </c>
      <c r="W7" s="3" t="s">
        <v>53</v>
      </c>
      <c r="Y7" s="5" t="str">
        <f aca="false">_xlfn.TEXTJOIN("; ", TRUE(), D7,D7, E7, F7, I7, J7, H7, N7, M7, O7&amp;P7&amp;Q7, U7, W7)</f>
        <v>Rare Earths; Rare Earths; Permanent Magnets; NdFeB;  Extreme Coercivity; CIF China; USD; Tonne</v>
      </c>
      <c r="Z7" s="1" t="s">
        <v>70</v>
      </c>
      <c r="AE7" s="6" t="b">
        <f aca="false">TRUE()</f>
        <v>1</v>
      </c>
      <c r="AF7" s="6" t="b">
        <f aca="false">FALSE()</f>
        <v>0</v>
      </c>
      <c r="AG7" s="6" t="b">
        <f aca="false">TRUE()</f>
        <v>1</v>
      </c>
      <c r="AH7" s="6" t="b">
        <f aca="false">TRUE()</f>
        <v>1</v>
      </c>
    </row>
    <row r="8" customFormat="false" ht="25.35" hidden="false" customHeight="false" outlineLevel="0" collapsed="false">
      <c r="B8" s="3" t="s">
        <v>71</v>
      </c>
      <c r="C8" s="0" t="s">
        <v>43</v>
      </c>
      <c r="D8" s="3" t="s">
        <v>44</v>
      </c>
      <c r="E8" s="3" t="s">
        <v>45</v>
      </c>
      <c r="F8" s="1" t="s">
        <v>68</v>
      </c>
      <c r="J8" s="1" t="s">
        <v>72</v>
      </c>
      <c r="K8" s="7" t="b">
        <f aca="false">FALSE()</f>
        <v>0</v>
      </c>
      <c r="O8" s="3" t="s">
        <v>48</v>
      </c>
      <c r="P8" s="1" t="s">
        <v>49</v>
      </c>
      <c r="U8" s="3" t="s">
        <v>51</v>
      </c>
      <c r="V8" s="3" t="s">
        <v>52</v>
      </c>
      <c r="W8" s="3" t="s">
        <v>53</v>
      </c>
      <c r="Y8" s="5" t="str">
        <f aca="false">_xlfn.TEXTJOIN("; ", TRUE(), D8,D8, E8, F8, I8, J8, H8, N8, M8, O8&amp;P8&amp;Q8, U8, W8)</f>
        <v>Rare Earths; Rare Earths; Permanent Magnets; NdFeB;  Standard (N Grade); CIF China; USD; Tonne</v>
      </c>
      <c r="Z8" s="1" t="s">
        <v>73</v>
      </c>
      <c r="AE8" s="6" t="b">
        <f aca="false">TRUE()</f>
        <v>1</v>
      </c>
      <c r="AF8" s="6" t="b">
        <f aca="false">FALSE()</f>
        <v>0</v>
      </c>
      <c r="AG8" s="6" t="b">
        <f aca="false">TRUE()</f>
        <v>1</v>
      </c>
      <c r="AH8" s="6" t="b">
        <f aca="false">TRUE()</f>
        <v>1</v>
      </c>
    </row>
    <row r="9" customFormat="false" ht="25.35" hidden="false" customHeight="false" outlineLevel="0" collapsed="false">
      <c r="B9" s="3" t="s">
        <v>74</v>
      </c>
      <c r="C9" s="0" t="s">
        <v>43</v>
      </c>
      <c r="D9" s="3" t="s">
        <v>44</v>
      </c>
      <c r="E9" s="3" t="s">
        <v>45</v>
      </c>
      <c r="F9" s="1" t="s">
        <v>68</v>
      </c>
      <c r="J9" s="1" t="s">
        <v>75</v>
      </c>
      <c r="K9" s="7" t="b">
        <f aca="false">FALSE()</f>
        <v>0</v>
      </c>
      <c r="O9" s="3" t="s">
        <v>48</v>
      </c>
      <c r="P9" s="1" t="s">
        <v>49</v>
      </c>
      <c r="U9" s="3" t="s">
        <v>51</v>
      </c>
      <c r="V9" s="3" t="s">
        <v>52</v>
      </c>
      <c r="W9" s="3" t="s">
        <v>53</v>
      </c>
      <c r="Y9" s="5" t="str">
        <f aca="false">_xlfn.TEXTJOIN("; ", TRUE(), D9,D9, E9, F9, I9, J9, H9, N9, M9, O9&amp;P9&amp;Q9, U9, W9)</f>
        <v>Rare Earths; Rare Earths; Permanent Magnets; NdFeB;  Medium Coercivity; CIF China; USD; Tonne</v>
      </c>
      <c r="Z9" s="1" t="s">
        <v>76</v>
      </c>
      <c r="AE9" s="6" t="b">
        <f aca="false">TRUE()</f>
        <v>1</v>
      </c>
      <c r="AF9" s="6" t="b">
        <f aca="false">FALSE()</f>
        <v>0</v>
      </c>
      <c r="AG9" s="6" t="b">
        <f aca="false">TRUE()</f>
        <v>1</v>
      </c>
      <c r="AH9" s="6" t="b">
        <f aca="false">TRUE()</f>
        <v>1</v>
      </c>
    </row>
    <row r="10" customFormat="false" ht="25.35" hidden="false" customHeight="false" outlineLevel="0" collapsed="false">
      <c r="B10" s="3" t="s">
        <v>77</v>
      </c>
      <c r="C10" s="0" t="s">
        <v>43</v>
      </c>
      <c r="D10" s="3" t="s">
        <v>44</v>
      </c>
      <c r="E10" s="3" t="s">
        <v>45</v>
      </c>
      <c r="F10" s="1" t="s">
        <v>68</v>
      </c>
      <c r="J10" s="1" t="s">
        <v>78</v>
      </c>
      <c r="K10" s="7" t="b">
        <f aca="false">FALSE()</f>
        <v>0</v>
      </c>
      <c r="O10" s="3" t="s">
        <v>48</v>
      </c>
      <c r="P10" s="1" t="s">
        <v>49</v>
      </c>
      <c r="U10" s="3" t="s">
        <v>51</v>
      </c>
      <c r="V10" s="3" t="s">
        <v>52</v>
      </c>
      <c r="W10" s="3" t="s">
        <v>53</v>
      </c>
      <c r="Y10" s="5" t="str">
        <f aca="false">_xlfn.TEXTJOIN("; ", TRUE(), D10,D10, E10, F10, I10, J10, H10, N10, M10, O10&amp;P10&amp;Q10, U10, W10)</f>
        <v>Rare Earths; Rare Earths; Permanent Magnets; NdFeB;  Ultra High Coercivity; CIF China; USD; Tonne</v>
      </c>
      <c r="Z10" s="1" t="s">
        <v>79</v>
      </c>
      <c r="AE10" s="6" t="b">
        <f aca="false">TRUE()</f>
        <v>1</v>
      </c>
      <c r="AF10" s="6" t="b">
        <f aca="false">FALSE()</f>
        <v>0</v>
      </c>
      <c r="AG10" s="6" t="b">
        <f aca="false">TRUE()</f>
        <v>1</v>
      </c>
      <c r="AH10" s="6" t="b">
        <f aca="false">TRUE()</f>
        <v>1</v>
      </c>
    </row>
    <row r="11" customFormat="false" ht="25.35" hidden="false" customHeight="false" outlineLevel="0" collapsed="false">
      <c r="B11" s="3" t="s">
        <v>80</v>
      </c>
      <c r="C11" s="0" t="s">
        <v>43</v>
      </c>
      <c r="D11" s="3" t="s">
        <v>44</v>
      </c>
      <c r="E11" s="3" t="s">
        <v>45</v>
      </c>
      <c r="F11" s="1" t="s">
        <v>68</v>
      </c>
      <c r="J11" s="1" t="s">
        <v>81</v>
      </c>
      <c r="K11" s="7" t="b">
        <f aca="false">FALSE()</f>
        <v>0</v>
      </c>
      <c r="O11" s="3" t="s">
        <v>48</v>
      </c>
      <c r="P11" s="1" t="s">
        <v>49</v>
      </c>
      <c r="U11" s="3" t="s">
        <v>51</v>
      </c>
      <c r="V11" s="3" t="s">
        <v>52</v>
      </c>
      <c r="W11" s="3" t="s">
        <v>53</v>
      </c>
      <c r="Y11" s="5" t="str">
        <f aca="false">_xlfn.TEXTJOIN("; ", TRUE(), D11,D11, E11, F11, I11, J11, H11, N11, M11, O11&amp;P11&amp;Q11, U11, W11)</f>
        <v>Rare Earths; Rare Earths; Permanent Magnets; NdFeB;  Super High Coercivity; CIF China; USD; Tonne</v>
      </c>
      <c r="Z11" s="1" t="s">
        <v>82</v>
      </c>
      <c r="AE11" s="6" t="b">
        <f aca="false">TRUE()</f>
        <v>1</v>
      </c>
      <c r="AF11" s="6" t="b">
        <f aca="false">FALSE()</f>
        <v>0</v>
      </c>
      <c r="AG11" s="6" t="b">
        <f aca="false">TRUE()</f>
        <v>1</v>
      </c>
      <c r="AH11" s="6" t="b">
        <f aca="false">TRUE()</f>
        <v>1</v>
      </c>
    </row>
    <row r="12" customFormat="false" ht="25.35" hidden="false" customHeight="false" outlineLevel="0" collapsed="false">
      <c r="B12" s="3" t="s">
        <v>83</v>
      </c>
      <c r="C12" s="0" t="s">
        <v>43</v>
      </c>
      <c r="D12" s="3" t="s">
        <v>44</v>
      </c>
      <c r="E12" s="3" t="s">
        <v>45</v>
      </c>
      <c r="F12" s="1" t="s">
        <v>68</v>
      </c>
      <c r="J12" s="1" t="s">
        <v>84</v>
      </c>
      <c r="K12" s="7" t="b">
        <f aca="false">FALSE()</f>
        <v>0</v>
      </c>
      <c r="O12" s="3" t="s">
        <v>48</v>
      </c>
      <c r="P12" s="1" t="s">
        <v>49</v>
      </c>
      <c r="U12" s="3" t="s">
        <v>51</v>
      </c>
      <c r="V12" s="3" t="s">
        <v>52</v>
      </c>
      <c r="W12" s="3" t="s">
        <v>53</v>
      </c>
      <c r="Y12" s="5" t="str">
        <f aca="false">_xlfn.TEXTJOIN("; ", TRUE(), D12,D12, E12, F12, I12, J12, H12, N12, M12, O12&amp;P12&amp;Q12, U12, W12)</f>
        <v>Rare Earths; Rare Earths; Permanent Magnets; NdFeB;  High Coercivity; CIF China; USD; Tonne</v>
      </c>
      <c r="Z12" s="1" t="s">
        <v>85</v>
      </c>
      <c r="AE12" s="6" t="b">
        <f aca="false">TRUE()</f>
        <v>1</v>
      </c>
      <c r="AF12" s="6" t="b">
        <f aca="false">FALSE()</f>
        <v>0</v>
      </c>
      <c r="AG12" s="6" t="b">
        <f aca="false">TRUE()</f>
        <v>1</v>
      </c>
      <c r="AH12" s="6" t="b">
        <f aca="false">TRUE()</f>
        <v>1</v>
      </c>
    </row>
    <row r="13" customFormat="false" ht="25.35" hidden="false" customHeight="false" outlineLevel="0" collapsed="false">
      <c r="B13" s="3" t="s">
        <v>86</v>
      </c>
      <c r="C13" s="0" t="s">
        <v>43</v>
      </c>
      <c r="D13" s="3" t="s">
        <v>44</v>
      </c>
      <c r="E13" s="3" t="s">
        <v>45</v>
      </c>
      <c r="F13" s="1" t="s">
        <v>46</v>
      </c>
      <c r="J13" s="1" t="s">
        <v>47</v>
      </c>
      <c r="K13" s="7" t="b">
        <f aca="false">FALSE()</f>
        <v>0</v>
      </c>
      <c r="O13" s="3" t="s">
        <v>48</v>
      </c>
      <c r="P13" s="1" t="s">
        <v>87</v>
      </c>
      <c r="U13" s="3" t="s">
        <v>51</v>
      </c>
      <c r="V13" s="3" t="s">
        <v>52</v>
      </c>
      <c r="W13" s="3" t="s">
        <v>53</v>
      </c>
      <c r="Y13" s="5" t="str">
        <f aca="false">_xlfn.TEXTJOIN("; ", TRUE(), D13,D13, E13, F13, I13, J13, H13, N13, M13, O13&amp;P13&amp;Q13, U13, W13)</f>
        <v>Rare Earths; Rare Earths; Permanent Magnets; SmCo₅; Temperature Compensated; CIF Europe; USD; Tonne</v>
      </c>
      <c r="Z13" s="1" t="s">
        <v>88</v>
      </c>
      <c r="AE13" s="6" t="b">
        <f aca="false">TRUE()</f>
        <v>1</v>
      </c>
      <c r="AF13" s="6" t="b">
        <f aca="false">FALSE()</f>
        <v>0</v>
      </c>
      <c r="AG13" s="6" t="b">
        <f aca="false">TRUE()</f>
        <v>1</v>
      </c>
      <c r="AH13" s="6" t="b">
        <f aca="false">TRUE()</f>
        <v>1</v>
      </c>
    </row>
    <row r="14" customFormat="false" ht="25.35" hidden="false" customHeight="false" outlineLevel="0" collapsed="false">
      <c r="B14" s="3" t="s">
        <v>89</v>
      </c>
      <c r="C14" s="0" t="s">
        <v>43</v>
      </c>
      <c r="D14" s="3" t="s">
        <v>44</v>
      </c>
      <c r="E14" s="3" t="s">
        <v>45</v>
      </c>
      <c r="F14" s="1" t="s">
        <v>46</v>
      </c>
      <c r="J14" s="1" t="s">
        <v>56</v>
      </c>
      <c r="K14" s="7" t="b">
        <f aca="false">FALSE()</f>
        <v>0</v>
      </c>
      <c r="O14" s="3" t="s">
        <v>48</v>
      </c>
      <c r="P14" s="1" t="s">
        <v>87</v>
      </c>
      <c r="U14" s="3" t="s">
        <v>51</v>
      </c>
      <c r="V14" s="3" t="s">
        <v>52</v>
      </c>
      <c r="W14" s="3" t="s">
        <v>53</v>
      </c>
      <c r="Y14" s="5" t="str">
        <f aca="false">_xlfn.TEXTJOIN("; ", TRUE(), D14,D14, E14, F14, I14, J14, H14, N14, M14, O14&amp;P14&amp;Q14, U14, W14)</f>
        <v>Rare Earths; Rare Earths; Permanent Magnets; SmCo₅; Standard; CIF Europe; USD; Tonne</v>
      </c>
      <c r="Z14" s="1" t="s">
        <v>90</v>
      </c>
      <c r="AE14" s="6" t="b">
        <f aca="false">TRUE()</f>
        <v>1</v>
      </c>
      <c r="AF14" s="6" t="b">
        <f aca="false">FALSE()</f>
        <v>0</v>
      </c>
      <c r="AG14" s="6" t="b">
        <f aca="false">TRUE()</f>
        <v>1</v>
      </c>
      <c r="AH14" s="6" t="b">
        <f aca="false">TRUE()</f>
        <v>1</v>
      </c>
    </row>
    <row r="15" customFormat="false" ht="25.35" hidden="false" customHeight="false" outlineLevel="0" collapsed="false">
      <c r="B15" s="3" t="s">
        <v>91</v>
      </c>
      <c r="C15" s="0" t="s">
        <v>43</v>
      </c>
      <c r="D15" s="3" t="s">
        <v>44</v>
      </c>
      <c r="E15" s="3" t="s">
        <v>45</v>
      </c>
      <c r="F15" s="1" t="s">
        <v>59</v>
      </c>
      <c r="J15" s="1" t="s">
        <v>60</v>
      </c>
      <c r="K15" s="7" t="b">
        <f aca="false">FALSE()</f>
        <v>0</v>
      </c>
      <c r="O15" s="3" t="s">
        <v>48</v>
      </c>
      <c r="P15" s="1" t="s">
        <v>87</v>
      </c>
      <c r="U15" s="3" t="s">
        <v>51</v>
      </c>
      <c r="V15" s="3" t="s">
        <v>52</v>
      </c>
      <c r="W15" s="3" t="s">
        <v>53</v>
      </c>
      <c r="Y15" s="5" t="str">
        <f aca="false">_xlfn.TEXTJOIN("; ", TRUE(), D15,D15, E15, F15, I15, J15, H15, N15, M15, O15&amp;P15&amp;Q15, U15, W15)</f>
        <v>Rare Earths; Rare Earths; Permanent Magnets; Sm₂Co₁₇; Ultra-High Temperature; CIF Europe; USD; Tonne</v>
      </c>
      <c r="Z15" s="1" t="s">
        <v>92</v>
      </c>
      <c r="AE15" s="6" t="b">
        <f aca="false">TRUE()</f>
        <v>1</v>
      </c>
      <c r="AF15" s="6" t="b">
        <f aca="false">FALSE()</f>
        <v>0</v>
      </c>
      <c r="AG15" s="6" t="b">
        <f aca="false">TRUE()</f>
        <v>1</v>
      </c>
      <c r="AH15" s="6" t="b">
        <f aca="false">TRUE()</f>
        <v>1</v>
      </c>
    </row>
    <row r="16" customFormat="false" ht="25.35" hidden="false" customHeight="false" outlineLevel="0" collapsed="false">
      <c r="B16" s="3" t="s">
        <v>93</v>
      </c>
      <c r="C16" s="0" t="s">
        <v>43</v>
      </c>
      <c r="D16" s="3" t="s">
        <v>44</v>
      </c>
      <c r="E16" s="3" t="s">
        <v>45</v>
      </c>
      <c r="F16" s="1" t="s">
        <v>59</v>
      </c>
      <c r="J16" s="1" t="s">
        <v>47</v>
      </c>
      <c r="K16" s="7" t="b">
        <f aca="false">FALSE()</f>
        <v>0</v>
      </c>
      <c r="O16" s="3" t="s">
        <v>48</v>
      </c>
      <c r="P16" s="1" t="s">
        <v>87</v>
      </c>
      <c r="U16" s="3" t="s">
        <v>51</v>
      </c>
      <c r="V16" s="3" t="s">
        <v>52</v>
      </c>
      <c r="W16" s="3" t="s">
        <v>53</v>
      </c>
      <c r="Y16" s="5" t="str">
        <f aca="false">_xlfn.TEXTJOIN("; ", TRUE(), D16,D16, E16, F16, I16, J16, H16, N16, M16, O16&amp;P16&amp;Q16, U16, W16)</f>
        <v>Rare Earths; Rare Earths; Permanent Magnets; Sm₂Co₁₇; Temperature Compensated; CIF Europe; USD; Tonne</v>
      </c>
      <c r="Z16" s="1" t="s">
        <v>94</v>
      </c>
      <c r="AE16" s="6" t="b">
        <f aca="false">TRUE()</f>
        <v>1</v>
      </c>
      <c r="AF16" s="6" t="b">
        <f aca="false">FALSE()</f>
        <v>0</v>
      </c>
      <c r="AG16" s="6" t="b">
        <f aca="false">TRUE()</f>
        <v>1</v>
      </c>
      <c r="AH16" s="6" t="b">
        <f aca="false">TRUE()</f>
        <v>1</v>
      </c>
    </row>
    <row r="17" customFormat="false" ht="25.35" hidden="false" customHeight="false" outlineLevel="0" collapsed="false">
      <c r="B17" s="3" t="s">
        <v>95</v>
      </c>
      <c r="C17" s="0" t="s">
        <v>43</v>
      </c>
      <c r="D17" s="3" t="s">
        <v>44</v>
      </c>
      <c r="E17" s="3" t="s">
        <v>45</v>
      </c>
      <c r="F17" s="1" t="s">
        <v>59</v>
      </c>
      <c r="J17" s="1" t="s">
        <v>65</v>
      </c>
      <c r="K17" s="7" t="b">
        <f aca="false">FALSE()</f>
        <v>0</v>
      </c>
      <c r="O17" s="3" t="s">
        <v>48</v>
      </c>
      <c r="P17" s="1" t="s">
        <v>87</v>
      </c>
      <c r="U17" s="3" t="s">
        <v>51</v>
      </c>
      <c r="V17" s="3" t="s">
        <v>52</v>
      </c>
      <c r="W17" s="3" t="s">
        <v>53</v>
      </c>
      <c r="Y17" s="5" t="str">
        <f aca="false">_xlfn.TEXTJOIN("; ", TRUE(), D17,D17, E17, F17, I17, J17, H17, N17, M17, O17&amp;P17&amp;Q17, U17, W17)</f>
        <v>Rare Earths; Rare Earths; Permanent Magnets; Sm₂Co₁₇; Standard High Energy; CIF Europe; USD; Tonne</v>
      </c>
      <c r="Z17" s="1" t="s">
        <v>96</v>
      </c>
      <c r="AE17" s="6" t="b">
        <f aca="false">TRUE()</f>
        <v>1</v>
      </c>
      <c r="AF17" s="6" t="b">
        <f aca="false">FALSE()</f>
        <v>0</v>
      </c>
      <c r="AG17" s="6" t="b">
        <f aca="false">TRUE()</f>
        <v>1</v>
      </c>
      <c r="AH17" s="6" t="b">
        <f aca="false">TRUE()</f>
        <v>1</v>
      </c>
    </row>
    <row r="18" customFormat="false" ht="25.35" hidden="false" customHeight="false" outlineLevel="0" collapsed="false">
      <c r="B18" s="3" t="s">
        <v>97</v>
      </c>
      <c r="C18" s="0" t="s">
        <v>43</v>
      </c>
      <c r="D18" s="3" t="s">
        <v>44</v>
      </c>
      <c r="E18" s="3" t="s">
        <v>45</v>
      </c>
      <c r="F18" s="1" t="s">
        <v>68</v>
      </c>
      <c r="J18" s="1" t="s">
        <v>69</v>
      </c>
      <c r="K18" s="7" t="b">
        <f aca="false">FALSE()</f>
        <v>0</v>
      </c>
      <c r="O18" s="3" t="s">
        <v>48</v>
      </c>
      <c r="P18" s="1" t="s">
        <v>87</v>
      </c>
      <c r="U18" s="3" t="s">
        <v>51</v>
      </c>
      <c r="V18" s="3" t="s">
        <v>52</v>
      </c>
      <c r="W18" s="3" t="s">
        <v>53</v>
      </c>
      <c r="Y18" s="5" t="str">
        <f aca="false">_xlfn.TEXTJOIN("; ", TRUE(), D18,D18, E18, F18, I18, J18, H18, N18, M18, O18&amp;P18&amp;Q18, U18, W18)</f>
        <v>Rare Earths; Rare Earths; Permanent Magnets; NdFeB;  Extreme Coercivity; CIF Europe; USD; Tonne</v>
      </c>
      <c r="Z18" s="1" t="s">
        <v>98</v>
      </c>
      <c r="AE18" s="6" t="b">
        <f aca="false">TRUE()</f>
        <v>1</v>
      </c>
      <c r="AF18" s="6" t="b">
        <f aca="false">FALSE()</f>
        <v>0</v>
      </c>
      <c r="AG18" s="6" t="b">
        <f aca="false">TRUE()</f>
        <v>1</v>
      </c>
      <c r="AH18" s="6" t="b">
        <f aca="false">TRUE()</f>
        <v>1</v>
      </c>
    </row>
    <row r="19" customFormat="false" ht="25.35" hidden="false" customHeight="false" outlineLevel="0" collapsed="false">
      <c r="B19" s="3" t="s">
        <v>99</v>
      </c>
      <c r="C19" s="0" t="s">
        <v>43</v>
      </c>
      <c r="D19" s="3" t="s">
        <v>44</v>
      </c>
      <c r="E19" s="3" t="s">
        <v>45</v>
      </c>
      <c r="F19" s="1" t="s">
        <v>68</v>
      </c>
      <c r="J19" s="1" t="s">
        <v>72</v>
      </c>
      <c r="K19" s="7" t="b">
        <f aca="false">FALSE()</f>
        <v>0</v>
      </c>
      <c r="O19" s="3" t="s">
        <v>48</v>
      </c>
      <c r="P19" s="1" t="s">
        <v>87</v>
      </c>
      <c r="U19" s="3" t="s">
        <v>51</v>
      </c>
      <c r="V19" s="3" t="s">
        <v>52</v>
      </c>
      <c r="W19" s="3" t="s">
        <v>53</v>
      </c>
      <c r="Y19" s="5" t="str">
        <f aca="false">_xlfn.TEXTJOIN("; ", TRUE(), D19,D19, E19, F19, I19, J19, H19, N19, M19, O19&amp;P19&amp;Q19, U19, W19)</f>
        <v>Rare Earths; Rare Earths; Permanent Magnets; NdFeB;  Standard (N Grade); CIF Europe; USD; Tonne</v>
      </c>
      <c r="Z19" s="1" t="s">
        <v>100</v>
      </c>
      <c r="AE19" s="6" t="b">
        <f aca="false">TRUE()</f>
        <v>1</v>
      </c>
      <c r="AF19" s="6" t="b">
        <f aca="false">FALSE()</f>
        <v>0</v>
      </c>
      <c r="AG19" s="6" t="b">
        <f aca="false">TRUE()</f>
        <v>1</v>
      </c>
      <c r="AH19" s="6" t="b">
        <f aca="false">TRUE()</f>
        <v>1</v>
      </c>
    </row>
    <row r="20" customFormat="false" ht="25.35" hidden="false" customHeight="false" outlineLevel="0" collapsed="false">
      <c r="B20" s="3" t="s">
        <v>101</v>
      </c>
      <c r="C20" s="0" t="s">
        <v>43</v>
      </c>
      <c r="D20" s="3" t="s">
        <v>44</v>
      </c>
      <c r="E20" s="3" t="s">
        <v>45</v>
      </c>
      <c r="F20" s="1" t="s">
        <v>68</v>
      </c>
      <c r="J20" s="1" t="s">
        <v>75</v>
      </c>
      <c r="K20" s="7" t="b">
        <f aca="false">FALSE()</f>
        <v>0</v>
      </c>
      <c r="O20" s="3" t="s">
        <v>48</v>
      </c>
      <c r="P20" s="1" t="s">
        <v>87</v>
      </c>
      <c r="U20" s="3" t="s">
        <v>51</v>
      </c>
      <c r="V20" s="3" t="s">
        <v>52</v>
      </c>
      <c r="W20" s="3" t="s">
        <v>53</v>
      </c>
      <c r="Y20" s="5" t="str">
        <f aca="false">_xlfn.TEXTJOIN("; ", TRUE(), D20,D20, E20, F20, I20, J20, H20, N20, M20, O20&amp;P20&amp;Q20, U20, W20)</f>
        <v>Rare Earths; Rare Earths; Permanent Magnets; NdFeB;  Medium Coercivity; CIF Europe; USD; Tonne</v>
      </c>
      <c r="Z20" s="1" t="s">
        <v>102</v>
      </c>
      <c r="AE20" s="6" t="b">
        <f aca="false">TRUE()</f>
        <v>1</v>
      </c>
      <c r="AF20" s="6" t="b">
        <f aca="false">FALSE()</f>
        <v>0</v>
      </c>
      <c r="AG20" s="6" t="b">
        <f aca="false">TRUE()</f>
        <v>1</v>
      </c>
      <c r="AH20" s="6" t="b">
        <f aca="false">TRUE()</f>
        <v>1</v>
      </c>
    </row>
    <row r="21" customFormat="false" ht="25.35" hidden="false" customHeight="false" outlineLevel="0" collapsed="false">
      <c r="B21" s="3" t="s">
        <v>103</v>
      </c>
      <c r="C21" s="0" t="s">
        <v>43</v>
      </c>
      <c r="D21" s="3" t="s">
        <v>44</v>
      </c>
      <c r="E21" s="3" t="s">
        <v>45</v>
      </c>
      <c r="F21" s="1" t="s">
        <v>68</v>
      </c>
      <c r="J21" s="1" t="s">
        <v>78</v>
      </c>
      <c r="K21" s="7" t="b">
        <f aca="false">FALSE()</f>
        <v>0</v>
      </c>
      <c r="O21" s="3" t="s">
        <v>48</v>
      </c>
      <c r="P21" s="1" t="s">
        <v>87</v>
      </c>
      <c r="U21" s="3" t="s">
        <v>51</v>
      </c>
      <c r="V21" s="3" t="s">
        <v>52</v>
      </c>
      <c r="W21" s="3" t="s">
        <v>53</v>
      </c>
      <c r="Y21" s="5" t="str">
        <f aca="false">_xlfn.TEXTJOIN("; ", TRUE(), D21,D21, E21, F21, I21, J21, H21, N21, M21, O21&amp;P21&amp;Q21, U21, W21)</f>
        <v>Rare Earths; Rare Earths; Permanent Magnets; NdFeB;  Ultra High Coercivity; CIF Europe; USD; Tonne</v>
      </c>
      <c r="Z21" s="1" t="s">
        <v>104</v>
      </c>
      <c r="AE21" s="6" t="b">
        <f aca="false">TRUE()</f>
        <v>1</v>
      </c>
      <c r="AF21" s="6" t="b">
        <f aca="false">FALSE()</f>
        <v>0</v>
      </c>
      <c r="AG21" s="6" t="b">
        <f aca="false">TRUE()</f>
        <v>1</v>
      </c>
      <c r="AH21" s="6" t="b">
        <f aca="false">TRUE()</f>
        <v>1</v>
      </c>
    </row>
    <row r="22" customFormat="false" ht="25.35" hidden="false" customHeight="false" outlineLevel="0" collapsed="false">
      <c r="B22" s="3" t="s">
        <v>105</v>
      </c>
      <c r="C22" s="0" t="s">
        <v>43</v>
      </c>
      <c r="D22" s="3" t="s">
        <v>44</v>
      </c>
      <c r="E22" s="3" t="s">
        <v>45</v>
      </c>
      <c r="F22" s="1" t="s">
        <v>68</v>
      </c>
      <c r="J22" s="1" t="s">
        <v>81</v>
      </c>
      <c r="K22" s="7" t="b">
        <f aca="false">FALSE()</f>
        <v>0</v>
      </c>
      <c r="O22" s="3" t="s">
        <v>48</v>
      </c>
      <c r="P22" s="1" t="s">
        <v>87</v>
      </c>
      <c r="U22" s="3" t="s">
        <v>51</v>
      </c>
      <c r="V22" s="3" t="s">
        <v>52</v>
      </c>
      <c r="W22" s="3" t="s">
        <v>53</v>
      </c>
      <c r="Y22" s="5" t="str">
        <f aca="false">_xlfn.TEXTJOIN("; ", TRUE(), D22,D22, E22, F22, I22, J22, H22, N22, M22, O22&amp;P22&amp;Q22, U22, W22)</f>
        <v>Rare Earths; Rare Earths; Permanent Magnets; NdFeB;  Super High Coercivity; CIF Europe; USD; Tonne</v>
      </c>
      <c r="Z22" s="1" t="s">
        <v>106</v>
      </c>
      <c r="AE22" s="6" t="b">
        <f aca="false">TRUE()</f>
        <v>1</v>
      </c>
      <c r="AF22" s="6" t="b">
        <f aca="false">FALSE()</f>
        <v>0</v>
      </c>
      <c r="AG22" s="6" t="b">
        <f aca="false">TRUE()</f>
        <v>1</v>
      </c>
      <c r="AH22" s="6" t="b">
        <f aca="false">TRUE()</f>
        <v>1</v>
      </c>
    </row>
    <row r="23" customFormat="false" ht="25.35" hidden="false" customHeight="false" outlineLevel="0" collapsed="false">
      <c r="B23" s="3" t="s">
        <v>107</v>
      </c>
      <c r="C23" s="0" t="s">
        <v>43</v>
      </c>
      <c r="D23" s="3" t="s">
        <v>44</v>
      </c>
      <c r="E23" s="3" t="s">
        <v>45</v>
      </c>
      <c r="F23" s="1" t="s">
        <v>68</v>
      </c>
      <c r="J23" s="1" t="s">
        <v>84</v>
      </c>
      <c r="K23" s="7" t="b">
        <f aca="false">FALSE()</f>
        <v>0</v>
      </c>
      <c r="O23" s="3" t="s">
        <v>48</v>
      </c>
      <c r="P23" s="1" t="s">
        <v>87</v>
      </c>
      <c r="U23" s="3" t="s">
        <v>51</v>
      </c>
      <c r="V23" s="3" t="s">
        <v>52</v>
      </c>
      <c r="W23" s="3" t="s">
        <v>53</v>
      </c>
      <c r="Y23" s="5" t="str">
        <f aca="false">_xlfn.TEXTJOIN("; ", TRUE(), D23,D23, E23, F23, I23, J23, H23, N23, M23, O23&amp;P23&amp;Q23, U23, W23)</f>
        <v>Rare Earths; Rare Earths; Permanent Magnets; NdFeB;  High Coercivity; CIF Europe; USD; Tonne</v>
      </c>
      <c r="Z23" s="1" t="s">
        <v>108</v>
      </c>
      <c r="AE23" s="6" t="b">
        <f aca="false">TRUE()</f>
        <v>1</v>
      </c>
      <c r="AF23" s="6" t="b">
        <f aca="false">FALSE()</f>
        <v>0</v>
      </c>
      <c r="AG23" s="6" t="b">
        <f aca="false">TRUE()</f>
        <v>1</v>
      </c>
      <c r="AH23" s="6" t="b">
        <f aca="false">TRUE()</f>
        <v>1</v>
      </c>
    </row>
    <row r="24" customFormat="false" ht="25.35" hidden="false" customHeight="false" outlineLevel="0" collapsed="false">
      <c r="B24" s="3" t="s">
        <v>109</v>
      </c>
      <c r="C24" s="0" t="s">
        <v>43</v>
      </c>
      <c r="D24" s="3" t="s">
        <v>44</v>
      </c>
      <c r="E24" s="3" t="s">
        <v>45</v>
      </c>
      <c r="F24" s="1" t="s">
        <v>46</v>
      </c>
      <c r="J24" s="1" t="s">
        <v>47</v>
      </c>
      <c r="K24" s="7" t="b">
        <f aca="false">FALSE()</f>
        <v>0</v>
      </c>
      <c r="O24" s="3" t="s">
        <v>48</v>
      </c>
      <c r="P24" s="1" t="s">
        <v>110</v>
      </c>
      <c r="U24" s="3" t="s">
        <v>51</v>
      </c>
      <c r="V24" s="3" t="s">
        <v>52</v>
      </c>
      <c r="W24" s="3" t="s">
        <v>53</v>
      </c>
      <c r="Y24" s="5" t="str">
        <f aca="false">_xlfn.TEXTJOIN("; ", TRUE(), D24,D24, E24, F24, I24, J24, H24, N24, M24, O24&amp;P24&amp;Q24, U24, W24)</f>
        <v>Rare Earths; Rare Earths; Permanent Magnets; SmCo₅; Temperature Compensated; CIF Japan, Korea; USD; Tonne</v>
      </c>
      <c r="Z24" s="1" t="s">
        <v>111</v>
      </c>
      <c r="AE24" s="6" t="b">
        <f aca="false">TRUE()</f>
        <v>1</v>
      </c>
      <c r="AF24" s="6" t="b">
        <f aca="false">FALSE()</f>
        <v>0</v>
      </c>
      <c r="AG24" s="6" t="b">
        <f aca="false">TRUE()</f>
        <v>1</v>
      </c>
      <c r="AH24" s="6" t="b">
        <f aca="false">TRUE()</f>
        <v>1</v>
      </c>
    </row>
    <row r="25" customFormat="false" ht="25.35" hidden="false" customHeight="false" outlineLevel="0" collapsed="false">
      <c r="B25" s="3" t="s">
        <v>112</v>
      </c>
      <c r="C25" s="0" t="s">
        <v>43</v>
      </c>
      <c r="D25" s="3" t="s">
        <v>44</v>
      </c>
      <c r="E25" s="3" t="s">
        <v>45</v>
      </c>
      <c r="F25" s="1" t="s">
        <v>46</v>
      </c>
      <c r="J25" s="1" t="s">
        <v>56</v>
      </c>
      <c r="K25" s="7" t="b">
        <f aca="false">FALSE()</f>
        <v>0</v>
      </c>
      <c r="O25" s="3" t="s">
        <v>48</v>
      </c>
      <c r="P25" s="1" t="s">
        <v>110</v>
      </c>
      <c r="U25" s="3" t="s">
        <v>51</v>
      </c>
      <c r="V25" s="3" t="s">
        <v>52</v>
      </c>
      <c r="W25" s="3" t="s">
        <v>53</v>
      </c>
      <c r="Y25" s="5" t="str">
        <f aca="false">_xlfn.TEXTJOIN("; ", TRUE(), D25,D25, E25, F25, I25, J25, H25, N25, M25, O25&amp;P25&amp;Q25, U25, W25)</f>
        <v>Rare Earths; Rare Earths; Permanent Magnets; SmCo₅; Standard; CIF Japan, Korea; USD; Tonne</v>
      </c>
      <c r="Z25" s="1" t="s">
        <v>113</v>
      </c>
      <c r="AE25" s="6" t="b">
        <f aca="false">TRUE()</f>
        <v>1</v>
      </c>
      <c r="AF25" s="6" t="b">
        <f aca="false">FALSE()</f>
        <v>0</v>
      </c>
      <c r="AG25" s="6" t="b">
        <f aca="false">TRUE()</f>
        <v>1</v>
      </c>
      <c r="AH25" s="6" t="b">
        <f aca="false">TRUE()</f>
        <v>1</v>
      </c>
    </row>
    <row r="26" customFormat="false" ht="25.35" hidden="false" customHeight="false" outlineLevel="0" collapsed="false">
      <c r="B26" s="3" t="s">
        <v>114</v>
      </c>
      <c r="C26" s="0" t="s">
        <v>43</v>
      </c>
      <c r="D26" s="3" t="s">
        <v>44</v>
      </c>
      <c r="E26" s="3" t="s">
        <v>45</v>
      </c>
      <c r="F26" s="1" t="s">
        <v>59</v>
      </c>
      <c r="J26" s="1" t="s">
        <v>60</v>
      </c>
      <c r="K26" s="7" t="b">
        <f aca="false">FALSE()</f>
        <v>0</v>
      </c>
      <c r="O26" s="3" t="s">
        <v>48</v>
      </c>
      <c r="P26" s="1" t="s">
        <v>110</v>
      </c>
      <c r="U26" s="3" t="s">
        <v>51</v>
      </c>
      <c r="V26" s="3" t="s">
        <v>52</v>
      </c>
      <c r="W26" s="3" t="s">
        <v>53</v>
      </c>
      <c r="Y26" s="5" t="str">
        <f aca="false">_xlfn.TEXTJOIN("; ", TRUE(), D26,D26, E26, F26, I26, J26, H26, N26, M26, O26&amp;P26&amp;Q26, U26, W26)</f>
        <v>Rare Earths; Rare Earths; Permanent Magnets; Sm₂Co₁₇; Ultra-High Temperature; CIF Japan, Korea; USD; Tonne</v>
      </c>
      <c r="Z26" s="1" t="s">
        <v>115</v>
      </c>
      <c r="AE26" s="6" t="b">
        <f aca="false">TRUE()</f>
        <v>1</v>
      </c>
      <c r="AF26" s="6" t="b">
        <f aca="false">FALSE()</f>
        <v>0</v>
      </c>
      <c r="AG26" s="6" t="b">
        <f aca="false">TRUE()</f>
        <v>1</v>
      </c>
      <c r="AH26" s="6" t="b">
        <f aca="false">TRUE()</f>
        <v>1</v>
      </c>
    </row>
    <row r="27" customFormat="false" ht="25.35" hidden="false" customHeight="false" outlineLevel="0" collapsed="false">
      <c r="B27" s="3" t="s">
        <v>116</v>
      </c>
      <c r="C27" s="0" t="s">
        <v>43</v>
      </c>
      <c r="D27" s="3" t="s">
        <v>44</v>
      </c>
      <c r="E27" s="3" t="s">
        <v>45</v>
      </c>
      <c r="F27" s="1" t="s">
        <v>59</v>
      </c>
      <c r="J27" s="1" t="s">
        <v>47</v>
      </c>
      <c r="K27" s="7" t="b">
        <f aca="false">FALSE()</f>
        <v>0</v>
      </c>
      <c r="O27" s="3" t="s">
        <v>48</v>
      </c>
      <c r="P27" s="1" t="s">
        <v>110</v>
      </c>
      <c r="U27" s="3" t="s">
        <v>51</v>
      </c>
      <c r="V27" s="3" t="s">
        <v>52</v>
      </c>
      <c r="W27" s="3" t="s">
        <v>53</v>
      </c>
      <c r="Y27" s="5" t="str">
        <f aca="false">_xlfn.TEXTJOIN("; ", TRUE(), D27,D27, E27, F27, I27, J27, H27, N27, M27, O27&amp;P27&amp;Q27, U27, W27)</f>
        <v>Rare Earths; Rare Earths; Permanent Magnets; Sm₂Co₁₇; Temperature Compensated; CIF Japan, Korea; USD; Tonne</v>
      </c>
      <c r="Z27" s="1" t="s">
        <v>117</v>
      </c>
      <c r="AE27" s="6" t="b">
        <f aca="false">TRUE()</f>
        <v>1</v>
      </c>
      <c r="AF27" s="6" t="b">
        <f aca="false">FALSE()</f>
        <v>0</v>
      </c>
      <c r="AG27" s="6" t="b">
        <f aca="false">TRUE()</f>
        <v>1</v>
      </c>
      <c r="AH27" s="6" t="b">
        <f aca="false">TRUE()</f>
        <v>1</v>
      </c>
    </row>
    <row r="28" customFormat="false" ht="25.35" hidden="false" customHeight="false" outlineLevel="0" collapsed="false">
      <c r="B28" s="3" t="s">
        <v>118</v>
      </c>
      <c r="C28" s="0" t="s">
        <v>43</v>
      </c>
      <c r="D28" s="3" t="s">
        <v>44</v>
      </c>
      <c r="E28" s="3" t="s">
        <v>45</v>
      </c>
      <c r="F28" s="1" t="s">
        <v>59</v>
      </c>
      <c r="J28" s="1" t="s">
        <v>65</v>
      </c>
      <c r="K28" s="7" t="b">
        <f aca="false">FALSE()</f>
        <v>0</v>
      </c>
      <c r="O28" s="3" t="s">
        <v>48</v>
      </c>
      <c r="P28" s="1" t="s">
        <v>110</v>
      </c>
      <c r="U28" s="3" t="s">
        <v>51</v>
      </c>
      <c r="V28" s="3" t="s">
        <v>52</v>
      </c>
      <c r="W28" s="3" t="s">
        <v>53</v>
      </c>
      <c r="Y28" s="5" t="str">
        <f aca="false">_xlfn.TEXTJOIN("; ", TRUE(), D28,D28, E28, F28, I28, J28, H28, N28, M28, O28&amp;P28&amp;Q28, U28, W28)</f>
        <v>Rare Earths; Rare Earths; Permanent Magnets; Sm₂Co₁₇; Standard High Energy; CIF Japan, Korea; USD; Tonne</v>
      </c>
      <c r="Z28" s="1" t="s">
        <v>119</v>
      </c>
      <c r="AE28" s="6" t="b">
        <f aca="false">TRUE()</f>
        <v>1</v>
      </c>
      <c r="AF28" s="6" t="b">
        <f aca="false">FALSE()</f>
        <v>0</v>
      </c>
      <c r="AG28" s="6" t="b">
        <f aca="false">TRUE()</f>
        <v>1</v>
      </c>
      <c r="AH28" s="6" t="b">
        <f aca="false">TRUE()</f>
        <v>1</v>
      </c>
    </row>
    <row r="29" customFormat="false" ht="25.35" hidden="false" customHeight="false" outlineLevel="0" collapsed="false">
      <c r="B29" s="3" t="s">
        <v>120</v>
      </c>
      <c r="C29" s="0" t="s">
        <v>43</v>
      </c>
      <c r="D29" s="3" t="s">
        <v>44</v>
      </c>
      <c r="E29" s="3" t="s">
        <v>45</v>
      </c>
      <c r="F29" s="1" t="s">
        <v>68</v>
      </c>
      <c r="J29" s="1" t="s">
        <v>69</v>
      </c>
      <c r="K29" s="7" t="b">
        <f aca="false">FALSE()</f>
        <v>0</v>
      </c>
      <c r="O29" s="3" t="s">
        <v>48</v>
      </c>
      <c r="P29" s="1" t="s">
        <v>110</v>
      </c>
      <c r="U29" s="3" t="s">
        <v>51</v>
      </c>
      <c r="V29" s="3" t="s">
        <v>52</v>
      </c>
      <c r="W29" s="3" t="s">
        <v>53</v>
      </c>
      <c r="Y29" s="5" t="str">
        <f aca="false">_xlfn.TEXTJOIN("; ", TRUE(), D29,D29, E29, F29, I29, J29, H29, N29, M29, O29&amp;P29&amp;Q29, U29, W29)</f>
        <v>Rare Earths; Rare Earths; Permanent Magnets; NdFeB;  Extreme Coercivity; CIF Japan, Korea; USD; Tonne</v>
      </c>
      <c r="Z29" s="1" t="s">
        <v>121</v>
      </c>
      <c r="AE29" s="6" t="b">
        <f aca="false">TRUE()</f>
        <v>1</v>
      </c>
      <c r="AF29" s="6" t="b">
        <f aca="false">FALSE()</f>
        <v>0</v>
      </c>
      <c r="AG29" s="6" t="b">
        <f aca="false">TRUE()</f>
        <v>1</v>
      </c>
      <c r="AH29" s="6" t="b">
        <f aca="false">TRUE()</f>
        <v>1</v>
      </c>
    </row>
    <row r="30" customFormat="false" ht="25.35" hidden="false" customHeight="false" outlineLevel="0" collapsed="false">
      <c r="B30" s="3" t="s">
        <v>122</v>
      </c>
      <c r="C30" s="0" t="s">
        <v>43</v>
      </c>
      <c r="D30" s="3" t="s">
        <v>44</v>
      </c>
      <c r="E30" s="3" t="s">
        <v>45</v>
      </c>
      <c r="F30" s="1" t="s">
        <v>68</v>
      </c>
      <c r="J30" s="1" t="s">
        <v>72</v>
      </c>
      <c r="K30" s="7" t="b">
        <f aca="false">FALSE()</f>
        <v>0</v>
      </c>
      <c r="O30" s="3" t="s">
        <v>48</v>
      </c>
      <c r="P30" s="1" t="s">
        <v>110</v>
      </c>
      <c r="U30" s="3" t="s">
        <v>51</v>
      </c>
      <c r="V30" s="3" t="s">
        <v>52</v>
      </c>
      <c r="W30" s="3" t="s">
        <v>53</v>
      </c>
      <c r="Y30" s="5" t="str">
        <f aca="false">_xlfn.TEXTJOIN("; ", TRUE(), D30,D30, E30, F30, I30, J30, H30, N30, M30, O30&amp;P30&amp;Q30, U30, W30)</f>
        <v>Rare Earths; Rare Earths; Permanent Magnets; NdFeB;  Standard (N Grade); CIF Japan, Korea; USD; Tonne</v>
      </c>
      <c r="Z30" s="1" t="s">
        <v>123</v>
      </c>
      <c r="AE30" s="6" t="b">
        <f aca="false">TRUE()</f>
        <v>1</v>
      </c>
      <c r="AF30" s="6" t="b">
        <f aca="false">FALSE()</f>
        <v>0</v>
      </c>
      <c r="AG30" s="6" t="b">
        <f aca="false">TRUE()</f>
        <v>1</v>
      </c>
      <c r="AH30" s="6" t="b">
        <f aca="false">TRUE()</f>
        <v>1</v>
      </c>
    </row>
    <row r="31" customFormat="false" ht="25.35" hidden="false" customHeight="false" outlineLevel="0" collapsed="false">
      <c r="B31" s="3" t="s">
        <v>124</v>
      </c>
      <c r="C31" s="0" t="s">
        <v>43</v>
      </c>
      <c r="D31" s="3" t="s">
        <v>44</v>
      </c>
      <c r="E31" s="3" t="s">
        <v>45</v>
      </c>
      <c r="F31" s="1" t="s">
        <v>68</v>
      </c>
      <c r="J31" s="1" t="s">
        <v>75</v>
      </c>
      <c r="K31" s="7" t="b">
        <f aca="false">FALSE()</f>
        <v>0</v>
      </c>
      <c r="O31" s="3" t="s">
        <v>48</v>
      </c>
      <c r="P31" s="1" t="s">
        <v>110</v>
      </c>
      <c r="U31" s="3" t="s">
        <v>51</v>
      </c>
      <c r="V31" s="3" t="s">
        <v>52</v>
      </c>
      <c r="W31" s="3" t="s">
        <v>53</v>
      </c>
      <c r="Y31" s="5" t="str">
        <f aca="false">_xlfn.TEXTJOIN("; ", TRUE(), D31,D31, E31, F31, I31, J31, H31, N31, M31, O31&amp;P31&amp;Q31, U31, W31)</f>
        <v>Rare Earths; Rare Earths; Permanent Magnets; NdFeB;  Medium Coercivity; CIF Japan, Korea; USD; Tonne</v>
      </c>
      <c r="Z31" s="1" t="s">
        <v>125</v>
      </c>
      <c r="AE31" s="6" t="b">
        <f aca="false">TRUE()</f>
        <v>1</v>
      </c>
      <c r="AF31" s="6" t="b">
        <f aca="false">FALSE()</f>
        <v>0</v>
      </c>
      <c r="AG31" s="6" t="b">
        <f aca="false">TRUE()</f>
        <v>1</v>
      </c>
      <c r="AH31" s="6" t="b">
        <f aca="false">TRUE()</f>
        <v>1</v>
      </c>
    </row>
    <row r="32" customFormat="false" ht="25.35" hidden="false" customHeight="false" outlineLevel="0" collapsed="false">
      <c r="B32" s="3" t="s">
        <v>126</v>
      </c>
      <c r="C32" s="0" t="s">
        <v>43</v>
      </c>
      <c r="D32" s="3" t="s">
        <v>44</v>
      </c>
      <c r="E32" s="3" t="s">
        <v>45</v>
      </c>
      <c r="F32" s="1" t="s">
        <v>68</v>
      </c>
      <c r="J32" s="1" t="s">
        <v>78</v>
      </c>
      <c r="K32" s="7" t="b">
        <f aca="false">FALSE()</f>
        <v>0</v>
      </c>
      <c r="O32" s="3" t="s">
        <v>48</v>
      </c>
      <c r="P32" s="1" t="s">
        <v>110</v>
      </c>
      <c r="U32" s="3" t="s">
        <v>51</v>
      </c>
      <c r="V32" s="3" t="s">
        <v>52</v>
      </c>
      <c r="W32" s="3" t="s">
        <v>53</v>
      </c>
      <c r="Y32" s="5" t="str">
        <f aca="false">_xlfn.TEXTJOIN("; ", TRUE(), D32,D32, E32, F32, I32, J32, H32, N32, M32, O32&amp;P32&amp;Q32, U32, W32)</f>
        <v>Rare Earths; Rare Earths; Permanent Magnets; NdFeB;  Ultra High Coercivity; CIF Japan, Korea; USD; Tonne</v>
      </c>
      <c r="Z32" s="1" t="s">
        <v>127</v>
      </c>
      <c r="AE32" s="6" t="b">
        <f aca="false">TRUE()</f>
        <v>1</v>
      </c>
      <c r="AF32" s="6" t="b">
        <f aca="false">FALSE()</f>
        <v>0</v>
      </c>
      <c r="AG32" s="6" t="b">
        <f aca="false">TRUE()</f>
        <v>1</v>
      </c>
      <c r="AH32" s="6" t="b">
        <f aca="false">TRUE()</f>
        <v>1</v>
      </c>
    </row>
    <row r="33" customFormat="false" ht="25.35" hidden="false" customHeight="false" outlineLevel="0" collapsed="false">
      <c r="B33" s="3" t="s">
        <v>128</v>
      </c>
      <c r="C33" s="0" t="s">
        <v>43</v>
      </c>
      <c r="D33" s="3" t="s">
        <v>44</v>
      </c>
      <c r="E33" s="3" t="s">
        <v>45</v>
      </c>
      <c r="F33" s="1" t="s">
        <v>68</v>
      </c>
      <c r="J33" s="1" t="s">
        <v>81</v>
      </c>
      <c r="K33" s="7" t="b">
        <f aca="false">FALSE()</f>
        <v>0</v>
      </c>
      <c r="O33" s="3" t="s">
        <v>48</v>
      </c>
      <c r="P33" s="1" t="s">
        <v>110</v>
      </c>
      <c r="U33" s="3" t="s">
        <v>51</v>
      </c>
      <c r="V33" s="3" t="s">
        <v>52</v>
      </c>
      <c r="W33" s="3" t="s">
        <v>53</v>
      </c>
      <c r="Y33" s="5" t="str">
        <f aca="false">_xlfn.TEXTJOIN("; ", TRUE(), D33,D33, E33, F33, I33, J33, H33, N33, M33, O33&amp;P33&amp;Q33, U33, W33)</f>
        <v>Rare Earths; Rare Earths; Permanent Magnets; NdFeB;  Super High Coercivity; CIF Japan, Korea; USD; Tonne</v>
      </c>
      <c r="Z33" s="1" t="s">
        <v>129</v>
      </c>
      <c r="AE33" s="6" t="b">
        <f aca="false">TRUE()</f>
        <v>1</v>
      </c>
      <c r="AF33" s="6" t="b">
        <f aca="false">FALSE()</f>
        <v>0</v>
      </c>
      <c r="AG33" s="6" t="b">
        <f aca="false">TRUE()</f>
        <v>1</v>
      </c>
      <c r="AH33" s="6" t="b">
        <f aca="false">TRUE()</f>
        <v>1</v>
      </c>
    </row>
    <row r="34" customFormat="false" ht="25.35" hidden="false" customHeight="false" outlineLevel="0" collapsed="false">
      <c r="B34" s="3" t="s">
        <v>130</v>
      </c>
      <c r="C34" s="0" t="s">
        <v>43</v>
      </c>
      <c r="D34" s="3" t="s">
        <v>44</v>
      </c>
      <c r="E34" s="3" t="s">
        <v>45</v>
      </c>
      <c r="F34" s="1" t="s">
        <v>68</v>
      </c>
      <c r="J34" s="1" t="s">
        <v>84</v>
      </c>
      <c r="K34" s="7" t="b">
        <f aca="false">FALSE()</f>
        <v>0</v>
      </c>
      <c r="O34" s="3" t="s">
        <v>48</v>
      </c>
      <c r="P34" s="1" t="s">
        <v>110</v>
      </c>
      <c r="U34" s="3" t="s">
        <v>51</v>
      </c>
      <c r="V34" s="3" t="s">
        <v>52</v>
      </c>
      <c r="W34" s="3" t="s">
        <v>53</v>
      </c>
      <c r="Y34" s="5" t="str">
        <f aca="false">_xlfn.TEXTJOIN("; ", TRUE(), D34,D34, E34, F34, I34, J34, H34, N34, M34, O34&amp;P34&amp;Q34, U34, W34)</f>
        <v>Rare Earths; Rare Earths; Permanent Magnets; NdFeB;  High Coercivity; CIF Japan, Korea; USD; Tonne</v>
      </c>
      <c r="Z34" s="1" t="s">
        <v>131</v>
      </c>
      <c r="AE34" s="6" t="b">
        <f aca="false">TRUE()</f>
        <v>1</v>
      </c>
      <c r="AF34" s="6" t="b">
        <f aca="false">FALSE()</f>
        <v>0</v>
      </c>
      <c r="AG34" s="6" t="b">
        <f aca="false">TRUE()</f>
        <v>1</v>
      </c>
      <c r="AH34" s="6" t="b">
        <f aca="false">TRUE()</f>
        <v>1</v>
      </c>
    </row>
    <row r="35" customFormat="false" ht="25.35" hidden="false" customHeight="false" outlineLevel="0" collapsed="false">
      <c r="B35" s="3" t="s">
        <v>132</v>
      </c>
      <c r="C35" s="0" t="s">
        <v>43</v>
      </c>
      <c r="D35" s="3" t="s">
        <v>44</v>
      </c>
      <c r="E35" s="3" t="s">
        <v>45</v>
      </c>
      <c r="F35" s="1" t="s">
        <v>46</v>
      </c>
      <c r="J35" s="1" t="s">
        <v>47</v>
      </c>
      <c r="K35" s="7" t="b">
        <f aca="false">FALSE()</f>
        <v>0</v>
      </c>
      <c r="O35" s="3" t="s">
        <v>48</v>
      </c>
      <c r="P35" s="1" t="s">
        <v>133</v>
      </c>
      <c r="U35" s="3" t="s">
        <v>51</v>
      </c>
      <c r="V35" s="3" t="s">
        <v>52</v>
      </c>
      <c r="W35" s="3" t="s">
        <v>53</v>
      </c>
      <c r="Y35" s="5" t="str">
        <f aca="false">_xlfn.TEXTJOIN("; ", TRUE(), D35,D35, E35, F35, I35, J35, H35, N35, M35, O35&amp;P35&amp;Q35, U35, W35)</f>
        <v>Rare Earths; Rare Earths; Permanent Magnets; SmCo₅; Temperature Compensated; CIF North America; USD; Tonne</v>
      </c>
      <c r="Z35" s="1" t="s">
        <v>134</v>
      </c>
      <c r="AE35" s="6" t="b">
        <f aca="false">TRUE()</f>
        <v>1</v>
      </c>
      <c r="AF35" s="6" t="b">
        <f aca="false">FALSE()</f>
        <v>0</v>
      </c>
      <c r="AG35" s="6" t="b">
        <f aca="false">TRUE()</f>
        <v>1</v>
      </c>
      <c r="AH35" s="6" t="b">
        <f aca="false">TRUE()</f>
        <v>1</v>
      </c>
    </row>
    <row r="36" customFormat="false" ht="25.35" hidden="false" customHeight="false" outlineLevel="0" collapsed="false">
      <c r="B36" s="3" t="s">
        <v>135</v>
      </c>
      <c r="C36" s="0" t="s">
        <v>43</v>
      </c>
      <c r="D36" s="3" t="s">
        <v>44</v>
      </c>
      <c r="E36" s="3" t="s">
        <v>45</v>
      </c>
      <c r="F36" s="1" t="s">
        <v>46</v>
      </c>
      <c r="J36" s="1" t="s">
        <v>56</v>
      </c>
      <c r="K36" s="7" t="b">
        <f aca="false">FALSE()</f>
        <v>0</v>
      </c>
      <c r="O36" s="3" t="s">
        <v>48</v>
      </c>
      <c r="P36" s="1" t="s">
        <v>133</v>
      </c>
      <c r="U36" s="3" t="s">
        <v>51</v>
      </c>
      <c r="V36" s="3" t="s">
        <v>52</v>
      </c>
      <c r="W36" s="3" t="s">
        <v>53</v>
      </c>
      <c r="Y36" s="5" t="str">
        <f aca="false">_xlfn.TEXTJOIN("; ", TRUE(), D36,D36, E36, F36, I36, J36, H36, N36, M36, O36&amp;P36&amp;Q36, U36, W36)</f>
        <v>Rare Earths; Rare Earths; Permanent Magnets; SmCo₅; Standard; CIF North America; USD; Tonne</v>
      </c>
      <c r="Z36" s="1" t="s">
        <v>136</v>
      </c>
      <c r="AE36" s="6" t="b">
        <f aca="false">TRUE()</f>
        <v>1</v>
      </c>
      <c r="AF36" s="6" t="b">
        <f aca="false">FALSE()</f>
        <v>0</v>
      </c>
      <c r="AG36" s="6" t="b">
        <f aca="false">TRUE()</f>
        <v>1</v>
      </c>
      <c r="AH36" s="6" t="b">
        <f aca="false">TRUE()</f>
        <v>1</v>
      </c>
    </row>
    <row r="37" customFormat="false" ht="25.35" hidden="false" customHeight="false" outlineLevel="0" collapsed="false">
      <c r="B37" s="3" t="s">
        <v>137</v>
      </c>
      <c r="C37" s="0" t="s">
        <v>43</v>
      </c>
      <c r="D37" s="3" t="s">
        <v>44</v>
      </c>
      <c r="E37" s="3" t="s">
        <v>45</v>
      </c>
      <c r="F37" s="1" t="s">
        <v>59</v>
      </c>
      <c r="J37" s="1" t="s">
        <v>60</v>
      </c>
      <c r="K37" s="7" t="b">
        <f aca="false">FALSE()</f>
        <v>0</v>
      </c>
      <c r="O37" s="3" t="s">
        <v>48</v>
      </c>
      <c r="P37" s="1" t="s">
        <v>133</v>
      </c>
      <c r="U37" s="3" t="s">
        <v>51</v>
      </c>
      <c r="V37" s="3" t="s">
        <v>52</v>
      </c>
      <c r="W37" s="3" t="s">
        <v>53</v>
      </c>
      <c r="Y37" s="5" t="str">
        <f aca="false">_xlfn.TEXTJOIN("; ", TRUE(), D37,D37, E37, F37, I37, J37, H37, N37, M37, O37&amp;P37&amp;Q37, U37, W37)</f>
        <v>Rare Earths; Rare Earths; Permanent Magnets; Sm₂Co₁₇; Ultra-High Temperature; CIF North America; USD; Tonne</v>
      </c>
      <c r="Z37" s="1" t="s">
        <v>138</v>
      </c>
      <c r="AE37" s="6" t="b">
        <f aca="false">TRUE()</f>
        <v>1</v>
      </c>
      <c r="AF37" s="6" t="b">
        <f aca="false">FALSE()</f>
        <v>0</v>
      </c>
      <c r="AG37" s="6" t="b">
        <f aca="false">TRUE()</f>
        <v>1</v>
      </c>
      <c r="AH37" s="6" t="b">
        <f aca="false">TRUE()</f>
        <v>1</v>
      </c>
    </row>
    <row r="38" customFormat="false" ht="25.35" hidden="false" customHeight="false" outlineLevel="0" collapsed="false">
      <c r="B38" s="3" t="s">
        <v>139</v>
      </c>
      <c r="C38" s="0" t="s">
        <v>43</v>
      </c>
      <c r="D38" s="3" t="s">
        <v>44</v>
      </c>
      <c r="E38" s="3" t="s">
        <v>45</v>
      </c>
      <c r="F38" s="1" t="s">
        <v>59</v>
      </c>
      <c r="J38" s="1" t="s">
        <v>47</v>
      </c>
      <c r="K38" s="7" t="b">
        <f aca="false">FALSE()</f>
        <v>0</v>
      </c>
      <c r="O38" s="3" t="s">
        <v>48</v>
      </c>
      <c r="P38" s="1" t="s">
        <v>133</v>
      </c>
      <c r="U38" s="3" t="s">
        <v>51</v>
      </c>
      <c r="V38" s="3" t="s">
        <v>52</v>
      </c>
      <c r="W38" s="3" t="s">
        <v>53</v>
      </c>
      <c r="Y38" s="5" t="str">
        <f aca="false">_xlfn.TEXTJOIN("; ", TRUE(), D38,D38, E38, F38, I38, J38, H38, N38, M38, O38&amp;P38&amp;Q38, U38, W38)</f>
        <v>Rare Earths; Rare Earths; Permanent Magnets; Sm₂Co₁₇; Temperature Compensated; CIF North America; USD; Tonne</v>
      </c>
      <c r="Z38" s="1" t="s">
        <v>140</v>
      </c>
      <c r="AE38" s="6" t="b">
        <f aca="false">TRUE()</f>
        <v>1</v>
      </c>
      <c r="AF38" s="6" t="b">
        <f aca="false">FALSE()</f>
        <v>0</v>
      </c>
      <c r="AG38" s="6" t="b">
        <f aca="false">TRUE()</f>
        <v>1</v>
      </c>
      <c r="AH38" s="6" t="b">
        <f aca="false">TRUE()</f>
        <v>1</v>
      </c>
    </row>
    <row r="39" customFormat="false" ht="25.35" hidden="false" customHeight="false" outlineLevel="0" collapsed="false">
      <c r="B39" s="3" t="s">
        <v>141</v>
      </c>
      <c r="C39" s="0" t="s">
        <v>43</v>
      </c>
      <c r="D39" s="3" t="s">
        <v>44</v>
      </c>
      <c r="E39" s="3" t="s">
        <v>45</v>
      </c>
      <c r="F39" s="1" t="s">
        <v>59</v>
      </c>
      <c r="J39" s="1" t="s">
        <v>65</v>
      </c>
      <c r="K39" s="7" t="b">
        <f aca="false">FALSE()</f>
        <v>0</v>
      </c>
      <c r="O39" s="3" t="s">
        <v>48</v>
      </c>
      <c r="P39" s="1" t="s">
        <v>133</v>
      </c>
      <c r="U39" s="3" t="s">
        <v>51</v>
      </c>
      <c r="V39" s="3" t="s">
        <v>52</v>
      </c>
      <c r="W39" s="3" t="s">
        <v>53</v>
      </c>
      <c r="Y39" s="5" t="str">
        <f aca="false">_xlfn.TEXTJOIN("; ", TRUE(), D39,D39, E39, F39, I39, J39, H39, N39, M39, O39&amp;P39&amp;Q39, U39, W39)</f>
        <v>Rare Earths; Rare Earths; Permanent Magnets; Sm₂Co₁₇; Standard High Energy; CIF North America; USD; Tonne</v>
      </c>
      <c r="Z39" s="1" t="s">
        <v>142</v>
      </c>
      <c r="AE39" s="6" t="b">
        <f aca="false">TRUE()</f>
        <v>1</v>
      </c>
      <c r="AF39" s="6" t="b">
        <f aca="false">FALSE()</f>
        <v>0</v>
      </c>
      <c r="AG39" s="6" t="b">
        <f aca="false">TRUE()</f>
        <v>1</v>
      </c>
      <c r="AH39" s="6" t="b">
        <f aca="false">TRUE()</f>
        <v>1</v>
      </c>
    </row>
    <row r="40" customFormat="false" ht="25.35" hidden="false" customHeight="false" outlineLevel="0" collapsed="false">
      <c r="B40" s="3" t="s">
        <v>143</v>
      </c>
      <c r="C40" s="0" t="s">
        <v>43</v>
      </c>
      <c r="D40" s="3" t="s">
        <v>44</v>
      </c>
      <c r="E40" s="3" t="s">
        <v>45</v>
      </c>
      <c r="F40" s="1" t="s">
        <v>68</v>
      </c>
      <c r="J40" s="1" t="s">
        <v>69</v>
      </c>
      <c r="K40" s="7" t="b">
        <f aca="false">FALSE()</f>
        <v>0</v>
      </c>
      <c r="O40" s="3" t="s">
        <v>48</v>
      </c>
      <c r="P40" s="1" t="s">
        <v>133</v>
      </c>
      <c r="U40" s="3" t="s">
        <v>51</v>
      </c>
      <c r="V40" s="3" t="s">
        <v>52</v>
      </c>
      <c r="W40" s="3" t="s">
        <v>53</v>
      </c>
      <c r="Y40" s="5" t="str">
        <f aca="false">_xlfn.TEXTJOIN("; ", TRUE(), D40,D40, E40, F40, I40, J40, H40, N40, M40, O40&amp;P40&amp;Q40, U40, W40)</f>
        <v>Rare Earths; Rare Earths; Permanent Magnets; NdFeB;  Extreme Coercivity; CIF North America; USD; Tonne</v>
      </c>
      <c r="Z40" s="1" t="s">
        <v>144</v>
      </c>
      <c r="AE40" s="6" t="b">
        <f aca="false">TRUE()</f>
        <v>1</v>
      </c>
      <c r="AF40" s="6" t="b">
        <f aca="false">FALSE()</f>
        <v>0</v>
      </c>
      <c r="AG40" s="6" t="b">
        <f aca="false">TRUE()</f>
        <v>1</v>
      </c>
      <c r="AH40" s="6" t="b">
        <f aca="false">TRUE()</f>
        <v>1</v>
      </c>
    </row>
    <row r="41" customFormat="false" ht="25.35" hidden="false" customHeight="false" outlineLevel="0" collapsed="false">
      <c r="B41" s="3" t="s">
        <v>145</v>
      </c>
      <c r="C41" s="0" t="s">
        <v>43</v>
      </c>
      <c r="D41" s="3" t="s">
        <v>44</v>
      </c>
      <c r="E41" s="3" t="s">
        <v>45</v>
      </c>
      <c r="F41" s="1" t="s">
        <v>68</v>
      </c>
      <c r="J41" s="1" t="s">
        <v>72</v>
      </c>
      <c r="K41" s="7" t="b">
        <f aca="false">FALSE()</f>
        <v>0</v>
      </c>
      <c r="O41" s="3" t="s">
        <v>48</v>
      </c>
      <c r="P41" s="1" t="s">
        <v>133</v>
      </c>
      <c r="U41" s="3" t="s">
        <v>51</v>
      </c>
      <c r="V41" s="3" t="s">
        <v>52</v>
      </c>
      <c r="W41" s="3" t="s">
        <v>53</v>
      </c>
      <c r="Y41" s="5" t="str">
        <f aca="false">_xlfn.TEXTJOIN("; ", TRUE(), D41,D41, E41, F41, I41, J41, H41, N41, M41, O41&amp;P41&amp;Q41, U41, W41)</f>
        <v>Rare Earths; Rare Earths; Permanent Magnets; NdFeB;  Standard (N Grade); CIF North America; USD; Tonne</v>
      </c>
      <c r="Z41" s="1" t="s">
        <v>146</v>
      </c>
      <c r="AE41" s="6" t="b">
        <f aca="false">TRUE()</f>
        <v>1</v>
      </c>
      <c r="AF41" s="6" t="b">
        <f aca="false">FALSE()</f>
        <v>0</v>
      </c>
      <c r="AG41" s="6" t="b">
        <f aca="false">TRUE()</f>
        <v>1</v>
      </c>
      <c r="AH41" s="6" t="b">
        <f aca="false">TRUE()</f>
        <v>1</v>
      </c>
    </row>
    <row r="42" customFormat="false" ht="25.35" hidden="false" customHeight="false" outlineLevel="0" collapsed="false">
      <c r="B42" s="3" t="s">
        <v>147</v>
      </c>
      <c r="C42" s="0" t="s">
        <v>43</v>
      </c>
      <c r="D42" s="3" t="s">
        <v>44</v>
      </c>
      <c r="E42" s="3" t="s">
        <v>45</v>
      </c>
      <c r="F42" s="1" t="s">
        <v>68</v>
      </c>
      <c r="J42" s="1" t="s">
        <v>75</v>
      </c>
      <c r="K42" s="7" t="b">
        <f aca="false">FALSE()</f>
        <v>0</v>
      </c>
      <c r="O42" s="3" t="s">
        <v>48</v>
      </c>
      <c r="P42" s="1" t="s">
        <v>133</v>
      </c>
      <c r="U42" s="3" t="s">
        <v>51</v>
      </c>
      <c r="V42" s="3" t="s">
        <v>52</v>
      </c>
      <c r="W42" s="3" t="s">
        <v>53</v>
      </c>
      <c r="Y42" s="5" t="str">
        <f aca="false">_xlfn.TEXTJOIN("; ", TRUE(), D42,D42, E42, F42, I42, J42, H42, N42, M42, O42&amp;P42&amp;Q42, U42, W42)</f>
        <v>Rare Earths; Rare Earths; Permanent Magnets; NdFeB;  Medium Coercivity; CIF North America; USD; Tonne</v>
      </c>
      <c r="Z42" s="1" t="s">
        <v>148</v>
      </c>
      <c r="AE42" s="6" t="b">
        <f aca="false">TRUE()</f>
        <v>1</v>
      </c>
      <c r="AF42" s="6" t="b">
        <f aca="false">FALSE()</f>
        <v>0</v>
      </c>
      <c r="AG42" s="6" t="b">
        <f aca="false">TRUE()</f>
        <v>1</v>
      </c>
      <c r="AH42" s="6" t="b">
        <f aca="false">TRUE()</f>
        <v>1</v>
      </c>
    </row>
    <row r="43" customFormat="false" ht="25.35" hidden="false" customHeight="false" outlineLevel="0" collapsed="false">
      <c r="B43" s="3" t="s">
        <v>149</v>
      </c>
      <c r="C43" s="0" t="s">
        <v>43</v>
      </c>
      <c r="D43" s="3" t="s">
        <v>44</v>
      </c>
      <c r="E43" s="3" t="s">
        <v>45</v>
      </c>
      <c r="F43" s="1" t="s">
        <v>68</v>
      </c>
      <c r="J43" s="1" t="s">
        <v>78</v>
      </c>
      <c r="K43" s="7" t="b">
        <f aca="false">FALSE()</f>
        <v>0</v>
      </c>
      <c r="O43" s="3" t="s">
        <v>48</v>
      </c>
      <c r="P43" s="1" t="s">
        <v>133</v>
      </c>
      <c r="U43" s="3" t="s">
        <v>51</v>
      </c>
      <c r="V43" s="3" t="s">
        <v>52</v>
      </c>
      <c r="W43" s="3" t="s">
        <v>53</v>
      </c>
      <c r="Y43" s="5" t="str">
        <f aca="false">_xlfn.TEXTJOIN("; ", TRUE(), D43,D43, E43, F43, I43, J43, H43, N43, M43, O43&amp;P43&amp;Q43, U43, W43)</f>
        <v>Rare Earths; Rare Earths; Permanent Magnets; NdFeB;  Ultra High Coercivity; CIF North America; USD; Tonne</v>
      </c>
      <c r="Z43" s="1" t="s">
        <v>150</v>
      </c>
      <c r="AE43" s="6" t="b">
        <f aca="false">TRUE()</f>
        <v>1</v>
      </c>
      <c r="AF43" s="6" t="b">
        <f aca="false">FALSE()</f>
        <v>0</v>
      </c>
      <c r="AG43" s="6" t="b">
        <f aca="false">TRUE()</f>
        <v>1</v>
      </c>
      <c r="AH43" s="6" t="b">
        <f aca="false">TRUE()</f>
        <v>1</v>
      </c>
    </row>
    <row r="44" customFormat="false" ht="25.35" hidden="false" customHeight="false" outlineLevel="0" collapsed="false">
      <c r="B44" s="3" t="s">
        <v>151</v>
      </c>
      <c r="C44" s="0" t="s">
        <v>43</v>
      </c>
      <c r="D44" s="3" t="s">
        <v>44</v>
      </c>
      <c r="E44" s="3" t="s">
        <v>45</v>
      </c>
      <c r="F44" s="1" t="s">
        <v>68</v>
      </c>
      <c r="J44" s="1" t="s">
        <v>81</v>
      </c>
      <c r="K44" s="7" t="b">
        <f aca="false">FALSE()</f>
        <v>0</v>
      </c>
      <c r="O44" s="3" t="s">
        <v>48</v>
      </c>
      <c r="P44" s="1" t="s">
        <v>133</v>
      </c>
      <c r="U44" s="3" t="s">
        <v>51</v>
      </c>
      <c r="V44" s="3" t="s">
        <v>52</v>
      </c>
      <c r="W44" s="3" t="s">
        <v>53</v>
      </c>
      <c r="Y44" s="5" t="str">
        <f aca="false">_xlfn.TEXTJOIN("; ", TRUE(), D44,D44, E44, F44, I44, J44, H44, N44, M44, O44&amp;P44&amp;Q44, U44, W44)</f>
        <v>Rare Earths; Rare Earths; Permanent Magnets; NdFeB;  Super High Coercivity; CIF North America; USD; Tonne</v>
      </c>
      <c r="Z44" s="1" t="s">
        <v>152</v>
      </c>
      <c r="AE44" s="6" t="b">
        <f aca="false">TRUE()</f>
        <v>1</v>
      </c>
      <c r="AF44" s="6" t="b">
        <f aca="false">FALSE()</f>
        <v>0</v>
      </c>
      <c r="AG44" s="6" t="b">
        <f aca="false">TRUE()</f>
        <v>1</v>
      </c>
      <c r="AH44" s="6" t="b">
        <f aca="false">TRUE()</f>
        <v>1</v>
      </c>
    </row>
    <row r="45" customFormat="false" ht="25.35" hidden="false" customHeight="false" outlineLevel="0" collapsed="false">
      <c r="B45" s="3" t="s">
        <v>153</v>
      </c>
      <c r="C45" s="0" t="s">
        <v>43</v>
      </c>
      <c r="D45" s="3" t="s">
        <v>44</v>
      </c>
      <c r="E45" s="3" t="s">
        <v>45</v>
      </c>
      <c r="F45" s="1" t="s">
        <v>68</v>
      </c>
      <c r="J45" s="1" t="s">
        <v>84</v>
      </c>
      <c r="K45" s="7" t="b">
        <f aca="false">FALSE()</f>
        <v>0</v>
      </c>
      <c r="O45" s="3" t="s">
        <v>48</v>
      </c>
      <c r="P45" s="1" t="s">
        <v>133</v>
      </c>
      <c r="U45" s="3" t="s">
        <v>51</v>
      </c>
      <c r="V45" s="3" t="s">
        <v>52</v>
      </c>
      <c r="W45" s="3" t="s">
        <v>53</v>
      </c>
      <c r="Y45" s="5" t="str">
        <f aca="false">_xlfn.TEXTJOIN("; ", TRUE(), D45,D45, E45, F45, I45, J45, H45, N45, M45, O45&amp;P45&amp;Q45, U45, W45)</f>
        <v>Rare Earths; Rare Earths; Permanent Magnets; NdFeB;  High Coercivity; CIF North America; USD; Tonne</v>
      </c>
      <c r="Z45" s="1" t="s">
        <v>154</v>
      </c>
      <c r="AE45" s="6" t="b">
        <f aca="false">TRUE()</f>
        <v>1</v>
      </c>
      <c r="AF45" s="6" t="b">
        <f aca="false">FALSE()</f>
        <v>0</v>
      </c>
      <c r="AG45" s="6" t="b">
        <f aca="false">TRUE()</f>
        <v>1</v>
      </c>
      <c r="AH45" s="6" t="b">
        <f aca="false">TRUE()</f>
        <v>1</v>
      </c>
    </row>
    <row r="46" customFormat="false" ht="13.5" hidden="false" customHeight="false" outlineLevel="0" collapsed="false">
      <c r="C4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2026-03-27T09:28:20Z</dcterms:created>
  <dc:creator>Daisy Jennings-Gray</dc:creator>
  <dc:description/>
  <dc:language>en-US</dc:language>
  <cp:lastModifiedBy/>
  <dcterms:modified xsi:type="dcterms:W3CDTF">2026-03-30T09:21:35Z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